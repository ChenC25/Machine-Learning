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Test files/"/>
    </mc:Choice>
  </mc:AlternateContent>
  <xr:revisionPtr revIDLastSave="53" documentId="8_{2D7A7BEE-BB14-496C-8E88-4DEE8115CD3C}" xr6:coauthVersionLast="47" xr6:coauthVersionMax="47" xr10:uidLastSave="{55EF2DE9-EE2C-44D0-B993-0762E1B3924B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Sheet1!$A$1:$AA$2232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32" i="1" l="1"/>
  <c r="Y2232" i="1"/>
  <c r="X2232" i="1"/>
  <c r="W2240" i="1"/>
  <c r="U2240" i="1"/>
  <c r="T2240" i="1"/>
  <c r="S2240" i="1"/>
  <c r="W2239" i="1"/>
  <c r="V2239" i="1"/>
  <c r="T2239" i="1"/>
  <c r="S2239" i="1"/>
  <c r="U2237" i="1"/>
  <c r="T2237" i="1"/>
  <c r="U2239" i="1"/>
  <c r="V2237" i="1"/>
  <c r="W2237" i="1"/>
  <c r="T2236" i="1"/>
  <c r="S2236" i="1"/>
  <c r="W2234" i="1"/>
  <c r="V2234" i="1"/>
  <c r="U2234" i="1"/>
  <c r="T2234" i="1"/>
  <c r="V2240" i="1"/>
  <c r="W2236" i="1"/>
  <c r="V2236" i="1"/>
  <c r="U2236" i="1"/>
  <c r="X3" i="1"/>
  <c r="Y3" i="1"/>
  <c r="Z3" i="1"/>
  <c r="AA3" i="1"/>
  <c r="X4" i="1"/>
  <c r="Y4" i="1"/>
  <c r="Z4" i="1"/>
  <c r="AA4" i="1"/>
  <c r="X5" i="1"/>
  <c r="Y5" i="1"/>
  <c r="Z5" i="1"/>
  <c r="AA5" i="1"/>
  <c r="X6" i="1"/>
  <c r="Y6" i="1"/>
  <c r="Z6" i="1"/>
  <c r="AA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X66" i="1"/>
  <c r="Y66" i="1"/>
  <c r="Z66" i="1"/>
  <c r="AA66" i="1"/>
  <c r="X67" i="1"/>
  <c r="Y67" i="1"/>
  <c r="Z67" i="1"/>
  <c r="AA67" i="1"/>
  <c r="X68" i="1"/>
  <c r="Y68" i="1"/>
  <c r="Z68" i="1"/>
  <c r="AA68" i="1"/>
  <c r="X69" i="1"/>
  <c r="Y69" i="1"/>
  <c r="Z69" i="1"/>
  <c r="AA69" i="1"/>
  <c r="X70" i="1"/>
  <c r="Y70" i="1"/>
  <c r="Z70" i="1"/>
  <c r="AA70" i="1"/>
  <c r="X71" i="1"/>
  <c r="Y71" i="1"/>
  <c r="Z71" i="1"/>
  <c r="AA71" i="1"/>
  <c r="X72" i="1"/>
  <c r="Y72" i="1"/>
  <c r="Z72" i="1"/>
  <c r="AA72" i="1"/>
  <c r="X73" i="1"/>
  <c r="Y73" i="1"/>
  <c r="Z73" i="1"/>
  <c r="AA73" i="1"/>
  <c r="X74" i="1"/>
  <c r="Y74" i="1"/>
  <c r="Z74" i="1"/>
  <c r="AA74" i="1"/>
  <c r="X75" i="1"/>
  <c r="Y75" i="1"/>
  <c r="Z75" i="1"/>
  <c r="AA75" i="1"/>
  <c r="X76" i="1"/>
  <c r="Y76" i="1"/>
  <c r="Z76" i="1"/>
  <c r="AA76" i="1"/>
  <c r="X77" i="1"/>
  <c r="Y77" i="1"/>
  <c r="Z77" i="1"/>
  <c r="AA77" i="1"/>
  <c r="X78" i="1"/>
  <c r="Y78" i="1"/>
  <c r="Z78" i="1"/>
  <c r="AA78" i="1"/>
  <c r="X79" i="1"/>
  <c r="Y79" i="1"/>
  <c r="Z79" i="1"/>
  <c r="AA79" i="1"/>
  <c r="X80" i="1"/>
  <c r="Y80" i="1"/>
  <c r="Z80" i="1"/>
  <c r="AA80" i="1"/>
  <c r="X81" i="1"/>
  <c r="Y81" i="1"/>
  <c r="Z81" i="1"/>
  <c r="AA81" i="1"/>
  <c r="X82" i="1"/>
  <c r="Y82" i="1"/>
  <c r="Z82" i="1"/>
  <c r="AA82" i="1"/>
  <c r="X83" i="1"/>
  <c r="Y83" i="1"/>
  <c r="Z83" i="1"/>
  <c r="AA83" i="1"/>
  <c r="X84" i="1"/>
  <c r="Y84" i="1"/>
  <c r="Z84" i="1"/>
  <c r="AA84" i="1"/>
  <c r="X85" i="1"/>
  <c r="Y85" i="1"/>
  <c r="Z85" i="1"/>
  <c r="AA85" i="1"/>
  <c r="X86" i="1"/>
  <c r="Y86" i="1"/>
  <c r="Z86" i="1"/>
  <c r="AA86" i="1"/>
  <c r="X87" i="1"/>
  <c r="Y87" i="1"/>
  <c r="Z87" i="1"/>
  <c r="AA87" i="1"/>
  <c r="X88" i="1"/>
  <c r="Y88" i="1"/>
  <c r="Z88" i="1"/>
  <c r="AA88" i="1"/>
  <c r="X89" i="1"/>
  <c r="Y89" i="1"/>
  <c r="Z89" i="1"/>
  <c r="AA89" i="1"/>
  <c r="X90" i="1"/>
  <c r="Y90" i="1"/>
  <c r="Z90" i="1"/>
  <c r="AA90" i="1"/>
  <c r="X91" i="1"/>
  <c r="Y91" i="1"/>
  <c r="Z91" i="1"/>
  <c r="AA91" i="1"/>
  <c r="X92" i="1"/>
  <c r="Y92" i="1"/>
  <c r="Z92" i="1"/>
  <c r="AA92" i="1"/>
  <c r="X93" i="1"/>
  <c r="Y93" i="1"/>
  <c r="Z93" i="1"/>
  <c r="AA93" i="1"/>
  <c r="X94" i="1"/>
  <c r="Y94" i="1"/>
  <c r="Z94" i="1"/>
  <c r="AA94" i="1"/>
  <c r="X95" i="1"/>
  <c r="Y95" i="1"/>
  <c r="Z95" i="1"/>
  <c r="AA95" i="1"/>
  <c r="X96" i="1"/>
  <c r="Y96" i="1"/>
  <c r="Z96" i="1"/>
  <c r="AA96" i="1"/>
  <c r="X97" i="1"/>
  <c r="Y97" i="1"/>
  <c r="Z97" i="1"/>
  <c r="AA97" i="1"/>
  <c r="X98" i="1"/>
  <c r="Y98" i="1"/>
  <c r="Z98" i="1"/>
  <c r="AA98" i="1"/>
  <c r="X99" i="1"/>
  <c r="Y99" i="1"/>
  <c r="Z99" i="1"/>
  <c r="AA99" i="1"/>
  <c r="X100" i="1"/>
  <c r="Y100" i="1"/>
  <c r="Z100" i="1"/>
  <c r="AA100" i="1"/>
  <c r="X101" i="1"/>
  <c r="Y101" i="1"/>
  <c r="Z101" i="1"/>
  <c r="AA101" i="1"/>
  <c r="X102" i="1"/>
  <c r="Y102" i="1"/>
  <c r="Z102" i="1"/>
  <c r="AA102" i="1"/>
  <c r="X103" i="1"/>
  <c r="Y103" i="1"/>
  <c r="Z103" i="1"/>
  <c r="AA103" i="1"/>
  <c r="X104" i="1"/>
  <c r="Y104" i="1"/>
  <c r="Z104" i="1"/>
  <c r="AA104" i="1"/>
  <c r="X105" i="1"/>
  <c r="Y105" i="1"/>
  <c r="Z105" i="1"/>
  <c r="AA105" i="1"/>
  <c r="X106" i="1"/>
  <c r="Y106" i="1"/>
  <c r="Z106" i="1"/>
  <c r="AA106" i="1"/>
  <c r="X107" i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X123" i="1"/>
  <c r="Y123" i="1"/>
  <c r="Z123" i="1"/>
  <c r="AA123" i="1"/>
  <c r="X124" i="1"/>
  <c r="Y124" i="1"/>
  <c r="Z124" i="1"/>
  <c r="AA124" i="1"/>
  <c r="X125" i="1"/>
  <c r="Y125" i="1"/>
  <c r="Z125" i="1"/>
  <c r="AA125" i="1"/>
  <c r="X126" i="1"/>
  <c r="Y126" i="1"/>
  <c r="Z126" i="1"/>
  <c r="AA126" i="1"/>
  <c r="X127" i="1"/>
  <c r="Y127" i="1"/>
  <c r="Z127" i="1"/>
  <c r="AA127" i="1"/>
  <c r="X128" i="1"/>
  <c r="Y128" i="1"/>
  <c r="Z128" i="1"/>
  <c r="AA128" i="1"/>
  <c r="X129" i="1"/>
  <c r="Y129" i="1"/>
  <c r="Z129" i="1"/>
  <c r="AA129" i="1"/>
  <c r="X130" i="1"/>
  <c r="Y130" i="1"/>
  <c r="Z130" i="1"/>
  <c r="AA130" i="1"/>
  <c r="X131" i="1"/>
  <c r="Y131" i="1"/>
  <c r="Z131" i="1"/>
  <c r="AA131" i="1"/>
  <c r="X132" i="1"/>
  <c r="Y132" i="1"/>
  <c r="Z132" i="1"/>
  <c r="AA132" i="1"/>
  <c r="X133" i="1"/>
  <c r="Y133" i="1"/>
  <c r="Z133" i="1"/>
  <c r="AA133" i="1"/>
  <c r="X134" i="1"/>
  <c r="Y134" i="1"/>
  <c r="Z134" i="1"/>
  <c r="AA134" i="1"/>
  <c r="X135" i="1"/>
  <c r="Y135" i="1"/>
  <c r="Z135" i="1"/>
  <c r="AA135" i="1"/>
  <c r="X136" i="1"/>
  <c r="Y136" i="1"/>
  <c r="Z136" i="1"/>
  <c r="AA136" i="1"/>
  <c r="X137" i="1"/>
  <c r="Y137" i="1"/>
  <c r="Z137" i="1"/>
  <c r="AA137" i="1"/>
  <c r="X138" i="1"/>
  <c r="Y138" i="1"/>
  <c r="Z138" i="1"/>
  <c r="AA138" i="1"/>
  <c r="X139" i="1"/>
  <c r="Y139" i="1"/>
  <c r="Z139" i="1"/>
  <c r="AA139" i="1"/>
  <c r="X140" i="1"/>
  <c r="Y140" i="1"/>
  <c r="Z140" i="1"/>
  <c r="AA140" i="1"/>
  <c r="X141" i="1"/>
  <c r="Y141" i="1"/>
  <c r="Z141" i="1"/>
  <c r="AA141" i="1"/>
  <c r="X142" i="1"/>
  <c r="Y142" i="1"/>
  <c r="Z142" i="1"/>
  <c r="AA142" i="1"/>
  <c r="X143" i="1"/>
  <c r="Y143" i="1"/>
  <c r="Z143" i="1"/>
  <c r="AA143" i="1"/>
  <c r="X144" i="1"/>
  <c r="Y144" i="1"/>
  <c r="Z144" i="1"/>
  <c r="AA144" i="1"/>
  <c r="X145" i="1"/>
  <c r="Y145" i="1"/>
  <c r="Z145" i="1"/>
  <c r="AA145" i="1"/>
  <c r="X146" i="1"/>
  <c r="Y146" i="1"/>
  <c r="Z146" i="1"/>
  <c r="AA146" i="1"/>
  <c r="X147" i="1"/>
  <c r="Y147" i="1"/>
  <c r="Z147" i="1"/>
  <c r="AA147" i="1"/>
  <c r="X148" i="1"/>
  <c r="Y148" i="1"/>
  <c r="Z148" i="1"/>
  <c r="AA148" i="1"/>
  <c r="X149" i="1"/>
  <c r="Y149" i="1"/>
  <c r="Z149" i="1"/>
  <c r="AA149" i="1"/>
  <c r="X150" i="1"/>
  <c r="Y150" i="1"/>
  <c r="Z150" i="1"/>
  <c r="AA150" i="1"/>
  <c r="X151" i="1"/>
  <c r="Y151" i="1"/>
  <c r="Z151" i="1"/>
  <c r="AA151" i="1"/>
  <c r="X152" i="1"/>
  <c r="Y152" i="1"/>
  <c r="Z152" i="1"/>
  <c r="AA152" i="1"/>
  <c r="X153" i="1"/>
  <c r="Y153" i="1"/>
  <c r="Z153" i="1"/>
  <c r="AA153" i="1"/>
  <c r="X154" i="1"/>
  <c r="Y154" i="1"/>
  <c r="Z154" i="1"/>
  <c r="AA154" i="1"/>
  <c r="X155" i="1"/>
  <c r="Y155" i="1"/>
  <c r="Z155" i="1"/>
  <c r="AA155" i="1"/>
  <c r="X156" i="1"/>
  <c r="Y156" i="1"/>
  <c r="Z156" i="1"/>
  <c r="AA156" i="1"/>
  <c r="X157" i="1"/>
  <c r="Y157" i="1"/>
  <c r="Z157" i="1"/>
  <c r="AA157" i="1"/>
  <c r="X158" i="1"/>
  <c r="Y158" i="1"/>
  <c r="Z158" i="1"/>
  <c r="AA158" i="1"/>
  <c r="X159" i="1"/>
  <c r="Y159" i="1"/>
  <c r="Z159" i="1"/>
  <c r="AA159" i="1"/>
  <c r="X160" i="1"/>
  <c r="Y160" i="1"/>
  <c r="Z160" i="1"/>
  <c r="AA160" i="1"/>
  <c r="X161" i="1"/>
  <c r="Y161" i="1"/>
  <c r="Z161" i="1"/>
  <c r="AA161" i="1"/>
  <c r="X162" i="1"/>
  <c r="Y162" i="1"/>
  <c r="Z162" i="1"/>
  <c r="AA162" i="1"/>
  <c r="X163" i="1"/>
  <c r="Y163" i="1"/>
  <c r="Z163" i="1"/>
  <c r="AA163" i="1"/>
  <c r="X164" i="1"/>
  <c r="Y164" i="1"/>
  <c r="Z164" i="1"/>
  <c r="AA164" i="1"/>
  <c r="X165" i="1"/>
  <c r="Y165" i="1"/>
  <c r="Z165" i="1"/>
  <c r="AA165" i="1"/>
  <c r="X166" i="1"/>
  <c r="Y166" i="1"/>
  <c r="Z166" i="1"/>
  <c r="AA166" i="1"/>
  <c r="X167" i="1"/>
  <c r="Y167" i="1"/>
  <c r="Z167" i="1"/>
  <c r="AA167" i="1"/>
  <c r="X168" i="1"/>
  <c r="Y168" i="1"/>
  <c r="Z168" i="1"/>
  <c r="AA168" i="1"/>
  <c r="X169" i="1"/>
  <c r="Y169" i="1"/>
  <c r="Z169" i="1"/>
  <c r="AA169" i="1"/>
  <c r="X170" i="1"/>
  <c r="Y170" i="1"/>
  <c r="Z170" i="1"/>
  <c r="AA170" i="1"/>
  <c r="X171" i="1"/>
  <c r="Y171" i="1"/>
  <c r="Z171" i="1"/>
  <c r="AA171" i="1"/>
  <c r="X172" i="1"/>
  <c r="Y172" i="1"/>
  <c r="Z172" i="1"/>
  <c r="AA172" i="1"/>
  <c r="X173" i="1"/>
  <c r="Y173" i="1"/>
  <c r="Z173" i="1"/>
  <c r="AA173" i="1"/>
  <c r="X174" i="1"/>
  <c r="Y174" i="1"/>
  <c r="Z174" i="1"/>
  <c r="AA174" i="1"/>
  <c r="X175" i="1"/>
  <c r="Y175" i="1"/>
  <c r="Z175" i="1"/>
  <c r="AA175" i="1"/>
  <c r="X176" i="1"/>
  <c r="Y176" i="1"/>
  <c r="Z176" i="1"/>
  <c r="AA176" i="1"/>
  <c r="X177" i="1"/>
  <c r="Y177" i="1"/>
  <c r="Z177" i="1"/>
  <c r="AA177" i="1"/>
  <c r="X178" i="1"/>
  <c r="Y178" i="1"/>
  <c r="Z178" i="1"/>
  <c r="AA178" i="1"/>
  <c r="X179" i="1"/>
  <c r="Y179" i="1"/>
  <c r="Z179" i="1"/>
  <c r="AA179" i="1"/>
  <c r="X180" i="1"/>
  <c r="Y180" i="1"/>
  <c r="Z180" i="1"/>
  <c r="AA180" i="1"/>
  <c r="X181" i="1"/>
  <c r="Y181" i="1"/>
  <c r="Z181" i="1"/>
  <c r="AA181" i="1"/>
  <c r="X182" i="1"/>
  <c r="Y182" i="1"/>
  <c r="Z182" i="1"/>
  <c r="AA182" i="1"/>
  <c r="X183" i="1"/>
  <c r="Y183" i="1"/>
  <c r="Z183" i="1"/>
  <c r="AA183" i="1"/>
  <c r="X184" i="1"/>
  <c r="Y184" i="1"/>
  <c r="Z184" i="1"/>
  <c r="AA184" i="1"/>
  <c r="X185" i="1"/>
  <c r="Y185" i="1"/>
  <c r="Z185" i="1"/>
  <c r="AA185" i="1"/>
  <c r="X186" i="1"/>
  <c r="Y186" i="1"/>
  <c r="Z186" i="1"/>
  <c r="AA186" i="1"/>
  <c r="X187" i="1"/>
  <c r="Y187" i="1"/>
  <c r="Z187" i="1"/>
  <c r="AA187" i="1"/>
  <c r="X188" i="1"/>
  <c r="Y188" i="1"/>
  <c r="Z188" i="1"/>
  <c r="AA188" i="1"/>
  <c r="X189" i="1"/>
  <c r="Y189" i="1"/>
  <c r="Z189" i="1"/>
  <c r="AA189" i="1"/>
  <c r="X190" i="1"/>
  <c r="Y190" i="1"/>
  <c r="Z190" i="1"/>
  <c r="AA190" i="1"/>
  <c r="X191" i="1"/>
  <c r="Y191" i="1"/>
  <c r="Z191" i="1"/>
  <c r="AA191" i="1"/>
  <c r="X192" i="1"/>
  <c r="Y192" i="1"/>
  <c r="Z192" i="1"/>
  <c r="AA192" i="1"/>
  <c r="X193" i="1"/>
  <c r="Y193" i="1"/>
  <c r="Z193" i="1"/>
  <c r="AA193" i="1"/>
  <c r="X194" i="1"/>
  <c r="Y194" i="1"/>
  <c r="Z194" i="1"/>
  <c r="AA194" i="1"/>
  <c r="X195" i="1"/>
  <c r="Y195" i="1"/>
  <c r="Z195" i="1"/>
  <c r="AA195" i="1"/>
  <c r="X196" i="1"/>
  <c r="Y196" i="1"/>
  <c r="Z196" i="1"/>
  <c r="AA196" i="1"/>
  <c r="X197" i="1"/>
  <c r="Y197" i="1"/>
  <c r="Z197" i="1"/>
  <c r="AA197" i="1"/>
  <c r="X198" i="1"/>
  <c r="Y198" i="1"/>
  <c r="Z198" i="1"/>
  <c r="AA198" i="1"/>
  <c r="X199" i="1"/>
  <c r="Y199" i="1"/>
  <c r="Z199" i="1"/>
  <c r="AA199" i="1"/>
  <c r="X200" i="1"/>
  <c r="Y200" i="1"/>
  <c r="Z200" i="1"/>
  <c r="AA200" i="1"/>
  <c r="X201" i="1"/>
  <c r="Y201" i="1"/>
  <c r="Z201" i="1"/>
  <c r="AA201" i="1"/>
  <c r="X202" i="1"/>
  <c r="Y202" i="1"/>
  <c r="Z202" i="1"/>
  <c r="AA202" i="1"/>
  <c r="X203" i="1"/>
  <c r="Y203" i="1"/>
  <c r="Z203" i="1"/>
  <c r="AA203" i="1"/>
  <c r="X204" i="1"/>
  <c r="Y204" i="1"/>
  <c r="Z204" i="1"/>
  <c r="AA204" i="1"/>
  <c r="X205" i="1"/>
  <c r="Y205" i="1"/>
  <c r="Z205" i="1"/>
  <c r="AA205" i="1"/>
  <c r="X206" i="1"/>
  <c r="Y206" i="1"/>
  <c r="Z206" i="1"/>
  <c r="AA206" i="1"/>
  <c r="X207" i="1"/>
  <c r="Y207" i="1"/>
  <c r="Z207" i="1"/>
  <c r="AA207" i="1"/>
  <c r="X208" i="1"/>
  <c r="Y208" i="1"/>
  <c r="Z208" i="1"/>
  <c r="AA208" i="1"/>
  <c r="X209" i="1"/>
  <c r="Y209" i="1"/>
  <c r="Z209" i="1"/>
  <c r="AA209" i="1"/>
  <c r="X210" i="1"/>
  <c r="Y210" i="1"/>
  <c r="Z210" i="1"/>
  <c r="AA210" i="1"/>
  <c r="X211" i="1"/>
  <c r="Y211" i="1"/>
  <c r="Z211" i="1"/>
  <c r="AA211" i="1"/>
  <c r="X212" i="1"/>
  <c r="Y212" i="1"/>
  <c r="Z212" i="1"/>
  <c r="AA212" i="1"/>
  <c r="X213" i="1"/>
  <c r="Y213" i="1"/>
  <c r="Z213" i="1"/>
  <c r="AA213" i="1"/>
  <c r="X214" i="1"/>
  <c r="Y214" i="1"/>
  <c r="Z214" i="1"/>
  <c r="AA214" i="1"/>
  <c r="X215" i="1"/>
  <c r="Y215" i="1"/>
  <c r="Z215" i="1"/>
  <c r="AA215" i="1"/>
  <c r="X216" i="1"/>
  <c r="Y216" i="1"/>
  <c r="Z216" i="1"/>
  <c r="AA216" i="1"/>
  <c r="X217" i="1"/>
  <c r="Y217" i="1"/>
  <c r="Z217" i="1"/>
  <c r="AA217" i="1"/>
  <c r="X218" i="1"/>
  <c r="Y218" i="1"/>
  <c r="Z218" i="1"/>
  <c r="AA218" i="1"/>
  <c r="X219" i="1"/>
  <c r="Y219" i="1"/>
  <c r="Z219" i="1"/>
  <c r="AA219" i="1"/>
  <c r="X220" i="1"/>
  <c r="Y220" i="1"/>
  <c r="Z220" i="1"/>
  <c r="AA220" i="1"/>
  <c r="X221" i="1"/>
  <c r="Y221" i="1"/>
  <c r="Z221" i="1"/>
  <c r="AA221" i="1"/>
  <c r="X222" i="1"/>
  <c r="Y222" i="1"/>
  <c r="Z222" i="1"/>
  <c r="AA222" i="1"/>
  <c r="X223" i="1"/>
  <c r="Y223" i="1"/>
  <c r="Z223" i="1"/>
  <c r="AA223" i="1"/>
  <c r="X224" i="1"/>
  <c r="Y224" i="1"/>
  <c r="Z224" i="1"/>
  <c r="AA224" i="1"/>
  <c r="X225" i="1"/>
  <c r="Y225" i="1"/>
  <c r="Z225" i="1"/>
  <c r="AA225" i="1"/>
  <c r="X226" i="1"/>
  <c r="Y226" i="1"/>
  <c r="Z226" i="1"/>
  <c r="AA226" i="1"/>
  <c r="X227" i="1"/>
  <c r="Y227" i="1"/>
  <c r="Z227" i="1"/>
  <c r="AA227" i="1"/>
  <c r="X228" i="1"/>
  <c r="Y228" i="1"/>
  <c r="Z228" i="1"/>
  <c r="AA228" i="1"/>
  <c r="X229" i="1"/>
  <c r="Y229" i="1"/>
  <c r="Z229" i="1"/>
  <c r="AA229" i="1"/>
  <c r="X230" i="1"/>
  <c r="Y230" i="1"/>
  <c r="Z230" i="1"/>
  <c r="AA230" i="1"/>
  <c r="X231" i="1"/>
  <c r="Y231" i="1"/>
  <c r="Z231" i="1"/>
  <c r="AA231" i="1"/>
  <c r="X232" i="1"/>
  <c r="Y232" i="1"/>
  <c r="Z232" i="1"/>
  <c r="AA232" i="1"/>
  <c r="X233" i="1"/>
  <c r="Y233" i="1"/>
  <c r="Z233" i="1"/>
  <c r="AA233" i="1"/>
  <c r="X234" i="1"/>
  <c r="Y234" i="1"/>
  <c r="Z234" i="1"/>
  <c r="AA234" i="1"/>
  <c r="X235" i="1"/>
  <c r="Y235" i="1"/>
  <c r="Z235" i="1"/>
  <c r="AA235" i="1"/>
  <c r="X236" i="1"/>
  <c r="Y236" i="1"/>
  <c r="Z236" i="1"/>
  <c r="AA236" i="1"/>
  <c r="X237" i="1"/>
  <c r="Y237" i="1"/>
  <c r="Z237" i="1"/>
  <c r="AA237" i="1"/>
  <c r="X238" i="1"/>
  <c r="Y238" i="1"/>
  <c r="Z238" i="1"/>
  <c r="AA238" i="1"/>
  <c r="X239" i="1"/>
  <c r="Y239" i="1"/>
  <c r="Z239" i="1"/>
  <c r="AA239" i="1"/>
  <c r="X240" i="1"/>
  <c r="Y240" i="1"/>
  <c r="Z240" i="1"/>
  <c r="AA240" i="1"/>
  <c r="X241" i="1"/>
  <c r="Y241" i="1"/>
  <c r="Z241" i="1"/>
  <c r="AA241" i="1"/>
  <c r="X242" i="1"/>
  <c r="Y242" i="1"/>
  <c r="Z242" i="1"/>
  <c r="AA242" i="1"/>
  <c r="X243" i="1"/>
  <c r="Y243" i="1"/>
  <c r="Z243" i="1"/>
  <c r="AA243" i="1"/>
  <c r="X244" i="1"/>
  <c r="Y244" i="1"/>
  <c r="Z244" i="1"/>
  <c r="AA244" i="1"/>
  <c r="X245" i="1"/>
  <c r="Y245" i="1"/>
  <c r="Z245" i="1"/>
  <c r="AA245" i="1"/>
  <c r="X246" i="1"/>
  <c r="Y246" i="1"/>
  <c r="Z246" i="1"/>
  <c r="AA246" i="1"/>
  <c r="X247" i="1"/>
  <c r="Y247" i="1"/>
  <c r="Z247" i="1"/>
  <c r="AA247" i="1"/>
  <c r="X248" i="1"/>
  <c r="Y248" i="1"/>
  <c r="Z248" i="1"/>
  <c r="AA248" i="1"/>
  <c r="X249" i="1"/>
  <c r="Y249" i="1"/>
  <c r="Z249" i="1"/>
  <c r="AA249" i="1"/>
  <c r="X250" i="1"/>
  <c r="Y250" i="1"/>
  <c r="Z250" i="1"/>
  <c r="AA250" i="1"/>
  <c r="X251" i="1"/>
  <c r="Y251" i="1"/>
  <c r="Z251" i="1"/>
  <c r="AA251" i="1"/>
  <c r="X252" i="1"/>
  <c r="Y252" i="1"/>
  <c r="Z252" i="1"/>
  <c r="AA252" i="1"/>
  <c r="X253" i="1"/>
  <c r="Y253" i="1"/>
  <c r="Z253" i="1"/>
  <c r="AA253" i="1"/>
  <c r="X254" i="1"/>
  <c r="Y254" i="1"/>
  <c r="Z254" i="1"/>
  <c r="AA254" i="1"/>
  <c r="X255" i="1"/>
  <c r="Y255" i="1"/>
  <c r="Z255" i="1"/>
  <c r="AA255" i="1"/>
  <c r="X256" i="1"/>
  <c r="Y256" i="1"/>
  <c r="Z256" i="1"/>
  <c r="AA256" i="1"/>
  <c r="X257" i="1"/>
  <c r="Y257" i="1"/>
  <c r="Z257" i="1"/>
  <c r="AA257" i="1"/>
  <c r="X258" i="1"/>
  <c r="Y258" i="1"/>
  <c r="Z258" i="1"/>
  <c r="AA258" i="1"/>
  <c r="X259" i="1"/>
  <c r="Y259" i="1"/>
  <c r="Z259" i="1"/>
  <c r="AA259" i="1"/>
  <c r="X260" i="1"/>
  <c r="Y260" i="1"/>
  <c r="Z260" i="1"/>
  <c r="AA260" i="1"/>
  <c r="X261" i="1"/>
  <c r="Y261" i="1"/>
  <c r="Z261" i="1"/>
  <c r="AA261" i="1"/>
  <c r="X262" i="1"/>
  <c r="Y262" i="1"/>
  <c r="Z262" i="1"/>
  <c r="AA262" i="1"/>
  <c r="X263" i="1"/>
  <c r="Y263" i="1"/>
  <c r="Z263" i="1"/>
  <c r="AA263" i="1"/>
  <c r="X264" i="1"/>
  <c r="Y264" i="1"/>
  <c r="Z264" i="1"/>
  <c r="AA264" i="1"/>
  <c r="X265" i="1"/>
  <c r="Y265" i="1"/>
  <c r="Z265" i="1"/>
  <c r="AA265" i="1"/>
  <c r="X266" i="1"/>
  <c r="Y266" i="1"/>
  <c r="Z266" i="1"/>
  <c r="AA266" i="1"/>
  <c r="X267" i="1"/>
  <c r="Y267" i="1"/>
  <c r="Z267" i="1"/>
  <c r="AA267" i="1"/>
  <c r="X268" i="1"/>
  <c r="Y268" i="1"/>
  <c r="Z268" i="1"/>
  <c r="AA268" i="1"/>
  <c r="X269" i="1"/>
  <c r="Y269" i="1"/>
  <c r="Z269" i="1"/>
  <c r="AA269" i="1"/>
  <c r="X270" i="1"/>
  <c r="Y270" i="1"/>
  <c r="Z270" i="1"/>
  <c r="AA270" i="1"/>
  <c r="X271" i="1"/>
  <c r="Y271" i="1"/>
  <c r="Z271" i="1"/>
  <c r="AA271" i="1"/>
  <c r="X272" i="1"/>
  <c r="Y272" i="1"/>
  <c r="Z272" i="1"/>
  <c r="AA272" i="1"/>
  <c r="X273" i="1"/>
  <c r="Y273" i="1"/>
  <c r="Z273" i="1"/>
  <c r="AA273" i="1"/>
  <c r="X274" i="1"/>
  <c r="Y274" i="1"/>
  <c r="Z274" i="1"/>
  <c r="AA274" i="1"/>
  <c r="X275" i="1"/>
  <c r="Y275" i="1"/>
  <c r="Z275" i="1"/>
  <c r="AA275" i="1"/>
  <c r="X276" i="1"/>
  <c r="Y276" i="1"/>
  <c r="Z276" i="1"/>
  <c r="AA276" i="1"/>
  <c r="X277" i="1"/>
  <c r="Y277" i="1"/>
  <c r="Z277" i="1"/>
  <c r="AA277" i="1"/>
  <c r="X278" i="1"/>
  <c r="Y278" i="1"/>
  <c r="Z278" i="1"/>
  <c r="AA278" i="1"/>
  <c r="X279" i="1"/>
  <c r="Y279" i="1"/>
  <c r="Z279" i="1"/>
  <c r="AA279" i="1"/>
  <c r="X280" i="1"/>
  <c r="Y280" i="1"/>
  <c r="Z280" i="1"/>
  <c r="AA280" i="1"/>
  <c r="X281" i="1"/>
  <c r="Y281" i="1"/>
  <c r="Z281" i="1"/>
  <c r="AA281" i="1"/>
  <c r="X282" i="1"/>
  <c r="Y282" i="1"/>
  <c r="Z282" i="1"/>
  <c r="AA282" i="1"/>
  <c r="X283" i="1"/>
  <c r="Y283" i="1"/>
  <c r="Z283" i="1"/>
  <c r="AA283" i="1"/>
  <c r="X284" i="1"/>
  <c r="Y284" i="1"/>
  <c r="Z284" i="1"/>
  <c r="AA284" i="1"/>
  <c r="X285" i="1"/>
  <c r="Y285" i="1"/>
  <c r="Z285" i="1"/>
  <c r="AA285" i="1"/>
  <c r="X286" i="1"/>
  <c r="Y286" i="1"/>
  <c r="Z286" i="1"/>
  <c r="AA286" i="1"/>
  <c r="X287" i="1"/>
  <c r="Y287" i="1"/>
  <c r="Z287" i="1"/>
  <c r="AA287" i="1"/>
  <c r="X288" i="1"/>
  <c r="Y288" i="1"/>
  <c r="Z288" i="1"/>
  <c r="AA288" i="1"/>
  <c r="X289" i="1"/>
  <c r="Y289" i="1"/>
  <c r="Z289" i="1"/>
  <c r="AA289" i="1"/>
  <c r="X290" i="1"/>
  <c r="Y290" i="1"/>
  <c r="Z290" i="1"/>
  <c r="AA290" i="1"/>
  <c r="X291" i="1"/>
  <c r="Y291" i="1"/>
  <c r="Z291" i="1"/>
  <c r="AA291" i="1"/>
  <c r="X292" i="1"/>
  <c r="Y292" i="1"/>
  <c r="Z292" i="1"/>
  <c r="AA292" i="1"/>
  <c r="X293" i="1"/>
  <c r="Y293" i="1"/>
  <c r="Z293" i="1"/>
  <c r="AA293" i="1"/>
  <c r="X294" i="1"/>
  <c r="Y294" i="1"/>
  <c r="Z294" i="1"/>
  <c r="AA294" i="1"/>
  <c r="X295" i="1"/>
  <c r="Y295" i="1"/>
  <c r="Z295" i="1"/>
  <c r="AA295" i="1"/>
  <c r="X296" i="1"/>
  <c r="Y296" i="1"/>
  <c r="Z296" i="1"/>
  <c r="AA296" i="1"/>
  <c r="X297" i="1"/>
  <c r="Y297" i="1"/>
  <c r="Z297" i="1"/>
  <c r="AA297" i="1"/>
  <c r="X298" i="1"/>
  <c r="Y298" i="1"/>
  <c r="Z298" i="1"/>
  <c r="AA298" i="1"/>
  <c r="X299" i="1"/>
  <c r="Y299" i="1"/>
  <c r="Z299" i="1"/>
  <c r="AA299" i="1"/>
  <c r="X300" i="1"/>
  <c r="Y300" i="1"/>
  <c r="Z300" i="1"/>
  <c r="AA300" i="1"/>
  <c r="X301" i="1"/>
  <c r="Y301" i="1"/>
  <c r="Z301" i="1"/>
  <c r="AA301" i="1"/>
  <c r="X302" i="1"/>
  <c r="Y302" i="1"/>
  <c r="Z302" i="1"/>
  <c r="AA302" i="1"/>
  <c r="X303" i="1"/>
  <c r="Y303" i="1"/>
  <c r="Z303" i="1"/>
  <c r="AA303" i="1"/>
  <c r="X304" i="1"/>
  <c r="Y304" i="1"/>
  <c r="Z304" i="1"/>
  <c r="AA304" i="1"/>
  <c r="X305" i="1"/>
  <c r="Y305" i="1"/>
  <c r="Z305" i="1"/>
  <c r="AA305" i="1"/>
  <c r="X306" i="1"/>
  <c r="Y306" i="1"/>
  <c r="Z306" i="1"/>
  <c r="AA306" i="1"/>
  <c r="X307" i="1"/>
  <c r="Y307" i="1"/>
  <c r="Z307" i="1"/>
  <c r="AA307" i="1"/>
  <c r="X308" i="1"/>
  <c r="Y308" i="1"/>
  <c r="Z308" i="1"/>
  <c r="AA308" i="1"/>
  <c r="X309" i="1"/>
  <c r="Y309" i="1"/>
  <c r="Z309" i="1"/>
  <c r="AA309" i="1"/>
  <c r="X310" i="1"/>
  <c r="Y310" i="1"/>
  <c r="Z310" i="1"/>
  <c r="AA310" i="1"/>
  <c r="X311" i="1"/>
  <c r="Y311" i="1"/>
  <c r="Z311" i="1"/>
  <c r="AA311" i="1"/>
  <c r="X312" i="1"/>
  <c r="Y312" i="1"/>
  <c r="Z312" i="1"/>
  <c r="AA312" i="1"/>
  <c r="X313" i="1"/>
  <c r="Y313" i="1"/>
  <c r="Z313" i="1"/>
  <c r="AA313" i="1"/>
  <c r="X314" i="1"/>
  <c r="Y314" i="1"/>
  <c r="Z314" i="1"/>
  <c r="AA314" i="1"/>
  <c r="X315" i="1"/>
  <c r="Y315" i="1"/>
  <c r="Z315" i="1"/>
  <c r="AA315" i="1"/>
  <c r="X316" i="1"/>
  <c r="Y316" i="1"/>
  <c r="Z316" i="1"/>
  <c r="AA316" i="1"/>
  <c r="X317" i="1"/>
  <c r="Y317" i="1"/>
  <c r="Z317" i="1"/>
  <c r="AA317" i="1"/>
  <c r="X318" i="1"/>
  <c r="Y318" i="1"/>
  <c r="Z318" i="1"/>
  <c r="AA318" i="1"/>
  <c r="X319" i="1"/>
  <c r="Y319" i="1"/>
  <c r="Z319" i="1"/>
  <c r="AA319" i="1"/>
  <c r="X320" i="1"/>
  <c r="Y320" i="1"/>
  <c r="Z320" i="1"/>
  <c r="AA320" i="1"/>
  <c r="X321" i="1"/>
  <c r="Y321" i="1"/>
  <c r="Z321" i="1"/>
  <c r="AA321" i="1"/>
  <c r="X322" i="1"/>
  <c r="Y322" i="1"/>
  <c r="Z322" i="1"/>
  <c r="AA322" i="1"/>
  <c r="X323" i="1"/>
  <c r="Y323" i="1"/>
  <c r="Z323" i="1"/>
  <c r="AA323" i="1"/>
  <c r="X324" i="1"/>
  <c r="Y324" i="1"/>
  <c r="Z324" i="1"/>
  <c r="AA324" i="1"/>
  <c r="X325" i="1"/>
  <c r="Y325" i="1"/>
  <c r="Z325" i="1"/>
  <c r="AA325" i="1"/>
  <c r="X326" i="1"/>
  <c r="Y326" i="1"/>
  <c r="Z326" i="1"/>
  <c r="AA326" i="1"/>
  <c r="X327" i="1"/>
  <c r="Y327" i="1"/>
  <c r="Z327" i="1"/>
  <c r="AA327" i="1"/>
  <c r="X328" i="1"/>
  <c r="Y328" i="1"/>
  <c r="Z328" i="1"/>
  <c r="AA328" i="1"/>
  <c r="X329" i="1"/>
  <c r="Y329" i="1"/>
  <c r="Z329" i="1"/>
  <c r="AA329" i="1"/>
  <c r="X330" i="1"/>
  <c r="Y330" i="1"/>
  <c r="Z330" i="1"/>
  <c r="AA330" i="1"/>
  <c r="X331" i="1"/>
  <c r="Y331" i="1"/>
  <c r="Z331" i="1"/>
  <c r="AA331" i="1"/>
  <c r="X332" i="1"/>
  <c r="Y332" i="1"/>
  <c r="Z332" i="1"/>
  <c r="AA332" i="1"/>
  <c r="X333" i="1"/>
  <c r="Y333" i="1"/>
  <c r="Z333" i="1"/>
  <c r="AA333" i="1"/>
  <c r="X334" i="1"/>
  <c r="Y334" i="1"/>
  <c r="Z334" i="1"/>
  <c r="AA334" i="1"/>
  <c r="X335" i="1"/>
  <c r="Y335" i="1"/>
  <c r="Z335" i="1"/>
  <c r="AA335" i="1"/>
  <c r="X336" i="1"/>
  <c r="Y336" i="1"/>
  <c r="Z336" i="1"/>
  <c r="AA336" i="1"/>
  <c r="X337" i="1"/>
  <c r="Y337" i="1"/>
  <c r="Z337" i="1"/>
  <c r="AA337" i="1"/>
  <c r="X338" i="1"/>
  <c r="Y338" i="1"/>
  <c r="Z338" i="1"/>
  <c r="AA338" i="1"/>
  <c r="X339" i="1"/>
  <c r="Y339" i="1"/>
  <c r="Z339" i="1"/>
  <c r="AA339" i="1"/>
  <c r="X340" i="1"/>
  <c r="Y340" i="1"/>
  <c r="Z340" i="1"/>
  <c r="AA340" i="1"/>
  <c r="X341" i="1"/>
  <c r="Y341" i="1"/>
  <c r="Z341" i="1"/>
  <c r="AA341" i="1"/>
  <c r="X342" i="1"/>
  <c r="Y342" i="1"/>
  <c r="Z342" i="1"/>
  <c r="AA342" i="1"/>
  <c r="X343" i="1"/>
  <c r="Y343" i="1"/>
  <c r="Z343" i="1"/>
  <c r="AA343" i="1"/>
  <c r="X344" i="1"/>
  <c r="Y344" i="1"/>
  <c r="Z344" i="1"/>
  <c r="AA344" i="1"/>
  <c r="X345" i="1"/>
  <c r="Y345" i="1"/>
  <c r="Z345" i="1"/>
  <c r="AA345" i="1"/>
  <c r="X346" i="1"/>
  <c r="Y346" i="1"/>
  <c r="Z346" i="1"/>
  <c r="AA346" i="1"/>
  <c r="X347" i="1"/>
  <c r="Y347" i="1"/>
  <c r="Z347" i="1"/>
  <c r="AA347" i="1"/>
  <c r="X348" i="1"/>
  <c r="Y348" i="1"/>
  <c r="Z348" i="1"/>
  <c r="AA348" i="1"/>
  <c r="X349" i="1"/>
  <c r="Y349" i="1"/>
  <c r="Z349" i="1"/>
  <c r="AA349" i="1"/>
  <c r="X350" i="1"/>
  <c r="Y350" i="1"/>
  <c r="Z350" i="1"/>
  <c r="AA350" i="1"/>
  <c r="X351" i="1"/>
  <c r="Y351" i="1"/>
  <c r="Z351" i="1"/>
  <c r="AA351" i="1"/>
  <c r="X352" i="1"/>
  <c r="Y352" i="1"/>
  <c r="Z352" i="1"/>
  <c r="AA352" i="1"/>
  <c r="X353" i="1"/>
  <c r="Y353" i="1"/>
  <c r="Z353" i="1"/>
  <c r="AA353" i="1"/>
  <c r="X354" i="1"/>
  <c r="Y354" i="1"/>
  <c r="Z354" i="1"/>
  <c r="AA354" i="1"/>
  <c r="X355" i="1"/>
  <c r="Y355" i="1"/>
  <c r="Z355" i="1"/>
  <c r="AA355" i="1"/>
  <c r="X356" i="1"/>
  <c r="Y356" i="1"/>
  <c r="Z356" i="1"/>
  <c r="AA356" i="1"/>
  <c r="X357" i="1"/>
  <c r="Y357" i="1"/>
  <c r="Z357" i="1"/>
  <c r="AA357" i="1"/>
  <c r="X358" i="1"/>
  <c r="Y358" i="1"/>
  <c r="Z358" i="1"/>
  <c r="AA358" i="1"/>
  <c r="X359" i="1"/>
  <c r="Y359" i="1"/>
  <c r="Z359" i="1"/>
  <c r="AA359" i="1"/>
  <c r="X360" i="1"/>
  <c r="Y360" i="1"/>
  <c r="Z360" i="1"/>
  <c r="AA360" i="1"/>
  <c r="X361" i="1"/>
  <c r="Y361" i="1"/>
  <c r="Z361" i="1"/>
  <c r="AA361" i="1"/>
  <c r="X362" i="1"/>
  <c r="Y362" i="1"/>
  <c r="Z362" i="1"/>
  <c r="AA362" i="1"/>
  <c r="X363" i="1"/>
  <c r="Y363" i="1"/>
  <c r="Z363" i="1"/>
  <c r="AA363" i="1"/>
  <c r="X364" i="1"/>
  <c r="Y364" i="1"/>
  <c r="Z364" i="1"/>
  <c r="AA364" i="1"/>
  <c r="X365" i="1"/>
  <c r="Y365" i="1"/>
  <c r="Z365" i="1"/>
  <c r="AA365" i="1"/>
  <c r="X366" i="1"/>
  <c r="Y366" i="1"/>
  <c r="Z366" i="1"/>
  <c r="AA366" i="1"/>
  <c r="X367" i="1"/>
  <c r="Y367" i="1"/>
  <c r="Z367" i="1"/>
  <c r="AA367" i="1"/>
  <c r="X368" i="1"/>
  <c r="Y368" i="1"/>
  <c r="Z368" i="1"/>
  <c r="AA368" i="1"/>
  <c r="X369" i="1"/>
  <c r="Y369" i="1"/>
  <c r="Z369" i="1"/>
  <c r="AA369" i="1"/>
  <c r="X370" i="1"/>
  <c r="Y370" i="1"/>
  <c r="Z370" i="1"/>
  <c r="AA370" i="1"/>
  <c r="X371" i="1"/>
  <c r="Y371" i="1"/>
  <c r="Z371" i="1"/>
  <c r="AA371" i="1"/>
  <c r="X372" i="1"/>
  <c r="Y372" i="1"/>
  <c r="Z372" i="1"/>
  <c r="AA372" i="1"/>
  <c r="X373" i="1"/>
  <c r="Y373" i="1"/>
  <c r="Z373" i="1"/>
  <c r="AA373" i="1"/>
  <c r="X374" i="1"/>
  <c r="Y374" i="1"/>
  <c r="Z374" i="1"/>
  <c r="AA374" i="1"/>
  <c r="X375" i="1"/>
  <c r="Y375" i="1"/>
  <c r="Z375" i="1"/>
  <c r="AA375" i="1"/>
  <c r="X376" i="1"/>
  <c r="Y376" i="1"/>
  <c r="Z376" i="1"/>
  <c r="AA376" i="1"/>
  <c r="X377" i="1"/>
  <c r="Y377" i="1"/>
  <c r="Z377" i="1"/>
  <c r="AA377" i="1"/>
  <c r="X378" i="1"/>
  <c r="Y378" i="1"/>
  <c r="Z378" i="1"/>
  <c r="AA378" i="1"/>
  <c r="X379" i="1"/>
  <c r="Y379" i="1"/>
  <c r="Z379" i="1"/>
  <c r="AA379" i="1"/>
  <c r="X380" i="1"/>
  <c r="Y380" i="1"/>
  <c r="Z380" i="1"/>
  <c r="AA380" i="1"/>
  <c r="X381" i="1"/>
  <c r="Y381" i="1"/>
  <c r="Z381" i="1"/>
  <c r="AA381" i="1"/>
  <c r="X382" i="1"/>
  <c r="Y382" i="1"/>
  <c r="Z382" i="1"/>
  <c r="AA382" i="1"/>
  <c r="X383" i="1"/>
  <c r="Y383" i="1"/>
  <c r="Z383" i="1"/>
  <c r="AA383" i="1"/>
  <c r="X384" i="1"/>
  <c r="Y384" i="1"/>
  <c r="Z384" i="1"/>
  <c r="AA384" i="1"/>
  <c r="X385" i="1"/>
  <c r="Y385" i="1"/>
  <c r="Z385" i="1"/>
  <c r="AA385" i="1"/>
  <c r="X386" i="1"/>
  <c r="Y386" i="1"/>
  <c r="Z386" i="1"/>
  <c r="AA386" i="1"/>
  <c r="X387" i="1"/>
  <c r="Y387" i="1"/>
  <c r="Z387" i="1"/>
  <c r="AA387" i="1"/>
  <c r="X388" i="1"/>
  <c r="Y388" i="1"/>
  <c r="Z388" i="1"/>
  <c r="AA388" i="1"/>
  <c r="X389" i="1"/>
  <c r="Y389" i="1"/>
  <c r="Z389" i="1"/>
  <c r="AA389" i="1"/>
  <c r="X390" i="1"/>
  <c r="Y390" i="1"/>
  <c r="Z390" i="1"/>
  <c r="AA390" i="1"/>
  <c r="X391" i="1"/>
  <c r="Y391" i="1"/>
  <c r="Z391" i="1"/>
  <c r="AA391" i="1"/>
  <c r="X392" i="1"/>
  <c r="Y392" i="1"/>
  <c r="Z392" i="1"/>
  <c r="AA392" i="1"/>
  <c r="X393" i="1"/>
  <c r="Y393" i="1"/>
  <c r="Z393" i="1"/>
  <c r="AA393" i="1"/>
  <c r="X394" i="1"/>
  <c r="Y394" i="1"/>
  <c r="Z394" i="1"/>
  <c r="AA394" i="1"/>
  <c r="X395" i="1"/>
  <c r="Y395" i="1"/>
  <c r="Z395" i="1"/>
  <c r="AA395" i="1"/>
  <c r="X396" i="1"/>
  <c r="Y396" i="1"/>
  <c r="Z396" i="1"/>
  <c r="AA396" i="1"/>
  <c r="X397" i="1"/>
  <c r="Y397" i="1"/>
  <c r="Z397" i="1"/>
  <c r="AA397" i="1"/>
  <c r="X398" i="1"/>
  <c r="Y398" i="1"/>
  <c r="Z398" i="1"/>
  <c r="AA398" i="1"/>
  <c r="X399" i="1"/>
  <c r="Y399" i="1"/>
  <c r="Z399" i="1"/>
  <c r="AA399" i="1"/>
  <c r="X400" i="1"/>
  <c r="Y400" i="1"/>
  <c r="Z400" i="1"/>
  <c r="AA400" i="1"/>
  <c r="X401" i="1"/>
  <c r="Y401" i="1"/>
  <c r="Z401" i="1"/>
  <c r="AA401" i="1"/>
  <c r="X402" i="1"/>
  <c r="Y402" i="1"/>
  <c r="Z402" i="1"/>
  <c r="AA402" i="1"/>
  <c r="X403" i="1"/>
  <c r="Y403" i="1"/>
  <c r="Z403" i="1"/>
  <c r="AA403" i="1"/>
  <c r="X404" i="1"/>
  <c r="Y404" i="1"/>
  <c r="Z404" i="1"/>
  <c r="AA404" i="1"/>
  <c r="X405" i="1"/>
  <c r="Y405" i="1"/>
  <c r="Z405" i="1"/>
  <c r="AA405" i="1"/>
  <c r="X406" i="1"/>
  <c r="Y406" i="1"/>
  <c r="Z406" i="1"/>
  <c r="AA406" i="1"/>
  <c r="X407" i="1"/>
  <c r="Y407" i="1"/>
  <c r="Z407" i="1"/>
  <c r="AA407" i="1"/>
  <c r="X408" i="1"/>
  <c r="Y408" i="1"/>
  <c r="Z408" i="1"/>
  <c r="AA408" i="1"/>
  <c r="X409" i="1"/>
  <c r="Y409" i="1"/>
  <c r="Z409" i="1"/>
  <c r="AA409" i="1"/>
  <c r="X410" i="1"/>
  <c r="Y410" i="1"/>
  <c r="Z410" i="1"/>
  <c r="AA410" i="1"/>
  <c r="X411" i="1"/>
  <c r="Y411" i="1"/>
  <c r="Z411" i="1"/>
  <c r="AA411" i="1"/>
  <c r="X412" i="1"/>
  <c r="Y412" i="1"/>
  <c r="Z412" i="1"/>
  <c r="AA412" i="1"/>
  <c r="X413" i="1"/>
  <c r="Y413" i="1"/>
  <c r="Z413" i="1"/>
  <c r="AA413" i="1"/>
  <c r="X414" i="1"/>
  <c r="Y414" i="1"/>
  <c r="Z414" i="1"/>
  <c r="AA414" i="1"/>
  <c r="X415" i="1"/>
  <c r="Y415" i="1"/>
  <c r="Z415" i="1"/>
  <c r="AA415" i="1"/>
  <c r="X416" i="1"/>
  <c r="Y416" i="1"/>
  <c r="Z416" i="1"/>
  <c r="AA416" i="1"/>
  <c r="X417" i="1"/>
  <c r="Y417" i="1"/>
  <c r="Z417" i="1"/>
  <c r="AA417" i="1"/>
  <c r="X418" i="1"/>
  <c r="Y418" i="1"/>
  <c r="Z418" i="1"/>
  <c r="AA418" i="1"/>
  <c r="X419" i="1"/>
  <c r="Y419" i="1"/>
  <c r="Z419" i="1"/>
  <c r="AA419" i="1"/>
  <c r="X420" i="1"/>
  <c r="Y420" i="1"/>
  <c r="Z420" i="1"/>
  <c r="AA420" i="1"/>
  <c r="X421" i="1"/>
  <c r="Y421" i="1"/>
  <c r="Z421" i="1"/>
  <c r="AA421" i="1"/>
  <c r="X422" i="1"/>
  <c r="Y422" i="1"/>
  <c r="Z422" i="1"/>
  <c r="AA422" i="1"/>
  <c r="X423" i="1"/>
  <c r="Y423" i="1"/>
  <c r="Z423" i="1"/>
  <c r="AA423" i="1"/>
  <c r="X424" i="1"/>
  <c r="Y424" i="1"/>
  <c r="Z424" i="1"/>
  <c r="AA424" i="1"/>
  <c r="X425" i="1"/>
  <c r="Y425" i="1"/>
  <c r="Z425" i="1"/>
  <c r="AA425" i="1"/>
  <c r="X426" i="1"/>
  <c r="Y426" i="1"/>
  <c r="Z426" i="1"/>
  <c r="AA426" i="1"/>
  <c r="X427" i="1"/>
  <c r="Y427" i="1"/>
  <c r="Z427" i="1"/>
  <c r="AA427" i="1"/>
  <c r="X428" i="1"/>
  <c r="Y428" i="1"/>
  <c r="Z428" i="1"/>
  <c r="AA428" i="1"/>
  <c r="X429" i="1"/>
  <c r="Y429" i="1"/>
  <c r="Z429" i="1"/>
  <c r="AA429" i="1"/>
  <c r="X430" i="1"/>
  <c r="Y430" i="1"/>
  <c r="Z430" i="1"/>
  <c r="AA430" i="1"/>
  <c r="X431" i="1"/>
  <c r="Y431" i="1"/>
  <c r="Z431" i="1"/>
  <c r="AA431" i="1"/>
  <c r="X432" i="1"/>
  <c r="Y432" i="1"/>
  <c r="Z432" i="1"/>
  <c r="AA432" i="1"/>
  <c r="X433" i="1"/>
  <c r="Y433" i="1"/>
  <c r="Z433" i="1"/>
  <c r="AA433" i="1"/>
  <c r="X434" i="1"/>
  <c r="Y434" i="1"/>
  <c r="Z434" i="1"/>
  <c r="AA434" i="1"/>
  <c r="X435" i="1"/>
  <c r="Y435" i="1"/>
  <c r="Z435" i="1"/>
  <c r="AA435" i="1"/>
  <c r="X436" i="1"/>
  <c r="Y436" i="1"/>
  <c r="Z436" i="1"/>
  <c r="AA436" i="1"/>
  <c r="X437" i="1"/>
  <c r="Y437" i="1"/>
  <c r="Z437" i="1"/>
  <c r="AA437" i="1"/>
  <c r="X438" i="1"/>
  <c r="Y438" i="1"/>
  <c r="Z438" i="1"/>
  <c r="AA438" i="1"/>
  <c r="X439" i="1"/>
  <c r="Y439" i="1"/>
  <c r="Z439" i="1"/>
  <c r="AA439" i="1"/>
  <c r="X440" i="1"/>
  <c r="Y440" i="1"/>
  <c r="Z440" i="1"/>
  <c r="AA440" i="1"/>
  <c r="X441" i="1"/>
  <c r="Y441" i="1"/>
  <c r="Z441" i="1"/>
  <c r="AA441" i="1"/>
  <c r="X442" i="1"/>
  <c r="Y442" i="1"/>
  <c r="Z442" i="1"/>
  <c r="AA442" i="1"/>
  <c r="X443" i="1"/>
  <c r="Y443" i="1"/>
  <c r="Z443" i="1"/>
  <c r="AA443" i="1"/>
  <c r="X444" i="1"/>
  <c r="Y444" i="1"/>
  <c r="Z444" i="1"/>
  <c r="AA444" i="1"/>
  <c r="X445" i="1"/>
  <c r="Y445" i="1"/>
  <c r="Z445" i="1"/>
  <c r="AA445" i="1"/>
  <c r="X446" i="1"/>
  <c r="Y446" i="1"/>
  <c r="Z446" i="1"/>
  <c r="AA446" i="1"/>
  <c r="X447" i="1"/>
  <c r="Y447" i="1"/>
  <c r="Z447" i="1"/>
  <c r="AA447" i="1"/>
  <c r="X448" i="1"/>
  <c r="Y448" i="1"/>
  <c r="Z448" i="1"/>
  <c r="AA448" i="1"/>
  <c r="X449" i="1"/>
  <c r="Y449" i="1"/>
  <c r="Z449" i="1"/>
  <c r="AA449" i="1"/>
  <c r="X450" i="1"/>
  <c r="Y450" i="1"/>
  <c r="Z450" i="1"/>
  <c r="AA450" i="1"/>
  <c r="X451" i="1"/>
  <c r="Y451" i="1"/>
  <c r="Z451" i="1"/>
  <c r="AA451" i="1"/>
  <c r="X452" i="1"/>
  <c r="Y452" i="1"/>
  <c r="Z452" i="1"/>
  <c r="AA452" i="1"/>
  <c r="X453" i="1"/>
  <c r="Y453" i="1"/>
  <c r="Z453" i="1"/>
  <c r="AA453" i="1"/>
  <c r="X454" i="1"/>
  <c r="Y454" i="1"/>
  <c r="Z454" i="1"/>
  <c r="AA454" i="1"/>
  <c r="X455" i="1"/>
  <c r="Y455" i="1"/>
  <c r="Z455" i="1"/>
  <c r="AA455" i="1"/>
  <c r="X456" i="1"/>
  <c r="Y456" i="1"/>
  <c r="Z456" i="1"/>
  <c r="AA456" i="1"/>
  <c r="X457" i="1"/>
  <c r="Y457" i="1"/>
  <c r="Z457" i="1"/>
  <c r="AA457" i="1"/>
  <c r="X458" i="1"/>
  <c r="Y458" i="1"/>
  <c r="Z458" i="1"/>
  <c r="AA458" i="1"/>
  <c r="X459" i="1"/>
  <c r="Y459" i="1"/>
  <c r="Z459" i="1"/>
  <c r="AA459" i="1"/>
  <c r="X460" i="1"/>
  <c r="Y460" i="1"/>
  <c r="Z460" i="1"/>
  <c r="AA460" i="1"/>
  <c r="X461" i="1"/>
  <c r="Y461" i="1"/>
  <c r="Z461" i="1"/>
  <c r="AA461" i="1"/>
  <c r="X462" i="1"/>
  <c r="Y462" i="1"/>
  <c r="Z462" i="1"/>
  <c r="AA462" i="1"/>
  <c r="X463" i="1"/>
  <c r="Y463" i="1"/>
  <c r="Z463" i="1"/>
  <c r="AA463" i="1"/>
  <c r="X464" i="1"/>
  <c r="Y464" i="1"/>
  <c r="Z464" i="1"/>
  <c r="AA464" i="1"/>
  <c r="X465" i="1"/>
  <c r="Y465" i="1"/>
  <c r="Z465" i="1"/>
  <c r="AA465" i="1"/>
  <c r="X466" i="1"/>
  <c r="Y466" i="1"/>
  <c r="Z466" i="1"/>
  <c r="AA466" i="1"/>
  <c r="X467" i="1"/>
  <c r="Y467" i="1"/>
  <c r="Z467" i="1"/>
  <c r="AA467" i="1"/>
  <c r="X468" i="1"/>
  <c r="Y468" i="1"/>
  <c r="Z468" i="1"/>
  <c r="AA468" i="1"/>
  <c r="X469" i="1"/>
  <c r="Y469" i="1"/>
  <c r="Z469" i="1"/>
  <c r="AA469" i="1"/>
  <c r="X470" i="1"/>
  <c r="Y470" i="1"/>
  <c r="Z470" i="1"/>
  <c r="AA470" i="1"/>
  <c r="X471" i="1"/>
  <c r="Y471" i="1"/>
  <c r="Z471" i="1"/>
  <c r="AA471" i="1"/>
  <c r="X472" i="1"/>
  <c r="Y472" i="1"/>
  <c r="Z472" i="1"/>
  <c r="AA472" i="1"/>
  <c r="X473" i="1"/>
  <c r="Y473" i="1"/>
  <c r="Z473" i="1"/>
  <c r="AA473" i="1"/>
  <c r="X474" i="1"/>
  <c r="Y474" i="1"/>
  <c r="Z474" i="1"/>
  <c r="AA474" i="1"/>
  <c r="X475" i="1"/>
  <c r="Y475" i="1"/>
  <c r="Z475" i="1"/>
  <c r="AA475" i="1"/>
  <c r="X476" i="1"/>
  <c r="Y476" i="1"/>
  <c r="Z476" i="1"/>
  <c r="AA476" i="1"/>
  <c r="X477" i="1"/>
  <c r="Y477" i="1"/>
  <c r="Z477" i="1"/>
  <c r="AA477" i="1"/>
  <c r="X478" i="1"/>
  <c r="Y478" i="1"/>
  <c r="Z478" i="1"/>
  <c r="AA478" i="1"/>
  <c r="X479" i="1"/>
  <c r="Y479" i="1"/>
  <c r="Z479" i="1"/>
  <c r="AA479" i="1"/>
  <c r="X480" i="1"/>
  <c r="Y480" i="1"/>
  <c r="Z480" i="1"/>
  <c r="AA480" i="1"/>
  <c r="X481" i="1"/>
  <c r="Y481" i="1"/>
  <c r="Z481" i="1"/>
  <c r="AA481" i="1"/>
  <c r="X482" i="1"/>
  <c r="Y482" i="1"/>
  <c r="Z482" i="1"/>
  <c r="AA482" i="1"/>
  <c r="X483" i="1"/>
  <c r="Y483" i="1"/>
  <c r="Z483" i="1"/>
  <c r="AA483" i="1"/>
  <c r="X484" i="1"/>
  <c r="Y484" i="1"/>
  <c r="Z484" i="1"/>
  <c r="AA484" i="1"/>
  <c r="X485" i="1"/>
  <c r="Y485" i="1"/>
  <c r="Z485" i="1"/>
  <c r="AA485" i="1"/>
  <c r="X486" i="1"/>
  <c r="Y486" i="1"/>
  <c r="Z486" i="1"/>
  <c r="AA486" i="1"/>
  <c r="X487" i="1"/>
  <c r="Y487" i="1"/>
  <c r="Z487" i="1"/>
  <c r="AA487" i="1"/>
  <c r="X488" i="1"/>
  <c r="Y488" i="1"/>
  <c r="Z488" i="1"/>
  <c r="AA488" i="1"/>
  <c r="X489" i="1"/>
  <c r="Y489" i="1"/>
  <c r="Z489" i="1"/>
  <c r="AA489" i="1"/>
  <c r="X490" i="1"/>
  <c r="Y490" i="1"/>
  <c r="Z490" i="1"/>
  <c r="AA490" i="1"/>
  <c r="X491" i="1"/>
  <c r="Y491" i="1"/>
  <c r="Z491" i="1"/>
  <c r="AA491" i="1"/>
  <c r="X492" i="1"/>
  <c r="Y492" i="1"/>
  <c r="Z492" i="1"/>
  <c r="AA492" i="1"/>
  <c r="X493" i="1"/>
  <c r="Y493" i="1"/>
  <c r="Z493" i="1"/>
  <c r="AA493" i="1"/>
  <c r="X494" i="1"/>
  <c r="Y494" i="1"/>
  <c r="Z494" i="1"/>
  <c r="AA494" i="1"/>
  <c r="X495" i="1"/>
  <c r="Y495" i="1"/>
  <c r="Z495" i="1"/>
  <c r="AA495" i="1"/>
  <c r="X496" i="1"/>
  <c r="Y496" i="1"/>
  <c r="Z496" i="1"/>
  <c r="AA496" i="1"/>
  <c r="X497" i="1"/>
  <c r="Y497" i="1"/>
  <c r="Z497" i="1"/>
  <c r="AA497" i="1"/>
  <c r="X498" i="1"/>
  <c r="Y498" i="1"/>
  <c r="Z498" i="1"/>
  <c r="AA498" i="1"/>
  <c r="X499" i="1"/>
  <c r="Y499" i="1"/>
  <c r="Z499" i="1"/>
  <c r="AA499" i="1"/>
  <c r="X500" i="1"/>
  <c r="Y500" i="1"/>
  <c r="Z500" i="1"/>
  <c r="AA500" i="1"/>
  <c r="X501" i="1"/>
  <c r="Y501" i="1"/>
  <c r="Z501" i="1"/>
  <c r="AA501" i="1"/>
  <c r="X502" i="1"/>
  <c r="Y502" i="1"/>
  <c r="Z502" i="1"/>
  <c r="AA502" i="1"/>
  <c r="X503" i="1"/>
  <c r="Y503" i="1"/>
  <c r="Z503" i="1"/>
  <c r="AA503" i="1"/>
  <c r="X504" i="1"/>
  <c r="Y504" i="1"/>
  <c r="Z504" i="1"/>
  <c r="AA504" i="1"/>
  <c r="X505" i="1"/>
  <c r="Y505" i="1"/>
  <c r="Z505" i="1"/>
  <c r="AA505" i="1"/>
  <c r="X506" i="1"/>
  <c r="Y506" i="1"/>
  <c r="Z506" i="1"/>
  <c r="AA506" i="1"/>
  <c r="X507" i="1"/>
  <c r="Y507" i="1"/>
  <c r="Z507" i="1"/>
  <c r="AA507" i="1"/>
  <c r="X508" i="1"/>
  <c r="Y508" i="1"/>
  <c r="Z508" i="1"/>
  <c r="AA508" i="1"/>
  <c r="X509" i="1"/>
  <c r="Y509" i="1"/>
  <c r="Z509" i="1"/>
  <c r="AA509" i="1"/>
  <c r="X510" i="1"/>
  <c r="Y510" i="1"/>
  <c r="Z510" i="1"/>
  <c r="AA510" i="1"/>
  <c r="X511" i="1"/>
  <c r="Y511" i="1"/>
  <c r="Z511" i="1"/>
  <c r="AA511" i="1"/>
  <c r="X512" i="1"/>
  <c r="Y512" i="1"/>
  <c r="Z512" i="1"/>
  <c r="AA512" i="1"/>
  <c r="X513" i="1"/>
  <c r="Y513" i="1"/>
  <c r="Z513" i="1"/>
  <c r="AA513" i="1"/>
  <c r="X514" i="1"/>
  <c r="Y514" i="1"/>
  <c r="Z514" i="1"/>
  <c r="AA514" i="1"/>
  <c r="X515" i="1"/>
  <c r="Y515" i="1"/>
  <c r="Z515" i="1"/>
  <c r="AA515" i="1"/>
  <c r="X516" i="1"/>
  <c r="Y516" i="1"/>
  <c r="Z516" i="1"/>
  <c r="AA516" i="1"/>
  <c r="X517" i="1"/>
  <c r="Y517" i="1"/>
  <c r="Z517" i="1"/>
  <c r="AA517" i="1"/>
  <c r="X518" i="1"/>
  <c r="Y518" i="1"/>
  <c r="Z518" i="1"/>
  <c r="AA518" i="1"/>
  <c r="X519" i="1"/>
  <c r="Y519" i="1"/>
  <c r="Z519" i="1"/>
  <c r="AA519" i="1"/>
  <c r="X520" i="1"/>
  <c r="Y520" i="1"/>
  <c r="Z520" i="1"/>
  <c r="AA520" i="1"/>
  <c r="X521" i="1"/>
  <c r="Y521" i="1"/>
  <c r="Z521" i="1"/>
  <c r="AA521" i="1"/>
  <c r="X522" i="1"/>
  <c r="Y522" i="1"/>
  <c r="Z522" i="1"/>
  <c r="AA522" i="1"/>
  <c r="X523" i="1"/>
  <c r="Y523" i="1"/>
  <c r="Z523" i="1"/>
  <c r="AA523" i="1"/>
  <c r="X524" i="1"/>
  <c r="Y524" i="1"/>
  <c r="Z524" i="1"/>
  <c r="AA524" i="1"/>
  <c r="X525" i="1"/>
  <c r="Y525" i="1"/>
  <c r="Z525" i="1"/>
  <c r="AA525" i="1"/>
  <c r="X526" i="1"/>
  <c r="Y526" i="1"/>
  <c r="Z526" i="1"/>
  <c r="AA526" i="1"/>
  <c r="X527" i="1"/>
  <c r="Y527" i="1"/>
  <c r="Z527" i="1"/>
  <c r="AA527" i="1"/>
  <c r="X528" i="1"/>
  <c r="Y528" i="1"/>
  <c r="Z528" i="1"/>
  <c r="AA528" i="1"/>
  <c r="X529" i="1"/>
  <c r="Y529" i="1"/>
  <c r="Z529" i="1"/>
  <c r="AA529" i="1"/>
  <c r="X530" i="1"/>
  <c r="Y530" i="1"/>
  <c r="Z530" i="1"/>
  <c r="AA530" i="1"/>
  <c r="X531" i="1"/>
  <c r="Y531" i="1"/>
  <c r="Z531" i="1"/>
  <c r="AA531" i="1"/>
  <c r="X532" i="1"/>
  <c r="Y532" i="1"/>
  <c r="Z532" i="1"/>
  <c r="AA532" i="1"/>
  <c r="X533" i="1"/>
  <c r="Y533" i="1"/>
  <c r="Z533" i="1"/>
  <c r="AA533" i="1"/>
  <c r="X534" i="1"/>
  <c r="Y534" i="1"/>
  <c r="Z534" i="1"/>
  <c r="AA534" i="1"/>
  <c r="X535" i="1"/>
  <c r="Y535" i="1"/>
  <c r="Z535" i="1"/>
  <c r="AA535" i="1"/>
  <c r="X536" i="1"/>
  <c r="Y536" i="1"/>
  <c r="Z536" i="1"/>
  <c r="AA536" i="1"/>
  <c r="X537" i="1"/>
  <c r="Y537" i="1"/>
  <c r="Z537" i="1"/>
  <c r="AA537" i="1"/>
  <c r="X538" i="1"/>
  <c r="Y538" i="1"/>
  <c r="Z538" i="1"/>
  <c r="AA538" i="1"/>
  <c r="X539" i="1"/>
  <c r="Y539" i="1"/>
  <c r="Z539" i="1"/>
  <c r="AA539" i="1"/>
  <c r="X540" i="1"/>
  <c r="Y540" i="1"/>
  <c r="Z540" i="1"/>
  <c r="AA540" i="1"/>
  <c r="X541" i="1"/>
  <c r="Y541" i="1"/>
  <c r="Z541" i="1"/>
  <c r="AA541" i="1"/>
  <c r="X542" i="1"/>
  <c r="Y542" i="1"/>
  <c r="Z542" i="1"/>
  <c r="AA542" i="1"/>
  <c r="X543" i="1"/>
  <c r="Y543" i="1"/>
  <c r="Z543" i="1"/>
  <c r="AA543" i="1"/>
  <c r="X544" i="1"/>
  <c r="Y544" i="1"/>
  <c r="Z544" i="1"/>
  <c r="AA544" i="1"/>
  <c r="X545" i="1"/>
  <c r="Y545" i="1"/>
  <c r="Z545" i="1"/>
  <c r="AA545" i="1"/>
  <c r="X546" i="1"/>
  <c r="Y546" i="1"/>
  <c r="Z546" i="1"/>
  <c r="AA546" i="1"/>
  <c r="X547" i="1"/>
  <c r="Y547" i="1"/>
  <c r="Z547" i="1"/>
  <c r="AA547" i="1"/>
  <c r="X548" i="1"/>
  <c r="Y548" i="1"/>
  <c r="Z548" i="1"/>
  <c r="AA548" i="1"/>
  <c r="X549" i="1"/>
  <c r="Y549" i="1"/>
  <c r="Z549" i="1"/>
  <c r="AA549" i="1"/>
  <c r="X550" i="1"/>
  <c r="Y550" i="1"/>
  <c r="Z550" i="1"/>
  <c r="AA550" i="1"/>
  <c r="X551" i="1"/>
  <c r="Y551" i="1"/>
  <c r="Z551" i="1"/>
  <c r="AA551" i="1"/>
  <c r="X552" i="1"/>
  <c r="Y552" i="1"/>
  <c r="Z552" i="1"/>
  <c r="AA552" i="1"/>
  <c r="X553" i="1"/>
  <c r="Y553" i="1"/>
  <c r="Z553" i="1"/>
  <c r="AA553" i="1"/>
  <c r="X554" i="1"/>
  <c r="Y554" i="1"/>
  <c r="Z554" i="1"/>
  <c r="AA554" i="1"/>
  <c r="X555" i="1"/>
  <c r="Y555" i="1"/>
  <c r="Z555" i="1"/>
  <c r="AA555" i="1"/>
  <c r="X556" i="1"/>
  <c r="Y556" i="1"/>
  <c r="Z556" i="1"/>
  <c r="AA556" i="1"/>
  <c r="X557" i="1"/>
  <c r="Y557" i="1"/>
  <c r="Z557" i="1"/>
  <c r="AA557" i="1"/>
  <c r="X558" i="1"/>
  <c r="Y558" i="1"/>
  <c r="Z558" i="1"/>
  <c r="AA558" i="1"/>
  <c r="X559" i="1"/>
  <c r="Y559" i="1"/>
  <c r="Z559" i="1"/>
  <c r="AA559" i="1"/>
  <c r="X560" i="1"/>
  <c r="Y560" i="1"/>
  <c r="Z560" i="1"/>
  <c r="AA560" i="1"/>
  <c r="X561" i="1"/>
  <c r="Y561" i="1"/>
  <c r="Z561" i="1"/>
  <c r="AA561" i="1"/>
  <c r="X562" i="1"/>
  <c r="Y562" i="1"/>
  <c r="Z562" i="1"/>
  <c r="AA562" i="1"/>
  <c r="X563" i="1"/>
  <c r="Y563" i="1"/>
  <c r="Z563" i="1"/>
  <c r="AA563" i="1"/>
  <c r="X564" i="1"/>
  <c r="Y564" i="1"/>
  <c r="Z564" i="1"/>
  <c r="AA564" i="1"/>
  <c r="X565" i="1"/>
  <c r="Y565" i="1"/>
  <c r="Z565" i="1"/>
  <c r="AA565" i="1"/>
  <c r="X566" i="1"/>
  <c r="Y566" i="1"/>
  <c r="Z566" i="1"/>
  <c r="AA566" i="1"/>
  <c r="X567" i="1"/>
  <c r="Y567" i="1"/>
  <c r="Z567" i="1"/>
  <c r="AA567" i="1"/>
  <c r="X568" i="1"/>
  <c r="Y568" i="1"/>
  <c r="Z568" i="1"/>
  <c r="AA568" i="1"/>
  <c r="X569" i="1"/>
  <c r="Y569" i="1"/>
  <c r="Z569" i="1"/>
  <c r="AA569" i="1"/>
  <c r="X570" i="1"/>
  <c r="Y570" i="1"/>
  <c r="Z570" i="1"/>
  <c r="AA570" i="1"/>
  <c r="X571" i="1"/>
  <c r="Y571" i="1"/>
  <c r="Z571" i="1"/>
  <c r="AA571" i="1"/>
  <c r="X572" i="1"/>
  <c r="Y572" i="1"/>
  <c r="Z572" i="1"/>
  <c r="AA572" i="1"/>
  <c r="X573" i="1"/>
  <c r="Y573" i="1"/>
  <c r="Z573" i="1"/>
  <c r="AA573" i="1"/>
  <c r="X574" i="1"/>
  <c r="Y574" i="1"/>
  <c r="Z574" i="1"/>
  <c r="AA574" i="1"/>
  <c r="X575" i="1"/>
  <c r="Y575" i="1"/>
  <c r="Z575" i="1"/>
  <c r="AA575" i="1"/>
  <c r="X576" i="1"/>
  <c r="Y576" i="1"/>
  <c r="Z576" i="1"/>
  <c r="AA576" i="1"/>
  <c r="X577" i="1"/>
  <c r="Y577" i="1"/>
  <c r="Z577" i="1"/>
  <c r="AA577" i="1"/>
  <c r="X578" i="1"/>
  <c r="Y578" i="1"/>
  <c r="Z578" i="1"/>
  <c r="AA578" i="1"/>
  <c r="X579" i="1"/>
  <c r="Y579" i="1"/>
  <c r="Z579" i="1"/>
  <c r="AA579" i="1"/>
  <c r="X580" i="1"/>
  <c r="Y580" i="1"/>
  <c r="Z580" i="1"/>
  <c r="AA580" i="1"/>
  <c r="X581" i="1"/>
  <c r="Y581" i="1"/>
  <c r="Z581" i="1"/>
  <c r="AA581" i="1"/>
  <c r="X582" i="1"/>
  <c r="Y582" i="1"/>
  <c r="Z582" i="1"/>
  <c r="AA582" i="1"/>
  <c r="X583" i="1"/>
  <c r="Y583" i="1"/>
  <c r="Z583" i="1"/>
  <c r="AA583" i="1"/>
  <c r="X584" i="1"/>
  <c r="Y584" i="1"/>
  <c r="Z584" i="1"/>
  <c r="AA584" i="1"/>
  <c r="X585" i="1"/>
  <c r="Y585" i="1"/>
  <c r="Z585" i="1"/>
  <c r="AA585" i="1"/>
  <c r="X586" i="1"/>
  <c r="Y586" i="1"/>
  <c r="Z586" i="1"/>
  <c r="AA586" i="1"/>
  <c r="X587" i="1"/>
  <c r="Y587" i="1"/>
  <c r="Z587" i="1"/>
  <c r="AA587" i="1"/>
  <c r="X588" i="1"/>
  <c r="Y588" i="1"/>
  <c r="Z588" i="1"/>
  <c r="AA588" i="1"/>
  <c r="X589" i="1"/>
  <c r="Y589" i="1"/>
  <c r="Z589" i="1"/>
  <c r="AA589" i="1"/>
  <c r="X590" i="1"/>
  <c r="Y590" i="1"/>
  <c r="Z590" i="1"/>
  <c r="AA590" i="1"/>
  <c r="X591" i="1"/>
  <c r="Y591" i="1"/>
  <c r="Z591" i="1"/>
  <c r="AA591" i="1"/>
  <c r="X592" i="1"/>
  <c r="Y592" i="1"/>
  <c r="Z592" i="1"/>
  <c r="AA592" i="1"/>
  <c r="X593" i="1"/>
  <c r="Y593" i="1"/>
  <c r="Z593" i="1"/>
  <c r="AA593" i="1"/>
  <c r="X594" i="1"/>
  <c r="Y594" i="1"/>
  <c r="Z594" i="1"/>
  <c r="AA594" i="1"/>
  <c r="X595" i="1"/>
  <c r="Y595" i="1"/>
  <c r="Z595" i="1"/>
  <c r="AA595" i="1"/>
  <c r="X596" i="1"/>
  <c r="Y596" i="1"/>
  <c r="Z596" i="1"/>
  <c r="AA596" i="1"/>
  <c r="X597" i="1"/>
  <c r="Y597" i="1"/>
  <c r="Z597" i="1"/>
  <c r="AA597" i="1"/>
  <c r="X598" i="1"/>
  <c r="Y598" i="1"/>
  <c r="Z598" i="1"/>
  <c r="AA598" i="1"/>
  <c r="X599" i="1"/>
  <c r="Y599" i="1"/>
  <c r="Z599" i="1"/>
  <c r="AA599" i="1"/>
  <c r="X600" i="1"/>
  <c r="Y600" i="1"/>
  <c r="Z600" i="1"/>
  <c r="AA600" i="1"/>
  <c r="X601" i="1"/>
  <c r="Y601" i="1"/>
  <c r="Z601" i="1"/>
  <c r="AA601" i="1"/>
  <c r="X602" i="1"/>
  <c r="Y602" i="1"/>
  <c r="Z602" i="1"/>
  <c r="AA602" i="1"/>
  <c r="X603" i="1"/>
  <c r="Y603" i="1"/>
  <c r="Z603" i="1"/>
  <c r="AA603" i="1"/>
  <c r="X604" i="1"/>
  <c r="Y604" i="1"/>
  <c r="Z604" i="1"/>
  <c r="AA604" i="1"/>
  <c r="X605" i="1"/>
  <c r="Y605" i="1"/>
  <c r="Z605" i="1"/>
  <c r="AA605" i="1"/>
  <c r="X606" i="1"/>
  <c r="Y606" i="1"/>
  <c r="Z606" i="1"/>
  <c r="AA606" i="1"/>
  <c r="X607" i="1"/>
  <c r="Y607" i="1"/>
  <c r="Z607" i="1"/>
  <c r="AA607" i="1"/>
  <c r="X608" i="1"/>
  <c r="Y608" i="1"/>
  <c r="Z608" i="1"/>
  <c r="AA608" i="1"/>
  <c r="X609" i="1"/>
  <c r="Y609" i="1"/>
  <c r="Z609" i="1"/>
  <c r="AA609" i="1"/>
  <c r="X610" i="1"/>
  <c r="Y610" i="1"/>
  <c r="Z610" i="1"/>
  <c r="AA610" i="1"/>
  <c r="X611" i="1"/>
  <c r="Y611" i="1"/>
  <c r="Z611" i="1"/>
  <c r="AA611" i="1"/>
  <c r="X612" i="1"/>
  <c r="Y612" i="1"/>
  <c r="Z612" i="1"/>
  <c r="AA612" i="1"/>
  <c r="X613" i="1"/>
  <c r="Y613" i="1"/>
  <c r="Z613" i="1"/>
  <c r="AA613" i="1"/>
  <c r="X614" i="1"/>
  <c r="Y614" i="1"/>
  <c r="Z614" i="1"/>
  <c r="AA614" i="1"/>
  <c r="X615" i="1"/>
  <c r="Y615" i="1"/>
  <c r="Z615" i="1"/>
  <c r="AA615" i="1"/>
  <c r="X616" i="1"/>
  <c r="Y616" i="1"/>
  <c r="Z616" i="1"/>
  <c r="AA616" i="1"/>
  <c r="X617" i="1"/>
  <c r="Y617" i="1"/>
  <c r="Z617" i="1"/>
  <c r="AA617" i="1"/>
  <c r="X618" i="1"/>
  <c r="Y618" i="1"/>
  <c r="Z618" i="1"/>
  <c r="AA618" i="1"/>
  <c r="X619" i="1"/>
  <c r="Y619" i="1"/>
  <c r="Z619" i="1"/>
  <c r="AA619" i="1"/>
  <c r="X620" i="1"/>
  <c r="Y620" i="1"/>
  <c r="Z620" i="1"/>
  <c r="AA620" i="1"/>
  <c r="X621" i="1"/>
  <c r="Y621" i="1"/>
  <c r="Z621" i="1"/>
  <c r="AA621" i="1"/>
  <c r="X622" i="1"/>
  <c r="Y622" i="1"/>
  <c r="Z622" i="1"/>
  <c r="AA622" i="1"/>
  <c r="X623" i="1"/>
  <c r="Y623" i="1"/>
  <c r="Z623" i="1"/>
  <c r="AA623" i="1"/>
  <c r="X624" i="1"/>
  <c r="Y624" i="1"/>
  <c r="Z624" i="1"/>
  <c r="AA624" i="1"/>
  <c r="X625" i="1"/>
  <c r="Y625" i="1"/>
  <c r="Z625" i="1"/>
  <c r="AA625" i="1"/>
  <c r="X626" i="1"/>
  <c r="Y626" i="1"/>
  <c r="Z626" i="1"/>
  <c r="AA626" i="1"/>
  <c r="X627" i="1"/>
  <c r="Y627" i="1"/>
  <c r="Z627" i="1"/>
  <c r="AA627" i="1"/>
  <c r="X628" i="1"/>
  <c r="Y628" i="1"/>
  <c r="Z628" i="1"/>
  <c r="AA628" i="1"/>
  <c r="X629" i="1"/>
  <c r="Y629" i="1"/>
  <c r="Z629" i="1"/>
  <c r="AA629" i="1"/>
  <c r="X630" i="1"/>
  <c r="Y630" i="1"/>
  <c r="Z630" i="1"/>
  <c r="AA630" i="1"/>
  <c r="X631" i="1"/>
  <c r="Y631" i="1"/>
  <c r="Z631" i="1"/>
  <c r="AA631" i="1"/>
  <c r="X632" i="1"/>
  <c r="Y632" i="1"/>
  <c r="Z632" i="1"/>
  <c r="AA632" i="1"/>
  <c r="X633" i="1"/>
  <c r="Y633" i="1"/>
  <c r="Z633" i="1"/>
  <c r="AA633" i="1"/>
  <c r="X634" i="1"/>
  <c r="Y634" i="1"/>
  <c r="Z634" i="1"/>
  <c r="AA634" i="1"/>
  <c r="X635" i="1"/>
  <c r="Y635" i="1"/>
  <c r="Z635" i="1"/>
  <c r="AA635" i="1"/>
  <c r="X636" i="1"/>
  <c r="Y636" i="1"/>
  <c r="Z636" i="1"/>
  <c r="AA636" i="1"/>
  <c r="X637" i="1"/>
  <c r="Y637" i="1"/>
  <c r="Z637" i="1"/>
  <c r="AA637" i="1"/>
  <c r="X638" i="1"/>
  <c r="Y638" i="1"/>
  <c r="Z638" i="1"/>
  <c r="AA638" i="1"/>
  <c r="X639" i="1"/>
  <c r="Y639" i="1"/>
  <c r="Z639" i="1"/>
  <c r="AA639" i="1"/>
  <c r="X640" i="1"/>
  <c r="Y640" i="1"/>
  <c r="Z640" i="1"/>
  <c r="AA640" i="1"/>
  <c r="X641" i="1"/>
  <c r="Y641" i="1"/>
  <c r="Z641" i="1"/>
  <c r="AA641" i="1"/>
  <c r="X642" i="1"/>
  <c r="Y642" i="1"/>
  <c r="Z642" i="1"/>
  <c r="AA642" i="1"/>
  <c r="X643" i="1"/>
  <c r="Y643" i="1"/>
  <c r="Z643" i="1"/>
  <c r="AA643" i="1"/>
  <c r="X644" i="1"/>
  <c r="Y644" i="1"/>
  <c r="Z644" i="1"/>
  <c r="AA644" i="1"/>
  <c r="X645" i="1"/>
  <c r="Y645" i="1"/>
  <c r="Z645" i="1"/>
  <c r="AA645" i="1"/>
  <c r="X646" i="1"/>
  <c r="Y646" i="1"/>
  <c r="Z646" i="1"/>
  <c r="AA646" i="1"/>
  <c r="X647" i="1"/>
  <c r="Y647" i="1"/>
  <c r="Z647" i="1"/>
  <c r="AA647" i="1"/>
  <c r="X648" i="1"/>
  <c r="Y648" i="1"/>
  <c r="Z648" i="1"/>
  <c r="AA648" i="1"/>
  <c r="X649" i="1"/>
  <c r="Y649" i="1"/>
  <c r="Z649" i="1"/>
  <c r="AA649" i="1"/>
  <c r="X650" i="1"/>
  <c r="Y650" i="1"/>
  <c r="Z650" i="1"/>
  <c r="AA650" i="1"/>
  <c r="X651" i="1"/>
  <c r="Y651" i="1"/>
  <c r="Z651" i="1"/>
  <c r="AA651" i="1"/>
  <c r="X652" i="1"/>
  <c r="Y652" i="1"/>
  <c r="Z652" i="1"/>
  <c r="AA652" i="1"/>
  <c r="X653" i="1"/>
  <c r="Y653" i="1"/>
  <c r="Z653" i="1"/>
  <c r="AA653" i="1"/>
  <c r="X654" i="1"/>
  <c r="Y654" i="1"/>
  <c r="Z654" i="1"/>
  <c r="AA654" i="1"/>
  <c r="X655" i="1"/>
  <c r="Y655" i="1"/>
  <c r="Z655" i="1"/>
  <c r="AA655" i="1"/>
  <c r="X656" i="1"/>
  <c r="Y656" i="1"/>
  <c r="Z656" i="1"/>
  <c r="AA656" i="1"/>
  <c r="X657" i="1"/>
  <c r="Y657" i="1"/>
  <c r="Z657" i="1"/>
  <c r="AA657" i="1"/>
  <c r="X658" i="1"/>
  <c r="Y658" i="1"/>
  <c r="Z658" i="1"/>
  <c r="AA658" i="1"/>
  <c r="X659" i="1"/>
  <c r="Y659" i="1"/>
  <c r="Z659" i="1"/>
  <c r="AA659" i="1"/>
  <c r="X660" i="1"/>
  <c r="Y660" i="1"/>
  <c r="Z660" i="1"/>
  <c r="AA660" i="1"/>
  <c r="X661" i="1"/>
  <c r="Y661" i="1"/>
  <c r="Z661" i="1"/>
  <c r="AA661" i="1"/>
  <c r="X662" i="1"/>
  <c r="Y662" i="1"/>
  <c r="Z662" i="1"/>
  <c r="AA662" i="1"/>
  <c r="X663" i="1"/>
  <c r="Y663" i="1"/>
  <c r="Z663" i="1"/>
  <c r="AA663" i="1"/>
  <c r="X664" i="1"/>
  <c r="Y664" i="1"/>
  <c r="Z664" i="1"/>
  <c r="AA664" i="1"/>
  <c r="X665" i="1"/>
  <c r="Y665" i="1"/>
  <c r="Z665" i="1"/>
  <c r="AA665" i="1"/>
  <c r="X666" i="1"/>
  <c r="Y666" i="1"/>
  <c r="Z666" i="1"/>
  <c r="AA666" i="1"/>
  <c r="X667" i="1"/>
  <c r="Y667" i="1"/>
  <c r="Z667" i="1"/>
  <c r="AA667" i="1"/>
  <c r="X668" i="1"/>
  <c r="Y668" i="1"/>
  <c r="Z668" i="1"/>
  <c r="AA668" i="1"/>
  <c r="X669" i="1"/>
  <c r="Y669" i="1"/>
  <c r="Z669" i="1"/>
  <c r="AA669" i="1"/>
  <c r="X670" i="1"/>
  <c r="Y670" i="1"/>
  <c r="Z670" i="1"/>
  <c r="AA670" i="1"/>
  <c r="X671" i="1"/>
  <c r="Y671" i="1"/>
  <c r="Z671" i="1"/>
  <c r="AA671" i="1"/>
  <c r="X672" i="1"/>
  <c r="Y672" i="1"/>
  <c r="Z672" i="1"/>
  <c r="AA672" i="1"/>
  <c r="X673" i="1"/>
  <c r="Y673" i="1"/>
  <c r="Z673" i="1"/>
  <c r="AA673" i="1"/>
  <c r="X674" i="1"/>
  <c r="Y674" i="1"/>
  <c r="Z674" i="1"/>
  <c r="AA674" i="1"/>
  <c r="X675" i="1"/>
  <c r="Y675" i="1"/>
  <c r="Z675" i="1"/>
  <c r="AA675" i="1"/>
  <c r="X676" i="1"/>
  <c r="Y676" i="1"/>
  <c r="Z676" i="1"/>
  <c r="AA676" i="1"/>
  <c r="X677" i="1"/>
  <c r="Y677" i="1"/>
  <c r="Z677" i="1"/>
  <c r="AA677" i="1"/>
  <c r="X678" i="1"/>
  <c r="Y678" i="1"/>
  <c r="Z678" i="1"/>
  <c r="AA678" i="1"/>
  <c r="X679" i="1"/>
  <c r="Y679" i="1"/>
  <c r="Z679" i="1"/>
  <c r="AA679" i="1"/>
  <c r="X680" i="1"/>
  <c r="Y680" i="1"/>
  <c r="Z680" i="1"/>
  <c r="AA680" i="1"/>
  <c r="X681" i="1"/>
  <c r="Y681" i="1"/>
  <c r="Z681" i="1"/>
  <c r="AA681" i="1"/>
  <c r="X682" i="1"/>
  <c r="Y682" i="1"/>
  <c r="Z682" i="1"/>
  <c r="AA682" i="1"/>
  <c r="X683" i="1"/>
  <c r="Y683" i="1"/>
  <c r="Z683" i="1"/>
  <c r="AA683" i="1"/>
  <c r="X684" i="1"/>
  <c r="Y684" i="1"/>
  <c r="Z684" i="1"/>
  <c r="AA684" i="1"/>
  <c r="X685" i="1"/>
  <c r="Y685" i="1"/>
  <c r="Z685" i="1"/>
  <c r="AA685" i="1"/>
  <c r="X686" i="1"/>
  <c r="Y686" i="1"/>
  <c r="Z686" i="1"/>
  <c r="AA686" i="1"/>
  <c r="X687" i="1"/>
  <c r="Y687" i="1"/>
  <c r="Z687" i="1"/>
  <c r="AA687" i="1"/>
  <c r="X688" i="1"/>
  <c r="Y688" i="1"/>
  <c r="Z688" i="1"/>
  <c r="AA688" i="1"/>
  <c r="X689" i="1"/>
  <c r="Y689" i="1"/>
  <c r="Z689" i="1"/>
  <c r="AA689" i="1"/>
  <c r="X690" i="1"/>
  <c r="Y690" i="1"/>
  <c r="Z690" i="1"/>
  <c r="AA690" i="1"/>
  <c r="X691" i="1"/>
  <c r="Y691" i="1"/>
  <c r="Z691" i="1"/>
  <c r="AA691" i="1"/>
  <c r="X692" i="1"/>
  <c r="Y692" i="1"/>
  <c r="Z692" i="1"/>
  <c r="AA692" i="1"/>
  <c r="X693" i="1"/>
  <c r="Y693" i="1"/>
  <c r="Z693" i="1"/>
  <c r="AA693" i="1"/>
  <c r="X694" i="1"/>
  <c r="Y694" i="1"/>
  <c r="Z694" i="1"/>
  <c r="AA694" i="1"/>
  <c r="X695" i="1"/>
  <c r="Y695" i="1"/>
  <c r="Z695" i="1"/>
  <c r="AA695" i="1"/>
  <c r="X696" i="1"/>
  <c r="Y696" i="1"/>
  <c r="Z696" i="1"/>
  <c r="AA696" i="1"/>
  <c r="X697" i="1"/>
  <c r="Y697" i="1"/>
  <c r="Z697" i="1"/>
  <c r="AA697" i="1"/>
  <c r="X698" i="1"/>
  <c r="Y698" i="1"/>
  <c r="Z698" i="1"/>
  <c r="AA698" i="1"/>
  <c r="X699" i="1"/>
  <c r="Y699" i="1"/>
  <c r="Z699" i="1"/>
  <c r="AA699" i="1"/>
  <c r="X700" i="1"/>
  <c r="Y700" i="1"/>
  <c r="Z700" i="1"/>
  <c r="AA700" i="1"/>
  <c r="X701" i="1"/>
  <c r="Y701" i="1"/>
  <c r="Z701" i="1"/>
  <c r="AA701" i="1"/>
  <c r="X702" i="1"/>
  <c r="Y702" i="1"/>
  <c r="Z702" i="1"/>
  <c r="AA702" i="1"/>
  <c r="X703" i="1"/>
  <c r="Y703" i="1"/>
  <c r="Z703" i="1"/>
  <c r="AA703" i="1"/>
  <c r="X704" i="1"/>
  <c r="Y704" i="1"/>
  <c r="Z704" i="1"/>
  <c r="AA704" i="1"/>
  <c r="X705" i="1"/>
  <c r="Y705" i="1"/>
  <c r="Z705" i="1"/>
  <c r="AA705" i="1"/>
  <c r="X706" i="1"/>
  <c r="Y706" i="1"/>
  <c r="Z706" i="1"/>
  <c r="AA706" i="1"/>
  <c r="X707" i="1"/>
  <c r="Y707" i="1"/>
  <c r="Z707" i="1"/>
  <c r="AA707" i="1"/>
  <c r="X708" i="1"/>
  <c r="Y708" i="1"/>
  <c r="Z708" i="1"/>
  <c r="AA708" i="1"/>
  <c r="X709" i="1"/>
  <c r="Y709" i="1"/>
  <c r="Z709" i="1"/>
  <c r="AA709" i="1"/>
  <c r="X710" i="1"/>
  <c r="Y710" i="1"/>
  <c r="Z710" i="1"/>
  <c r="AA710" i="1"/>
  <c r="X711" i="1"/>
  <c r="Y711" i="1"/>
  <c r="Z711" i="1"/>
  <c r="AA711" i="1"/>
  <c r="X712" i="1"/>
  <c r="Y712" i="1"/>
  <c r="Z712" i="1"/>
  <c r="AA712" i="1"/>
  <c r="X713" i="1"/>
  <c r="Y713" i="1"/>
  <c r="Z713" i="1"/>
  <c r="AA713" i="1"/>
  <c r="X714" i="1"/>
  <c r="Y714" i="1"/>
  <c r="Z714" i="1"/>
  <c r="AA714" i="1"/>
  <c r="X715" i="1"/>
  <c r="Y715" i="1"/>
  <c r="Z715" i="1"/>
  <c r="AA715" i="1"/>
  <c r="X716" i="1"/>
  <c r="Y716" i="1"/>
  <c r="Z716" i="1"/>
  <c r="AA716" i="1"/>
  <c r="X717" i="1"/>
  <c r="Y717" i="1"/>
  <c r="Z717" i="1"/>
  <c r="AA717" i="1"/>
  <c r="X718" i="1"/>
  <c r="Y718" i="1"/>
  <c r="Z718" i="1"/>
  <c r="AA718" i="1"/>
  <c r="X719" i="1"/>
  <c r="Y719" i="1"/>
  <c r="Z719" i="1"/>
  <c r="AA719" i="1"/>
  <c r="X720" i="1"/>
  <c r="Y720" i="1"/>
  <c r="Z720" i="1"/>
  <c r="AA720" i="1"/>
  <c r="X721" i="1"/>
  <c r="Y721" i="1"/>
  <c r="Z721" i="1"/>
  <c r="AA721" i="1"/>
  <c r="X722" i="1"/>
  <c r="Y722" i="1"/>
  <c r="Z722" i="1"/>
  <c r="AA722" i="1"/>
  <c r="X723" i="1"/>
  <c r="Y723" i="1"/>
  <c r="Z723" i="1"/>
  <c r="AA723" i="1"/>
  <c r="X724" i="1"/>
  <c r="Y724" i="1"/>
  <c r="Z724" i="1"/>
  <c r="AA724" i="1"/>
  <c r="X725" i="1"/>
  <c r="Y725" i="1"/>
  <c r="Z725" i="1"/>
  <c r="AA725" i="1"/>
  <c r="X726" i="1"/>
  <c r="Y726" i="1"/>
  <c r="Z726" i="1"/>
  <c r="AA726" i="1"/>
  <c r="X727" i="1"/>
  <c r="Y727" i="1"/>
  <c r="Z727" i="1"/>
  <c r="AA727" i="1"/>
  <c r="X728" i="1"/>
  <c r="Y728" i="1"/>
  <c r="Z728" i="1"/>
  <c r="AA728" i="1"/>
  <c r="X729" i="1"/>
  <c r="Y729" i="1"/>
  <c r="Z729" i="1"/>
  <c r="AA729" i="1"/>
  <c r="X730" i="1"/>
  <c r="Y730" i="1"/>
  <c r="Z730" i="1"/>
  <c r="AA730" i="1"/>
  <c r="X731" i="1"/>
  <c r="Y731" i="1"/>
  <c r="Z731" i="1"/>
  <c r="AA731" i="1"/>
  <c r="X732" i="1"/>
  <c r="Y732" i="1"/>
  <c r="Z732" i="1"/>
  <c r="AA732" i="1"/>
  <c r="X733" i="1"/>
  <c r="Y733" i="1"/>
  <c r="Z733" i="1"/>
  <c r="AA733" i="1"/>
  <c r="X734" i="1"/>
  <c r="Y734" i="1"/>
  <c r="Z734" i="1"/>
  <c r="AA734" i="1"/>
  <c r="X735" i="1"/>
  <c r="Y735" i="1"/>
  <c r="Z735" i="1"/>
  <c r="AA735" i="1"/>
  <c r="X736" i="1"/>
  <c r="Y736" i="1"/>
  <c r="Z736" i="1"/>
  <c r="AA736" i="1"/>
  <c r="X737" i="1"/>
  <c r="Y737" i="1"/>
  <c r="Z737" i="1"/>
  <c r="AA737" i="1"/>
  <c r="X738" i="1"/>
  <c r="Y738" i="1"/>
  <c r="Z738" i="1"/>
  <c r="AA738" i="1"/>
  <c r="X739" i="1"/>
  <c r="Y739" i="1"/>
  <c r="Z739" i="1"/>
  <c r="AA739" i="1"/>
  <c r="X740" i="1"/>
  <c r="Y740" i="1"/>
  <c r="Z740" i="1"/>
  <c r="AA740" i="1"/>
  <c r="X741" i="1"/>
  <c r="Y741" i="1"/>
  <c r="Z741" i="1"/>
  <c r="AA741" i="1"/>
  <c r="X742" i="1"/>
  <c r="Y742" i="1"/>
  <c r="Z742" i="1"/>
  <c r="AA742" i="1"/>
  <c r="X743" i="1"/>
  <c r="Y743" i="1"/>
  <c r="Z743" i="1"/>
  <c r="AA743" i="1"/>
  <c r="X744" i="1"/>
  <c r="Y744" i="1"/>
  <c r="Z744" i="1"/>
  <c r="AA744" i="1"/>
  <c r="X745" i="1"/>
  <c r="Y745" i="1"/>
  <c r="Z745" i="1"/>
  <c r="AA745" i="1"/>
  <c r="X746" i="1"/>
  <c r="Y746" i="1"/>
  <c r="Z746" i="1"/>
  <c r="AA746" i="1"/>
  <c r="X747" i="1"/>
  <c r="Y747" i="1"/>
  <c r="Z747" i="1"/>
  <c r="AA747" i="1"/>
  <c r="X748" i="1"/>
  <c r="Y748" i="1"/>
  <c r="Z748" i="1"/>
  <c r="AA748" i="1"/>
  <c r="X749" i="1"/>
  <c r="Y749" i="1"/>
  <c r="Z749" i="1"/>
  <c r="AA749" i="1"/>
  <c r="X750" i="1"/>
  <c r="Y750" i="1"/>
  <c r="Z750" i="1"/>
  <c r="AA750" i="1"/>
  <c r="X751" i="1"/>
  <c r="Y751" i="1"/>
  <c r="Z751" i="1"/>
  <c r="AA751" i="1"/>
  <c r="X752" i="1"/>
  <c r="Y752" i="1"/>
  <c r="Z752" i="1"/>
  <c r="AA752" i="1"/>
  <c r="X753" i="1"/>
  <c r="Y753" i="1"/>
  <c r="Z753" i="1"/>
  <c r="AA753" i="1"/>
  <c r="X754" i="1"/>
  <c r="Y754" i="1"/>
  <c r="Z754" i="1"/>
  <c r="AA754" i="1"/>
  <c r="X755" i="1"/>
  <c r="Y755" i="1"/>
  <c r="Z755" i="1"/>
  <c r="AA755" i="1"/>
  <c r="X756" i="1"/>
  <c r="Y756" i="1"/>
  <c r="Z756" i="1"/>
  <c r="AA756" i="1"/>
  <c r="X757" i="1"/>
  <c r="Y757" i="1"/>
  <c r="Z757" i="1"/>
  <c r="AA757" i="1"/>
  <c r="X758" i="1"/>
  <c r="Y758" i="1"/>
  <c r="Z758" i="1"/>
  <c r="AA758" i="1"/>
  <c r="X759" i="1"/>
  <c r="Y759" i="1"/>
  <c r="Z759" i="1"/>
  <c r="AA759" i="1"/>
  <c r="X760" i="1"/>
  <c r="Y760" i="1"/>
  <c r="Z760" i="1"/>
  <c r="AA760" i="1"/>
  <c r="X761" i="1"/>
  <c r="Y761" i="1"/>
  <c r="Z761" i="1"/>
  <c r="AA761" i="1"/>
  <c r="X762" i="1"/>
  <c r="Y762" i="1"/>
  <c r="Z762" i="1"/>
  <c r="AA762" i="1"/>
  <c r="X763" i="1"/>
  <c r="Y763" i="1"/>
  <c r="Z763" i="1"/>
  <c r="AA763" i="1"/>
  <c r="X764" i="1"/>
  <c r="Y764" i="1"/>
  <c r="Z764" i="1"/>
  <c r="AA764" i="1"/>
  <c r="X765" i="1"/>
  <c r="Y765" i="1"/>
  <c r="Z765" i="1"/>
  <c r="AA765" i="1"/>
  <c r="X766" i="1"/>
  <c r="Y766" i="1"/>
  <c r="Z766" i="1"/>
  <c r="AA766" i="1"/>
  <c r="X767" i="1"/>
  <c r="Y767" i="1"/>
  <c r="Z767" i="1"/>
  <c r="AA767" i="1"/>
  <c r="X768" i="1"/>
  <c r="Y768" i="1"/>
  <c r="Z768" i="1"/>
  <c r="AA768" i="1"/>
  <c r="X769" i="1"/>
  <c r="Y769" i="1"/>
  <c r="Z769" i="1"/>
  <c r="AA769" i="1"/>
  <c r="X770" i="1"/>
  <c r="Y770" i="1"/>
  <c r="Z770" i="1"/>
  <c r="AA770" i="1"/>
  <c r="X771" i="1"/>
  <c r="Y771" i="1"/>
  <c r="Z771" i="1"/>
  <c r="AA771" i="1"/>
  <c r="X772" i="1"/>
  <c r="Y772" i="1"/>
  <c r="Z772" i="1"/>
  <c r="AA772" i="1"/>
  <c r="X773" i="1"/>
  <c r="Y773" i="1"/>
  <c r="Z773" i="1"/>
  <c r="AA773" i="1"/>
  <c r="X774" i="1"/>
  <c r="Y774" i="1"/>
  <c r="Z774" i="1"/>
  <c r="AA774" i="1"/>
  <c r="X775" i="1"/>
  <c r="Y775" i="1"/>
  <c r="Z775" i="1"/>
  <c r="AA775" i="1"/>
  <c r="X776" i="1"/>
  <c r="Y776" i="1"/>
  <c r="Z776" i="1"/>
  <c r="AA776" i="1"/>
  <c r="X777" i="1"/>
  <c r="Y777" i="1"/>
  <c r="Z777" i="1"/>
  <c r="AA777" i="1"/>
  <c r="X778" i="1"/>
  <c r="Y778" i="1"/>
  <c r="Z778" i="1"/>
  <c r="AA778" i="1"/>
  <c r="X779" i="1"/>
  <c r="Y779" i="1"/>
  <c r="Z779" i="1"/>
  <c r="AA779" i="1"/>
  <c r="X780" i="1"/>
  <c r="Y780" i="1"/>
  <c r="Z780" i="1"/>
  <c r="AA780" i="1"/>
  <c r="X781" i="1"/>
  <c r="Y781" i="1"/>
  <c r="Z781" i="1"/>
  <c r="AA781" i="1"/>
  <c r="X782" i="1"/>
  <c r="Y782" i="1"/>
  <c r="Z782" i="1"/>
  <c r="AA782" i="1"/>
  <c r="X783" i="1"/>
  <c r="Y783" i="1"/>
  <c r="Z783" i="1"/>
  <c r="AA783" i="1"/>
  <c r="X784" i="1"/>
  <c r="Y784" i="1"/>
  <c r="Z784" i="1"/>
  <c r="AA784" i="1"/>
  <c r="X785" i="1"/>
  <c r="Y785" i="1"/>
  <c r="Z785" i="1"/>
  <c r="AA785" i="1"/>
  <c r="X786" i="1"/>
  <c r="Y786" i="1"/>
  <c r="Z786" i="1"/>
  <c r="AA786" i="1"/>
  <c r="X787" i="1"/>
  <c r="Y787" i="1"/>
  <c r="Z787" i="1"/>
  <c r="AA787" i="1"/>
  <c r="X788" i="1"/>
  <c r="Y788" i="1"/>
  <c r="Z788" i="1"/>
  <c r="AA788" i="1"/>
  <c r="X789" i="1"/>
  <c r="Y789" i="1"/>
  <c r="Z789" i="1"/>
  <c r="AA789" i="1"/>
  <c r="X790" i="1"/>
  <c r="Y790" i="1"/>
  <c r="Z790" i="1"/>
  <c r="AA790" i="1"/>
  <c r="X791" i="1"/>
  <c r="Y791" i="1"/>
  <c r="Z791" i="1"/>
  <c r="AA791" i="1"/>
  <c r="X792" i="1"/>
  <c r="Y792" i="1"/>
  <c r="Z792" i="1"/>
  <c r="AA792" i="1"/>
  <c r="X793" i="1"/>
  <c r="Y793" i="1"/>
  <c r="Z793" i="1"/>
  <c r="AA793" i="1"/>
  <c r="X794" i="1"/>
  <c r="Y794" i="1"/>
  <c r="Z794" i="1"/>
  <c r="AA794" i="1"/>
  <c r="X795" i="1"/>
  <c r="Y795" i="1"/>
  <c r="Z795" i="1"/>
  <c r="AA795" i="1"/>
  <c r="X796" i="1"/>
  <c r="Y796" i="1"/>
  <c r="Z796" i="1"/>
  <c r="AA796" i="1"/>
  <c r="X797" i="1"/>
  <c r="Y797" i="1"/>
  <c r="Z797" i="1"/>
  <c r="AA797" i="1"/>
  <c r="X798" i="1"/>
  <c r="Y798" i="1"/>
  <c r="Z798" i="1"/>
  <c r="AA798" i="1"/>
  <c r="X799" i="1"/>
  <c r="Y799" i="1"/>
  <c r="Z799" i="1"/>
  <c r="AA799" i="1"/>
  <c r="X800" i="1"/>
  <c r="Y800" i="1"/>
  <c r="Z800" i="1"/>
  <c r="AA800" i="1"/>
  <c r="X801" i="1"/>
  <c r="Y801" i="1"/>
  <c r="Z801" i="1"/>
  <c r="AA801" i="1"/>
  <c r="X802" i="1"/>
  <c r="Y802" i="1"/>
  <c r="Z802" i="1"/>
  <c r="AA802" i="1"/>
  <c r="X803" i="1"/>
  <c r="Y803" i="1"/>
  <c r="Z803" i="1"/>
  <c r="AA803" i="1"/>
  <c r="X804" i="1"/>
  <c r="Y804" i="1"/>
  <c r="Z804" i="1"/>
  <c r="AA804" i="1"/>
  <c r="X805" i="1"/>
  <c r="Y805" i="1"/>
  <c r="Z805" i="1"/>
  <c r="AA805" i="1"/>
  <c r="X806" i="1"/>
  <c r="Y806" i="1"/>
  <c r="Z806" i="1"/>
  <c r="AA806" i="1"/>
  <c r="X807" i="1"/>
  <c r="Y807" i="1"/>
  <c r="Z807" i="1"/>
  <c r="AA807" i="1"/>
  <c r="X808" i="1"/>
  <c r="Y808" i="1"/>
  <c r="Z808" i="1"/>
  <c r="AA808" i="1"/>
  <c r="X809" i="1"/>
  <c r="Y809" i="1"/>
  <c r="Z809" i="1"/>
  <c r="AA809" i="1"/>
  <c r="X810" i="1"/>
  <c r="Y810" i="1"/>
  <c r="Z810" i="1"/>
  <c r="AA810" i="1"/>
  <c r="X811" i="1"/>
  <c r="Y811" i="1"/>
  <c r="Z811" i="1"/>
  <c r="AA811" i="1"/>
  <c r="X812" i="1"/>
  <c r="Y812" i="1"/>
  <c r="Z812" i="1"/>
  <c r="AA812" i="1"/>
  <c r="X813" i="1"/>
  <c r="Y813" i="1"/>
  <c r="Z813" i="1"/>
  <c r="AA813" i="1"/>
  <c r="X814" i="1"/>
  <c r="Y814" i="1"/>
  <c r="Z814" i="1"/>
  <c r="AA814" i="1"/>
  <c r="X815" i="1"/>
  <c r="Y815" i="1"/>
  <c r="Z815" i="1"/>
  <c r="AA815" i="1"/>
  <c r="X816" i="1"/>
  <c r="Y816" i="1"/>
  <c r="Z816" i="1"/>
  <c r="AA816" i="1"/>
  <c r="X817" i="1"/>
  <c r="Y817" i="1"/>
  <c r="Z817" i="1"/>
  <c r="AA817" i="1"/>
  <c r="X818" i="1"/>
  <c r="Y818" i="1"/>
  <c r="Z818" i="1"/>
  <c r="AA818" i="1"/>
  <c r="X819" i="1"/>
  <c r="Y819" i="1"/>
  <c r="Z819" i="1"/>
  <c r="AA819" i="1"/>
  <c r="X820" i="1"/>
  <c r="Y820" i="1"/>
  <c r="Z820" i="1"/>
  <c r="AA820" i="1"/>
  <c r="X821" i="1"/>
  <c r="Y821" i="1"/>
  <c r="Z821" i="1"/>
  <c r="AA821" i="1"/>
  <c r="X822" i="1"/>
  <c r="Y822" i="1"/>
  <c r="Z822" i="1"/>
  <c r="AA822" i="1"/>
  <c r="X823" i="1"/>
  <c r="Y823" i="1"/>
  <c r="Z823" i="1"/>
  <c r="AA823" i="1"/>
  <c r="X824" i="1"/>
  <c r="Y824" i="1"/>
  <c r="Z824" i="1"/>
  <c r="AA824" i="1"/>
  <c r="X825" i="1"/>
  <c r="Y825" i="1"/>
  <c r="Z825" i="1"/>
  <c r="AA825" i="1"/>
  <c r="X826" i="1"/>
  <c r="Y826" i="1"/>
  <c r="Z826" i="1"/>
  <c r="AA826" i="1"/>
  <c r="X827" i="1"/>
  <c r="Y827" i="1"/>
  <c r="Z827" i="1"/>
  <c r="AA827" i="1"/>
  <c r="X828" i="1"/>
  <c r="Y828" i="1"/>
  <c r="Z828" i="1"/>
  <c r="AA828" i="1"/>
  <c r="X829" i="1"/>
  <c r="Y829" i="1"/>
  <c r="Z829" i="1"/>
  <c r="AA829" i="1"/>
  <c r="X830" i="1"/>
  <c r="Y830" i="1"/>
  <c r="Z830" i="1"/>
  <c r="AA830" i="1"/>
  <c r="X831" i="1"/>
  <c r="Y831" i="1"/>
  <c r="Z831" i="1"/>
  <c r="AA831" i="1"/>
  <c r="X832" i="1"/>
  <c r="Y832" i="1"/>
  <c r="Z832" i="1"/>
  <c r="AA832" i="1"/>
  <c r="X833" i="1"/>
  <c r="Y833" i="1"/>
  <c r="Z833" i="1"/>
  <c r="AA833" i="1"/>
  <c r="X834" i="1"/>
  <c r="Y834" i="1"/>
  <c r="Z834" i="1"/>
  <c r="AA834" i="1"/>
  <c r="X835" i="1"/>
  <c r="Y835" i="1"/>
  <c r="Z835" i="1"/>
  <c r="AA835" i="1"/>
  <c r="X836" i="1"/>
  <c r="Y836" i="1"/>
  <c r="Z836" i="1"/>
  <c r="AA836" i="1"/>
  <c r="X837" i="1"/>
  <c r="Y837" i="1"/>
  <c r="Z837" i="1"/>
  <c r="AA837" i="1"/>
  <c r="X838" i="1"/>
  <c r="Y838" i="1"/>
  <c r="Z838" i="1"/>
  <c r="AA838" i="1"/>
  <c r="X839" i="1"/>
  <c r="Y839" i="1"/>
  <c r="Z839" i="1"/>
  <c r="AA839" i="1"/>
  <c r="X840" i="1"/>
  <c r="Y840" i="1"/>
  <c r="Z840" i="1"/>
  <c r="AA840" i="1"/>
  <c r="X841" i="1"/>
  <c r="Y841" i="1"/>
  <c r="Z841" i="1"/>
  <c r="AA841" i="1"/>
  <c r="X842" i="1"/>
  <c r="Y842" i="1"/>
  <c r="Z842" i="1"/>
  <c r="AA842" i="1"/>
  <c r="X843" i="1"/>
  <c r="Y843" i="1"/>
  <c r="Z843" i="1"/>
  <c r="AA843" i="1"/>
  <c r="X844" i="1"/>
  <c r="Y844" i="1"/>
  <c r="Z844" i="1"/>
  <c r="AA844" i="1"/>
  <c r="X845" i="1"/>
  <c r="Y845" i="1"/>
  <c r="Z845" i="1"/>
  <c r="AA845" i="1"/>
  <c r="X846" i="1"/>
  <c r="Y846" i="1"/>
  <c r="Z846" i="1"/>
  <c r="AA846" i="1"/>
  <c r="X847" i="1"/>
  <c r="Y847" i="1"/>
  <c r="Z847" i="1"/>
  <c r="AA847" i="1"/>
  <c r="X848" i="1"/>
  <c r="Y848" i="1"/>
  <c r="Z848" i="1"/>
  <c r="AA848" i="1"/>
  <c r="X849" i="1"/>
  <c r="Y849" i="1"/>
  <c r="Z849" i="1"/>
  <c r="AA849" i="1"/>
  <c r="X850" i="1"/>
  <c r="Y850" i="1"/>
  <c r="Z850" i="1"/>
  <c r="AA850" i="1"/>
  <c r="X851" i="1"/>
  <c r="Y851" i="1"/>
  <c r="Z851" i="1"/>
  <c r="AA851" i="1"/>
  <c r="X852" i="1"/>
  <c r="Y852" i="1"/>
  <c r="Z852" i="1"/>
  <c r="AA852" i="1"/>
  <c r="X853" i="1"/>
  <c r="Y853" i="1"/>
  <c r="Z853" i="1"/>
  <c r="AA853" i="1"/>
  <c r="X854" i="1"/>
  <c r="Y854" i="1"/>
  <c r="Z854" i="1"/>
  <c r="AA854" i="1"/>
  <c r="X855" i="1"/>
  <c r="Y855" i="1"/>
  <c r="Z855" i="1"/>
  <c r="AA855" i="1"/>
  <c r="X856" i="1"/>
  <c r="Y856" i="1"/>
  <c r="Z856" i="1"/>
  <c r="AA856" i="1"/>
  <c r="X857" i="1"/>
  <c r="Y857" i="1"/>
  <c r="Z857" i="1"/>
  <c r="AA857" i="1"/>
  <c r="X858" i="1"/>
  <c r="Y858" i="1"/>
  <c r="Z858" i="1"/>
  <c r="AA858" i="1"/>
  <c r="X859" i="1"/>
  <c r="Y859" i="1"/>
  <c r="Z859" i="1"/>
  <c r="AA859" i="1"/>
  <c r="X860" i="1"/>
  <c r="Y860" i="1"/>
  <c r="Z860" i="1"/>
  <c r="AA860" i="1"/>
  <c r="X861" i="1"/>
  <c r="Y861" i="1"/>
  <c r="Z861" i="1"/>
  <c r="AA861" i="1"/>
  <c r="X862" i="1"/>
  <c r="Y862" i="1"/>
  <c r="Z862" i="1"/>
  <c r="AA862" i="1"/>
  <c r="X863" i="1"/>
  <c r="Y863" i="1"/>
  <c r="Z863" i="1"/>
  <c r="AA863" i="1"/>
  <c r="X864" i="1"/>
  <c r="Y864" i="1"/>
  <c r="Z864" i="1"/>
  <c r="AA864" i="1"/>
  <c r="X865" i="1"/>
  <c r="Y865" i="1"/>
  <c r="Z865" i="1"/>
  <c r="AA865" i="1"/>
  <c r="X866" i="1"/>
  <c r="Y866" i="1"/>
  <c r="Z866" i="1"/>
  <c r="AA866" i="1"/>
  <c r="X867" i="1"/>
  <c r="Y867" i="1"/>
  <c r="Z867" i="1"/>
  <c r="AA867" i="1"/>
  <c r="X868" i="1"/>
  <c r="Y868" i="1"/>
  <c r="Z868" i="1"/>
  <c r="AA868" i="1"/>
  <c r="X869" i="1"/>
  <c r="Y869" i="1"/>
  <c r="Z869" i="1"/>
  <c r="AA869" i="1"/>
  <c r="X870" i="1"/>
  <c r="Y870" i="1"/>
  <c r="Z870" i="1"/>
  <c r="AA870" i="1"/>
  <c r="X871" i="1"/>
  <c r="Y871" i="1"/>
  <c r="Z871" i="1"/>
  <c r="AA871" i="1"/>
  <c r="X872" i="1"/>
  <c r="Y872" i="1"/>
  <c r="Z872" i="1"/>
  <c r="AA872" i="1"/>
  <c r="X873" i="1"/>
  <c r="Y873" i="1"/>
  <c r="Z873" i="1"/>
  <c r="AA873" i="1"/>
  <c r="X874" i="1"/>
  <c r="Y874" i="1"/>
  <c r="Z874" i="1"/>
  <c r="AA874" i="1"/>
  <c r="X875" i="1"/>
  <c r="Y875" i="1"/>
  <c r="Z875" i="1"/>
  <c r="AA875" i="1"/>
  <c r="X876" i="1"/>
  <c r="Y876" i="1"/>
  <c r="Z876" i="1"/>
  <c r="AA876" i="1"/>
  <c r="X877" i="1"/>
  <c r="Y877" i="1"/>
  <c r="Z877" i="1"/>
  <c r="AA877" i="1"/>
  <c r="X878" i="1"/>
  <c r="Y878" i="1"/>
  <c r="Z878" i="1"/>
  <c r="AA878" i="1"/>
  <c r="X879" i="1"/>
  <c r="Y879" i="1"/>
  <c r="Z879" i="1"/>
  <c r="AA879" i="1"/>
  <c r="X880" i="1"/>
  <c r="Y880" i="1"/>
  <c r="Z880" i="1"/>
  <c r="AA880" i="1"/>
  <c r="X881" i="1"/>
  <c r="Y881" i="1"/>
  <c r="Z881" i="1"/>
  <c r="AA881" i="1"/>
  <c r="X882" i="1"/>
  <c r="Y882" i="1"/>
  <c r="Z882" i="1"/>
  <c r="AA882" i="1"/>
  <c r="X883" i="1"/>
  <c r="Y883" i="1"/>
  <c r="Z883" i="1"/>
  <c r="AA883" i="1"/>
  <c r="X884" i="1"/>
  <c r="Y884" i="1"/>
  <c r="Z884" i="1"/>
  <c r="AA884" i="1"/>
  <c r="X885" i="1"/>
  <c r="Y885" i="1"/>
  <c r="Z885" i="1"/>
  <c r="AA885" i="1"/>
  <c r="X886" i="1"/>
  <c r="Y886" i="1"/>
  <c r="Z886" i="1"/>
  <c r="AA886" i="1"/>
  <c r="X887" i="1"/>
  <c r="Y887" i="1"/>
  <c r="Z887" i="1"/>
  <c r="AA887" i="1"/>
  <c r="X888" i="1"/>
  <c r="Y888" i="1"/>
  <c r="Z888" i="1"/>
  <c r="AA888" i="1"/>
  <c r="X889" i="1"/>
  <c r="Y889" i="1"/>
  <c r="Z889" i="1"/>
  <c r="AA889" i="1"/>
  <c r="X890" i="1"/>
  <c r="Y890" i="1"/>
  <c r="Z890" i="1"/>
  <c r="AA890" i="1"/>
  <c r="X891" i="1"/>
  <c r="Y891" i="1"/>
  <c r="Z891" i="1"/>
  <c r="AA891" i="1"/>
  <c r="X892" i="1"/>
  <c r="Y892" i="1"/>
  <c r="Z892" i="1"/>
  <c r="AA892" i="1"/>
  <c r="X893" i="1"/>
  <c r="Y893" i="1"/>
  <c r="Z893" i="1"/>
  <c r="AA893" i="1"/>
  <c r="X894" i="1"/>
  <c r="Y894" i="1"/>
  <c r="Z894" i="1"/>
  <c r="AA894" i="1"/>
  <c r="X895" i="1"/>
  <c r="Y895" i="1"/>
  <c r="Z895" i="1"/>
  <c r="AA895" i="1"/>
  <c r="X896" i="1"/>
  <c r="Y896" i="1"/>
  <c r="Z896" i="1"/>
  <c r="AA896" i="1"/>
  <c r="X897" i="1"/>
  <c r="Y897" i="1"/>
  <c r="Z897" i="1"/>
  <c r="AA897" i="1"/>
  <c r="X898" i="1"/>
  <c r="Y898" i="1"/>
  <c r="Z898" i="1"/>
  <c r="AA898" i="1"/>
  <c r="X899" i="1"/>
  <c r="Y899" i="1"/>
  <c r="Z899" i="1"/>
  <c r="AA899" i="1"/>
  <c r="X900" i="1"/>
  <c r="Y900" i="1"/>
  <c r="Z900" i="1"/>
  <c r="AA900" i="1"/>
  <c r="X901" i="1"/>
  <c r="Y901" i="1"/>
  <c r="Z901" i="1"/>
  <c r="AA901" i="1"/>
  <c r="X902" i="1"/>
  <c r="Y902" i="1"/>
  <c r="Z902" i="1"/>
  <c r="AA902" i="1"/>
  <c r="X903" i="1"/>
  <c r="Y903" i="1"/>
  <c r="Z903" i="1"/>
  <c r="AA903" i="1"/>
  <c r="X904" i="1"/>
  <c r="Y904" i="1"/>
  <c r="Z904" i="1"/>
  <c r="AA904" i="1"/>
  <c r="X905" i="1"/>
  <c r="Y905" i="1"/>
  <c r="Z905" i="1"/>
  <c r="AA905" i="1"/>
  <c r="X906" i="1"/>
  <c r="Y906" i="1"/>
  <c r="Z906" i="1"/>
  <c r="AA906" i="1"/>
  <c r="X907" i="1"/>
  <c r="Y907" i="1"/>
  <c r="Z907" i="1"/>
  <c r="AA907" i="1"/>
  <c r="X908" i="1"/>
  <c r="Y908" i="1"/>
  <c r="Z908" i="1"/>
  <c r="AA908" i="1"/>
  <c r="X909" i="1"/>
  <c r="Y909" i="1"/>
  <c r="Z909" i="1"/>
  <c r="AA909" i="1"/>
  <c r="X910" i="1"/>
  <c r="Y910" i="1"/>
  <c r="Z910" i="1"/>
  <c r="AA910" i="1"/>
  <c r="X911" i="1"/>
  <c r="Y911" i="1"/>
  <c r="Z911" i="1"/>
  <c r="AA911" i="1"/>
  <c r="X912" i="1"/>
  <c r="Y912" i="1"/>
  <c r="Z912" i="1"/>
  <c r="AA912" i="1"/>
  <c r="X913" i="1"/>
  <c r="Y913" i="1"/>
  <c r="Z913" i="1"/>
  <c r="AA913" i="1"/>
  <c r="X914" i="1"/>
  <c r="Y914" i="1"/>
  <c r="Z914" i="1"/>
  <c r="AA914" i="1"/>
  <c r="X915" i="1"/>
  <c r="Y915" i="1"/>
  <c r="Z915" i="1"/>
  <c r="AA915" i="1"/>
  <c r="X916" i="1"/>
  <c r="Y916" i="1"/>
  <c r="Z916" i="1"/>
  <c r="AA916" i="1"/>
  <c r="X917" i="1"/>
  <c r="Y917" i="1"/>
  <c r="Z917" i="1"/>
  <c r="AA917" i="1"/>
  <c r="X918" i="1"/>
  <c r="Y918" i="1"/>
  <c r="Z918" i="1"/>
  <c r="AA918" i="1"/>
  <c r="X919" i="1"/>
  <c r="Y919" i="1"/>
  <c r="Z919" i="1"/>
  <c r="AA919" i="1"/>
  <c r="X920" i="1"/>
  <c r="Y920" i="1"/>
  <c r="Z920" i="1"/>
  <c r="AA920" i="1"/>
  <c r="X921" i="1"/>
  <c r="Y921" i="1"/>
  <c r="Z921" i="1"/>
  <c r="AA921" i="1"/>
  <c r="X922" i="1"/>
  <c r="Y922" i="1"/>
  <c r="Z922" i="1"/>
  <c r="AA922" i="1"/>
  <c r="X923" i="1"/>
  <c r="Y923" i="1"/>
  <c r="Z923" i="1"/>
  <c r="AA923" i="1"/>
  <c r="X924" i="1"/>
  <c r="Y924" i="1"/>
  <c r="Z924" i="1"/>
  <c r="AA924" i="1"/>
  <c r="X925" i="1"/>
  <c r="Y925" i="1"/>
  <c r="Z925" i="1"/>
  <c r="AA925" i="1"/>
  <c r="X926" i="1"/>
  <c r="Y926" i="1"/>
  <c r="Z926" i="1"/>
  <c r="AA926" i="1"/>
  <c r="X927" i="1"/>
  <c r="Y927" i="1"/>
  <c r="Z927" i="1"/>
  <c r="AA927" i="1"/>
  <c r="X928" i="1"/>
  <c r="Y928" i="1"/>
  <c r="Z928" i="1"/>
  <c r="AA928" i="1"/>
  <c r="X929" i="1"/>
  <c r="Y929" i="1"/>
  <c r="Z929" i="1"/>
  <c r="AA929" i="1"/>
  <c r="X930" i="1"/>
  <c r="Y930" i="1"/>
  <c r="Z930" i="1"/>
  <c r="AA930" i="1"/>
  <c r="X931" i="1"/>
  <c r="Y931" i="1"/>
  <c r="Z931" i="1"/>
  <c r="AA931" i="1"/>
  <c r="X932" i="1"/>
  <c r="Y932" i="1"/>
  <c r="Z932" i="1"/>
  <c r="AA932" i="1"/>
  <c r="X933" i="1"/>
  <c r="Y933" i="1"/>
  <c r="Z933" i="1"/>
  <c r="AA933" i="1"/>
  <c r="X934" i="1"/>
  <c r="Y934" i="1"/>
  <c r="Z934" i="1"/>
  <c r="AA934" i="1"/>
  <c r="X935" i="1"/>
  <c r="Y935" i="1"/>
  <c r="Z935" i="1"/>
  <c r="AA935" i="1"/>
  <c r="X936" i="1"/>
  <c r="Y936" i="1"/>
  <c r="Z936" i="1"/>
  <c r="AA936" i="1"/>
  <c r="X937" i="1"/>
  <c r="Y937" i="1"/>
  <c r="Z937" i="1"/>
  <c r="AA937" i="1"/>
  <c r="X938" i="1"/>
  <c r="Y938" i="1"/>
  <c r="Z938" i="1"/>
  <c r="AA938" i="1"/>
  <c r="X939" i="1"/>
  <c r="Y939" i="1"/>
  <c r="Z939" i="1"/>
  <c r="AA939" i="1"/>
  <c r="X940" i="1"/>
  <c r="Y940" i="1"/>
  <c r="Z940" i="1"/>
  <c r="AA940" i="1"/>
  <c r="X941" i="1"/>
  <c r="Y941" i="1"/>
  <c r="Z941" i="1"/>
  <c r="AA941" i="1"/>
  <c r="X942" i="1"/>
  <c r="Y942" i="1"/>
  <c r="Z942" i="1"/>
  <c r="AA942" i="1"/>
  <c r="X943" i="1"/>
  <c r="Y943" i="1"/>
  <c r="Z943" i="1"/>
  <c r="AA943" i="1"/>
  <c r="X944" i="1"/>
  <c r="Y944" i="1"/>
  <c r="Z944" i="1"/>
  <c r="AA944" i="1"/>
  <c r="X945" i="1"/>
  <c r="Y945" i="1"/>
  <c r="Z945" i="1"/>
  <c r="AA945" i="1"/>
  <c r="X946" i="1"/>
  <c r="Y946" i="1"/>
  <c r="Z946" i="1"/>
  <c r="AA946" i="1"/>
  <c r="X947" i="1"/>
  <c r="Y947" i="1"/>
  <c r="Z947" i="1"/>
  <c r="AA947" i="1"/>
  <c r="X948" i="1"/>
  <c r="Y948" i="1"/>
  <c r="Z948" i="1"/>
  <c r="AA948" i="1"/>
  <c r="X949" i="1"/>
  <c r="Y949" i="1"/>
  <c r="Z949" i="1"/>
  <c r="AA949" i="1"/>
  <c r="X950" i="1"/>
  <c r="Y950" i="1"/>
  <c r="Z950" i="1"/>
  <c r="AA950" i="1"/>
  <c r="X951" i="1"/>
  <c r="Y951" i="1"/>
  <c r="Z951" i="1"/>
  <c r="AA951" i="1"/>
  <c r="X952" i="1"/>
  <c r="Y952" i="1"/>
  <c r="Z952" i="1"/>
  <c r="AA952" i="1"/>
  <c r="X953" i="1"/>
  <c r="Y953" i="1"/>
  <c r="Z953" i="1"/>
  <c r="AA953" i="1"/>
  <c r="X954" i="1"/>
  <c r="Y954" i="1"/>
  <c r="Z954" i="1"/>
  <c r="AA954" i="1"/>
  <c r="X955" i="1"/>
  <c r="Y955" i="1"/>
  <c r="Z955" i="1"/>
  <c r="AA955" i="1"/>
  <c r="X956" i="1"/>
  <c r="Y956" i="1"/>
  <c r="Z956" i="1"/>
  <c r="AA956" i="1"/>
  <c r="X957" i="1"/>
  <c r="Y957" i="1"/>
  <c r="Z957" i="1"/>
  <c r="AA957" i="1"/>
  <c r="X958" i="1"/>
  <c r="Y958" i="1"/>
  <c r="Z958" i="1"/>
  <c r="AA958" i="1"/>
  <c r="X959" i="1"/>
  <c r="Y959" i="1"/>
  <c r="Z959" i="1"/>
  <c r="AA959" i="1"/>
  <c r="X960" i="1"/>
  <c r="Y960" i="1"/>
  <c r="Z960" i="1"/>
  <c r="AA960" i="1"/>
  <c r="X961" i="1"/>
  <c r="Y961" i="1"/>
  <c r="Z961" i="1"/>
  <c r="AA961" i="1"/>
  <c r="X962" i="1"/>
  <c r="Y962" i="1"/>
  <c r="Z962" i="1"/>
  <c r="AA962" i="1"/>
  <c r="X963" i="1"/>
  <c r="Y963" i="1"/>
  <c r="Z963" i="1"/>
  <c r="AA963" i="1"/>
  <c r="X964" i="1"/>
  <c r="Y964" i="1"/>
  <c r="Z964" i="1"/>
  <c r="AA964" i="1"/>
  <c r="X965" i="1"/>
  <c r="Y965" i="1"/>
  <c r="Z965" i="1"/>
  <c r="AA965" i="1"/>
  <c r="X966" i="1"/>
  <c r="Y966" i="1"/>
  <c r="Z966" i="1"/>
  <c r="AA966" i="1"/>
  <c r="X967" i="1"/>
  <c r="Y967" i="1"/>
  <c r="Z967" i="1"/>
  <c r="AA967" i="1"/>
  <c r="X968" i="1"/>
  <c r="Y968" i="1"/>
  <c r="Z968" i="1"/>
  <c r="AA968" i="1"/>
  <c r="X969" i="1"/>
  <c r="Y969" i="1"/>
  <c r="Z969" i="1"/>
  <c r="AA969" i="1"/>
  <c r="X970" i="1"/>
  <c r="Y970" i="1"/>
  <c r="Z970" i="1"/>
  <c r="AA970" i="1"/>
  <c r="X971" i="1"/>
  <c r="Y971" i="1"/>
  <c r="Z971" i="1"/>
  <c r="AA971" i="1"/>
  <c r="X972" i="1"/>
  <c r="Y972" i="1"/>
  <c r="Z972" i="1"/>
  <c r="AA972" i="1"/>
  <c r="X973" i="1"/>
  <c r="Y973" i="1"/>
  <c r="Z973" i="1"/>
  <c r="AA973" i="1"/>
  <c r="X974" i="1"/>
  <c r="Y974" i="1"/>
  <c r="Z974" i="1"/>
  <c r="AA974" i="1"/>
  <c r="X975" i="1"/>
  <c r="Y975" i="1"/>
  <c r="Z975" i="1"/>
  <c r="AA975" i="1"/>
  <c r="X976" i="1"/>
  <c r="Y976" i="1"/>
  <c r="Z976" i="1"/>
  <c r="AA976" i="1"/>
  <c r="X977" i="1"/>
  <c r="Y977" i="1"/>
  <c r="Z977" i="1"/>
  <c r="AA977" i="1"/>
  <c r="X978" i="1"/>
  <c r="Y978" i="1"/>
  <c r="Z978" i="1"/>
  <c r="AA978" i="1"/>
  <c r="X979" i="1"/>
  <c r="Y979" i="1"/>
  <c r="Z979" i="1"/>
  <c r="AA979" i="1"/>
  <c r="X980" i="1"/>
  <c r="Y980" i="1"/>
  <c r="Z980" i="1"/>
  <c r="AA980" i="1"/>
  <c r="X981" i="1"/>
  <c r="Y981" i="1"/>
  <c r="Z981" i="1"/>
  <c r="AA981" i="1"/>
  <c r="X982" i="1"/>
  <c r="Y982" i="1"/>
  <c r="Z982" i="1"/>
  <c r="AA982" i="1"/>
  <c r="X983" i="1"/>
  <c r="Y983" i="1"/>
  <c r="Z983" i="1"/>
  <c r="AA983" i="1"/>
  <c r="X984" i="1"/>
  <c r="Y984" i="1"/>
  <c r="Z984" i="1"/>
  <c r="AA984" i="1"/>
  <c r="X985" i="1"/>
  <c r="Y985" i="1"/>
  <c r="Z985" i="1"/>
  <c r="AA985" i="1"/>
  <c r="X986" i="1"/>
  <c r="Y986" i="1"/>
  <c r="Z986" i="1"/>
  <c r="AA986" i="1"/>
  <c r="X987" i="1"/>
  <c r="Y987" i="1"/>
  <c r="Z987" i="1"/>
  <c r="AA987" i="1"/>
  <c r="X988" i="1"/>
  <c r="Y988" i="1"/>
  <c r="Z988" i="1"/>
  <c r="AA988" i="1"/>
  <c r="X989" i="1"/>
  <c r="Y989" i="1"/>
  <c r="Z989" i="1"/>
  <c r="AA989" i="1"/>
  <c r="X990" i="1"/>
  <c r="Y990" i="1"/>
  <c r="Z990" i="1"/>
  <c r="AA990" i="1"/>
  <c r="X991" i="1"/>
  <c r="Y991" i="1"/>
  <c r="Z991" i="1"/>
  <c r="AA991" i="1"/>
  <c r="X992" i="1"/>
  <c r="Y992" i="1"/>
  <c r="Z992" i="1"/>
  <c r="AA992" i="1"/>
  <c r="X993" i="1"/>
  <c r="Y993" i="1"/>
  <c r="Z993" i="1"/>
  <c r="AA993" i="1"/>
  <c r="X994" i="1"/>
  <c r="Y994" i="1"/>
  <c r="Z994" i="1"/>
  <c r="AA994" i="1"/>
  <c r="X995" i="1"/>
  <c r="Y995" i="1"/>
  <c r="Z995" i="1"/>
  <c r="AA995" i="1"/>
  <c r="X996" i="1"/>
  <c r="Y996" i="1"/>
  <c r="Z996" i="1"/>
  <c r="AA996" i="1"/>
  <c r="X997" i="1"/>
  <c r="Y997" i="1"/>
  <c r="Z997" i="1"/>
  <c r="AA997" i="1"/>
  <c r="X998" i="1"/>
  <c r="Y998" i="1"/>
  <c r="Z998" i="1"/>
  <c r="AA998" i="1"/>
  <c r="X999" i="1"/>
  <c r="Y999" i="1"/>
  <c r="Z999" i="1"/>
  <c r="AA999" i="1"/>
  <c r="X1000" i="1"/>
  <c r="Y1000" i="1"/>
  <c r="Z1000" i="1"/>
  <c r="AA1000" i="1"/>
  <c r="X1001" i="1"/>
  <c r="Y1001" i="1"/>
  <c r="Z1001" i="1"/>
  <c r="AA1001" i="1"/>
  <c r="X1002" i="1"/>
  <c r="Y1002" i="1"/>
  <c r="Z1002" i="1"/>
  <c r="AA1002" i="1"/>
  <c r="X1003" i="1"/>
  <c r="Y1003" i="1"/>
  <c r="Z1003" i="1"/>
  <c r="AA1003" i="1"/>
  <c r="X1004" i="1"/>
  <c r="Y1004" i="1"/>
  <c r="Z1004" i="1"/>
  <c r="AA1004" i="1"/>
  <c r="X1005" i="1"/>
  <c r="Y1005" i="1"/>
  <c r="Z1005" i="1"/>
  <c r="AA1005" i="1"/>
  <c r="X1006" i="1"/>
  <c r="Y1006" i="1"/>
  <c r="Z1006" i="1"/>
  <c r="AA1006" i="1"/>
  <c r="X1007" i="1"/>
  <c r="Y1007" i="1"/>
  <c r="Z1007" i="1"/>
  <c r="AA1007" i="1"/>
  <c r="X1008" i="1"/>
  <c r="Y1008" i="1"/>
  <c r="Z1008" i="1"/>
  <c r="AA1008" i="1"/>
  <c r="X1009" i="1"/>
  <c r="Y1009" i="1"/>
  <c r="Z1009" i="1"/>
  <c r="AA1009" i="1"/>
  <c r="X1010" i="1"/>
  <c r="Y1010" i="1"/>
  <c r="Z1010" i="1"/>
  <c r="AA1010" i="1"/>
  <c r="X1011" i="1"/>
  <c r="Y1011" i="1"/>
  <c r="Z1011" i="1"/>
  <c r="AA1011" i="1"/>
  <c r="X1012" i="1"/>
  <c r="Y1012" i="1"/>
  <c r="Z1012" i="1"/>
  <c r="AA1012" i="1"/>
  <c r="X1013" i="1"/>
  <c r="Y1013" i="1"/>
  <c r="Z1013" i="1"/>
  <c r="AA1013" i="1"/>
  <c r="X1014" i="1"/>
  <c r="Y1014" i="1"/>
  <c r="Z1014" i="1"/>
  <c r="AA1014" i="1"/>
  <c r="X1015" i="1"/>
  <c r="Y1015" i="1"/>
  <c r="Z1015" i="1"/>
  <c r="AA1015" i="1"/>
  <c r="X1016" i="1"/>
  <c r="Y1016" i="1"/>
  <c r="Z1016" i="1"/>
  <c r="AA1016" i="1"/>
  <c r="X1017" i="1"/>
  <c r="Y1017" i="1"/>
  <c r="Z1017" i="1"/>
  <c r="AA1017" i="1"/>
  <c r="X1018" i="1"/>
  <c r="Y1018" i="1"/>
  <c r="Z1018" i="1"/>
  <c r="AA1018" i="1"/>
  <c r="X1019" i="1"/>
  <c r="Y1019" i="1"/>
  <c r="Z1019" i="1"/>
  <c r="AA1019" i="1"/>
  <c r="X1020" i="1"/>
  <c r="Y1020" i="1"/>
  <c r="Z1020" i="1"/>
  <c r="AA1020" i="1"/>
  <c r="X1021" i="1"/>
  <c r="Y1021" i="1"/>
  <c r="Z1021" i="1"/>
  <c r="AA1021" i="1"/>
  <c r="X1022" i="1"/>
  <c r="Y1022" i="1"/>
  <c r="Z1022" i="1"/>
  <c r="AA1022" i="1"/>
  <c r="X1023" i="1"/>
  <c r="Y1023" i="1"/>
  <c r="Z1023" i="1"/>
  <c r="AA1023" i="1"/>
  <c r="X1024" i="1"/>
  <c r="Y1024" i="1"/>
  <c r="Z1024" i="1"/>
  <c r="AA1024" i="1"/>
  <c r="X1025" i="1"/>
  <c r="Y1025" i="1"/>
  <c r="Z1025" i="1"/>
  <c r="AA1025" i="1"/>
  <c r="X1026" i="1"/>
  <c r="Y1026" i="1"/>
  <c r="Z1026" i="1"/>
  <c r="AA1026" i="1"/>
  <c r="X1027" i="1"/>
  <c r="Y1027" i="1"/>
  <c r="Z1027" i="1"/>
  <c r="AA1027" i="1"/>
  <c r="X1028" i="1"/>
  <c r="Y1028" i="1"/>
  <c r="Z1028" i="1"/>
  <c r="AA1028" i="1"/>
  <c r="X1029" i="1"/>
  <c r="Y1029" i="1"/>
  <c r="Z1029" i="1"/>
  <c r="AA1029" i="1"/>
  <c r="X1030" i="1"/>
  <c r="Y1030" i="1"/>
  <c r="Z1030" i="1"/>
  <c r="AA1030" i="1"/>
  <c r="X1031" i="1"/>
  <c r="Y1031" i="1"/>
  <c r="Z1031" i="1"/>
  <c r="AA1031" i="1"/>
  <c r="X1032" i="1"/>
  <c r="Y1032" i="1"/>
  <c r="Z1032" i="1"/>
  <c r="AA1032" i="1"/>
  <c r="X1033" i="1"/>
  <c r="Y1033" i="1"/>
  <c r="Z1033" i="1"/>
  <c r="AA1033" i="1"/>
  <c r="X1034" i="1"/>
  <c r="Y1034" i="1"/>
  <c r="Z1034" i="1"/>
  <c r="AA1034" i="1"/>
  <c r="X1035" i="1"/>
  <c r="Y1035" i="1"/>
  <c r="Z1035" i="1"/>
  <c r="AA1035" i="1"/>
  <c r="X1036" i="1"/>
  <c r="Y1036" i="1"/>
  <c r="Z1036" i="1"/>
  <c r="AA1036" i="1"/>
  <c r="X1037" i="1"/>
  <c r="Y1037" i="1"/>
  <c r="Z1037" i="1"/>
  <c r="AA1037" i="1"/>
  <c r="X1038" i="1"/>
  <c r="Y1038" i="1"/>
  <c r="Z1038" i="1"/>
  <c r="AA1038" i="1"/>
  <c r="X1039" i="1"/>
  <c r="Y1039" i="1"/>
  <c r="Z1039" i="1"/>
  <c r="AA1039" i="1"/>
  <c r="X1040" i="1"/>
  <c r="Y1040" i="1"/>
  <c r="Z1040" i="1"/>
  <c r="AA1040" i="1"/>
  <c r="X1041" i="1"/>
  <c r="Y1041" i="1"/>
  <c r="Z1041" i="1"/>
  <c r="AA1041" i="1"/>
  <c r="X1042" i="1"/>
  <c r="Y1042" i="1"/>
  <c r="Z1042" i="1"/>
  <c r="AA1042" i="1"/>
  <c r="X1043" i="1"/>
  <c r="Y1043" i="1"/>
  <c r="Z1043" i="1"/>
  <c r="AA1043" i="1"/>
  <c r="X1044" i="1"/>
  <c r="Y1044" i="1"/>
  <c r="Z1044" i="1"/>
  <c r="AA1044" i="1"/>
  <c r="X1045" i="1"/>
  <c r="Y1045" i="1"/>
  <c r="Z1045" i="1"/>
  <c r="AA1045" i="1"/>
  <c r="X1046" i="1"/>
  <c r="Y1046" i="1"/>
  <c r="Z1046" i="1"/>
  <c r="AA1046" i="1"/>
  <c r="X1047" i="1"/>
  <c r="Y1047" i="1"/>
  <c r="Z1047" i="1"/>
  <c r="AA1047" i="1"/>
  <c r="X1048" i="1"/>
  <c r="Y1048" i="1"/>
  <c r="Z1048" i="1"/>
  <c r="AA1048" i="1"/>
  <c r="X1049" i="1"/>
  <c r="Y1049" i="1"/>
  <c r="Z1049" i="1"/>
  <c r="AA1049" i="1"/>
  <c r="X1050" i="1"/>
  <c r="Y1050" i="1"/>
  <c r="Z1050" i="1"/>
  <c r="AA1050" i="1"/>
  <c r="X1051" i="1"/>
  <c r="Y1051" i="1"/>
  <c r="Z1051" i="1"/>
  <c r="AA1051" i="1"/>
  <c r="X1052" i="1"/>
  <c r="Y1052" i="1"/>
  <c r="Z1052" i="1"/>
  <c r="AA1052" i="1"/>
  <c r="X1053" i="1"/>
  <c r="Y1053" i="1"/>
  <c r="Z1053" i="1"/>
  <c r="AA1053" i="1"/>
  <c r="X1054" i="1"/>
  <c r="Y1054" i="1"/>
  <c r="Z1054" i="1"/>
  <c r="AA1054" i="1"/>
  <c r="X1055" i="1"/>
  <c r="Y1055" i="1"/>
  <c r="Z1055" i="1"/>
  <c r="AA1055" i="1"/>
  <c r="X1056" i="1"/>
  <c r="Y1056" i="1"/>
  <c r="Z1056" i="1"/>
  <c r="AA1056" i="1"/>
  <c r="X1057" i="1"/>
  <c r="Y1057" i="1"/>
  <c r="Z1057" i="1"/>
  <c r="AA1057" i="1"/>
  <c r="X1058" i="1"/>
  <c r="Y1058" i="1"/>
  <c r="Z1058" i="1"/>
  <c r="AA1058" i="1"/>
  <c r="X1059" i="1"/>
  <c r="Y1059" i="1"/>
  <c r="Z1059" i="1"/>
  <c r="AA1059" i="1"/>
  <c r="X1060" i="1"/>
  <c r="Y1060" i="1"/>
  <c r="Z1060" i="1"/>
  <c r="AA1060" i="1"/>
  <c r="X1061" i="1"/>
  <c r="Y1061" i="1"/>
  <c r="Z1061" i="1"/>
  <c r="AA1061" i="1"/>
  <c r="X1062" i="1"/>
  <c r="Y1062" i="1"/>
  <c r="Z1062" i="1"/>
  <c r="AA1062" i="1"/>
  <c r="X1063" i="1"/>
  <c r="Y1063" i="1"/>
  <c r="Z1063" i="1"/>
  <c r="AA1063" i="1"/>
  <c r="X1064" i="1"/>
  <c r="Y1064" i="1"/>
  <c r="Z1064" i="1"/>
  <c r="AA1064" i="1"/>
  <c r="X1065" i="1"/>
  <c r="Y1065" i="1"/>
  <c r="Z1065" i="1"/>
  <c r="AA1065" i="1"/>
  <c r="X1066" i="1"/>
  <c r="Y1066" i="1"/>
  <c r="Z1066" i="1"/>
  <c r="AA1066" i="1"/>
  <c r="X1067" i="1"/>
  <c r="Y1067" i="1"/>
  <c r="Z1067" i="1"/>
  <c r="AA1067" i="1"/>
  <c r="X1068" i="1"/>
  <c r="Y1068" i="1"/>
  <c r="Z1068" i="1"/>
  <c r="AA1068" i="1"/>
  <c r="X1069" i="1"/>
  <c r="Y1069" i="1"/>
  <c r="Z1069" i="1"/>
  <c r="AA1069" i="1"/>
  <c r="X1070" i="1"/>
  <c r="Y1070" i="1"/>
  <c r="Z1070" i="1"/>
  <c r="AA1070" i="1"/>
  <c r="X1071" i="1"/>
  <c r="Y1071" i="1"/>
  <c r="Z1071" i="1"/>
  <c r="AA1071" i="1"/>
  <c r="X1072" i="1"/>
  <c r="Y1072" i="1"/>
  <c r="Z1072" i="1"/>
  <c r="AA1072" i="1"/>
  <c r="X1073" i="1"/>
  <c r="Y1073" i="1"/>
  <c r="Z1073" i="1"/>
  <c r="AA1073" i="1"/>
  <c r="X1074" i="1"/>
  <c r="Y1074" i="1"/>
  <c r="Z1074" i="1"/>
  <c r="AA1074" i="1"/>
  <c r="X1075" i="1"/>
  <c r="Y1075" i="1"/>
  <c r="Z1075" i="1"/>
  <c r="AA1075" i="1"/>
  <c r="X1076" i="1"/>
  <c r="Y1076" i="1"/>
  <c r="Z1076" i="1"/>
  <c r="AA1076" i="1"/>
  <c r="X1077" i="1"/>
  <c r="Y1077" i="1"/>
  <c r="Z1077" i="1"/>
  <c r="AA1077" i="1"/>
  <c r="X1078" i="1"/>
  <c r="Y1078" i="1"/>
  <c r="Z1078" i="1"/>
  <c r="AA1078" i="1"/>
  <c r="X1079" i="1"/>
  <c r="Y1079" i="1"/>
  <c r="Z1079" i="1"/>
  <c r="AA1079" i="1"/>
  <c r="X1080" i="1"/>
  <c r="Y1080" i="1"/>
  <c r="Z1080" i="1"/>
  <c r="AA1080" i="1"/>
  <c r="X1081" i="1"/>
  <c r="Y1081" i="1"/>
  <c r="Z1081" i="1"/>
  <c r="AA1081" i="1"/>
  <c r="X1082" i="1"/>
  <c r="Y1082" i="1"/>
  <c r="Z1082" i="1"/>
  <c r="AA1082" i="1"/>
  <c r="X1083" i="1"/>
  <c r="Y1083" i="1"/>
  <c r="Z1083" i="1"/>
  <c r="AA1083" i="1"/>
  <c r="X1084" i="1"/>
  <c r="Y1084" i="1"/>
  <c r="Z1084" i="1"/>
  <c r="AA1084" i="1"/>
  <c r="X1085" i="1"/>
  <c r="Y1085" i="1"/>
  <c r="Z1085" i="1"/>
  <c r="AA1085" i="1"/>
  <c r="X1086" i="1"/>
  <c r="Y1086" i="1"/>
  <c r="Z1086" i="1"/>
  <c r="AA1086" i="1"/>
  <c r="X1087" i="1"/>
  <c r="Y1087" i="1"/>
  <c r="Z1087" i="1"/>
  <c r="AA1087" i="1"/>
  <c r="X1088" i="1"/>
  <c r="Y1088" i="1"/>
  <c r="Z1088" i="1"/>
  <c r="AA1088" i="1"/>
  <c r="X1089" i="1"/>
  <c r="Y1089" i="1"/>
  <c r="Z1089" i="1"/>
  <c r="AA1089" i="1"/>
  <c r="X1090" i="1"/>
  <c r="Y1090" i="1"/>
  <c r="Z1090" i="1"/>
  <c r="AA1090" i="1"/>
  <c r="X1091" i="1"/>
  <c r="Y1091" i="1"/>
  <c r="Z1091" i="1"/>
  <c r="AA1091" i="1"/>
  <c r="X1092" i="1"/>
  <c r="Y1092" i="1"/>
  <c r="Z1092" i="1"/>
  <c r="AA1092" i="1"/>
  <c r="X1093" i="1"/>
  <c r="Y1093" i="1"/>
  <c r="Z1093" i="1"/>
  <c r="AA1093" i="1"/>
  <c r="X1094" i="1"/>
  <c r="Y1094" i="1"/>
  <c r="Z1094" i="1"/>
  <c r="AA1094" i="1"/>
  <c r="X1095" i="1"/>
  <c r="Y1095" i="1"/>
  <c r="Z1095" i="1"/>
  <c r="AA1095" i="1"/>
  <c r="X1096" i="1"/>
  <c r="Y1096" i="1"/>
  <c r="Z1096" i="1"/>
  <c r="AA1096" i="1"/>
  <c r="X1097" i="1"/>
  <c r="Y1097" i="1"/>
  <c r="Z1097" i="1"/>
  <c r="AA1097" i="1"/>
  <c r="X1098" i="1"/>
  <c r="Y1098" i="1"/>
  <c r="Z1098" i="1"/>
  <c r="AA1098" i="1"/>
  <c r="X1099" i="1"/>
  <c r="Y1099" i="1"/>
  <c r="Z1099" i="1"/>
  <c r="AA1099" i="1"/>
  <c r="X1100" i="1"/>
  <c r="Y1100" i="1"/>
  <c r="Z1100" i="1"/>
  <c r="AA1100" i="1"/>
  <c r="X1101" i="1"/>
  <c r="Y1101" i="1"/>
  <c r="Z1101" i="1"/>
  <c r="AA1101" i="1"/>
  <c r="X1102" i="1"/>
  <c r="Y1102" i="1"/>
  <c r="Z1102" i="1"/>
  <c r="AA1102" i="1"/>
  <c r="X1103" i="1"/>
  <c r="Y1103" i="1"/>
  <c r="Z1103" i="1"/>
  <c r="AA1103" i="1"/>
  <c r="X1104" i="1"/>
  <c r="Y1104" i="1"/>
  <c r="Z1104" i="1"/>
  <c r="AA1104" i="1"/>
  <c r="X1105" i="1"/>
  <c r="Y1105" i="1"/>
  <c r="Z1105" i="1"/>
  <c r="AA1105" i="1"/>
  <c r="X1106" i="1"/>
  <c r="Y1106" i="1"/>
  <c r="Z1106" i="1"/>
  <c r="AA1106" i="1"/>
  <c r="X1107" i="1"/>
  <c r="Y1107" i="1"/>
  <c r="Z1107" i="1"/>
  <c r="AA1107" i="1"/>
  <c r="X1108" i="1"/>
  <c r="Y1108" i="1"/>
  <c r="Z1108" i="1"/>
  <c r="AA1108" i="1"/>
  <c r="X1109" i="1"/>
  <c r="Y1109" i="1"/>
  <c r="Z1109" i="1"/>
  <c r="AA1109" i="1"/>
  <c r="X1110" i="1"/>
  <c r="Y1110" i="1"/>
  <c r="Z1110" i="1"/>
  <c r="AA1110" i="1"/>
  <c r="X1111" i="1"/>
  <c r="Y1111" i="1"/>
  <c r="Z1111" i="1"/>
  <c r="AA1111" i="1"/>
  <c r="X1112" i="1"/>
  <c r="Y1112" i="1"/>
  <c r="Z1112" i="1"/>
  <c r="AA1112" i="1"/>
  <c r="X1113" i="1"/>
  <c r="Y1113" i="1"/>
  <c r="Z1113" i="1"/>
  <c r="AA1113" i="1"/>
  <c r="X1114" i="1"/>
  <c r="Y1114" i="1"/>
  <c r="Z1114" i="1"/>
  <c r="AA1114" i="1"/>
  <c r="X1115" i="1"/>
  <c r="Y1115" i="1"/>
  <c r="Z1115" i="1"/>
  <c r="AA1115" i="1"/>
  <c r="X1116" i="1"/>
  <c r="Y1116" i="1"/>
  <c r="Z1116" i="1"/>
  <c r="AA1116" i="1"/>
  <c r="X1117" i="1"/>
  <c r="Y1117" i="1"/>
  <c r="Z1117" i="1"/>
  <c r="AA1117" i="1"/>
  <c r="X1118" i="1"/>
  <c r="Y1118" i="1"/>
  <c r="Z1118" i="1"/>
  <c r="AA1118" i="1"/>
  <c r="X1119" i="1"/>
  <c r="Y1119" i="1"/>
  <c r="Z1119" i="1"/>
  <c r="AA1119" i="1"/>
  <c r="X1120" i="1"/>
  <c r="Y1120" i="1"/>
  <c r="Z1120" i="1"/>
  <c r="AA1120" i="1"/>
  <c r="X1121" i="1"/>
  <c r="Y1121" i="1"/>
  <c r="Z1121" i="1"/>
  <c r="AA1121" i="1"/>
  <c r="X1122" i="1"/>
  <c r="Y1122" i="1"/>
  <c r="Z1122" i="1"/>
  <c r="AA1122" i="1"/>
  <c r="X1123" i="1"/>
  <c r="Y1123" i="1"/>
  <c r="Z1123" i="1"/>
  <c r="AA1123" i="1"/>
  <c r="X1124" i="1"/>
  <c r="Y1124" i="1"/>
  <c r="Z1124" i="1"/>
  <c r="AA1124" i="1"/>
  <c r="X1125" i="1"/>
  <c r="Y1125" i="1"/>
  <c r="Z1125" i="1"/>
  <c r="AA1125" i="1"/>
  <c r="X1126" i="1"/>
  <c r="Y1126" i="1"/>
  <c r="Z1126" i="1"/>
  <c r="AA1126" i="1"/>
  <c r="X1127" i="1"/>
  <c r="Y1127" i="1"/>
  <c r="Z1127" i="1"/>
  <c r="AA1127" i="1"/>
  <c r="X1128" i="1"/>
  <c r="Y1128" i="1"/>
  <c r="Z1128" i="1"/>
  <c r="AA1128" i="1"/>
  <c r="X1129" i="1"/>
  <c r="Y1129" i="1"/>
  <c r="Z1129" i="1"/>
  <c r="AA1129" i="1"/>
  <c r="X1130" i="1"/>
  <c r="Y1130" i="1"/>
  <c r="Z1130" i="1"/>
  <c r="AA1130" i="1"/>
  <c r="X1131" i="1"/>
  <c r="Y1131" i="1"/>
  <c r="Z1131" i="1"/>
  <c r="AA1131" i="1"/>
  <c r="X1132" i="1"/>
  <c r="Y1132" i="1"/>
  <c r="Z1132" i="1"/>
  <c r="AA1132" i="1"/>
  <c r="X1133" i="1"/>
  <c r="Y1133" i="1"/>
  <c r="Z1133" i="1"/>
  <c r="AA1133" i="1"/>
  <c r="X1134" i="1"/>
  <c r="Y1134" i="1"/>
  <c r="Z1134" i="1"/>
  <c r="AA1134" i="1"/>
  <c r="X1135" i="1"/>
  <c r="Y1135" i="1"/>
  <c r="Z1135" i="1"/>
  <c r="AA1135" i="1"/>
  <c r="X1136" i="1"/>
  <c r="Y1136" i="1"/>
  <c r="Z1136" i="1"/>
  <c r="AA1136" i="1"/>
  <c r="X1137" i="1"/>
  <c r="Y1137" i="1"/>
  <c r="Z1137" i="1"/>
  <c r="AA1137" i="1"/>
  <c r="X1138" i="1"/>
  <c r="Y1138" i="1"/>
  <c r="Z1138" i="1"/>
  <c r="AA1138" i="1"/>
  <c r="X1139" i="1"/>
  <c r="Y1139" i="1"/>
  <c r="Z1139" i="1"/>
  <c r="AA1139" i="1"/>
  <c r="X1140" i="1"/>
  <c r="Y1140" i="1"/>
  <c r="Z1140" i="1"/>
  <c r="AA1140" i="1"/>
  <c r="X1141" i="1"/>
  <c r="Y1141" i="1"/>
  <c r="Z1141" i="1"/>
  <c r="AA1141" i="1"/>
  <c r="X1142" i="1"/>
  <c r="Y1142" i="1"/>
  <c r="Z1142" i="1"/>
  <c r="AA1142" i="1"/>
  <c r="X1143" i="1"/>
  <c r="Y1143" i="1"/>
  <c r="Z1143" i="1"/>
  <c r="AA1143" i="1"/>
  <c r="X1144" i="1"/>
  <c r="Y1144" i="1"/>
  <c r="Z1144" i="1"/>
  <c r="AA1144" i="1"/>
  <c r="X1145" i="1"/>
  <c r="Y1145" i="1"/>
  <c r="Z1145" i="1"/>
  <c r="AA1145" i="1"/>
  <c r="X1146" i="1"/>
  <c r="Y1146" i="1"/>
  <c r="Z1146" i="1"/>
  <c r="AA1146" i="1"/>
  <c r="X1147" i="1"/>
  <c r="Y1147" i="1"/>
  <c r="Z1147" i="1"/>
  <c r="AA1147" i="1"/>
  <c r="X1148" i="1"/>
  <c r="Y1148" i="1"/>
  <c r="Z1148" i="1"/>
  <c r="AA1148" i="1"/>
  <c r="X1149" i="1"/>
  <c r="Y1149" i="1"/>
  <c r="Z1149" i="1"/>
  <c r="AA1149" i="1"/>
  <c r="X1150" i="1"/>
  <c r="Y1150" i="1"/>
  <c r="Z1150" i="1"/>
  <c r="AA1150" i="1"/>
  <c r="X1151" i="1"/>
  <c r="Y1151" i="1"/>
  <c r="Z1151" i="1"/>
  <c r="AA1151" i="1"/>
  <c r="X1152" i="1"/>
  <c r="Y1152" i="1"/>
  <c r="Z1152" i="1"/>
  <c r="AA1152" i="1"/>
  <c r="X1153" i="1"/>
  <c r="Y1153" i="1"/>
  <c r="Z1153" i="1"/>
  <c r="AA1153" i="1"/>
  <c r="X1154" i="1"/>
  <c r="Y1154" i="1"/>
  <c r="Z1154" i="1"/>
  <c r="AA1154" i="1"/>
  <c r="X1155" i="1"/>
  <c r="Y1155" i="1"/>
  <c r="Z1155" i="1"/>
  <c r="AA1155" i="1"/>
  <c r="X1156" i="1"/>
  <c r="Y1156" i="1"/>
  <c r="Z1156" i="1"/>
  <c r="AA1156" i="1"/>
  <c r="X1157" i="1"/>
  <c r="Y1157" i="1"/>
  <c r="Z1157" i="1"/>
  <c r="AA1157" i="1"/>
  <c r="X1158" i="1"/>
  <c r="Y1158" i="1"/>
  <c r="Z1158" i="1"/>
  <c r="AA1158" i="1"/>
  <c r="X1159" i="1"/>
  <c r="Y1159" i="1"/>
  <c r="Z1159" i="1"/>
  <c r="AA1159" i="1"/>
  <c r="X1160" i="1"/>
  <c r="Y1160" i="1"/>
  <c r="Z1160" i="1"/>
  <c r="AA1160" i="1"/>
  <c r="X1161" i="1"/>
  <c r="Y1161" i="1"/>
  <c r="Z1161" i="1"/>
  <c r="AA1161" i="1"/>
  <c r="X1162" i="1"/>
  <c r="Y1162" i="1"/>
  <c r="Z1162" i="1"/>
  <c r="AA1162" i="1"/>
  <c r="X1163" i="1"/>
  <c r="Y1163" i="1"/>
  <c r="Z1163" i="1"/>
  <c r="AA1163" i="1"/>
  <c r="X1164" i="1"/>
  <c r="Y1164" i="1"/>
  <c r="Z1164" i="1"/>
  <c r="AA1164" i="1"/>
  <c r="X1165" i="1"/>
  <c r="Y1165" i="1"/>
  <c r="Z1165" i="1"/>
  <c r="AA1165" i="1"/>
  <c r="X1166" i="1"/>
  <c r="Y1166" i="1"/>
  <c r="Z1166" i="1"/>
  <c r="AA1166" i="1"/>
  <c r="X1167" i="1"/>
  <c r="Y1167" i="1"/>
  <c r="Z1167" i="1"/>
  <c r="AA1167" i="1"/>
  <c r="X1168" i="1"/>
  <c r="Y1168" i="1"/>
  <c r="Z1168" i="1"/>
  <c r="AA1168" i="1"/>
  <c r="X1169" i="1"/>
  <c r="Y1169" i="1"/>
  <c r="Z1169" i="1"/>
  <c r="AA1169" i="1"/>
  <c r="X1170" i="1"/>
  <c r="Y1170" i="1"/>
  <c r="Z1170" i="1"/>
  <c r="AA1170" i="1"/>
  <c r="X1171" i="1"/>
  <c r="Y1171" i="1"/>
  <c r="Z1171" i="1"/>
  <c r="AA1171" i="1"/>
  <c r="X1172" i="1"/>
  <c r="Y1172" i="1"/>
  <c r="Z1172" i="1"/>
  <c r="AA1172" i="1"/>
  <c r="X1173" i="1"/>
  <c r="Y1173" i="1"/>
  <c r="Z1173" i="1"/>
  <c r="AA1173" i="1"/>
  <c r="X1174" i="1"/>
  <c r="Y1174" i="1"/>
  <c r="Z1174" i="1"/>
  <c r="AA1174" i="1"/>
  <c r="X1175" i="1"/>
  <c r="Y1175" i="1"/>
  <c r="Z1175" i="1"/>
  <c r="AA1175" i="1"/>
  <c r="X1176" i="1"/>
  <c r="Y1176" i="1"/>
  <c r="Z1176" i="1"/>
  <c r="AA1176" i="1"/>
  <c r="X1177" i="1"/>
  <c r="Y1177" i="1"/>
  <c r="Z1177" i="1"/>
  <c r="AA1177" i="1"/>
  <c r="X1178" i="1"/>
  <c r="Y1178" i="1"/>
  <c r="Z1178" i="1"/>
  <c r="AA1178" i="1"/>
  <c r="X1179" i="1"/>
  <c r="Y1179" i="1"/>
  <c r="Z1179" i="1"/>
  <c r="AA1179" i="1"/>
  <c r="X1180" i="1"/>
  <c r="Y1180" i="1"/>
  <c r="Z1180" i="1"/>
  <c r="AA1180" i="1"/>
  <c r="X1181" i="1"/>
  <c r="Y1181" i="1"/>
  <c r="Z1181" i="1"/>
  <c r="AA1181" i="1"/>
  <c r="X1182" i="1"/>
  <c r="Y1182" i="1"/>
  <c r="Z1182" i="1"/>
  <c r="AA1182" i="1"/>
  <c r="X1183" i="1"/>
  <c r="Y1183" i="1"/>
  <c r="Z1183" i="1"/>
  <c r="AA1183" i="1"/>
  <c r="X1184" i="1"/>
  <c r="Y1184" i="1"/>
  <c r="Z1184" i="1"/>
  <c r="AA1184" i="1"/>
  <c r="X1185" i="1"/>
  <c r="Y1185" i="1"/>
  <c r="Z1185" i="1"/>
  <c r="AA1185" i="1"/>
  <c r="X1186" i="1"/>
  <c r="Y1186" i="1"/>
  <c r="Z1186" i="1"/>
  <c r="AA1186" i="1"/>
  <c r="X1187" i="1"/>
  <c r="Y1187" i="1"/>
  <c r="Z1187" i="1"/>
  <c r="AA1187" i="1"/>
  <c r="X1188" i="1"/>
  <c r="Y1188" i="1"/>
  <c r="Z1188" i="1"/>
  <c r="AA1188" i="1"/>
  <c r="X1189" i="1"/>
  <c r="Y1189" i="1"/>
  <c r="Z1189" i="1"/>
  <c r="AA1189" i="1"/>
  <c r="X1190" i="1"/>
  <c r="Y1190" i="1"/>
  <c r="Z1190" i="1"/>
  <c r="AA1190" i="1"/>
  <c r="X1191" i="1"/>
  <c r="Y1191" i="1"/>
  <c r="Z1191" i="1"/>
  <c r="AA1191" i="1"/>
  <c r="X1192" i="1"/>
  <c r="Y1192" i="1"/>
  <c r="Z1192" i="1"/>
  <c r="AA1192" i="1"/>
  <c r="X1193" i="1"/>
  <c r="Y1193" i="1"/>
  <c r="Z1193" i="1"/>
  <c r="AA1193" i="1"/>
  <c r="X1194" i="1"/>
  <c r="Y1194" i="1"/>
  <c r="Z1194" i="1"/>
  <c r="AA1194" i="1"/>
  <c r="X1195" i="1"/>
  <c r="Y1195" i="1"/>
  <c r="Z1195" i="1"/>
  <c r="AA1195" i="1"/>
  <c r="X1196" i="1"/>
  <c r="Y1196" i="1"/>
  <c r="Z1196" i="1"/>
  <c r="AA1196" i="1"/>
  <c r="X1197" i="1"/>
  <c r="Y1197" i="1"/>
  <c r="Z1197" i="1"/>
  <c r="AA1197" i="1"/>
  <c r="X1198" i="1"/>
  <c r="Y1198" i="1"/>
  <c r="Z1198" i="1"/>
  <c r="AA1198" i="1"/>
  <c r="X1199" i="1"/>
  <c r="Y1199" i="1"/>
  <c r="Z1199" i="1"/>
  <c r="AA1199" i="1"/>
  <c r="X1200" i="1"/>
  <c r="Y1200" i="1"/>
  <c r="Z1200" i="1"/>
  <c r="AA1200" i="1"/>
  <c r="X1201" i="1"/>
  <c r="Y1201" i="1"/>
  <c r="Z1201" i="1"/>
  <c r="AA1201" i="1"/>
  <c r="X1202" i="1"/>
  <c r="Y1202" i="1"/>
  <c r="Z1202" i="1"/>
  <c r="AA1202" i="1"/>
  <c r="X1203" i="1"/>
  <c r="Y1203" i="1"/>
  <c r="Z1203" i="1"/>
  <c r="AA1203" i="1"/>
  <c r="X1204" i="1"/>
  <c r="Y1204" i="1"/>
  <c r="Z1204" i="1"/>
  <c r="AA1204" i="1"/>
  <c r="X1205" i="1"/>
  <c r="Y1205" i="1"/>
  <c r="Z1205" i="1"/>
  <c r="AA1205" i="1"/>
  <c r="X1206" i="1"/>
  <c r="Y1206" i="1"/>
  <c r="Z1206" i="1"/>
  <c r="AA1206" i="1"/>
  <c r="X1207" i="1"/>
  <c r="Y1207" i="1"/>
  <c r="Z1207" i="1"/>
  <c r="AA1207" i="1"/>
  <c r="X1208" i="1"/>
  <c r="Y1208" i="1"/>
  <c r="Z1208" i="1"/>
  <c r="AA1208" i="1"/>
  <c r="X1209" i="1"/>
  <c r="Y1209" i="1"/>
  <c r="Z1209" i="1"/>
  <c r="AA1209" i="1"/>
  <c r="X1210" i="1"/>
  <c r="Y1210" i="1"/>
  <c r="Z1210" i="1"/>
  <c r="AA1210" i="1"/>
  <c r="X1211" i="1"/>
  <c r="Y1211" i="1"/>
  <c r="Z1211" i="1"/>
  <c r="AA1211" i="1"/>
  <c r="X1212" i="1"/>
  <c r="Y1212" i="1"/>
  <c r="Z1212" i="1"/>
  <c r="AA1212" i="1"/>
  <c r="X1213" i="1"/>
  <c r="Y1213" i="1"/>
  <c r="Z1213" i="1"/>
  <c r="AA1213" i="1"/>
  <c r="X1214" i="1"/>
  <c r="Y1214" i="1"/>
  <c r="Z1214" i="1"/>
  <c r="AA1214" i="1"/>
  <c r="X1215" i="1"/>
  <c r="Y1215" i="1"/>
  <c r="Z1215" i="1"/>
  <c r="AA1215" i="1"/>
  <c r="X1216" i="1"/>
  <c r="Y1216" i="1"/>
  <c r="Z1216" i="1"/>
  <c r="AA1216" i="1"/>
  <c r="X1217" i="1"/>
  <c r="Y1217" i="1"/>
  <c r="Z1217" i="1"/>
  <c r="AA1217" i="1"/>
  <c r="X1218" i="1"/>
  <c r="Y1218" i="1"/>
  <c r="Z1218" i="1"/>
  <c r="AA1218" i="1"/>
  <c r="X1219" i="1"/>
  <c r="Y1219" i="1"/>
  <c r="Z1219" i="1"/>
  <c r="AA1219" i="1"/>
  <c r="X1220" i="1"/>
  <c r="Y1220" i="1"/>
  <c r="Z1220" i="1"/>
  <c r="AA1220" i="1"/>
  <c r="X1221" i="1"/>
  <c r="Y1221" i="1"/>
  <c r="Z1221" i="1"/>
  <c r="AA1221" i="1"/>
  <c r="X1222" i="1"/>
  <c r="Y1222" i="1"/>
  <c r="Z1222" i="1"/>
  <c r="AA1222" i="1"/>
  <c r="X1223" i="1"/>
  <c r="Y1223" i="1"/>
  <c r="Z1223" i="1"/>
  <c r="AA1223" i="1"/>
  <c r="X1224" i="1"/>
  <c r="Y1224" i="1"/>
  <c r="Z1224" i="1"/>
  <c r="AA1224" i="1"/>
  <c r="X1225" i="1"/>
  <c r="Y1225" i="1"/>
  <c r="Z1225" i="1"/>
  <c r="AA1225" i="1"/>
  <c r="X1226" i="1"/>
  <c r="Y1226" i="1"/>
  <c r="Z1226" i="1"/>
  <c r="AA1226" i="1"/>
  <c r="X1227" i="1"/>
  <c r="Y1227" i="1"/>
  <c r="Z1227" i="1"/>
  <c r="AA1227" i="1"/>
  <c r="X1228" i="1"/>
  <c r="Y1228" i="1"/>
  <c r="Z1228" i="1"/>
  <c r="AA1228" i="1"/>
  <c r="X1229" i="1"/>
  <c r="Y1229" i="1"/>
  <c r="Z1229" i="1"/>
  <c r="AA1229" i="1"/>
  <c r="X1230" i="1"/>
  <c r="Y1230" i="1"/>
  <c r="Z1230" i="1"/>
  <c r="AA1230" i="1"/>
  <c r="X1231" i="1"/>
  <c r="Y1231" i="1"/>
  <c r="Z1231" i="1"/>
  <c r="AA1231" i="1"/>
  <c r="X1232" i="1"/>
  <c r="Y1232" i="1"/>
  <c r="Z1232" i="1"/>
  <c r="AA1232" i="1"/>
  <c r="X1233" i="1"/>
  <c r="Y1233" i="1"/>
  <c r="Z1233" i="1"/>
  <c r="AA1233" i="1"/>
  <c r="X1234" i="1"/>
  <c r="Y1234" i="1"/>
  <c r="Z1234" i="1"/>
  <c r="AA1234" i="1"/>
  <c r="X1235" i="1"/>
  <c r="Y1235" i="1"/>
  <c r="Z1235" i="1"/>
  <c r="AA1235" i="1"/>
  <c r="X1236" i="1"/>
  <c r="Y1236" i="1"/>
  <c r="Z1236" i="1"/>
  <c r="AA1236" i="1"/>
  <c r="X1237" i="1"/>
  <c r="Y1237" i="1"/>
  <c r="Z1237" i="1"/>
  <c r="AA1237" i="1"/>
  <c r="X1238" i="1"/>
  <c r="Y1238" i="1"/>
  <c r="Z1238" i="1"/>
  <c r="AA1238" i="1"/>
  <c r="X1239" i="1"/>
  <c r="Y1239" i="1"/>
  <c r="Z1239" i="1"/>
  <c r="AA1239" i="1"/>
  <c r="X1240" i="1"/>
  <c r="Y1240" i="1"/>
  <c r="Z1240" i="1"/>
  <c r="AA1240" i="1"/>
  <c r="X1241" i="1"/>
  <c r="Y1241" i="1"/>
  <c r="Z1241" i="1"/>
  <c r="AA1241" i="1"/>
  <c r="X1242" i="1"/>
  <c r="Y1242" i="1"/>
  <c r="Z1242" i="1"/>
  <c r="AA1242" i="1"/>
  <c r="X1243" i="1"/>
  <c r="Y1243" i="1"/>
  <c r="Z1243" i="1"/>
  <c r="AA1243" i="1"/>
  <c r="X1244" i="1"/>
  <c r="Y1244" i="1"/>
  <c r="Z1244" i="1"/>
  <c r="AA1244" i="1"/>
  <c r="X1245" i="1"/>
  <c r="Y1245" i="1"/>
  <c r="Z1245" i="1"/>
  <c r="AA1245" i="1"/>
  <c r="X1246" i="1"/>
  <c r="Y1246" i="1"/>
  <c r="Z1246" i="1"/>
  <c r="AA1246" i="1"/>
  <c r="X1247" i="1"/>
  <c r="Y1247" i="1"/>
  <c r="Z1247" i="1"/>
  <c r="AA1247" i="1"/>
  <c r="X1248" i="1"/>
  <c r="Y1248" i="1"/>
  <c r="Z1248" i="1"/>
  <c r="AA1248" i="1"/>
  <c r="X1249" i="1"/>
  <c r="Y1249" i="1"/>
  <c r="Z1249" i="1"/>
  <c r="AA1249" i="1"/>
  <c r="X1250" i="1"/>
  <c r="Y1250" i="1"/>
  <c r="Z1250" i="1"/>
  <c r="AA1250" i="1"/>
  <c r="X1251" i="1"/>
  <c r="Y1251" i="1"/>
  <c r="Z1251" i="1"/>
  <c r="AA1251" i="1"/>
  <c r="X1252" i="1"/>
  <c r="Y1252" i="1"/>
  <c r="Z1252" i="1"/>
  <c r="AA1252" i="1"/>
  <c r="X1253" i="1"/>
  <c r="Y1253" i="1"/>
  <c r="Z1253" i="1"/>
  <c r="AA1253" i="1"/>
  <c r="X1254" i="1"/>
  <c r="Y1254" i="1"/>
  <c r="Z1254" i="1"/>
  <c r="AA1254" i="1"/>
  <c r="X1255" i="1"/>
  <c r="Y1255" i="1"/>
  <c r="Z1255" i="1"/>
  <c r="AA1255" i="1"/>
  <c r="X1256" i="1"/>
  <c r="Y1256" i="1"/>
  <c r="Z1256" i="1"/>
  <c r="AA1256" i="1"/>
  <c r="X1257" i="1"/>
  <c r="Y1257" i="1"/>
  <c r="Z1257" i="1"/>
  <c r="AA1257" i="1"/>
  <c r="X1258" i="1"/>
  <c r="Y1258" i="1"/>
  <c r="Z1258" i="1"/>
  <c r="AA1258" i="1"/>
  <c r="X1259" i="1"/>
  <c r="Y1259" i="1"/>
  <c r="Z1259" i="1"/>
  <c r="AA1259" i="1"/>
  <c r="X1260" i="1"/>
  <c r="Y1260" i="1"/>
  <c r="Z1260" i="1"/>
  <c r="AA1260" i="1"/>
  <c r="X1261" i="1"/>
  <c r="Y1261" i="1"/>
  <c r="Z1261" i="1"/>
  <c r="AA1261" i="1"/>
  <c r="X1262" i="1"/>
  <c r="Y1262" i="1"/>
  <c r="Z1262" i="1"/>
  <c r="AA1262" i="1"/>
  <c r="X1263" i="1"/>
  <c r="Y1263" i="1"/>
  <c r="Z1263" i="1"/>
  <c r="AA1263" i="1"/>
  <c r="X1264" i="1"/>
  <c r="Y1264" i="1"/>
  <c r="Z1264" i="1"/>
  <c r="AA1264" i="1"/>
  <c r="X1265" i="1"/>
  <c r="Y1265" i="1"/>
  <c r="Z1265" i="1"/>
  <c r="AA1265" i="1"/>
  <c r="X1266" i="1"/>
  <c r="Y1266" i="1"/>
  <c r="Z1266" i="1"/>
  <c r="AA1266" i="1"/>
  <c r="X1267" i="1"/>
  <c r="Y1267" i="1"/>
  <c r="Z1267" i="1"/>
  <c r="AA1267" i="1"/>
  <c r="X1268" i="1"/>
  <c r="Y1268" i="1"/>
  <c r="Z1268" i="1"/>
  <c r="AA1268" i="1"/>
  <c r="X1269" i="1"/>
  <c r="Y1269" i="1"/>
  <c r="Z1269" i="1"/>
  <c r="AA1269" i="1"/>
  <c r="X1270" i="1"/>
  <c r="Y1270" i="1"/>
  <c r="Z1270" i="1"/>
  <c r="AA1270" i="1"/>
  <c r="X1271" i="1"/>
  <c r="Y1271" i="1"/>
  <c r="Z1271" i="1"/>
  <c r="AA1271" i="1"/>
  <c r="X1272" i="1"/>
  <c r="Y1272" i="1"/>
  <c r="Z1272" i="1"/>
  <c r="AA1272" i="1"/>
  <c r="X1273" i="1"/>
  <c r="Y1273" i="1"/>
  <c r="Z1273" i="1"/>
  <c r="AA1273" i="1"/>
  <c r="X1274" i="1"/>
  <c r="Y1274" i="1"/>
  <c r="Z1274" i="1"/>
  <c r="AA1274" i="1"/>
  <c r="X1275" i="1"/>
  <c r="Y1275" i="1"/>
  <c r="Z1275" i="1"/>
  <c r="AA1275" i="1"/>
  <c r="X1276" i="1"/>
  <c r="Y1276" i="1"/>
  <c r="Z1276" i="1"/>
  <c r="AA1276" i="1"/>
  <c r="X1277" i="1"/>
  <c r="Y1277" i="1"/>
  <c r="Z1277" i="1"/>
  <c r="AA1277" i="1"/>
  <c r="X1278" i="1"/>
  <c r="Y1278" i="1"/>
  <c r="Z1278" i="1"/>
  <c r="AA1278" i="1"/>
  <c r="X1279" i="1"/>
  <c r="Y1279" i="1"/>
  <c r="Z1279" i="1"/>
  <c r="AA1279" i="1"/>
  <c r="X1280" i="1"/>
  <c r="Y1280" i="1"/>
  <c r="Z1280" i="1"/>
  <c r="AA1280" i="1"/>
  <c r="X1281" i="1"/>
  <c r="Y1281" i="1"/>
  <c r="Z1281" i="1"/>
  <c r="AA1281" i="1"/>
  <c r="X1282" i="1"/>
  <c r="Y1282" i="1"/>
  <c r="Z1282" i="1"/>
  <c r="AA1282" i="1"/>
  <c r="X1283" i="1"/>
  <c r="Y1283" i="1"/>
  <c r="Z1283" i="1"/>
  <c r="AA1283" i="1"/>
  <c r="X1284" i="1"/>
  <c r="Y1284" i="1"/>
  <c r="Z1284" i="1"/>
  <c r="AA1284" i="1"/>
  <c r="X1285" i="1"/>
  <c r="Y1285" i="1"/>
  <c r="Z1285" i="1"/>
  <c r="AA1285" i="1"/>
  <c r="X1286" i="1"/>
  <c r="Y1286" i="1"/>
  <c r="Z1286" i="1"/>
  <c r="AA1286" i="1"/>
  <c r="X1287" i="1"/>
  <c r="Y1287" i="1"/>
  <c r="Z1287" i="1"/>
  <c r="AA1287" i="1"/>
  <c r="X1288" i="1"/>
  <c r="Y1288" i="1"/>
  <c r="Z1288" i="1"/>
  <c r="AA1288" i="1"/>
  <c r="X1289" i="1"/>
  <c r="Y1289" i="1"/>
  <c r="Z1289" i="1"/>
  <c r="AA1289" i="1"/>
  <c r="X1290" i="1"/>
  <c r="Y1290" i="1"/>
  <c r="Z1290" i="1"/>
  <c r="AA1290" i="1"/>
  <c r="X1291" i="1"/>
  <c r="Y1291" i="1"/>
  <c r="Z1291" i="1"/>
  <c r="AA1291" i="1"/>
  <c r="X1292" i="1"/>
  <c r="Y1292" i="1"/>
  <c r="Z1292" i="1"/>
  <c r="AA1292" i="1"/>
  <c r="X1293" i="1"/>
  <c r="Y1293" i="1"/>
  <c r="Z1293" i="1"/>
  <c r="AA1293" i="1"/>
  <c r="X1294" i="1"/>
  <c r="Y1294" i="1"/>
  <c r="Z1294" i="1"/>
  <c r="AA1294" i="1"/>
  <c r="X1295" i="1"/>
  <c r="Y1295" i="1"/>
  <c r="Z1295" i="1"/>
  <c r="AA1295" i="1"/>
  <c r="X1296" i="1"/>
  <c r="Y1296" i="1"/>
  <c r="Z1296" i="1"/>
  <c r="AA1296" i="1"/>
  <c r="X1297" i="1"/>
  <c r="Y1297" i="1"/>
  <c r="Z1297" i="1"/>
  <c r="AA1297" i="1"/>
  <c r="X1298" i="1"/>
  <c r="Y1298" i="1"/>
  <c r="Z1298" i="1"/>
  <c r="AA1298" i="1"/>
  <c r="X1299" i="1"/>
  <c r="Y1299" i="1"/>
  <c r="Z1299" i="1"/>
  <c r="AA1299" i="1"/>
  <c r="X1300" i="1"/>
  <c r="Y1300" i="1"/>
  <c r="Z1300" i="1"/>
  <c r="AA1300" i="1"/>
  <c r="X1301" i="1"/>
  <c r="Y1301" i="1"/>
  <c r="Z1301" i="1"/>
  <c r="AA1301" i="1"/>
  <c r="X1302" i="1"/>
  <c r="Y1302" i="1"/>
  <c r="Z1302" i="1"/>
  <c r="AA1302" i="1"/>
  <c r="X1303" i="1"/>
  <c r="Y1303" i="1"/>
  <c r="Z1303" i="1"/>
  <c r="AA1303" i="1"/>
  <c r="X1304" i="1"/>
  <c r="Y1304" i="1"/>
  <c r="Z1304" i="1"/>
  <c r="AA1304" i="1"/>
  <c r="X1305" i="1"/>
  <c r="Y1305" i="1"/>
  <c r="Z1305" i="1"/>
  <c r="AA1305" i="1"/>
  <c r="X1306" i="1"/>
  <c r="Y1306" i="1"/>
  <c r="Z1306" i="1"/>
  <c r="AA1306" i="1"/>
  <c r="X1307" i="1"/>
  <c r="Y1307" i="1"/>
  <c r="Z1307" i="1"/>
  <c r="AA1307" i="1"/>
  <c r="X1308" i="1"/>
  <c r="Y1308" i="1"/>
  <c r="Z1308" i="1"/>
  <c r="AA1308" i="1"/>
  <c r="X1309" i="1"/>
  <c r="Y1309" i="1"/>
  <c r="Z1309" i="1"/>
  <c r="AA1309" i="1"/>
  <c r="X1310" i="1"/>
  <c r="Y1310" i="1"/>
  <c r="Z1310" i="1"/>
  <c r="AA1310" i="1"/>
  <c r="X1311" i="1"/>
  <c r="Y1311" i="1"/>
  <c r="Z1311" i="1"/>
  <c r="AA1311" i="1"/>
  <c r="X1312" i="1"/>
  <c r="Y1312" i="1"/>
  <c r="Z1312" i="1"/>
  <c r="AA1312" i="1"/>
  <c r="X1313" i="1"/>
  <c r="Y1313" i="1"/>
  <c r="Z1313" i="1"/>
  <c r="AA1313" i="1"/>
  <c r="X1314" i="1"/>
  <c r="Y1314" i="1"/>
  <c r="Z1314" i="1"/>
  <c r="AA1314" i="1"/>
  <c r="X1315" i="1"/>
  <c r="Y1315" i="1"/>
  <c r="Z1315" i="1"/>
  <c r="AA1315" i="1"/>
  <c r="X1316" i="1"/>
  <c r="Y1316" i="1"/>
  <c r="Z1316" i="1"/>
  <c r="AA1316" i="1"/>
  <c r="X1317" i="1"/>
  <c r="Y1317" i="1"/>
  <c r="Z1317" i="1"/>
  <c r="AA1317" i="1"/>
  <c r="X1318" i="1"/>
  <c r="Y1318" i="1"/>
  <c r="Z1318" i="1"/>
  <c r="AA1318" i="1"/>
  <c r="X1319" i="1"/>
  <c r="Y1319" i="1"/>
  <c r="Z1319" i="1"/>
  <c r="AA1319" i="1"/>
  <c r="X1320" i="1"/>
  <c r="Y1320" i="1"/>
  <c r="Z1320" i="1"/>
  <c r="AA1320" i="1"/>
  <c r="X1321" i="1"/>
  <c r="Y1321" i="1"/>
  <c r="Z1321" i="1"/>
  <c r="AA1321" i="1"/>
  <c r="X1322" i="1"/>
  <c r="Y1322" i="1"/>
  <c r="Z1322" i="1"/>
  <c r="AA1322" i="1"/>
  <c r="X1323" i="1"/>
  <c r="Y1323" i="1"/>
  <c r="Z1323" i="1"/>
  <c r="AA1323" i="1"/>
  <c r="X1324" i="1"/>
  <c r="Y1324" i="1"/>
  <c r="Z1324" i="1"/>
  <c r="AA1324" i="1"/>
  <c r="X1325" i="1"/>
  <c r="Y1325" i="1"/>
  <c r="Z1325" i="1"/>
  <c r="AA1325" i="1"/>
  <c r="X1326" i="1"/>
  <c r="Y1326" i="1"/>
  <c r="Z1326" i="1"/>
  <c r="AA1326" i="1"/>
  <c r="X1327" i="1"/>
  <c r="Y1327" i="1"/>
  <c r="Z1327" i="1"/>
  <c r="AA1327" i="1"/>
  <c r="X1328" i="1"/>
  <c r="Y1328" i="1"/>
  <c r="Z1328" i="1"/>
  <c r="AA1328" i="1"/>
  <c r="X1329" i="1"/>
  <c r="Y1329" i="1"/>
  <c r="Z1329" i="1"/>
  <c r="AA1329" i="1"/>
  <c r="X1330" i="1"/>
  <c r="Y1330" i="1"/>
  <c r="Z1330" i="1"/>
  <c r="AA1330" i="1"/>
  <c r="X1331" i="1"/>
  <c r="Y1331" i="1"/>
  <c r="Z1331" i="1"/>
  <c r="AA1331" i="1"/>
  <c r="X1332" i="1"/>
  <c r="Y1332" i="1"/>
  <c r="Z1332" i="1"/>
  <c r="AA1332" i="1"/>
  <c r="X1333" i="1"/>
  <c r="Y1333" i="1"/>
  <c r="Z1333" i="1"/>
  <c r="AA1333" i="1"/>
  <c r="X1334" i="1"/>
  <c r="Y1334" i="1"/>
  <c r="Z1334" i="1"/>
  <c r="AA1334" i="1"/>
  <c r="X1335" i="1"/>
  <c r="Y1335" i="1"/>
  <c r="Z1335" i="1"/>
  <c r="AA1335" i="1"/>
  <c r="X1336" i="1"/>
  <c r="Y1336" i="1"/>
  <c r="Z1336" i="1"/>
  <c r="AA1336" i="1"/>
  <c r="X1337" i="1"/>
  <c r="Y1337" i="1"/>
  <c r="Z1337" i="1"/>
  <c r="AA1337" i="1"/>
  <c r="X1338" i="1"/>
  <c r="Y1338" i="1"/>
  <c r="Z1338" i="1"/>
  <c r="AA1338" i="1"/>
  <c r="X1339" i="1"/>
  <c r="Y1339" i="1"/>
  <c r="Z1339" i="1"/>
  <c r="AA1339" i="1"/>
  <c r="X1340" i="1"/>
  <c r="Y1340" i="1"/>
  <c r="Z1340" i="1"/>
  <c r="AA1340" i="1"/>
  <c r="X1341" i="1"/>
  <c r="Y1341" i="1"/>
  <c r="Z1341" i="1"/>
  <c r="AA1341" i="1"/>
  <c r="X1342" i="1"/>
  <c r="Y1342" i="1"/>
  <c r="Z1342" i="1"/>
  <c r="AA1342" i="1"/>
  <c r="X1343" i="1"/>
  <c r="Y1343" i="1"/>
  <c r="Z1343" i="1"/>
  <c r="AA1343" i="1"/>
  <c r="X1344" i="1"/>
  <c r="Y1344" i="1"/>
  <c r="Z1344" i="1"/>
  <c r="AA1344" i="1"/>
  <c r="X1345" i="1"/>
  <c r="Y1345" i="1"/>
  <c r="Z1345" i="1"/>
  <c r="AA1345" i="1"/>
  <c r="X1346" i="1"/>
  <c r="Y1346" i="1"/>
  <c r="Z1346" i="1"/>
  <c r="AA1346" i="1"/>
  <c r="X1347" i="1"/>
  <c r="Y1347" i="1"/>
  <c r="Z1347" i="1"/>
  <c r="AA1347" i="1"/>
  <c r="X1348" i="1"/>
  <c r="Y1348" i="1"/>
  <c r="Z1348" i="1"/>
  <c r="AA1348" i="1"/>
  <c r="X1349" i="1"/>
  <c r="Y1349" i="1"/>
  <c r="Z1349" i="1"/>
  <c r="AA1349" i="1"/>
  <c r="X1350" i="1"/>
  <c r="Y1350" i="1"/>
  <c r="Z1350" i="1"/>
  <c r="AA1350" i="1"/>
  <c r="X1351" i="1"/>
  <c r="Y1351" i="1"/>
  <c r="Z1351" i="1"/>
  <c r="AA1351" i="1"/>
  <c r="X1352" i="1"/>
  <c r="Y1352" i="1"/>
  <c r="Z1352" i="1"/>
  <c r="AA1352" i="1"/>
  <c r="X1353" i="1"/>
  <c r="Y1353" i="1"/>
  <c r="Z1353" i="1"/>
  <c r="AA1353" i="1"/>
  <c r="X1354" i="1"/>
  <c r="Y1354" i="1"/>
  <c r="Z1354" i="1"/>
  <c r="AA1354" i="1"/>
  <c r="X1355" i="1"/>
  <c r="Y1355" i="1"/>
  <c r="Z1355" i="1"/>
  <c r="AA1355" i="1"/>
  <c r="X1356" i="1"/>
  <c r="Y1356" i="1"/>
  <c r="Z1356" i="1"/>
  <c r="AA1356" i="1"/>
  <c r="X1357" i="1"/>
  <c r="Y1357" i="1"/>
  <c r="Z1357" i="1"/>
  <c r="AA1357" i="1"/>
  <c r="X1358" i="1"/>
  <c r="Y1358" i="1"/>
  <c r="Z1358" i="1"/>
  <c r="AA1358" i="1"/>
  <c r="X1359" i="1"/>
  <c r="Y1359" i="1"/>
  <c r="Z1359" i="1"/>
  <c r="AA1359" i="1"/>
  <c r="X1360" i="1"/>
  <c r="Y1360" i="1"/>
  <c r="Z1360" i="1"/>
  <c r="AA1360" i="1"/>
  <c r="X1361" i="1"/>
  <c r="Y1361" i="1"/>
  <c r="Z1361" i="1"/>
  <c r="AA1361" i="1"/>
  <c r="X1362" i="1"/>
  <c r="Y1362" i="1"/>
  <c r="Z1362" i="1"/>
  <c r="AA1362" i="1"/>
  <c r="X1363" i="1"/>
  <c r="Y1363" i="1"/>
  <c r="Z1363" i="1"/>
  <c r="AA1363" i="1"/>
  <c r="X1364" i="1"/>
  <c r="Y1364" i="1"/>
  <c r="Z1364" i="1"/>
  <c r="AA1364" i="1"/>
  <c r="X1365" i="1"/>
  <c r="Y1365" i="1"/>
  <c r="Z1365" i="1"/>
  <c r="AA1365" i="1"/>
  <c r="X1366" i="1"/>
  <c r="Y1366" i="1"/>
  <c r="Z1366" i="1"/>
  <c r="AA1366" i="1"/>
  <c r="X1367" i="1"/>
  <c r="Y1367" i="1"/>
  <c r="Z1367" i="1"/>
  <c r="AA1367" i="1"/>
  <c r="X1368" i="1"/>
  <c r="Y1368" i="1"/>
  <c r="Z1368" i="1"/>
  <c r="AA1368" i="1"/>
  <c r="X1369" i="1"/>
  <c r="Y1369" i="1"/>
  <c r="Z1369" i="1"/>
  <c r="AA1369" i="1"/>
  <c r="X1370" i="1"/>
  <c r="Y1370" i="1"/>
  <c r="Z1370" i="1"/>
  <c r="AA1370" i="1"/>
  <c r="X1371" i="1"/>
  <c r="Y1371" i="1"/>
  <c r="Z1371" i="1"/>
  <c r="AA1371" i="1"/>
  <c r="X1372" i="1"/>
  <c r="Y1372" i="1"/>
  <c r="Z1372" i="1"/>
  <c r="AA1372" i="1"/>
  <c r="X1373" i="1"/>
  <c r="Y1373" i="1"/>
  <c r="Z1373" i="1"/>
  <c r="AA1373" i="1"/>
  <c r="X1374" i="1"/>
  <c r="Y1374" i="1"/>
  <c r="Z1374" i="1"/>
  <c r="AA1374" i="1"/>
  <c r="X1375" i="1"/>
  <c r="Y1375" i="1"/>
  <c r="Z1375" i="1"/>
  <c r="AA1375" i="1"/>
  <c r="X1376" i="1"/>
  <c r="Y1376" i="1"/>
  <c r="Z1376" i="1"/>
  <c r="AA1376" i="1"/>
  <c r="X1377" i="1"/>
  <c r="Y1377" i="1"/>
  <c r="Z1377" i="1"/>
  <c r="AA1377" i="1"/>
  <c r="X1378" i="1"/>
  <c r="Y1378" i="1"/>
  <c r="Z1378" i="1"/>
  <c r="AA1378" i="1"/>
  <c r="X1379" i="1"/>
  <c r="Y1379" i="1"/>
  <c r="Z1379" i="1"/>
  <c r="AA1379" i="1"/>
  <c r="X1380" i="1"/>
  <c r="Y1380" i="1"/>
  <c r="Z1380" i="1"/>
  <c r="AA1380" i="1"/>
  <c r="X1381" i="1"/>
  <c r="Y1381" i="1"/>
  <c r="Z1381" i="1"/>
  <c r="AA1381" i="1"/>
  <c r="X1382" i="1"/>
  <c r="Y1382" i="1"/>
  <c r="Z1382" i="1"/>
  <c r="AA1382" i="1"/>
  <c r="X1383" i="1"/>
  <c r="Y1383" i="1"/>
  <c r="Z1383" i="1"/>
  <c r="AA1383" i="1"/>
  <c r="X1384" i="1"/>
  <c r="Y1384" i="1"/>
  <c r="Z1384" i="1"/>
  <c r="AA1384" i="1"/>
  <c r="X1385" i="1"/>
  <c r="Y1385" i="1"/>
  <c r="Z1385" i="1"/>
  <c r="AA1385" i="1"/>
  <c r="X1386" i="1"/>
  <c r="Y1386" i="1"/>
  <c r="Z1386" i="1"/>
  <c r="AA1386" i="1"/>
  <c r="X1387" i="1"/>
  <c r="Y1387" i="1"/>
  <c r="Z1387" i="1"/>
  <c r="AA1387" i="1"/>
  <c r="X1388" i="1"/>
  <c r="Y1388" i="1"/>
  <c r="Z1388" i="1"/>
  <c r="AA1388" i="1"/>
  <c r="X1389" i="1"/>
  <c r="Y1389" i="1"/>
  <c r="Z1389" i="1"/>
  <c r="AA1389" i="1"/>
  <c r="X1390" i="1"/>
  <c r="Y1390" i="1"/>
  <c r="Z1390" i="1"/>
  <c r="AA1390" i="1"/>
  <c r="X1391" i="1"/>
  <c r="Y1391" i="1"/>
  <c r="Z1391" i="1"/>
  <c r="AA1391" i="1"/>
  <c r="X1392" i="1"/>
  <c r="Y1392" i="1"/>
  <c r="Z1392" i="1"/>
  <c r="AA1392" i="1"/>
  <c r="X1393" i="1"/>
  <c r="Y1393" i="1"/>
  <c r="Z1393" i="1"/>
  <c r="AA1393" i="1"/>
  <c r="X1394" i="1"/>
  <c r="Y1394" i="1"/>
  <c r="Z1394" i="1"/>
  <c r="AA1394" i="1"/>
  <c r="X1395" i="1"/>
  <c r="Y1395" i="1"/>
  <c r="Z1395" i="1"/>
  <c r="AA1395" i="1"/>
  <c r="X1396" i="1"/>
  <c r="Y1396" i="1"/>
  <c r="Z1396" i="1"/>
  <c r="AA1396" i="1"/>
  <c r="X1397" i="1"/>
  <c r="Y1397" i="1"/>
  <c r="Z1397" i="1"/>
  <c r="AA1397" i="1"/>
  <c r="X1398" i="1"/>
  <c r="Y1398" i="1"/>
  <c r="Z1398" i="1"/>
  <c r="AA1398" i="1"/>
  <c r="X1399" i="1"/>
  <c r="Y1399" i="1"/>
  <c r="Z1399" i="1"/>
  <c r="AA1399" i="1"/>
  <c r="X1400" i="1"/>
  <c r="Y1400" i="1"/>
  <c r="Z1400" i="1"/>
  <c r="AA1400" i="1"/>
  <c r="X1401" i="1"/>
  <c r="Y1401" i="1"/>
  <c r="Z1401" i="1"/>
  <c r="AA1401" i="1"/>
  <c r="X1402" i="1"/>
  <c r="Y1402" i="1"/>
  <c r="Z1402" i="1"/>
  <c r="AA1402" i="1"/>
  <c r="X1403" i="1"/>
  <c r="Y1403" i="1"/>
  <c r="Z1403" i="1"/>
  <c r="AA1403" i="1"/>
  <c r="X1404" i="1"/>
  <c r="Y1404" i="1"/>
  <c r="Z1404" i="1"/>
  <c r="AA1404" i="1"/>
  <c r="X1405" i="1"/>
  <c r="Y1405" i="1"/>
  <c r="Z1405" i="1"/>
  <c r="AA1405" i="1"/>
  <c r="X1406" i="1"/>
  <c r="Y1406" i="1"/>
  <c r="Z1406" i="1"/>
  <c r="AA1406" i="1"/>
  <c r="X1407" i="1"/>
  <c r="Y1407" i="1"/>
  <c r="Z1407" i="1"/>
  <c r="AA1407" i="1"/>
  <c r="X1408" i="1"/>
  <c r="Y1408" i="1"/>
  <c r="Z1408" i="1"/>
  <c r="AA1408" i="1"/>
  <c r="X1409" i="1"/>
  <c r="Y1409" i="1"/>
  <c r="Z1409" i="1"/>
  <c r="AA1409" i="1"/>
  <c r="X1410" i="1"/>
  <c r="Y1410" i="1"/>
  <c r="Z1410" i="1"/>
  <c r="AA1410" i="1"/>
  <c r="X1411" i="1"/>
  <c r="Y1411" i="1"/>
  <c r="Z1411" i="1"/>
  <c r="AA1411" i="1"/>
  <c r="X1412" i="1"/>
  <c r="Y1412" i="1"/>
  <c r="Z1412" i="1"/>
  <c r="AA1412" i="1"/>
  <c r="X1413" i="1"/>
  <c r="Y1413" i="1"/>
  <c r="Z1413" i="1"/>
  <c r="AA1413" i="1"/>
  <c r="X1414" i="1"/>
  <c r="Y1414" i="1"/>
  <c r="Z1414" i="1"/>
  <c r="AA1414" i="1"/>
  <c r="X1415" i="1"/>
  <c r="Y1415" i="1"/>
  <c r="Z1415" i="1"/>
  <c r="AA1415" i="1"/>
  <c r="X1416" i="1"/>
  <c r="Y1416" i="1"/>
  <c r="Z1416" i="1"/>
  <c r="AA1416" i="1"/>
  <c r="X1417" i="1"/>
  <c r="Y1417" i="1"/>
  <c r="Z1417" i="1"/>
  <c r="AA1417" i="1"/>
  <c r="X1418" i="1"/>
  <c r="Y1418" i="1"/>
  <c r="Z1418" i="1"/>
  <c r="AA1418" i="1"/>
  <c r="X1419" i="1"/>
  <c r="Y1419" i="1"/>
  <c r="Z1419" i="1"/>
  <c r="AA1419" i="1"/>
  <c r="X1420" i="1"/>
  <c r="Y1420" i="1"/>
  <c r="Z1420" i="1"/>
  <c r="AA1420" i="1"/>
  <c r="X1421" i="1"/>
  <c r="Y1421" i="1"/>
  <c r="Z1421" i="1"/>
  <c r="AA1421" i="1"/>
  <c r="X1422" i="1"/>
  <c r="Y1422" i="1"/>
  <c r="Z1422" i="1"/>
  <c r="AA1422" i="1"/>
  <c r="X1423" i="1"/>
  <c r="Y1423" i="1"/>
  <c r="Z1423" i="1"/>
  <c r="AA1423" i="1"/>
  <c r="X1424" i="1"/>
  <c r="Y1424" i="1"/>
  <c r="Z1424" i="1"/>
  <c r="AA1424" i="1"/>
  <c r="X1425" i="1"/>
  <c r="Y1425" i="1"/>
  <c r="Z1425" i="1"/>
  <c r="AA1425" i="1"/>
  <c r="X1426" i="1"/>
  <c r="Y1426" i="1"/>
  <c r="Z1426" i="1"/>
  <c r="AA1426" i="1"/>
  <c r="X1427" i="1"/>
  <c r="Y1427" i="1"/>
  <c r="Z1427" i="1"/>
  <c r="AA1427" i="1"/>
  <c r="X1428" i="1"/>
  <c r="Y1428" i="1"/>
  <c r="Z1428" i="1"/>
  <c r="AA1428" i="1"/>
  <c r="X1429" i="1"/>
  <c r="Y1429" i="1"/>
  <c r="Z1429" i="1"/>
  <c r="AA1429" i="1"/>
  <c r="X1430" i="1"/>
  <c r="Y1430" i="1"/>
  <c r="Z1430" i="1"/>
  <c r="AA1430" i="1"/>
  <c r="X1431" i="1"/>
  <c r="Y1431" i="1"/>
  <c r="Z1431" i="1"/>
  <c r="AA1431" i="1"/>
  <c r="X1432" i="1"/>
  <c r="Y1432" i="1"/>
  <c r="Z1432" i="1"/>
  <c r="AA1432" i="1"/>
  <c r="X1433" i="1"/>
  <c r="Y1433" i="1"/>
  <c r="Z1433" i="1"/>
  <c r="AA1433" i="1"/>
  <c r="X1434" i="1"/>
  <c r="Y1434" i="1"/>
  <c r="Z1434" i="1"/>
  <c r="AA1434" i="1"/>
  <c r="X1435" i="1"/>
  <c r="Y1435" i="1"/>
  <c r="Z1435" i="1"/>
  <c r="AA1435" i="1"/>
  <c r="X1436" i="1"/>
  <c r="Y1436" i="1"/>
  <c r="Z1436" i="1"/>
  <c r="AA1436" i="1"/>
  <c r="X1437" i="1"/>
  <c r="Y1437" i="1"/>
  <c r="Z1437" i="1"/>
  <c r="AA1437" i="1"/>
  <c r="X1438" i="1"/>
  <c r="Y1438" i="1"/>
  <c r="Z1438" i="1"/>
  <c r="AA1438" i="1"/>
  <c r="X1439" i="1"/>
  <c r="Y1439" i="1"/>
  <c r="Z1439" i="1"/>
  <c r="AA1439" i="1"/>
  <c r="X1440" i="1"/>
  <c r="Y1440" i="1"/>
  <c r="Z1440" i="1"/>
  <c r="AA1440" i="1"/>
  <c r="X1441" i="1"/>
  <c r="Y1441" i="1"/>
  <c r="Z1441" i="1"/>
  <c r="AA1441" i="1"/>
  <c r="X1442" i="1"/>
  <c r="Y1442" i="1"/>
  <c r="Z1442" i="1"/>
  <c r="AA1442" i="1"/>
  <c r="X1443" i="1"/>
  <c r="Y1443" i="1"/>
  <c r="Z1443" i="1"/>
  <c r="AA1443" i="1"/>
  <c r="X1444" i="1"/>
  <c r="Y1444" i="1"/>
  <c r="Z1444" i="1"/>
  <c r="AA1444" i="1"/>
  <c r="X1445" i="1"/>
  <c r="Y1445" i="1"/>
  <c r="Z1445" i="1"/>
  <c r="AA1445" i="1"/>
  <c r="X1446" i="1"/>
  <c r="Y1446" i="1"/>
  <c r="Z1446" i="1"/>
  <c r="AA1446" i="1"/>
  <c r="X1447" i="1"/>
  <c r="Y1447" i="1"/>
  <c r="Z1447" i="1"/>
  <c r="AA1447" i="1"/>
  <c r="X1448" i="1"/>
  <c r="Y1448" i="1"/>
  <c r="Z1448" i="1"/>
  <c r="AA1448" i="1"/>
  <c r="X1449" i="1"/>
  <c r="Y1449" i="1"/>
  <c r="Z1449" i="1"/>
  <c r="AA1449" i="1"/>
  <c r="X1450" i="1"/>
  <c r="Y1450" i="1"/>
  <c r="Z1450" i="1"/>
  <c r="AA1450" i="1"/>
  <c r="X1451" i="1"/>
  <c r="Y1451" i="1"/>
  <c r="Z1451" i="1"/>
  <c r="AA1451" i="1"/>
  <c r="X1452" i="1"/>
  <c r="Y1452" i="1"/>
  <c r="Z1452" i="1"/>
  <c r="AA1452" i="1"/>
  <c r="X1453" i="1"/>
  <c r="Y1453" i="1"/>
  <c r="Z1453" i="1"/>
  <c r="AA1453" i="1"/>
  <c r="X1454" i="1"/>
  <c r="Y1454" i="1"/>
  <c r="Z1454" i="1"/>
  <c r="AA1454" i="1"/>
  <c r="X1455" i="1"/>
  <c r="Y1455" i="1"/>
  <c r="Z1455" i="1"/>
  <c r="AA1455" i="1"/>
  <c r="X1456" i="1"/>
  <c r="Y1456" i="1"/>
  <c r="Z1456" i="1"/>
  <c r="AA1456" i="1"/>
  <c r="X1457" i="1"/>
  <c r="Y1457" i="1"/>
  <c r="Z1457" i="1"/>
  <c r="AA1457" i="1"/>
  <c r="X1458" i="1"/>
  <c r="Y1458" i="1"/>
  <c r="Z1458" i="1"/>
  <c r="AA1458" i="1"/>
  <c r="X1459" i="1"/>
  <c r="Y1459" i="1"/>
  <c r="Z1459" i="1"/>
  <c r="AA1459" i="1"/>
  <c r="X1460" i="1"/>
  <c r="Y1460" i="1"/>
  <c r="Z1460" i="1"/>
  <c r="AA1460" i="1"/>
  <c r="X1461" i="1"/>
  <c r="Y1461" i="1"/>
  <c r="Z1461" i="1"/>
  <c r="AA1461" i="1"/>
  <c r="X1462" i="1"/>
  <c r="Y1462" i="1"/>
  <c r="Z1462" i="1"/>
  <c r="AA1462" i="1"/>
  <c r="X1463" i="1"/>
  <c r="Y1463" i="1"/>
  <c r="Z1463" i="1"/>
  <c r="AA1463" i="1"/>
  <c r="X1464" i="1"/>
  <c r="Y1464" i="1"/>
  <c r="Z1464" i="1"/>
  <c r="AA1464" i="1"/>
  <c r="X1465" i="1"/>
  <c r="Y1465" i="1"/>
  <c r="Z1465" i="1"/>
  <c r="AA1465" i="1"/>
  <c r="X1466" i="1"/>
  <c r="Y1466" i="1"/>
  <c r="Z1466" i="1"/>
  <c r="AA1466" i="1"/>
  <c r="X1467" i="1"/>
  <c r="Y1467" i="1"/>
  <c r="Z1467" i="1"/>
  <c r="AA1467" i="1"/>
  <c r="X1468" i="1"/>
  <c r="Y1468" i="1"/>
  <c r="Z1468" i="1"/>
  <c r="AA1468" i="1"/>
  <c r="X1469" i="1"/>
  <c r="Y1469" i="1"/>
  <c r="Z1469" i="1"/>
  <c r="AA1469" i="1"/>
  <c r="X1470" i="1"/>
  <c r="Y1470" i="1"/>
  <c r="Z1470" i="1"/>
  <c r="AA1470" i="1"/>
  <c r="X1471" i="1"/>
  <c r="Y1471" i="1"/>
  <c r="Z1471" i="1"/>
  <c r="AA1471" i="1"/>
  <c r="X1472" i="1"/>
  <c r="Y1472" i="1"/>
  <c r="Z1472" i="1"/>
  <c r="AA1472" i="1"/>
  <c r="X1473" i="1"/>
  <c r="Y1473" i="1"/>
  <c r="Z1473" i="1"/>
  <c r="AA1473" i="1"/>
  <c r="X1474" i="1"/>
  <c r="Y1474" i="1"/>
  <c r="Z1474" i="1"/>
  <c r="AA1474" i="1"/>
  <c r="X1475" i="1"/>
  <c r="Y1475" i="1"/>
  <c r="Z1475" i="1"/>
  <c r="AA1475" i="1"/>
  <c r="X1476" i="1"/>
  <c r="Y1476" i="1"/>
  <c r="Z1476" i="1"/>
  <c r="AA1476" i="1"/>
  <c r="X1477" i="1"/>
  <c r="Y1477" i="1"/>
  <c r="Z1477" i="1"/>
  <c r="AA1477" i="1"/>
  <c r="X1478" i="1"/>
  <c r="Y1478" i="1"/>
  <c r="Z1478" i="1"/>
  <c r="AA1478" i="1"/>
  <c r="X1479" i="1"/>
  <c r="Y1479" i="1"/>
  <c r="Z1479" i="1"/>
  <c r="AA1479" i="1"/>
  <c r="X1480" i="1"/>
  <c r="Y1480" i="1"/>
  <c r="Z1480" i="1"/>
  <c r="AA1480" i="1"/>
  <c r="X1481" i="1"/>
  <c r="Y1481" i="1"/>
  <c r="Z1481" i="1"/>
  <c r="AA1481" i="1"/>
  <c r="X1482" i="1"/>
  <c r="Y1482" i="1"/>
  <c r="Z1482" i="1"/>
  <c r="AA1482" i="1"/>
  <c r="X1483" i="1"/>
  <c r="Y1483" i="1"/>
  <c r="Z1483" i="1"/>
  <c r="AA1483" i="1"/>
  <c r="X1484" i="1"/>
  <c r="Y1484" i="1"/>
  <c r="Z1484" i="1"/>
  <c r="AA1484" i="1"/>
  <c r="X1485" i="1"/>
  <c r="Y1485" i="1"/>
  <c r="Z1485" i="1"/>
  <c r="AA1485" i="1"/>
  <c r="X1486" i="1"/>
  <c r="Y1486" i="1"/>
  <c r="Z1486" i="1"/>
  <c r="AA1486" i="1"/>
  <c r="X1487" i="1"/>
  <c r="Y1487" i="1"/>
  <c r="Z1487" i="1"/>
  <c r="AA1487" i="1"/>
  <c r="X1488" i="1"/>
  <c r="Y1488" i="1"/>
  <c r="Z1488" i="1"/>
  <c r="AA1488" i="1"/>
  <c r="X1489" i="1"/>
  <c r="Y1489" i="1"/>
  <c r="Z1489" i="1"/>
  <c r="AA1489" i="1"/>
  <c r="X1490" i="1"/>
  <c r="Y1490" i="1"/>
  <c r="Z1490" i="1"/>
  <c r="AA1490" i="1"/>
  <c r="X1491" i="1"/>
  <c r="Y1491" i="1"/>
  <c r="Z1491" i="1"/>
  <c r="AA1491" i="1"/>
  <c r="X1492" i="1"/>
  <c r="Y1492" i="1"/>
  <c r="Z1492" i="1"/>
  <c r="AA1492" i="1"/>
  <c r="X1493" i="1"/>
  <c r="Y1493" i="1"/>
  <c r="Z1493" i="1"/>
  <c r="AA1493" i="1"/>
  <c r="X1494" i="1"/>
  <c r="Y1494" i="1"/>
  <c r="Z1494" i="1"/>
  <c r="AA1494" i="1"/>
  <c r="X1495" i="1"/>
  <c r="Y1495" i="1"/>
  <c r="Z1495" i="1"/>
  <c r="AA1495" i="1"/>
  <c r="X1496" i="1"/>
  <c r="Y1496" i="1"/>
  <c r="Z1496" i="1"/>
  <c r="AA1496" i="1"/>
  <c r="X1497" i="1"/>
  <c r="Y1497" i="1"/>
  <c r="Z1497" i="1"/>
  <c r="AA1497" i="1"/>
  <c r="X1498" i="1"/>
  <c r="Y1498" i="1"/>
  <c r="Z1498" i="1"/>
  <c r="AA1498" i="1"/>
  <c r="X1499" i="1"/>
  <c r="Y1499" i="1"/>
  <c r="Z1499" i="1"/>
  <c r="AA1499" i="1"/>
  <c r="X1500" i="1"/>
  <c r="Y1500" i="1"/>
  <c r="Z1500" i="1"/>
  <c r="AA1500" i="1"/>
  <c r="X1501" i="1"/>
  <c r="Y1501" i="1"/>
  <c r="Z1501" i="1"/>
  <c r="AA1501" i="1"/>
  <c r="X1502" i="1"/>
  <c r="Y1502" i="1"/>
  <c r="Z1502" i="1"/>
  <c r="AA1502" i="1"/>
  <c r="X1503" i="1"/>
  <c r="Y1503" i="1"/>
  <c r="Z1503" i="1"/>
  <c r="AA1503" i="1"/>
  <c r="X1504" i="1"/>
  <c r="Y1504" i="1"/>
  <c r="Z1504" i="1"/>
  <c r="AA1504" i="1"/>
  <c r="X1505" i="1"/>
  <c r="Y1505" i="1"/>
  <c r="Z1505" i="1"/>
  <c r="AA1505" i="1"/>
  <c r="X1506" i="1"/>
  <c r="Y1506" i="1"/>
  <c r="Z1506" i="1"/>
  <c r="AA1506" i="1"/>
  <c r="X1507" i="1"/>
  <c r="Y1507" i="1"/>
  <c r="Z1507" i="1"/>
  <c r="AA1507" i="1"/>
  <c r="X1508" i="1"/>
  <c r="Y1508" i="1"/>
  <c r="Z1508" i="1"/>
  <c r="AA1508" i="1"/>
  <c r="X1509" i="1"/>
  <c r="Y1509" i="1"/>
  <c r="Z1509" i="1"/>
  <c r="AA1509" i="1"/>
  <c r="X1510" i="1"/>
  <c r="Y1510" i="1"/>
  <c r="Z1510" i="1"/>
  <c r="AA1510" i="1"/>
  <c r="X1511" i="1"/>
  <c r="Y1511" i="1"/>
  <c r="Z1511" i="1"/>
  <c r="AA1511" i="1"/>
  <c r="X1512" i="1"/>
  <c r="Y1512" i="1"/>
  <c r="Z1512" i="1"/>
  <c r="AA1512" i="1"/>
  <c r="X1513" i="1"/>
  <c r="Y1513" i="1"/>
  <c r="Z1513" i="1"/>
  <c r="AA1513" i="1"/>
  <c r="X1514" i="1"/>
  <c r="Y1514" i="1"/>
  <c r="Z1514" i="1"/>
  <c r="AA1514" i="1"/>
  <c r="X1515" i="1"/>
  <c r="Y1515" i="1"/>
  <c r="Z1515" i="1"/>
  <c r="AA1515" i="1"/>
  <c r="X1516" i="1"/>
  <c r="Y1516" i="1"/>
  <c r="Z1516" i="1"/>
  <c r="AA1516" i="1"/>
  <c r="X1517" i="1"/>
  <c r="Y1517" i="1"/>
  <c r="Z1517" i="1"/>
  <c r="AA1517" i="1"/>
  <c r="X1518" i="1"/>
  <c r="Y1518" i="1"/>
  <c r="Z1518" i="1"/>
  <c r="AA1518" i="1"/>
  <c r="X1519" i="1"/>
  <c r="Y1519" i="1"/>
  <c r="Z1519" i="1"/>
  <c r="AA1519" i="1"/>
  <c r="X1520" i="1"/>
  <c r="Y1520" i="1"/>
  <c r="Z1520" i="1"/>
  <c r="AA1520" i="1"/>
  <c r="X1521" i="1"/>
  <c r="Y1521" i="1"/>
  <c r="Z1521" i="1"/>
  <c r="AA1521" i="1"/>
  <c r="X1522" i="1"/>
  <c r="Y1522" i="1"/>
  <c r="Z1522" i="1"/>
  <c r="AA1522" i="1"/>
  <c r="X1523" i="1"/>
  <c r="Y1523" i="1"/>
  <c r="Z1523" i="1"/>
  <c r="AA1523" i="1"/>
  <c r="X1524" i="1"/>
  <c r="Y1524" i="1"/>
  <c r="Z1524" i="1"/>
  <c r="AA1524" i="1"/>
  <c r="X1525" i="1"/>
  <c r="Y1525" i="1"/>
  <c r="Z1525" i="1"/>
  <c r="AA1525" i="1"/>
  <c r="X1526" i="1"/>
  <c r="Y1526" i="1"/>
  <c r="Z1526" i="1"/>
  <c r="AA1526" i="1"/>
  <c r="X1527" i="1"/>
  <c r="Y1527" i="1"/>
  <c r="Z1527" i="1"/>
  <c r="AA1527" i="1"/>
  <c r="X1528" i="1"/>
  <c r="Y1528" i="1"/>
  <c r="Z1528" i="1"/>
  <c r="AA1528" i="1"/>
  <c r="X1529" i="1"/>
  <c r="Y1529" i="1"/>
  <c r="Z1529" i="1"/>
  <c r="AA1529" i="1"/>
  <c r="X1530" i="1"/>
  <c r="Y1530" i="1"/>
  <c r="Z1530" i="1"/>
  <c r="AA1530" i="1"/>
  <c r="X1531" i="1"/>
  <c r="Y1531" i="1"/>
  <c r="Z1531" i="1"/>
  <c r="AA1531" i="1"/>
  <c r="X1532" i="1"/>
  <c r="Y1532" i="1"/>
  <c r="Z1532" i="1"/>
  <c r="AA1532" i="1"/>
  <c r="X1533" i="1"/>
  <c r="Y1533" i="1"/>
  <c r="Z1533" i="1"/>
  <c r="AA1533" i="1"/>
  <c r="X1534" i="1"/>
  <c r="Y1534" i="1"/>
  <c r="Z1534" i="1"/>
  <c r="AA1534" i="1"/>
  <c r="X1535" i="1"/>
  <c r="Y1535" i="1"/>
  <c r="Z1535" i="1"/>
  <c r="AA1535" i="1"/>
  <c r="X1536" i="1"/>
  <c r="Y1536" i="1"/>
  <c r="Z1536" i="1"/>
  <c r="AA1536" i="1"/>
  <c r="X1537" i="1"/>
  <c r="Y1537" i="1"/>
  <c r="Z1537" i="1"/>
  <c r="AA1537" i="1"/>
  <c r="X1538" i="1"/>
  <c r="Y1538" i="1"/>
  <c r="Z1538" i="1"/>
  <c r="AA1538" i="1"/>
  <c r="X1539" i="1"/>
  <c r="Y1539" i="1"/>
  <c r="Z1539" i="1"/>
  <c r="AA1539" i="1"/>
  <c r="X1540" i="1"/>
  <c r="Y1540" i="1"/>
  <c r="Z1540" i="1"/>
  <c r="AA1540" i="1"/>
  <c r="X1541" i="1"/>
  <c r="Y1541" i="1"/>
  <c r="Z1541" i="1"/>
  <c r="AA1541" i="1"/>
  <c r="X1542" i="1"/>
  <c r="Y1542" i="1"/>
  <c r="Z1542" i="1"/>
  <c r="AA1542" i="1"/>
  <c r="X1543" i="1"/>
  <c r="Y1543" i="1"/>
  <c r="Z1543" i="1"/>
  <c r="AA1543" i="1"/>
  <c r="X1544" i="1"/>
  <c r="Y1544" i="1"/>
  <c r="Z1544" i="1"/>
  <c r="AA1544" i="1"/>
  <c r="X1545" i="1"/>
  <c r="Y1545" i="1"/>
  <c r="Z1545" i="1"/>
  <c r="AA1545" i="1"/>
  <c r="X1546" i="1"/>
  <c r="Y1546" i="1"/>
  <c r="Z1546" i="1"/>
  <c r="AA1546" i="1"/>
  <c r="X1547" i="1"/>
  <c r="Y1547" i="1"/>
  <c r="Z1547" i="1"/>
  <c r="AA1547" i="1"/>
  <c r="X1548" i="1"/>
  <c r="Y1548" i="1"/>
  <c r="Z1548" i="1"/>
  <c r="AA1548" i="1"/>
  <c r="X1549" i="1"/>
  <c r="Y1549" i="1"/>
  <c r="Z1549" i="1"/>
  <c r="AA1549" i="1"/>
  <c r="X1550" i="1"/>
  <c r="Y1550" i="1"/>
  <c r="Z1550" i="1"/>
  <c r="AA1550" i="1"/>
  <c r="X1551" i="1"/>
  <c r="Y1551" i="1"/>
  <c r="Z1551" i="1"/>
  <c r="AA1551" i="1"/>
  <c r="X1552" i="1"/>
  <c r="Y1552" i="1"/>
  <c r="Z1552" i="1"/>
  <c r="AA1552" i="1"/>
  <c r="X1553" i="1"/>
  <c r="Y1553" i="1"/>
  <c r="Z1553" i="1"/>
  <c r="AA1553" i="1"/>
  <c r="X1554" i="1"/>
  <c r="Y1554" i="1"/>
  <c r="Z1554" i="1"/>
  <c r="AA1554" i="1"/>
  <c r="X1555" i="1"/>
  <c r="Y1555" i="1"/>
  <c r="Z1555" i="1"/>
  <c r="AA1555" i="1"/>
  <c r="X1556" i="1"/>
  <c r="Y1556" i="1"/>
  <c r="Z1556" i="1"/>
  <c r="AA1556" i="1"/>
  <c r="X1557" i="1"/>
  <c r="Y1557" i="1"/>
  <c r="Z1557" i="1"/>
  <c r="AA1557" i="1"/>
  <c r="X1558" i="1"/>
  <c r="Y1558" i="1"/>
  <c r="Z1558" i="1"/>
  <c r="AA1558" i="1"/>
  <c r="X1559" i="1"/>
  <c r="Y1559" i="1"/>
  <c r="Z1559" i="1"/>
  <c r="AA1559" i="1"/>
  <c r="X1560" i="1"/>
  <c r="Y1560" i="1"/>
  <c r="Z1560" i="1"/>
  <c r="AA1560" i="1"/>
  <c r="X1561" i="1"/>
  <c r="Y1561" i="1"/>
  <c r="Z1561" i="1"/>
  <c r="AA1561" i="1"/>
  <c r="X1562" i="1"/>
  <c r="Y1562" i="1"/>
  <c r="Z1562" i="1"/>
  <c r="AA1562" i="1"/>
  <c r="X1563" i="1"/>
  <c r="Y1563" i="1"/>
  <c r="Z1563" i="1"/>
  <c r="AA1563" i="1"/>
  <c r="X1564" i="1"/>
  <c r="Y1564" i="1"/>
  <c r="Z1564" i="1"/>
  <c r="AA1564" i="1"/>
  <c r="X1565" i="1"/>
  <c r="Y1565" i="1"/>
  <c r="Z1565" i="1"/>
  <c r="AA1565" i="1"/>
  <c r="X1566" i="1"/>
  <c r="Y1566" i="1"/>
  <c r="Z1566" i="1"/>
  <c r="AA1566" i="1"/>
  <c r="X1567" i="1"/>
  <c r="Y1567" i="1"/>
  <c r="Z1567" i="1"/>
  <c r="AA1567" i="1"/>
  <c r="X1568" i="1"/>
  <c r="Y1568" i="1"/>
  <c r="Z1568" i="1"/>
  <c r="AA1568" i="1"/>
  <c r="X1569" i="1"/>
  <c r="Y1569" i="1"/>
  <c r="Z1569" i="1"/>
  <c r="AA1569" i="1"/>
  <c r="X1570" i="1"/>
  <c r="Y1570" i="1"/>
  <c r="Z1570" i="1"/>
  <c r="AA1570" i="1"/>
  <c r="X1571" i="1"/>
  <c r="Y1571" i="1"/>
  <c r="Z1571" i="1"/>
  <c r="AA1571" i="1"/>
  <c r="X1572" i="1"/>
  <c r="Y1572" i="1"/>
  <c r="Z1572" i="1"/>
  <c r="AA1572" i="1"/>
  <c r="X1573" i="1"/>
  <c r="Y1573" i="1"/>
  <c r="Z1573" i="1"/>
  <c r="AA1573" i="1"/>
  <c r="X1574" i="1"/>
  <c r="Y1574" i="1"/>
  <c r="Z1574" i="1"/>
  <c r="AA1574" i="1"/>
  <c r="X1575" i="1"/>
  <c r="Y1575" i="1"/>
  <c r="Z1575" i="1"/>
  <c r="AA1575" i="1"/>
  <c r="X1576" i="1"/>
  <c r="Y1576" i="1"/>
  <c r="Z1576" i="1"/>
  <c r="AA1576" i="1"/>
  <c r="X1577" i="1"/>
  <c r="Y1577" i="1"/>
  <c r="Z1577" i="1"/>
  <c r="AA1577" i="1"/>
  <c r="X1578" i="1"/>
  <c r="Y1578" i="1"/>
  <c r="Z1578" i="1"/>
  <c r="AA1578" i="1"/>
  <c r="X1579" i="1"/>
  <c r="Y1579" i="1"/>
  <c r="Z1579" i="1"/>
  <c r="AA1579" i="1"/>
  <c r="X1580" i="1"/>
  <c r="Y1580" i="1"/>
  <c r="Z1580" i="1"/>
  <c r="AA1580" i="1"/>
  <c r="X1581" i="1"/>
  <c r="Y1581" i="1"/>
  <c r="Z1581" i="1"/>
  <c r="AA1581" i="1"/>
  <c r="X1582" i="1"/>
  <c r="Y1582" i="1"/>
  <c r="Z1582" i="1"/>
  <c r="AA1582" i="1"/>
  <c r="X1583" i="1"/>
  <c r="Y1583" i="1"/>
  <c r="Z1583" i="1"/>
  <c r="AA1583" i="1"/>
  <c r="X1584" i="1"/>
  <c r="Y1584" i="1"/>
  <c r="Z1584" i="1"/>
  <c r="AA1584" i="1"/>
  <c r="X1585" i="1"/>
  <c r="Y1585" i="1"/>
  <c r="Z1585" i="1"/>
  <c r="AA1585" i="1"/>
  <c r="X1586" i="1"/>
  <c r="Y1586" i="1"/>
  <c r="Z1586" i="1"/>
  <c r="AA1586" i="1"/>
  <c r="X1587" i="1"/>
  <c r="Y1587" i="1"/>
  <c r="Z1587" i="1"/>
  <c r="AA1587" i="1"/>
  <c r="X1588" i="1"/>
  <c r="Y1588" i="1"/>
  <c r="Z1588" i="1"/>
  <c r="AA1588" i="1"/>
  <c r="X1589" i="1"/>
  <c r="Y1589" i="1"/>
  <c r="Z1589" i="1"/>
  <c r="AA1589" i="1"/>
  <c r="X1590" i="1"/>
  <c r="Y1590" i="1"/>
  <c r="Z1590" i="1"/>
  <c r="AA1590" i="1"/>
  <c r="X1591" i="1"/>
  <c r="Y1591" i="1"/>
  <c r="Z1591" i="1"/>
  <c r="AA1591" i="1"/>
  <c r="X1592" i="1"/>
  <c r="Y1592" i="1"/>
  <c r="Z1592" i="1"/>
  <c r="AA1592" i="1"/>
  <c r="X1593" i="1"/>
  <c r="Y1593" i="1"/>
  <c r="Z1593" i="1"/>
  <c r="AA1593" i="1"/>
  <c r="X1594" i="1"/>
  <c r="Y1594" i="1"/>
  <c r="Z1594" i="1"/>
  <c r="AA1594" i="1"/>
  <c r="X1595" i="1"/>
  <c r="Y1595" i="1"/>
  <c r="Z1595" i="1"/>
  <c r="AA1595" i="1"/>
  <c r="X1596" i="1"/>
  <c r="Y1596" i="1"/>
  <c r="Z1596" i="1"/>
  <c r="AA1596" i="1"/>
  <c r="X1597" i="1"/>
  <c r="Y1597" i="1"/>
  <c r="Z1597" i="1"/>
  <c r="AA1597" i="1"/>
  <c r="X1598" i="1"/>
  <c r="Y1598" i="1"/>
  <c r="Z1598" i="1"/>
  <c r="AA1598" i="1"/>
  <c r="X1599" i="1"/>
  <c r="Y1599" i="1"/>
  <c r="Z1599" i="1"/>
  <c r="AA1599" i="1"/>
  <c r="X1600" i="1"/>
  <c r="Y1600" i="1"/>
  <c r="Z1600" i="1"/>
  <c r="AA1600" i="1"/>
  <c r="X1601" i="1"/>
  <c r="Y1601" i="1"/>
  <c r="Z1601" i="1"/>
  <c r="AA1601" i="1"/>
  <c r="X1602" i="1"/>
  <c r="Y1602" i="1"/>
  <c r="Z1602" i="1"/>
  <c r="AA1602" i="1"/>
  <c r="X1603" i="1"/>
  <c r="Y1603" i="1"/>
  <c r="Z1603" i="1"/>
  <c r="AA1603" i="1"/>
  <c r="X1604" i="1"/>
  <c r="Y1604" i="1"/>
  <c r="Z1604" i="1"/>
  <c r="AA1604" i="1"/>
  <c r="X1605" i="1"/>
  <c r="Y1605" i="1"/>
  <c r="Z1605" i="1"/>
  <c r="AA1605" i="1"/>
  <c r="X1606" i="1"/>
  <c r="Y1606" i="1"/>
  <c r="Z1606" i="1"/>
  <c r="AA1606" i="1"/>
  <c r="X1607" i="1"/>
  <c r="Y1607" i="1"/>
  <c r="Z1607" i="1"/>
  <c r="AA1607" i="1"/>
  <c r="X1608" i="1"/>
  <c r="Y1608" i="1"/>
  <c r="Z1608" i="1"/>
  <c r="AA1608" i="1"/>
  <c r="X1609" i="1"/>
  <c r="Y1609" i="1"/>
  <c r="Z1609" i="1"/>
  <c r="AA1609" i="1"/>
  <c r="X1610" i="1"/>
  <c r="Y1610" i="1"/>
  <c r="Z1610" i="1"/>
  <c r="AA1610" i="1"/>
  <c r="X1611" i="1"/>
  <c r="Y1611" i="1"/>
  <c r="Z1611" i="1"/>
  <c r="AA1611" i="1"/>
  <c r="X1612" i="1"/>
  <c r="Y1612" i="1"/>
  <c r="Z1612" i="1"/>
  <c r="AA1612" i="1"/>
  <c r="X1613" i="1"/>
  <c r="Y1613" i="1"/>
  <c r="Z1613" i="1"/>
  <c r="AA1613" i="1"/>
  <c r="X1614" i="1"/>
  <c r="Y1614" i="1"/>
  <c r="Z1614" i="1"/>
  <c r="AA1614" i="1"/>
  <c r="X1615" i="1"/>
  <c r="Y1615" i="1"/>
  <c r="Z1615" i="1"/>
  <c r="AA1615" i="1"/>
  <c r="X1616" i="1"/>
  <c r="Y1616" i="1"/>
  <c r="Z1616" i="1"/>
  <c r="AA1616" i="1"/>
  <c r="X1617" i="1"/>
  <c r="Y1617" i="1"/>
  <c r="Z1617" i="1"/>
  <c r="AA1617" i="1"/>
  <c r="X1618" i="1"/>
  <c r="Y1618" i="1"/>
  <c r="Z1618" i="1"/>
  <c r="AA1618" i="1"/>
  <c r="X1619" i="1"/>
  <c r="Y1619" i="1"/>
  <c r="Z1619" i="1"/>
  <c r="AA1619" i="1"/>
  <c r="X1620" i="1"/>
  <c r="Y1620" i="1"/>
  <c r="Z1620" i="1"/>
  <c r="AA1620" i="1"/>
  <c r="X1621" i="1"/>
  <c r="Y1621" i="1"/>
  <c r="Z1621" i="1"/>
  <c r="AA1621" i="1"/>
  <c r="X1622" i="1"/>
  <c r="Y1622" i="1"/>
  <c r="Z1622" i="1"/>
  <c r="AA1622" i="1"/>
  <c r="X1623" i="1"/>
  <c r="Y1623" i="1"/>
  <c r="Z1623" i="1"/>
  <c r="AA1623" i="1"/>
  <c r="X1624" i="1"/>
  <c r="Y1624" i="1"/>
  <c r="Z1624" i="1"/>
  <c r="AA1624" i="1"/>
  <c r="X1625" i="1"/>
  <c r="Y1625" i="1"/>
  <c r="Z1625" i="1"/>
  <c r="AA1625" i="1"/>
  <c r="X1626" i="1"/>
  <c r="Y1626" i="1"/>
  <c r="Z1626" i="1"/>
  <c r="AA1626" i="1"/>
  <c r="X1627" i="1"/>
  <c r="Y1627" i="1"/>
  <c r="Z1627" i="1"/>
  <c r="AA1627" i="1"/>
  <c r="X1628" i="1"/>
  <c r="Y1628" i="1"/>
  <c r="Z1628" i="1"/>
  <c r="AA1628" i="1"/>
  <c r="X1629" i="1"/>
  <c r="Y1629" i="1"/>
  <c r="Z1629" i="1"/>
  <c r="AA1629" i="1"/>
  <c r="X1630" i="1"/>
  <c r="Y1630" i="1"/>
  <c r="Z1630" i="1"/>
  <c r="AA1630" i="1"/>
  <c r="X1631" i="1"/>
  <c r="Y1631" i="1"/>
  <c r="Z1631" i="1"/>
  <c r="AA1631" i="1"/>
  <c r="X1632" i="1"/>
  <c r="Y1632" i="1"/>
  <c r="Z1632" i="1"/>
  <c r="AA1632" i="1"/>
  <c r="X1633" i="1"/>
  <c r="Y1633" i="1"/>
  <c r="Z1633" i="1"/>
  <c r="AA1633" i="1"/>
  <c r="X1634" i="1"/>
  <c r="Y1634" i="1"/>
  <c r="Z1634" i="1"/>
  <c r="AA1634" i="1"/>
  <c r="X1635" i="1"/>
  <c r="Y1635" i="1"/>
  <c r="Z1635" i="1"/>
  <c r="AA1635" i="1"/>
  <c r="X1636" i="1"/>
  <c r="Y1636" i="1"/>
  <c r="Z1636" i="1"/>
  <c r="AA1636" i="1"/>
  <c r="X1637" i="1"/>
  <c r="Y1637" i="1"/>
  <c r="Z1637" i="1"/>
  <c r="AA1637" i="1"/>
  <c r="X1638" i="1"/>
  <c r="Y1638" i="1"/>
  <c r="Z1638" i="1"/>
  <c r="AA1638" i="1"/>
  <c r="X1639" i="1"/>
  <c r="Y1639" i="1"/>
  <c r="Z1639" i="1"/>
  <c r="AA1639" i="1"/>
  <c r="X1640" i="1"/>
  <c r="Y1640" i="1"/>
  <c r="Z1640" i="1"/>
  <c r="AA1640" i="1"/>
  <c r="X1641" i="1"/>
  <c r="Y1641" i="1"/>
  <c r="Z1641" i="1"/>
  <c r="AA1641" i="1"/>
  <c r="X1642" i="1"/>
  <c r="Y1642" i="1"/>
  <c r="Z1642" i="1"/>
  <c r="AA1642" i="1"/>
  <c r="X1643" i="1"/>
  <c r="Y1643" i="1"/>
  <c r="Z1643" i="1"/>
  <c r="AA1643" i="1"/>
  <c r="X1644" i="1"/>
  <c r="Y1644" i="1"/>
  <c r="Z1644" i="1"/>
  <c r="AA1644" i="1"/>
  <c r="X1645" i="1"/>
  <c r="Y1645" i="1"/>
  <c r="Z1645" i="1"/>
  <c r="AA1645" i="1"/>
  <c r="X1646" i="1"/>
  <c r="Y1646" i="1"/>
  <c r="Z1646" i="1"/>
  <c r="AA1646" i="1"/>
  <c r="X1647" i="1"/>
  <c r="Y1647" i="1"/>
  <c r="Z1647" i="1"/>
  <c r="AA1647" i="1"/>
  <c r="X1648" i="1"/>
  <c r="Y1648" i="1"/>
  <c r="Z1648" i="1"/>
  <c r="AA1648" i="1"/>
  <c r="X1649" i="1"/>
  <c r="Y1649" i="1"/>
  <c r="Z1649" i="1"/>
  <c r="AA1649" i="1"/>
  <c r="X1650" i="1"/>
  <c r="Y1650" i="1"/>
  <c r="Z1650" i="1"/>
  <c r="AA1650" i="1"/>
  <c r="X1651" i="1"/>
  <c r="Y1651" i="1"/>
  <c r="Z1651" i="1"/>
  <c r="AA1651" i="1"/>
  <c r="X1652" i="1"/>
  <c r="Y1652" i="1"/>
  <c r="Z1652" i="1"/>
  <c r="AA1652" i="1"/>
  <c r="X1653" i="1"/>
  <c r="Y1653" i="1"/>
  <c r="Z1653" i="1"/>
  <c r="AA1653" i="1"/>
  <c r="X1654" i="1"/>
  <c r="Y1654" i="1"/>
  <c r="Z1654" i="1"/>
  <c r="AA1654" i="1"/>
  <c r="X1655" i="1"/>
  <c r="Y1655" i="1"/>
  <c r="Z1655" i="1"/>
  <c r="AA1655" i="1"/>
  <c r="X1656" i="1"/>
  <c r="Y1656" i="1"/>
  <c r="Z1656" i="1"/>
  <c r="AA1656" i="1"/>
  <c r="X1657" i="1"/>
  <c r="Y1657" i="1"/>
  <c r="Z1657" i="1"/>
  <c r="AA1657" i="1"/>
  <c r="X1658" i="1"/>
  <c r="Y1658" i="1"/>
  <c r="Z1658" i="1"/>
  <c r="AA1658" i="1"/>
  <c r="X1659" i="1"/>
  <c r="Y1659" i="1"/>
  <c r="Z1659" i="1"/>
  <c r="AA1659" i="1"/>
  <c r="X1660" i="1"/>
  <c r="Y1660" i="1"/>
  <c r="Z1660" i="1"/>
  <c r="AA1660" i="1"/>
  <c r="X1661" i="1"/>
  <c r="Y1661" i="1"/>
  <c r="Z1661" i="1"/>
  <c r="AA1661" i="1"/>
  <c r="X1662" i="1"/>
  <c r="Y1662" i="1"/>
  <c r="Z1662" i="1"/>
  <c r="AA1662" i="1"/>
  <c r="X1663" i="1"/>
  <c r="Y1663" i="1"/>
  <c r="Z1663" i="1"/>
  <c r="AA1663" i="1"/>
  <c r="X1664" i="1"/>
  <c r="Y1664" i="1"/>
  <c r="Z1664" i="1"/>
  <c r="AA1664" i="1"/>
  <c r="X1665" i="1"/>
  <c r="Y1665" i="1"/>
  <c r="Z1665" i="1"/>
  <c r="AA1665" i="1"/>
  <c r="X1666" i="1"/>
  <c r="Y1666" i="1"/>
  <c r="Z1666" i="1"/>
  <c r="AA1666" i="1"/>
  <c r="X1667" i="1"/>
  <c r="Y1667" i="1"/>
  <c r="Z1667" i="1"/>
  <c r="AA1667" i="1"/>
  <c r="X1668" i="1"/>
  <c r="Y1668" i="1"/>
  <c r="Z1668" i="1"/>
  <c r="AA1668" i="1"/>
  <c r="X1669" i="1"/>
  <c r="Y1669" i="1"/>
  <c r="Z1669" i="1"/>
  <c r="AA1669" i="1"/>
  <c r="X1670" i="1"/>
  <c r="Y1670" i="1"/>
  <c r="Z1670" i="1"/>
  <c r="AA1670" i="1"/>
  <c r="X1671" i="1"/>
  <c r="Y1671" i="1"/>
  <c r="Z1671" i="1"/>
  <c r="AA1671" i="1"/>
  <c r="X1672" i="1"/>
  <c r="Y1672" i="1"/>
  <c r="Z1672" i="1"/>
  <c r="AA1672" i="1"/>
  <c r="X1673" i="1"/>
  <c r="Y1673" i="1"/>
  <c r="Z1673" i="1"/>
  <c r="AA1673" i="1"/>
  <c r="X1674" i="1"/>
  <c r="Y1674" i="1"/>
  <c r="Z1674" i="1"/>
  <c r="AA1674" i="1"/>
  <c r="X1675" i="1"/>
  <c r="Y1675" i="1"/>
  <c r="Z1675" i="1"/>
  <c r="AA1675" i="1"/>
  <c r="X1676" i="1"/>
  <c r="Y1676" i="1"/>
  <c r="Z1676" i="1"/>
  <c r="AA1676" i="1"/>
  <c r="X1677" i="1"/>
  <c r="Y1677" i="1"/>
  <c r="Z1677" i="1"/>
  <c r="AA1677" i="1"/>
  <c r="X1678" i="1"/>
  <c r="Y1678" i="1"/>
  <c r="Z1678" i="1"/>
  <c r="AA1678" i="1"/>
  <c r="X1679" i="1"/>
  <c r="Y1679" i="1"/>
  <c r="Z1679" i="1"/>
  <c r="AA1679" i="1"/>
  <c r="X1680" i="1"/>
  <c r="Y1680" i="1"/>
  <c r="Z1680" i="1"/>
  <c r="AA1680" i="1"/>
  <c r="X1681" i="1"/>
  <c r="Y1681" i="1"/>
  <c r="Z1681" i="1"/>
  <c r="AA1681" i="1"/>
  <c r="X1682" i="1"/>
  <c r="Y1682" i="1"/>
  <c r="Z1682" i="1"/>
  <c r="AA1682" i="1"/>
  <c r="X1683" i="1"/>
  <c r="Y1683" i="1"/>
  <c r="Z1683" i="1"/>
  <c r="AA1683" i="1"/>
  <c r="X1684" i="1"/>
  <c r="Y1684" i="1"/>
  <c r="Z1684" i="1"/>
  <c r="AA1684" i="1"/>
  <c r="X1685" i="1"/>
  <c r="Y1685" i="1"/>
  <c r="Z1685" i="1"/>
  <c r="AA1685" i="1"/>
  <c r="X1686" i="1"/>
  <c r="Y1686" i="1"/>
  <c r="Z1686" i="1"/>
  <c r="AA1686" i="1"/>
  <c r="X1687" i="1"/>
  <c r="Y1687" i="1"/>
  <c r="Z1687" i="1"/>
  <c r="AA1687" i="1"/>
  <c r="X1688" i="1"/>
  <c r="Y1688" i="1"/>
  <c r="Z1688" i="1"/>
  <c r="AA1688" i="1"/>
  <c r="X1689" i="1"/>
  <c r="Y1689" i="1"/>
  <c r="Z1689" i="1"/>
  <c r="AA1689" i="1"/>
  <c r="X1690" i="1"/>
  <c r="Y1690" i="1"/>
  <c r="Z1690" i="1"/>
  <c r="AA1690" i="1"/>
  <c r="X1691" i="1"/>
  <c r="Y1691" i="1"/>
  <c r="Z1691" i="1"/>
  <c r="AA1691" i="1"/>
  <c r="X1692" i="1"/>
  <c r="Y1692" i="1"/>
  <c r="Z1692" i="1"/>
  <c r="AA1692" i="1"/>
  <c r="X1693" i="1"/>
  <c r="Y1693" i="1"/>
  <c r="Z1693" i="1"/>
  <c r="AA1693" i="1"/>
  <c r="X1694" i="1"/>
  <c r="Y1694" i="1"/>
  <c r="Z1694" i="1"/>
  <c r="AA1694" i="1"/>
  <c r="X1695" i="1"/>
  <c r="Y1695" i="1"/>
  <c r="Z1695" i="1"/>
  <c r="AA1695" i="1"/>
  <c r="X1696" i="1"/>
  <c r="Y1696" i="1"/>
  <c r="Z1696" i="1"/>
  <c r="AA1696" i="1"/>
  <c r="X1697" i="1"/>
  <c r="Y1697" i="1"/>
  <c r="Z1697" i="1"/>
  <c r="AA1697" i="1"/>
  <c r="X1698" i="1"/>
  <c r="Y1698" i="1"/>
  <c r="Z1698" i="1"/>
  <c r="AA1698" i="1"/>
  <c r="X1699" i="1"/>
  <c r="Y1699" i="1"/>
  <c r="Z1699" i="1"/>
  <c r="AA1699" i="1"/>
  <c r="X1700" i="1"/>
  <c r="Y1700" i="1"/>
  <c r="Z1700" i="1"/>
  <c r="AA1700" i="1"/>
  <c r="X1701" i="1"/>
  <c r="Y1701" i="1"/>
  <c r="Z1701" i="1"/>
  <c r="AA1701" i="1"/>
  <c r="X1702" i="1"/>
  <c r="Y1702" i="1"/>
  <c r="Z1702" i="1"/>
  <c r="AA1702" i="1"/>
  <c r="X1703" i="1"/>
  <c r="Y1703" i="1"/>
  <c r="Z1703" i="1"/>
  <c r="AA1703" i="1"/>
  <c r="X1704" i="1"/>
  <c r="Y1704" i="1"/>
  <c r="Z1704" i="1"/>
  <c r="AA1704" i="1"/>
  <c r="X1705" i="1"/>
  <c r="Y1705" i="1"/>
  <c r="Z1705" i="1"/>
  <c r="AA1705" i="1"/>
  <c r="X1706" i="1"/>
  <c r="Y1706" i="1"/>
  <c r="Z1706" i="1"/>
  <c r="AA1706" i="1"/>
  <c r="X1707" i="1"/>
  <c r="Y1707" i="1"/>
  <c r="Z1707" i="1"/>
  <c r="AA1707" i="1"/>
  <c r="X1708" i="1"/>
  <c r="Y1708" i="1"/>
  <c r="Z1708" i="1"/>
  <c r="AA1708" i="1"/>
  <c r="X1709" i="1"/>
  <c r="Y1709" i="1"/>
  <c r="Z1709" i="1"/>
  <c r="AA1709" i="1"/>
  <c r="X1710" i="1"/>
  <c r="Y1710" i="1"/>
  <c r="Z1710" i="1"/>
  <c r="AA1710" i="1"/>
  <c r="X1711" i="1"/>
  <c r="Y1711" i="1"/>
  <c r="Z1711" i="1"/>
  <c r="AA1711" i="1"/>
  <c r="X1712" i="1"/>
  <c r="Y1712" i="1"/>
  <c r="Z1712" i="1"/>
  <c r="AA1712" i="1"/>
  <c r="X1713" i="1"/>
  <c r="Y1713" i="1"/>
  <c r="Z1713" i="1"/>
  <c r="AA1713" i="1"/>
  <c r="X1714" i="1"/>
  <c r="Y1714" i="1"/>
  <c r="Z1714" i="1"/>
  <c r="AA1714" i="1"/>
  <c r="X1715" i="1"/>
  <c r="Y1715" i="1"/>
  <c r="Z1715" i="1"/>
  <c r="AA1715" i="1"/>
  <c r="X1716" i="1"/>
  <c r="Y1716" i="1"/>
  <c r="Z1716" i="1"/>
  <c r="AA1716" i="1"/>
  <c r="X1717" i="1"/>
  <c r="Y1717" i="1"/>
  <c r="Z1717" i="1"/>
  <c r="AA1717" i="1"/>
  <c r="X1718" i="1"/>
  <c r="Y1718" i="1"/>
  <c r="Z1718" i="1"/>
  <c r="AA1718" i="1"/>
  <c r="X1719" i="1"/>
  <c r="Y1719" i="1"/>
  <c r="Z1719" i="1"/>
  <c r="AA1719" i="1"/>
  <c r="X1720" i="1"/>
  <c r="Y1720" i="1"/>
  <c r="Z1720" i="1"/>
  <c r="AA1720" i="1"/>
  <c r="X1721" i="1"/>
  <c r="Y1721" i="1"/>
  <c r="Z1721" i="1"/>
  <c r="AA1721" i="1"/>
  <c r="X1722" i="1"/>
  <c r="Y1722" i="1"/>
  <c r="Z1722" i="1"/>
  <c r="AA1722" i="1"/>
  <c r="X1723" i="1"/>
  <c r="Y1723" i="1"/>
  <c r="Z1723" i="1"/>
  <c r="AA1723" i="1"/>
  <c r="X1724" i="1"/>
  <c r="Y1724" i="1"/>
  <c r="Z1724" i="1"/>
  <c r="AA1724" i="1"/>
  <c r="X1725" i="1"/>
  <c r="Y1725" i="1"/>
  <c r="Z1725" i="1"/>
  <c r="AA1725" i="1"/>
  <c r="X1726" i="1"/>
  <c r="Y1726" i="1"/>
  <c r="Z1726" i="1"/>
  <c r="AA1726" i="1"/>
  <c r="X1727" i="1"/>
  <c r="Y1727" i="1"/>
  <c r="Z1727" i="1"/>
  <c r="AA1727" i="1"/>
  <c r="X1728" i="1"/>
  <c r="Y1728" i="1"/>
  <c r="Z1728" i="1"/>
  <c r="AA1728" i="1"/>
  <c r="X1729" i="1"/>
  <c r="Y1729" i="1"/>
  <c r="Z1729" i="1"/>
  <c r="AA1729" i="1"/>
  <c r="X1730" i="1"/>
  <c r="Y1730" i="1"/>
  <c r="Z1730" i="1"/>
  <c r="AA1730" i="1"/>
  <c r="X1731" i="1"/>
  <c r="Y1731" i="1"/>
  <c r="Z1731" i="1"/>
  <c r="AA1731" i="1"/>
  <c r="X1732" i="1"/>
  <c r="Y1732" i="1"/>
  <c r="Z1732" i="1"/>
  <c r="AA1732" i="1"/>
  <c r="X1733" i="1"/>
  <c r="Y1733" i="1"/>
  <c r="Z1733" i="1"/>
  <c r="AA1733" i="1"/>
  <c r="X1734" i="1"/>
  <c r="Y1734" i="1"/>
  <c r="Z1734" i="1"/>
  <c r="AA1734" i="1"/>
  <c r="X1735" i="1"/>
  <c r="Y1735" i="1"/>
  <c r="Z1735" i="1"/>
  <c r="AA1735" i="1"/>
  <c r="X1736" i="1"/>
  <c r="Y1736" i="1"/>
  <c r="Z1736" i="1"/>
  <c r="AA1736" i="1"/>
  <c r="X1737" i="1"/>
  <c r="Y1737" i="1"/>
  <c r="Z1737" i="1"/>
  <c r="AA1737" i="1"/>
  <c r="X1738" i="1"/>
  <c r="Y1738" i="1"/>
  <c r="Z1738" i="1"/>
  <c r="AA1738" i="1"/>
  <c r="X1739" i="1"/>
  <c r="Y1739" i="1"/>
  <c r="Z1739" i="1"/>
  <c r="AA1739" i="1"/>
  <c r="X1740" i="1"/>
  <c r="Y1740" i="1"/>
  <c r="Z1740" i="1"/>
  <c r="AA1740" i="1"/>
  <c r="X1741" i="1"/>
  <c r="Y1741" i="1"/>
  <c r="Z1741" i="1"/>
  <c r="AA1741" i="1"/>
  <c r="X1742" i="1"/>
  <c r="Y1742" i="1"/>
  <c r="Z1742" i="1"/>
  <c r="AA1742" i="1"/>
  <c r="X1743" i="1"/>
  <c r="Y1743" i="1"/>
  <c r="Z1743" i="1"/>
  <c r="AA1743" i="1"/>
  <c r="X1744" i="1"/>
  <c r="Y1744" i="1"/>
  <c r="Z1744" i="1"/>
  <c r="AA1744" i="1"/>
  <c r="X1745" i="1"/>
  <c r="Y1745" i="1"/>
  <c r="Z1745" i="1"/>
  <c r="AA1745" i="1"/>
  <c r="X1746" i="1"/>
  <c r="Y1746" i="1"/>
  <c r="Z1746" i="1"/>
  <c r="AA1746" i="1"/>
  <c r="X1747" i="1"/>
  <c r="Y1747" i="1"/>
  <c r="Z1747" i="1"/>
  <c r="AA1747" i="1"/>
  <c r="X1748" i="1"/>
  <c r="Y1748" i="1"/>
  <c r="Z1748" i="1"/>
  <c r="AA1748" i="1"/>
  <c r="X1749" i="1"/>
  <c r="Y1749" i="1"/>
  <c r="Z1749" i="1"/>
  <c r="AA1749" i="1"/>
  <c r="X1750" i="1"/>
  <c r="Y1750" i="1"/>
  <c r="Z1750" i="1"/>
  <c r="AA1750" i="1"/>
  <c r="X1751" i="1"/>
  <c r="Y1751" i="1"/>
  <c r="Z1751" i="1"/>
  <c r="AA1751" i="1"/>
  <c r="X1752" i="1"/>
  <c r="Y1752" i="1"/>
  <c r="Z1752" i="1"/>
  <c r="AA1752" i="1"/>
  <c r="X1753" i="1"/>
  <c r="Y1753" i="1"/>
  <c r="Z1753" i="1"/>
  <c r="AA1753" i="1"/>
  <c r="X1754" i="1"/>
  <c r="Y1754" i="1"/>
  <c r="Z1754" i="1"/>
  <c r="AA1754" i="1"/>
  <c r="X1755" i="1"/>
  <c r="Y1755" i="1"/>
  <c r="Z1755" i="1"/>
  <c r="AA1755" i="1"/>
  <c r="X1756" i="1"/>
  <c r="Y1756" i="1"/>
  <c r="Z1756" i="1"/>
  <c r="AA1756" i="1"/>
  <c r="X1757" i="1"/>
  <c r="Y1757" i="1"/>
  <c r="Z1757" i="1"/>
  <c r="AA1757" i="1"/>
  <c r="X1758" i="1"/>
  <c r="Y1758" i="1"/>
  <c r="Z1758" i="1"/>
  <c r="AA1758" i="1"/>
  <c r="X1759" i="1"/>
  <c r="Y1759" i="1"/>
  <c r="Z1759" i="1"/>
  <c r="AA1759" i="1"/>
  <c r="X1760" i="1"/>
  <c r="Y1760" i="1"/>
  <c r="Z1760" i="1"/>
  <c r="AA1760" i="1"/>
  <c r="X1761" i="1"/>
  <c r="Y1761" i="1"/>
  <c r="Z1761" i="1"/>
  <c r="AA1761" i="1"/>
  <c r="X1762" i="1"/>
  <c r="Y1762" i="1"/>
  <c r="Z1762" i="1"/>
  <c r="AA1762" i="1"/>
  <c r="X1763" i="1"/>
  <c r="Y1763" i="1"/>
  <c r="Z1763" i="1"/>
  <c r="AA1763" i="1"/>
  <c r="X1764" i="1"/>
  <c r="Y1764" i="1"/>
  <c r="Z1764" i="1"/>
  <c r="AA1764" i="1"/>
  <c r="X1765" i="1"/>
  <c r="Y1765" i="1"/>
  <c r="Z1765" i="1"/>
  <c r="AA1765" i="1"/>
  <c r="X1766" i="1"/>
  <c r="Y1766" i="1"/>
  <c r="Z1766" i="1"/>
  <c r="AA1766" i="1"/>
  <c r="X1767" i="1"/>
  <c r="Y1767" i="1"/>
  <c r="Z1767" i="1"/>
  <c r="AA1767" i="1"/>
  <c r="X1768" i="1"/>
  <c r="Y1768" i="1"/>
  <c r="Z1768" i="1"/>
  <c r="AA1768" i="1"/>
  <c r="X1769" i="1"/>
  <c r="Y1769" i="1"/>
  <c r="Z1769" i="1"/>
  <c r="AA1769" i="1"/>
  <c r="X1770" i="1"/>
  <c r="Y1770" i="1"/>
  <c r="Z1770" i="1"/>
  <c r="AA1770" i="1"/>
  <c r="X1771" i="1"/>
  <c r="Y1771" i="1"/>
  <c r="Z1771" i="1"/>
  <c r="AA1771" i="1"/>
  <c r="X1772" i="1"/>
  <c r="Y1772" i="1"/>
  <c r="Z1772" i="1"/>
  <c r="AA1772" i="1"/>
  <c r="X1773" i="1"/>
  <c r="Y1773" i="1"/>
  <c r="Z1773" i="1"/>
  <c r="AA1773" i="1"/>
  <c r="X1774" i="1"/>
  <c r="Y1774" i="1"/>
  <c r="Z1774" i="1"/>
  <c r="AA1774" i="1"/>
  <c r="X1775" i="1"/>
  <c r="Y1775" i="1"/>
  <c r="Z1775" i="1"/>
  <c r="AA1775" i="1"/>
  <c r="X1776" i="1"/>
  <c r="Y1776" i="1"/>
  <c r="Z1776" i="1"/>
  <c r="AA1776" i="1"/>
  <c r="X1777" i="1"/>
  <c r="Y1777" i="1"/>
  <c r="Z1777" i="1"/>
  <c r="AA1777" i="1"/>
  <c r="X1778" i="1"/>
  <c r="Y1778" i="1"/>
  <c r="Z1778" i="1"/>
  <c r="AA1778" i="1"/>
  <c r="X1779" i="1"/>
  <c r="Y1779" i="1"/>
  <c r="Z1779" i="1"/>
  <c r="AA1779" i="1"/>
  <c r="X1780" i="1"/>
  <c r="Y1780" i="1"/>
  <c r="Z1780" i="1"/>
  <c r="AA1780" i="1"/>
  <c r="X1781" i="1"/>
  <c r="Y1781" i="1"/>
  <c r="Z1781" i="1"/>
  <c r="AA1781" i="1"/>
  <c r="X1782" i="1"/>
  <c r="Y1782" i="1"/>
  <c r="Z1782" i="1"/>
  <c r="AA1782" i="1"/>
  <c r="X1783" i="1"/>
  <c r="Y1783" i="1"/>
  <c r="Z1783" i="1"/>
  <c r="AA1783" i="1"/>
  <c r="X1784" i="1"/>
  <c r="Y1784" i="1"/>
  <c r="Z1784" i="1"/>
  <c r="AA1784" i="1"/>
  <c r="X1785" i="1"/>
  <c r="Y1785" i="1"/>
  <c r="Z1785" i="1"/>
  <c r="AA1785" i="1"/>
  <c r="X1786" i="1"/>
  <c r="Y1786" i="1"/>
  <c r="Z1786" i="1"/>
  <c r="AA1786" i="1"/>
  <c r="X1787" i="1"/>
  <c r="Y1787" i="1"/>
  <c r="Z1787" i="1"/>
  <c r="AA1787" i="1"/>
  <c r="X1788" i="1"/>
  <c r="Y1788" i="1"/>
  <c r="Z1788" i="1"/>
  <c r="AA1788" i="1"/>
  <c r="X1789" i="1"/>
  <c r="Y1789" i="1"/>
  <c r="Z1789" i="1"/>
  <c r="AA1789" i="1"/>
  <c r="X1790" i="1"/>
  <c r="Y1790" i="1"/>
  <c r="Z1790" i="1"/>
  <c r="AA1790" i="1"/>
  <c r="X1791" i="1"/>
  <c r="Y1791" i="1"/>
  <c r="Z1791" i="1"/>
  <c r="AA1791" i="1"/>
  <c r="X1792" i="1"/>
  <c r="Y1792" i="1"/>
  <c r="Z1792" i="1"/>
  <c r="AA1792" i="1"/>
  <c r="X1793" i="1"/>
  <c r="Y1793" i="1"/>
  <c r="Z1793" i="1"/>
  <c r="AA1793" i="1"/>
  <c r="X1794" i="1"/>
  <c r="Y1794" i="1"/>
  <c r="Z1794" i="1"/>
  <c r="AA1794" i="1"/>
  <c r="X1795" i="1"/>
  <c r="Y1795" i="1"/>
  <c r="Z1795" i="1"/>
  <c r="AA1795" i="1"/>
  <c r="X1796" i="1"/>
  <c r="Y1796" i="1"/>
  <c r="Z1796" i="1"/>
  <c r="AA1796" i="1"/>
  <c r="X1797" i="1"/>
  <c r="Y1797" i="1"/>
  <c r="Z1797" i="1"/>
  <c r="AA1797" i="1"/>
  <c r="X1798" i="1"/>
  <c r="Y1798" i="1"/>
  <c r="Z1798" i="1"/>
  <c r="AA1798" i="1"/>
  <c r="X1799" i="1"/>
  <c r="Y1799" i="1"/>
  <c r="Z1799" i="1"/>
  <c r="AA1799" i="1"/>
  <c r="X1800" i="1"/>
  <c r="Y1800" i="1"/>
  <c r="Z1800" i="1"/>
  <c r="AA1800" i="1"/>
  <c r="X1801" i="1"/>
  <c r="Y1801" i="1"/>
  <c r="Z1801" i="1"/>
  <c r="AA1801" i="1"/>
  <c r="X1802" i="1"/>
  <c r="Y1802" i="1"/>
  <c r="Z1802" i="1"/>
  <c r="AA1802" i="1"/>
  <c r="X1803" i="1"/>
  <c r="Y1803" i="1"/>
  <c r="Z1803" i="1"/>
  <c r="AA1803" i="1"/>
  <c r="X1804" i="1"/>
  <c r="Y1804" i="1"/>
  <c r="Z1804" i="1"/>
  <c r="AA1804" i="1"/>
  <c r="X1805" i="1"/>
  <c r="Y1805" i="1"/>
  <c r="Z1805" i="1"/>
  <c r="AA1805" i="1"/>
  <c r="X1806" i="1"/>
  <c r="Y1806" i="1"/>
  <c r="Z1806" i="1"/>
  <c r="AA1806" i="1"/>
  <c r="X1807" i="1"/>
  <c r="Y1807" i="1"/>
  <c r="Z1807" i="1"/>
  <c r="AA1807" i="1"/>
  <c r="X1808" i="1"/>
  <c r="Y1808" i="1"/>
  <c r="Z1808" i="1"/>
  <c r="AA1808" i="1"/>
  <c r="X1809" i="1"/>
  <c r="Y1809" i="1"/>
  <c r="Z1809" i="1"/>
  <c r="AA1809" i="1"/>
  <c r="X1810" i="1"/>
  <c r="Y1810" i="1"/>
  <c r="Z1810" i="1"/>
  <c r="AA1810" i="1"/>
  <c r="X1811" i="1"/>
  <c r="Y1811" i="1"/>
  <c r="Z1811" i="1"/>
  <c r="AA1811" i="1"/>
  <c r="X1812" i="1"/>
  <c r="Y1812" i="1"/>
  <c r="Z1812" i="1"/>
  <c r="AA1812" i="1"/>
  <c r="X1813" i="1"/>
  <c r="Y1813" i="1"/>
  <c r="Z1813" i="1"/>
  <c r="AA1813" i="1"/>
  <c r="X1814" i="1"/>
  <c r="Y1814" i="1"/>
  <c r="Z1814" i="1"/>
  <c r="AA1814" i="1"/>
  <c r="X1815" i="1"/>
  <c r="Y1815" i="1"/>
  <c r="Z1815" i="1"/>
  <c r="AA1815" i="1"/>
  <c r="X1816" i="1"/>
  <c r="Y1816" i="1"/>
  <c r="Z1816" i="1"/>
  <c r="AA1816" i="1"/>
  <c r="X1817" i="1"/>
  <c r="Y1817" i="1"/>
  <c r="Z1817" i="1"/>
  <c r="AA1817" i="1"/>
  <c r="X1818" i="1"/>
  <c r="Y1818" i="1"/>
  <c r="Z1818" i="1"/>
  <c r="AA1818" i="1"/>
  <c r="X1819" i="1"/>
  <c r="Y1819" i="1"/>
  <c r="Z1819" i="1"/>
  <c r="AA1819" i="1"/>
  <c r="X1820" i="1"/>
  <c r="Y1820" i="1"/>
  <c r="Z1820" i="1"/>
  <c r="AA1820" i="1"/>
  <c r="X1821" i="1"/>
  <c r="Y1821" i="1"/>
  <c r="Z1821" i="1"/>
  <c r="AA1821" i="1"/>
  <c r="X1822" i="1"/>
  <c r="Y1822" i="1"/>
  <c r="Z1822" i="1"/>
  <c r="AA1822" i="1"/>
  <c r="X1823" i="1"/>
  <c r="Y1823" i="1"/>
  <c r="Z1823" i="1"/>
  <c r="AA1823" i="1"/>
  <c r="X1824" i="1"/>
  <c r="Y1824" i="1"/>
  <c r="Z1824" i="1"/>
  <c r="AA1824" i="1"/>
  <c r="X1825" i="1"/>
  <c r="Y1825" i="1"/>
  <c r="Z1825" i="1"/>
  <c r="AA1825" i="1"/>
  <c r="X1826" i="1"/>
  <c r="Y1826" i="1"/>
  <c r="Z1826" i="1"/>
  <c r="AA1826" i="1"/>
  <c r="X1827" i="1"/>
  <c r="Y1827" i="1"/>
  <c r="Z1827" i="1"/>
  <c r="AA1827" i="1"/>
  <c r="X1828" i="1"/>
  <c r="Y1828" i="1"/>
  <c r="Z1828" i="1"/>
  <c r="AA1828" i="1"/>
  <c r="X1829" i="1"/>
  <c r="Y1829" i="1"/>
  <c r="Z1829" i="1"/>
  <c r="AA1829" i="1"/>
  <c r="X1830" i="1"/>
  <c r="Y1830" i="1"/>
  <c r="Z1830" i="1"/>
  <c r="AA1830" i="1"/>
  <c r="X1831" i="1"/>
  <c r="Y1831" i="1"/>
  <c r="Z1831" i="1"/>
  <c r="AA1831" i="1"/>
  <c r="X1832" i="1"/>
  <c r="Y1832" i="1"/>
  <c r="Z1832" i="1"/>
  <c r="AA1832" i="1"/>
  <c r="X1833" i="1"/>
  <c r="Y1833" i="1"/>
  <c r="Z1833" i="1"/>
  <c r="AA1833" i="1"/>
  <c r="X1834" i="1"/>
  <c r="Y1834" i="1"/>
  <c r="Z1834" i="1"/>
  <c r="AA1834" i="1"/>
  <c r="X1835" i="1"/>
  <c r="Y1835" i="1"/>
  <c r="Z1835" i="1"/>
  <c r="AA1835" i="1"/>
  <c r="X1836" i="1"/>
  <c r="Y1836" i="1"/>
  <c r="Z1836" i="1"/>
  <c r="AA1836" i="1"/>
  <c r="X1837" i="1"/>
  <c r="Y1837" i="1"/>
  <c r="Z1837" i="1"/>
  <c r="AA1837" i="1"/>
  <c r="X1838" i="1"/>
  <c r="Y1838" i="1"/>
  <c r="Z1838" i="1"/>
  <c r="AA1838" i="1"/>
  <c r="X1839" i="1"/>
  <c r="Y1839" i="1"/>
  <c r="Z1839" i="1"/>
  <c r="AA1839" i="1"/>
  <c r="X1840" i="1"/>
  <c r="Y1840" i="1"/>
  <c r="Z1840" i="1"/>
  <c r="AA1840" i="1"/>
  <c r="X1841" i="1"/>
  <c r="Y1841" i="1"/>
  <c r="Z1841" i="1"/>
  <c r="AA1841" i="1"/>
  <c r="X1842" i="1"/>
  <c r="Y1842" i="1"/>
  <c r="Z1842" i="1"/>
  <c r="AA1842" i="1"/>
  <c r="X1843" i="1"/>
  <c r="Y1843" i="1"/>
  <c r="Z1843" i="1"/>
  <c r="AA1843" i="1"/>
  <c r="X1844" i="1"/>
  <c r="Y1844" i="1"/>
  <c r="Z1844" i="1"/>
  <c r="AA1844" i="1"/>
  <c r="X1845" i="1"/>
  <c r="Y1845" i="1"/>
  <c r="Z1845" i="1"/>
  <c r="AA1845" i="1"/>
  <c r="X1846" i="1"/>
  <c r="Y1846" i="1"/>
  <c r="Z1846" i="1"/>
  <c r="AA1846" i="1"/>
  <c r="X1847" i="1"/>
  <c r="Y1847" i="1"/>
  <c r="Z1847" i="1"/>
  <c r="AA1847" i="1"/>
  <c r="X1848" i="1"/>
  <c r="Y1848" i="1"/>
  <c r="Z1848" i="1"/>
  <c r="AA1848" i="1"/>
  <c r="X1849" i="1"/>
  <c r="Y1849" i="1"/>
  <c r="Z1849" i="1"/>
  <c r="AA1849" i="1"/>
  <c r="X1850" i="1"/>
  <c r="Y1850" i="1"/>
  <c r="Z1850" i="1"/>
  <c r="AA1850" i="1"/>
  <c r="X1851" i="1"/>
  <c r="Y1851" i="1"/>
  <c r="Z1851" i="1"/>
  <c r="AA1851" i="1"/>
  <c r="X1852" i="1"/>
  <c r="Y1852" i="1"/>
  <c r="Z1852" i="1"/>
  <c r="AA1852" i="1"/>
  <c r="X1853" i="1"/>
  <c r="Y1853" i="1"/>
  <c r="Z1853" i="1"/>
  <c r="AA1853" i="1"/>
  <c r="X1854" i="1"/>
  <c r="Y1854" i="1"/>
  <c r="Z1854" i="1"/>
  <c r="AA1854" i="1"/>
  <c r="X1855" i="1"/>
  <c r="Y1855" i="1"/>
  <c r="Z1855" i="1"/>
  <c r="AA1855" i="1"/>
  <c r="X1856" i="1"/>
  <c r="Y1856" i="1"/>
  <c r="Z1856" i="1"/>
  <c r="AA1856" i="1"/>
  <c r="X1857" i="1"/>
  <c r="Y1857" i="1"/>
  <c r="Z1857" i="1"/>
  <c r="AA1857" i="1"/>
  <c r="X1858" i="1"/>
  <c r="Y1858" i="1"/>
  <c r="Z1858" i="1"/>
  <c r="AA1858" i="1"/>
  <c r="X1859" i="1"/>
  <c r="Y1859" i="1"/>
  <c r="Z1859" i="1"/>
  <c r="AA1859" i="1"/>
  <c r="X1860" i="1"/>
  <c r="Y1860" i="1"/>
  <c r="Z1860" i="1"/>
  <c r="AA1860" i="1"/>
  <c r="X1861" i="1"/>
  <c r="Y1861" i="1"/>
  <c r="Z1861" i="1"/>
  <c r="AA1861" i="1"/>
  <c r="X1862" i="1"/>
  <c r="Y1862" i="1"/>
  <c r="Z1862" i="1"/>
  <c r="AA1862" i="1"/>
  <c r="X1863" i="1"/>
  <c r="Y1863" i="1"/>
  <c r="Z1863" i="1"/>
  <c r="AA1863" i="1"/>
  <c r="X1864" i="1"/>
  <c r="Y1864" i="1"/>
  <c r="Z1864" i="1"/>
  <c r="AA1864" i="1"/>
  <c r="X1865" i="1"/>
  <c r="Y1865" i="1"/>
  <c r="Z1865" i="1"/>
  <c r="AA1865" i="1"/>
  <c r="X1866" i="1"/>
  <c r="Y1866" i="1"/>
  <c r="Z1866" i="1"/>
  <c r="AA1866" i="1"/>
  <c r="X1867" i="1"/>
  <c r="Y1867" i="1"/>
  <c r="Z1867" i="1"/>
  <c r="AA1867" i="1"/>
  <c r="X1868" i="1"/>
  <c r="Y1868" i="1"/>
  <c r="Z1868" i="1"/>
  <c r="AA1868" i="1"/>
  <c r="X1869" i="1"/>
  <c r="Y1869" i="1"/>
  <c r="Z1869" i="1"/>
  <c r="AA1869" i="1"/>
  <c r="X1870" i="1"/>
  <c r="Y1870" i="1"/>
  <c r="Z1870" i="1"/>
  <c r="AA1870" i="1"/>
  <c r="X1871" i="1"/>
  <c r="Y1871" i="1"/>
  <c r="Z1871" i="1"/>
  <c r="AA1871" i="1"/>
  <c r="X1872" i="1"/>
  <c r="Y1872" i="1"/>
  <c r="Z1872" i="1"/>
  <c r="AA1872" i="1"/>
  <c r="X1873" i="1"/>
  <c r="Y1873" i="1"/>
  <c r="Z1873" i="1"/>
  <c r="AA1873" i="1"/>
  <c r="X1874" i="1"/>
  <c r="Y1874" i="1"/>
  <c r="Z1874" i="1"/>
  <c r="AA1874" i="1"/>
  <c r="X1875" i="1"/>
  <c r="Y1875" i="1"/>
  <c r="Z1875" i="1"/>
  <c r="AA1875" i="1"/>
  <c r="X1876" i="1"/>
  <c r="Y1876" i="1"/>
  <c r="Z1876" i="1"/>
  <c r="AA1876" i="1"/>
  <c r="X1877" i="1"/>
  <c r="Y1877" i="1"/>
  <c r="Z1877" i="1"/>
  <c r="AA1877" i="1"/>
  <c r="X1878" i="1"/>
  <c r="Y1878" i="1"/>
  <c r="Z1878" i="1"/>
  <c r="AA1878" i="1"/>
  <c r="X1879" i="1"/>
  <c r="Y1879" i="1"/>
  <c r="Z1879" i="1"/>
  <c r="AA1879" i="1"/>
  <c r="X1880" i="1"/>
  <c r="Y1880" i="1"/>
  <c r="Z1880" i="1"/>
  <c r="AA1880" i="1"/>
  <c r="X1881" i="1"/>
  <c r="Y1881" i="1"/>
  <c r="Z1881" i="1"/>
  <c r="AA1881" i="1"/>
  <c r="X1882" i="1"/>
  <c r="Y1882" i="1"/>
  <c r="Z1882" i="1"/>
  <c r="AA1882" i="1"/>
  <c r="X1883" i="1"/>
  <c r="Y1883" i="1"/>
  <c r="Z1883" i="1"/>
  <c r="AA1883" i="1"/>
  <c r="X1884" i="1"/>
  <c r="Y1884" i="1"/>
  <c r="Z1884" i="1"/>
  <c r="AA1884" i="1"/>
  <c r="X1885" i="1"/>
  <c r="Y1885" i="1"/>
  <c r="Z1885" i="1"/>
  <c r="AA1885" i="1"/>
  <c r="X1886" i="1"/>
  <c r="Y1886" i="1"/>
  <c r="Z1886" i="1"/>
  <c r="AA1886" i="1"/>
  <c r="X1887" i="1"/>
  <c r="Y1887" i="1"/>
  <c r="Z1887" i="1"/>
  <c r="AA1887" i="1"/>
  <c r="X1888" i="1"/>
  <c r="Y1888" i="1"/>
  <c r="Z1888" i="1"/>
  <c r="AA1888" i="1"/>
  <c r="X1889" i="1"/>
  <c r="Y1889" i="1"/>
  <c r="Z1889" i="1"/>
  <c r="AA1889" i="1"/>
  <c r="X1890" i="1"/>
  <c r="Y1890" i="1"/>
  <c r="Z1890" i="1"/>
  <c r="AA1890" i="1"/>
  <c r="X1891" i="1"/>
  <c r="Y1891" i="1"/>
  <c r="Z1891" i="1"/>
  <c r="AA1891" i="1"/>
  <c r="X1892" i="1"/>
  <c r="Y1892" i="1"/>
  <c r="Z1892" i="1"/>
  <c r="AA1892" i="1"/>
  <c r="X1893" i="1"/>
  <c r="Y1893" i="1"/>
  <c r="Z1893" i="1"/>
  <c r="AA1893" i="1"/>
  <c r="X1894" i="1"/>
  <c r="Y1894" i="1"/>
  <c r="Z1894" i="1"/>
  <c r="AA1894" i="1"/>
  <c r="X1895" i="1"/>
  <c r="Y1895" i="1"/>
  <c r="Z1895" i="1"/>
  <c r="AA1895" i="1"/>
  <c r="X1896" i="1"/>
  <c r="Y1896" i="1"/>
  <c r="Z1896" i="1"/>
  <c r="AA1896" i="1"/>
  <c r="X1897" i="1"/>
  <c r="Y1897" i="1"/>
  <c r="Z1897" i="1"/>
  <c r="AA1897" i="1"/>
  <c r="X1898" i="1"/>
  <c r="Y1898" i="1"/>
  <c r="Z1898" i="1"/>
  <c r="AA1898" i="1"/>
  <c r="X1899" i="1"/>
  <c r="Y1899" i="1"/>
  <c r="Z1899" i="1"/>
  <c r="AA1899" i="1"/>
  <c r="X1900" i="1"/>
  <c r="Y1900" i="1"/>
  <c r="Z1900" i="1"/>
  <c r="AA1900" i="1"/>
  <c r="X1901" i="1"/>
  <c r="Y1901" i="1"/>
  <c r="Z1901" i="1"/>
  <c r="AA1901" i="1"/>
  <c r="X1902" i="1"/>
  <c r="Y1902" i="1"/>
  <c r="Z1902" i="1"/>
  <c r="AA1902" i="1"/>
  <c r="X1903" i="1"/>
  <c r="Y1903" i="1"/>
  <c r="Z1903" i="1"/>
  <c r="AA1903" i="1"/>
  <c r="X1904" i="1"/>
  <c r="Y1904" i="1"/>
  <c r="Z1904" i="1"/>
  <c r="AA1904" i="1"/>
  <c r="X1905" i="1"/>
  <c r="Y1905" i="1"/>
  <c r="Z1905" i="1"/>
  <c r="AA1905" i="1"/>
  <c r="X1906" i="1"/>
  <c r="Y1906" i="1"/>
  <c r="Z1906" i="1"/>
  <c r="AA1906" i="1"/>
  <c r="X1907" i="1"/>
  <c r="Y1907" i="1"/>
  <c r="Z1907" i="1"/>
  <c r="AA1907" i="1"/>
  <c r="X1908" i="1"/>
  <c r="Y1908" i="1"/>
  <c r="Z1908" i="1"/>
  <c r="AA1908" i="1"/>
  <c r="X1909" i="1"/>
  <c r="Y1909" i="1"/>
  <c r="Z1909" i="1"/>
  <c r="AA1909" i="1"/>
  <c r="X1910" i="1"/>
  <c r="Y1910" i="1"/>
  <c r="Z1910" i="1"/>
  <c r="AA1910" i="1"/>
  <c r="X1911" i="1"/>
  <c r="Y1911" i="1"/>
  <c r="Z1911" i="1"/>
  <c r="AA1911" i="1"/>
  <c r="X1912" i="1"/>
  <c r="Y1912" i="1"/>
  <c r="Z1912" i="1"/>
  <c r="AA1912" i="1"/>
  <c r="X1913" i="1"/>
  <c r="Y1913" i="1"/>
  <c r="Z1913" i="1"/>
  <c r="AA1913" i="1"/>
  <c r="X1914" i="1"/>
  <c r="Y1914" i="1"/>
  <c r="Z1914" i="1"/>
  <c r="AA1914" i="1"/>
  <c r="X1915" i="1"/>
  <c r="Y1915" i="1"/>
  <c r="Z1915" i="1"/>
  <c r="AA1915" i="1"/>
  <c r="X1916" i="1"/>
  <c r="Y1916" i="1"/>
  <c r="Z1916" i="1"/>
  <c r="AA1916" i="1"/>
  <c r="X1917" i="1"/>
  <c r="Y1917" i="1"/>
  <c r="Z1917" i="1"/>
  <c r="AA1917" i="1"/>
  <c r="X1918" i="1"/>
  <c r="Y1918" i="1"/>
  <c r="Z1918" i="1"/>
  <c r="AA1918" i="1"/>
  <c r="X1919" i="1"/>
  <c r="Y1919" i="1"/>
  <c r="Z1919" i="1"/>
  <c r="AA1919" i="1"/>
  <c r="X1920" i="1"/>
  <c r="Y1920" i="1"/>
  <c r="Z1920" i="1"/>
  <c r="AA1920" i="1"/>
  <c r="X1921" i="1"/>
  <c r="Y1921" i="1"/>
  <c r="Z1921" i="1"/>
  <c r="AA1921" i="1"/>
  <c r="X1922" i="1"/>
  <c r="Y1922" i="1"/>
  <c r="Z1922" i="1"/>
  <c r="AA1922" i="1"/>
  <c r="X1923" i="1"/>
  <c r="Y1923" i="1"/>
  <c r="Z1923" i="1"/>
  <c r="AA1923" i="1"/>
  <c r="X1924" i="1"/>
  <c r="Y1924" i="1"/>
  <c r="Z1924" i="1"/>
  <c r="AA1924" i="1"/>
  <c r="X1925" i="1"/>
  <c r="Y1925" i="1"/>
  <c r="Z1925" i="1"/>
  <c r="AA1925" i="1"/>
  <c r="X1926" i="1"/>
  <c r="Y1926" i="1"/>
  <c r="Z1926" i="1"/>
  <c r="AA1926" i="1"/>
  <c r="X1927" i="1"/>
  <c r="Y1927" i="1"/>
  <c r="Z1927" i="1"/>
  <c r="AA1927" i="1"/>
  <c r="X1928" i="1"/>
  <c r="Y1928" i="1"/>
  <c r="Z1928" i="1"/>
  <c r="AA1928" i="1"/>
  <c r="X1929" i="1"/>
  <c r="Y1929" i="1"/>
  <c r="Z1929" i="1"/>
  <c r="AA1929" i="1"/>
  <c r="X1930" i="1"/>
  <c r="Y1930" i="1"/>
  <c r="Z1930" i="1"/>
  <c r="AA1930" i="1"/>
  <c r="X1931" i="1"/>
  <c r="Y1931" i="1"/>
  <c r="Z1931" i="1"/>
  <c r="AA1931" i="1"/>
  <c r="X1932" i="1"/>
  <c r="Y1932" i="1"/>
  <c r="Z1932" i="1"/>
  <c r="AA1932" i="1"/>
  <c r="X1933" i="1"/>
  <c r="Y1933" i="1"/>
  <c r="Z1933" i="1"/>
  <c r="AA1933" i="1"/>
  <c r="X1934" i="1"/>
  <c r="Y1934" i="1"/>
  <c r="Z1934" i="1"/>
  <c r="AA1934" i="1"/>
  <c r="X1935" i="1"/>
  <c r="Y1935" i="1"/>
  <c r="Z1935" i="1"/>
  <c r="AA1935" i="1"/>
  <c r="X1936" i="1"/>
  <c r="Y1936" i="1"/>
  <c r="Z1936" i="1"/>
  <c r="AA1936" i="1"/>
  <c r="X1937" i="1"/>
  <c r="Y1937" i="1"/>
  <c r="Z1937" i="1"/>
  <c r="AA1937" i="1"/>
  <c r="X1938" i="1"/>
  <c r="Y1938" i="1"/>
  <c r="Z1938" i="1"/>
  <c r="AA1938" i="1"/>
  <c r="X1939" i="1"/>
  <c r="Y1939" i="1"/>
  <c r="Z1939" i="1"/>
  <c r="AA1939" i="1"/>
  <c r="X1940" i="1"/>
  <c r="Y1940" i="1"/>
  <c r="Z1940" i="1"/>
  <c r="AA1940" i="1"/>
  <c r="X1941" i="1"/>
  <c r="Y1941" i="1"/>
  <c r="Z1941" i="1"/>
  <c r="AA1941" i="1"/>
  <c r="X1942" i="1"/>
  <c r="Y1942" i="1"/>
  <c r="Z1942" i="1"/>
  <c r="AA1942" i="1"/>
  <c r="X1943" i="1"/>
  <c r="Y1943" i="1"/>
  <c r="Z1943" i="1"/>
  <c r="AA1943" i="1"/>
  <c r="X1944" i="1"/>
  <c r="Y1944" i="1"/>
  <c r="Z1944" i="1"/>
  <c r="AA1944" i="1"/>
  <c r="X1945" i="1"/>
  <c r="Y1945" i="1"/>
  <c r="Z1945" i="1"/>
  <c r="AA1945" i="1"/>
  <c r="X1946" i="1"/>
  <c r="Y1946" i="1"/>
  <c r="Z1946" i="1"/>
  <c r="AA1946" i="1"/>
  <c r="X1947" i="1"/>
  <c r="Y1947" i="1"/>
  <c r="Z1947" i="1"/>
  <c r="AA1947" i="1"/>
  <c r="X1948" i="1"/>
  <c r="Y1948" i="1"/>
  <c r="Z1948" i="1"/>
  <c r="AA1948" i="1"/>
  <c r="X1949" i="1"/>
  <c r="Y1949" i="1"/>
  <c r="Z1949" i="1"/>
  <c r="AA1949" i="1"/>
  <c r="X1950" i="1"/>
  <c r="Y1950" i="1"/>
  <c r="Z1950" i="1"/>
  <c r="AA1950" i="1"/>
  <c r="X1951" i="1"/>
  <c r="Y1951" i="1"/>
  <c r="Z1951" i="1"/>
  <c r="AA1951" i="1"/>
  <c r="X1952" i="1"/>
  <c r="Y1952" i="1"/>
  <c r="Z1952" i="1"/>
  <c r="AA1952" i="1"/>
  <c r="X1953" i="1"/>
  <c r="Y1953" i="1"/>
  <c r="Z1953" i="1"/>
  <c r="AA1953" i="1"/>
  <c r="X1954" i="1"/>
  <c r="Y1954" i="1"/>
  <c r="Z1954" i="1"/>
  <c r="AA1954" i="1"/>
  <c r="X1955" i="1"/>
  <c r="Y1955" i="1"/>
  <c r="Z1955" i="1"/>
  <c r="AA1955" i="1"/>
  <c r="X1956" i="1"/>
  <c r="Y1956" i="1"/>
  <c r="Z1956" i="1"/>
  <c r="AA1956" i="1"/>
  <c r="X1957" i="1"/>
  <c r="Y1957" i="1"/>
  <c r="Z1957" i="1"/>
  <c r="AA1957" i="1"/>
  <c r="X1958" i="1"/>
  <c r="Y1958" i="1"/>
  <c r="Z1958" i="1"/>
  <c r="AA1958" i="1"/>
  <c r="X1959" i="1"/>
  <c r="Y1959" i="1"/>
  <c r="Z1959" i="1"/>
  <c r="AA1959" i="1"/>
  <c r="X1960" i="1"/>
  <c r="Y1960" i="1"/>
  <c r="Z1960" i="1"/>
  <c r="AA1960" i="1"/>
  <c r="X1961" i="1"/>
  <c r="Y1961" i="1"/>
  <c r="Z1961" i="1"/>
  <c r="AA1961" i="1"/>
  <c r="X1962" i="1"/>
  <c r="Y1962" i="1"/>
  <c r="Z1962" i="1"/>
  <c r="AA1962" i="1"/>
  <c r="X1963" i="1"/>
  <c r="Y1963" i="1"/>
  <c r="Z1963" i="1"/>
  <c r="AA1963" i="1"/>
  <c r="X1964" i="1"/>
  <c r="Y1964" i="1"/>
  <c r="Z1964" i="1"/>
  <c r="AA1964" i="1"/>
  <c r="X1965" i="1"/>
  <c r="Y1965" i="1"/>
  <c r="Z1965" i="1"/>
  <c r="AA1965" i="1"/>
  <c r="X1966" i="1"/>
  <c r="Y1966" i="1"/>
  <c r="Z1966" i="1"/>
  <c r="AA1966" i="1"/>
  <c r="X1967" i="1"/>
  <c r="Y1967" i="1"/>
  <c r="Z1967" i="1"/>
  <c r="AA1967" i="1"/>
  <c r="X1968" i="1"/>
  <c r="Y1968" i="1"/>
  <c r="Z1968" i="1"/>
  <c r="AA1968" i="1"/>
  <c r="X1969" i="1"/>
  <c r="Y1969" i="1"/>
  <c r="Z1969" i="1"/>
  <c r="AA1969" i="1"/>
  <c r="X1970" i="1"/>
  <c r="Y1970" i="1"/>
  <c r="Z1970" i="1"/>
  <c r="AA1970" i="1"/>
  <c r="X1971" i="1"/>
  <c r="Y1971" i="1"/>
  <c r="Z1971" i="1"/>
  <c r="AA1971" i="1"/>
  <c r="X1972" i="1"/>
  <c r="Y1972" i="1"/>
  <c r="Z1972" i="1"/>
  <c r="AA1972" i="1"/>
  <c r="X1973" i="1"/>
  <c r="Y1973" i="1"/>
  <c r="Z1973" i="1"/>
  <c r="AA1973" i="1"/>
  <c r="X1974" i="1"/>
  <c r="Y1974" i="1"/>
  <c r="Z1974" i="1"/>
  <c r="AA1974" i="1"/>
  <c r="X1975" i="1"/>
  <c r="Y1975" i="1"/>
  <c r="Z1975" i="1"/>
  <c r="AA1975" i="1"/>
  <c r="X1976" i="1"/>
  <c r="Y1976" i="1"/>
  <c r="Z1976" i="1"/>
  <c r="AA1976" i="1"/>
  <c r="X1977" i="1"/>
  <c r="Y1977" i="1"/>
  <c r="Z1977" i="1"/>
  <c r="AA1977" i="1"/>
  <c r="X1978" i="1"/>
  <c r="Y1978" i="1"/>
  <c r="Z1978" i="1"/>
  <c r="AA1978" i="1"/>
  <c r="X1979" i="1"/>
  <c r="Y1979" i="1"/>
  <c r="Z1979" i="1"/>
  <c r="AA1979" i="1"/>
  <c r="X1980" i="1"/>
  <c r="Y1980" i="1"/>
  <c r="Z1980" i="1"/>
  <c r="AA1980" i="1"/>
  <c r="X1981" i="1"/>
  <c r="Y1981" i="1"/>
  <c r="Z1981" i="1"/>
  <c r="AA1981" i="1"/>
  <c r="X1982" i="1"/>
  <c r="Y1982" i="1"/>
  <c r="Z1982" i="1"/>
  <c r="AA1982" i="1"/>
  <c r="X1983" i="1"/>
  <c r="Y1983" i="1"/>
  <c r="Z1983" i="1"/>
  <c r="AA1983" i="1"/>
  <c r="X1984" i="1"/>
  <c r="Y1984" i="1"/>
  <c r="Z1984" i="1"/>
  <c r="AA1984" i="1"/>
  <c r="X1985" i="1"/>
  <c r="Y1985" i="1"/>
  <c r="Z1985" i="1"/>
  <c r="AA1985" i="1"/>
  <c r="X1986" i="1"/>
  <c r="Y1986" i="1"/>
  <c r="Z1986" i="1"/>
  <c r="AA1986" i="1"/>
  <c r="X1987" i="1"/>
  <c r="Y1987" i="1"/>
  <c r="Z1987" i="1"/>
  <c r="AA1987" i="1"/>
  <c r="X1988" i="1"/>
  <c r="Y1988" i="1"/>
  <c r="Z1988" i="1"/>
  <c r="AA1988" i="1"/>
  <c r="X1989" i="1"/>
  <c r="Y1989" i="1"/>
  <c r="Z1989" i="1"/>
  <c r="AA1989" i="1"/>
  <c r="X1990" i="1"/>
  <c r="Y1990" i="1"/>
  <c r="Z1990" i="1"/>
  <c r="AA1990" i="1"/>
  <c r="X1991" i="1"/>
  <c r="Y1991" i="1"/>
  <c r="Z1991" i="1"/>
  <c r="AA1991" i="1"/>
  <c r="X1992" i="1"/>
  <c r="Y1992" i="1"/>
  <c r="Z1992" i="1"/>
  <c r="AA1992" i="1"/>
  <c r="X1993" i="1"/>
  <c r="Y1993" i="1"/>
  <c r="Z1993" i="1"/>
  <c r="AA1993" i="1"/>
  <c r="X1994" i="1"/>
  <c r="Y1994" i="1"/>
  <c r="Z1994" i="1"/>
  <c r="AA1994" i="1"/>
  <c r="X1995" i="1"/>
  <c r="Y1995" i="1"/>
  <c r="Z1995" i="1"/>
  <c r="AA1995" i="1"/>
  <c r="X1996" i="1"/>
  <c r="Y1996" i="1"/>
  <c r="Z1996" i="1"/>
  <c r="AA1996" i="1"/>
  <c r="X1997" i="1"/>
  <c r="Y1997" i="1"/>
  <c r="Z1997" i="1"/>
  <c r="AA1997" i="1"/>
  <c r="X1998" i="1"/>
  <c r="Y1998" i="1"/>
  <c r="Z1998" i="1"/>
  <c r="AA1998" i="1"/>
  <c r="X1999" i="1"/>
  <c r="Y1999" i="1"/>
  <c r="Z1999" i="1"/>
  <c r="AA1999" i="1"/>
  <c r="X2000" i="1"/>
  <c r="Y2000" i="1"/>
  <c r="Z2000" i="1"/>
  <c r="AA2000" i="1"/>
  <c r="X2001" i="1"/>
  <c r="Y2001" i="1"/>
  <c r="Z2001" i="1"/>
  <c r="AA2001" i="1"/>
  <c r="X2002" i="1"/>
  <c r="Y2002" i="1"/>
  <c r="Z2002" i="1"/>
  <c r="AA2002" i="1"/>
  <c r="X2003" i="1"/>
  <c r="Y2003" i="1"/>
  <c r="Z2003" i="1"/>
  <c r="AA2003" i="1"/>
  <c r="X2004" i="1"/>
  <c r="Y2004" i="1"/>
  <c r="Z2004" i="1"/>
  <c r="AA2004" i="1"/>
  <c r="X2005" i="1"/>
  <c r="Y2005" i="1"/>
  <c r="Z2005" i="1"/>
  <c r="AA2005" i="1"/>
  <c r="X2006" i="1"/>
  <c r="Y2006" i="1"/>
  <c r="Z2006" i="1"/>
  <c r="AA2006" i="1"/>
  <c r="X2007" i="1"/>
  <c r="Y2007" i="1"/>
  <c r="Z2007" i="1"/>
  <c r="AA2007" i="1"/>
  <c r="X2008" i="1"/>
  <c r="Y2008" i="1"/>
  <c r="Z2008" i="1"/>
  <c r="AA2008" i="1"/>
  <c r="X2009" i="1"/>
  <c r="Y2009" i="1"/>
  <c r="Z2009" i="1"/>
  <c r="AA2009" i="1"/>
  <c r="X2010" i="1"/>
  <c r="Y2010" i="1"/>
  <c r="Z2010" i="1"/>
  <c r="AA2010" i="1"/>
  <c r="X2011" i="1"/>
  <c r="Y2011" i="1"/>
  <c r="Z2011" i="1"/>
  <c r="AA2011" i="1"/>
  <c r="X2012" i="1"/>
  <c r="Y2012" i="1"/>
  <c r="Z2012" i="1"/>
  <c r="AA2012" i="1"/>
  <c r="X2013" i="1"/>
  <c r="Y2013" i="1"/>
  <c r="Z2013" i="1"/>
  <c r="AA2013" i="1"/>
  <c r="X2014" i="1"/>
  <c r="Y2014" i="1"/>
  <c r="Z2014" i="1"/>
  <c r="AA2014" i="1"/>
  <c r="X2015" i="1"/>
  <c r="Y2015" i="1"/>
  <c r="Z2015" i="1"/>
  <c r="AA2015" i="1"/>
  <c r="X2016" i="1"/>
  <c r="Y2016" i="1"/>
  <c r="Z2016" i="1"/>
  <c r="AA2016" i="1"/>
  <c r="X2017" i="1"/>
  <c r="Y2017" i="1"/>
  <c r="Z2017" i="1"/>
  <c r="AA2017" i="1"/>
  <c r="X2018" i="1"/>
  <c r="Y2018" i="1"/>
  <c r="Z2018" i="1"/>
  <c r="AA2018" i="1"/>
  <c r="X2019" i="1"/>
  <c r="Y2019" i="1"/>
  <c r="Z2019" i="1"/>
  <c r="AA2019" i="1"/>
  <c r="X2020" i="1"/>
  <c r="Y2020" i="1"/>
  <c r="Z2020" i="1"/>
  <c r="AA2020" i="1"/>
  <c r="X2021" i="1"/>
  <c r="Y2021" i="1"/>
  <c r="Z2021" i="1"/>
  <c r="AA2021" i="1"/>
  <c r="X2022" i="1"/>
  <c r="Y2022" i="1"/>
  <c r="Z2022" i="1"/>
  <c r="AA2022" i="1"/>
  <c r="X2023" i="1"/>
  <c r="Y2023" i="1"/>
  <c r="Z2023" i="1"/>
  <c r="AA2023" i="1"/>
  <c r="X2024" i="1"/>
  <c r="Y2024" i="1"/>
  <c r="Z2024" i="1"/>
  <c r="AA2024" i="1"/>
  <c r="X2025" i="1"/>
  <c r="Y2025" i="1"/>
  <c r="Z2025" i="1"/>
  <c r="AA2025" i="1"/>
  <c r="X2026" i="1"/>
  <c r="Y2026" i="1"/>
  <c r="Z2026" i="1"/>
  <c r="AA2026" i="1"/>
  <c r="X2027" i="1"/>
  <c r="Y2027" i="1"/>
  <c r="Z2027" i="1"/>
  <c r="AA2027" i="1"/>
  <c r="X2028" i="1"/>
  <c r="Y2028" i="1"/>
  <c r="Z2028" i="1"/>
  <c r="AA2028" i="1"/>
  <c r="X2029" i="1"/>
  <c r="Y2029" i="1"/>
  <c r="Z2029" i="1"/>
  <c r="AA2029" i="1"/>
  <c r="X2030" i="1"/>
  <c r="Y2030" i="1"/>
  <c r="Z2030" i="1"/>
  <c r="AA2030" i="1"/>
  <c r="X2031" i="1"/>
  <c r="Y2031" i="1"/>
  <c r="Z2031" i="1"/>
  <c r="AA2031" i="1"/>
  <c r="X2032" i="1"/>
  <c r="Y2032" i="1"/>
  <c r="Z2032" i="1"/>
  <c r="AA2032" i="1"/>
  <c r="X2033" i="1"/>
  <c r="Y2033" i="1"/>
  <c r="Z2033" i="1"/>
  <c r="AA2033" i="1"/>
  <c r="X2034" i="1"/>
  <c r="Y2034" i="1"/>
  <c r="Z2034" i="1"/>
  <c r="AA2034" i="1"/>
  <c r="X2035" i="1"/>
  <c r="Y2035" i="1"/>
  <c r="Z2035" i="1"/>
  <c r="AA2035" i="1"/>
  <c r="X2036" i="1"/>
  <c r="Y2036" i="1"/>
  <c r="Z2036" i="1"/>
  <c r="AA2036" i="1"/>
  <c r="X2037" i="1"/>
  <c r="Y2037" i="1"/>
  <c r="Z2037" i="1"/>
  <c r="AA2037" i="1"/>
  <c r="X2038" i="1"/>
  <c r="Y2038" i="1"/>
  <c r="Z2038" i="1"/>
  <c r="AA2038" i="1"/>
  <c r="X2039" i="1"/>
  <c r="Y2039" i="1"/>
  <c r="Z2039" i="1"/>
  <c r="AA2039" i="1"/>
  <c r="X2040" i="1"/>
  <c r="Y2040" i="1"/>
  <c r="Z2040" i="1"/>
  <c r="AA2040" i="1"/>
  <c r="X2041" i="1"/>
  <c r="Y2041" i="1"/>
  <c r="Z2041" i="1"/>
  <c r="AA2041" i="1"/>
  <c r="X2042" i="1"/>
  <c r="Y2042" i="1"/>
  <c r="Z2042" i="1"/>
  <c r="AA2042" i="1"/>
  <c r="X2043" i="1"/>
  <c r="Y2043" i="1"/>
  <c r="Z2043" i="1"/>
  <c r="AA2043" i="1"/>
  <c r="X2044" i="1"/>
  <c r="Y2044" i="1"/>
  <c r="Z2044" i="1"/>
  <c r="AA2044" i="1"/>
  <c r="X2045" i="1"/>
  <c r="Y2045" i="1"/>
  <c r="Z2045" i="1"/>
  <c r="AA2045" i="1"/>
  <c r="X2046" i="1"/>
  <c r="Y2046" i="1"/>
  <c r="Z2046" i="1"/>
  <c r="AA2046" i="1"/>
  <c r="X2047" i="1"/>
  <c r="Y2047" i="1"/>
  <c r="Z2047" i="1"/>
  <c r="AA2047" i="1"/>
  <c r="X2048" i="1"/>
  <c r="Y2048" i="1"/>
  <c r="Z2048" i="1"/>
  <c r="AA2048" i="1"/>
  <c r="X2049" i="1"/>
  <c r="Y2049" i="1"/>
  <c r="Z2049" i="1"/>
  <c r="AA2049" i="1"/>
  <c r="X2050" i="1"/>
  <c r="Y2050" i="1"/>
  <c r="Z2050" i="1"/>
  <c r="AA2050" i="1"/>
  <c r="X2051" i="1"/>
  <c r="Y2051" i="1"/>
  <c r="Z2051" i="1"/>
  <c r="AA2051" i="1"/>
  <c r="X2052" i="1"/>
  <c r="Y2052" i="1"/>
  <c r="Z2052" i="1"/>
  <c r="AA2052" i="1"/>
  <c r="X2053" i="1"/>
  <c r="Y2053" i="1"/>
  <c r="Z2053" i="1"/>
  <c r="AA2053" i="1"/>
  <c r="X2054" i="1"/>
  <c r="Y2054" i="1"/>
  <c r="Z2054" i="1"/>
  <c r="AA2054" i="1"/>
  <c r="X2055" i="1"/>
  <c r="Y2055" i="1"/>
  <c r="Z2055" i="1"/>
  <c r="AA2055" i="1"/>
  <c r="X2056" i="1"/>
  <c r="Y2056" i="1"/>
  <c r="Z2056" i="1"/>
  <c r="AA2056" i="1"/>
  <c r="X2057" i="1"/>
  <c r="Y2057" i="1"/>
  <c r="Z2057" i="1"/>
  <c r="AA2057" i="1"/>
  <c r="X2058" i="1"/>
  <c r="Y2058" i="1"/>
  <c r="Z2058" i="1"/>
  <c r="AA2058" i="1"/>
  <c r="X2059" i="1"/>
  <c r="Y2059" i="1"/>
  <c r="Z2059" i="1"/>
  <c r="AA2059" i="1"/>
  <c r="X2060" i="1"/>
  <c r="Y2060" i="1"/>
  <c r="Z2060" i="1"/>
  <c r="AA2060" i="1"/>
  <c r="X2061" i="1"/>
  <c r="Y2061" i="1"/>
  <c r="Z2061" i="1"/>
  <c r="AA2061" i="1"/>
  <c r="X2062" i="1"/>
  <c r="Y2062" i="1"/>
  <c r="Z2062" i="1"/>
  <c r="AA2062" i="1"/>
  <c r="X2063" i="1"/>
  <c r="Y2063" i="1"/>
  <c r="Z2063" i="1"/>
  <c r="AA2063" i="1"/>
  <c r="X2064" i="1"/>
  <c r="Y2064" i="1"/>
  <c r="Z2064" i="1"/>
  <c r="AA2064" i="1"/>
  <c r="X2065" i="1"/>
  <c r="Y2065" i="1"/>
  <c r="Z2065" i="1"/>
  <c r="AA2065" i="1"/>
  <c r="X2066" i="1"/>
  <c r="Y2066" i="1"/>
  <c r="Z2066" i="1"/>
  <c r="AA2066" i="1"/>
  <c r="X2067" i="1"/>
  <c r="Y2067" i="1"/>
  <c r="Z2067" i="1"/>
  <c r="AA2067" i="1"/>
  <c r="X2068" i="1"/>
  <c r="Y2068" i="1"/>
  <c r="Z2068" i="1"/>
  <c r="AA2068" i="1"/>
  <c r="X2069" i="1"/>
  <c r="Y2069" i="1"/>
  <c r="Z2069" i="1"/>
  <c r="AA2069" i="1"/>
  <c r="X2070" i="1"/>
  <c r="Y2070" i="1"/>
  <c r="Z2070" i="1"/>
  <c r="AA2070" i="1"/>
  <c r="X2071" i="1"/>
  <c r="Y2071" i="1"/>
  <c r="Z2071" i="1"/>
  <c r="AA2071" i="1"/>
  <c r="X2072" i="1"/>
  <c r="Y2072" i="1"/>
  <c r="Z2072" i="1"/>
  <c r="AA2072" i="1"/>
  <c r="X2073" i="1"/>
  <c r="Y2073" i="1"/>
  <c r="Z2073" i="1"/>
  <c r="AA2073" i="1"/>
  <c r="X2074" i="1"/>
  <c r="Y2074" i="1"/>
  <c r="Z2074" i="1"/>
  <c r="AA2074" i="1"/>
  <c r="X2075" i="1"/>
  <c r="Y2075" i="1"/>
  <c r="Z2075" i="1"/>
  <c r="AA2075" i="1"/>
  <c r="X2076" i="1"/>
  <c r="Y2076" i="1"/>
  <c r="Z2076" i="1"/>
  <c r="AA2076" i="1"/>
  <c r="X2077" i="1"/>
  <c r="Y2077" i="1"/>
  <c r="Z2077" i="1"/>
  <c r="AA2077" i="1"/>
  <c r="X2078" i="1"/>
  <c r="Y2078" i="1"/>
  <c r="Z2078" i="1"/>
  <c r="AA2078" i="1"/>
  <c r="X2079" i="1"/>
  <c r="Y2079" i="1"/>
  <c r="Z2079" i="1"/>
  <c r="AA2079" i="1"/>
  <c r="X2080" i="1"/>
  <c r="Y2080" i="1"/>
  <c r="Z2080" i="1"/>
  <c r="AA2080" i="1"/>
  <c r="X2081" i="1"/>
  <c r="Y2081" i="1"/>
  <c r="Z2081" i="1"/>
  <c r="AA2081" i="1"/>
  <c r="X2082" i="1"/>
  <c r="Y2082" i="1"/>
  <c r="Z2082" i="1"/>
  <c r="AA2082" i="1"/>
  <c r="X2083" i="1"/>
  <c r="Y2083" i="1"/>
  <c r="Z2083" i="1"/>
  <c r="AA2083" i="1"/>
  <c r="X2084" i="1"/>
  <c r="Y2084" i="1"/>
  <c r="Z2084" i="1"/>
  <c r="AA2084" i="1"/>
  <c r="X2085" i="1"/>
  <c r="Y2085" i="1"/>
  <c r="Z2085" i="1"/>
  <c r="AA2085" i="1"/>
  <c r="X2086" i="1"/>
  <c r="Y2086" i="1"/>
  <c r="Z2086" i="1"/>
  <c r="AA2086" i="1"/>
  <c r="X2087" i="1"/>
  <c r="Y2087" i="1"/>
  <c r="Z2087" i="1"/>
  <c r="AA2087" i="1"/>
  <c r="X2088" i="1"/>
  <c r="Y2088" i="1"/>
  <c r="Z2088" i="1"/>
  <c r="AA2088" i="1"/>
  <c r="X2089" i="1"/>
  <c r="Y2089" i="1"/>
  <c r="Z2089" i="1"/>
  <c r="AA2089" i="1"/>
  <c r="X2090" i="1"/>
  <c r="Y2090" i="1"/>
  <c r="Z2090" i="1"/>
  <c r="AA2090" i="1"/>
  <c r="X2091" i="1"/>
  <c r="Y2091" i="1"/>
  <c r="Z2091" i="1"/>
  <c r="AA2091" i="1"/>
  <c r="X2092" i="1"/>
  <c r="Y2092" i="1"/>
  <c r="Z2092" i="1"/>
  <c r="AA2092" i="1"/>
  <c r="X2093" i="1"/>
  <c r="Y2093" i="1"/>
  <c r="Z2093" i="1"/>
  <c r="AA2093" i="1"/>
  <c r="X2094" i="1"/>
  <c r="Y2094" i="1"/>
  <c r="Z2094" i="1"/>
  <c r="AA2094" i="1"/>
  <c r="X2095" i="1"/>
  <c r="Y2095" i="1"/>
  <c r="Z2095" i="1"/>
  <c r="AA2095" i="1"/>
  <c r="X2096" i="1"/>
  <c r="Y2096" i="1"/>
  <c r="Z2096" i="1"/>
  <c r="AA2096" i="1"/>
  <c r="X2097" i="1"/>
  <c r="Y2097" i="1"/>
  <c r="Z2097" i="1"/>
  <c r="AA2097" i="1"/>
  <c r="X2098" i="1"/>
  <c r="Y2098" i="1"/>
  <c r="Z2098" i="1"/>
  <c r="AA2098" i="1"/>
  <c r="X2099" i="1"/>
  <c r="Y2099" i="1"/>
  <c r="Z2099" i="1"/>
  <c r="AA2099" i="1"/>
  <c r="X2100" i="1"/>
  <c r="Y2100" i="1"/>
  <c r="Z2100" i="1"/>
  <c r="AA2100" i="1"/>
  <c r="X2101" i="1"/>
  <c r="Y2101" i="1"/>
  <c r="Z2101" i="1"/>
  <c r="AA2101" i="1"/>
  <c r="X2102" i="1"/>
  <c r="Y2102" i="1"/>
  <c r="Z2102" i="1"/>
  <c r="AA2102" i="1"/>
  <c r="X2103" i="1"/>
  <c r="Y2103" i="1"/>
  <c r="Z2103" i="1"/>
  <c r="AA2103" i="1"/>
  <c r="X2104" i="1"/>
  <c r="Y2104" i="1"/>
  <c r="Z2104" i="1"/>
  <c r="AA2104" i="1"/>
  <c r="X2105" i="1"/>
  <c r="Y2105" i="1"/>
  <c r="Z2105" i="1"/>
  <c r="AA2105" i="1"/>
  <c r="X2106" i="1"/>
  <c r="Y2106" i="1"/>
  <c r="Z2106" i="1"/>
  <c r="AA2106" i="1"/>
  <c r="X2107" i="1"/>
  <c r="Y2107" i="1"/>
  <c r="Z2107" i="1"/>
  <c r="AA2107" i="1"/>
  <c r="X2108" i="1"/>
  <c r="Y2108" i="1"/>
  <c r="Z2108" i="1"/>
  <c r="AA2108" i="1"/>
  <c r="X2109" i="1"/>
  <c r="Y2109" i="1"/>
  <c r="Z2109" i="1"/>
  <c r="AA2109" i="1"/>
  <c r="X2110" i="1"/>
  <c r="Y2110" i="1"/>
  <c r="Z2110" i="1"/>
  <c r="AA2110" i="1"/>
  <c r="X2111" i="1"/>
  <c r="Y2111" i="1"/>
  <c r="Z2111" i="1"/>
  <c r="AA2111" i="1"/>
  <c r="X2112" i="1"/>
  <c r="Y2112" i="1"/>
  <c r="Z2112" i="1"/>
  <c r="AA2112" i="1"/>
  <c r="X2113" i="1"/>
  <c r="Y2113" i="1"/>
  <c r="Z2113" i="1"/>
  <c r="AA2113" i="1"/>
  <c r="X2114" i="1"/>
  <c r="Y2114" i="1"/>
  <c r="Z2114" i="1"/>
  <c r="AA2114" i="1"/>
  <c r="X2115" i="1"/>
  <c r="Y2115" i="1"/>
  <c r="Z2115" i="1"/>
  <c r="AA2115" i="1"/>
  <c r="X2116" i="1"/>
  <c r="Y2116" i="1"/>
  <c r="Z2116" i="1"/>
  <c r="AA2116" i="1"/>
  <c r="X2117" i="1"/>
  <c r="Y2117" i="1"/>
  <c r="Z2117" i="1"/>
  <c r="AA2117" i="1"/>
  <c r="X2118" i="1"/>
  <c r="Y2118" i="1"/>
  <c r="Z2118" i="1"/>
  <c r="AA2118" i="1"/>
  <c r="X2119" i="1"/>
  <c r="Y2119" i="1"/>
  <c r="Z2119" i="1"/>
  <c r="AA2119" i="1"/>
  <c r="X2120" i="1"/>
  <c r="Y2120" i="1"/>
  <c r="Z2120" i="1"/>
  <c r="AA2120" i="1"/>
  <c r="X2121" i="1"/>
  <c r="Y2121" i="1"/>
  <c r="Z2121" i="1"/>
  <c r="AA2121" i="1"/>
  <c r="X2122" i="1"/>
  <c r="Y2122" i="1"/>
  <c r="Z2122" i="1"/>
  <c r="AA2122" i="1"/>
  <c r="X2123" i="1"/>
  <c r="Y2123" i="1"/>
  <c r="Z2123" i="1"/>
  <c r="AA2123" i="1"/>
  <c r="X2124" i="1"/>
  <c r="Y2124" i="1"/>
  <c r="Z2124" i="1"/>
  <c r="AA2124" i="1"/>
  <c r="X2125" i="1"/>
  <c r="Y2125" i="1"/>
  <c r="Z2125" i="1"/>
  <c r="AA2125" i="1"/>
  <c r="X2126" i="1"/>
  <c r="Y2126" i="1"/>
  <c r="Z2126" i="1"/>
  <c r="AA2126" i="1"/>
  <c r="X2127" i="1"/>
  <c r="Y2127" i="1"/>
  <c r="Z2127" i="1"/>
  <c r="AA2127" i="1"/>
  <c r="X2128" i="1"/>
  <c r="Y2128" i="1"/>
  <c r="Z2128" i="1"/>
  <c r="AA2128" i="1"/>
  <c r="X2129" i="1"/>
  <c r="Y2129" i="1"/>
  <c r="Z2129" i="1"/>
  <c r="AA2129" i="1"/>
  <c r="X2130" i="1"/>
  <c r="Y2130" i="1"/>
  <c r="Z2130" i="1"/>
  <c r="AA2130" i="1"/>
  <c r="X2131" i="1"/>
  <c r="Y2131" i="1"/>
  <c r="Z2131" i="1"/>
  <c r="AA2131" i="1"/>
  <c r="X2132" i="1"/>
  <c r="Y2132" i="1"/>
  <c r="Z2132" i="1"/>
  <c r="AA2132" i="1"/>
  <c r="X2133" i="1"/>
  <c r="Y2133" i="1"/>
  <c r="Z2133" i="1"/>
  <c r="AA2133" i="1"/>
  <c r="X2134" i="1"/>
  <c r="Y2134" i="1"/>
  <c r="Z2134" i="1"/>
  <c r="AA2134" i="1"/>
  <c r="X2135" i="1"/>
  <c r="Y2135" i="1"/>
  <c r="Z2135" i="1"/>
  <c r="AA2135" i="1"/>
  <c r="X2136" i="1"/>
  <c r="Y2136" i="1"/>
  <c r="Z2136" i="1"/>
  <c r="AA2136" i="1"/>
  <c r="X2137" i="1"/>
  <c r="Y2137" i="1"/>
  <c r="Z2137" i="1"/>
  <c r="AA2137" i="1"/>
  <c r="X2138" i="1"/>
  <c r="Y2138" i="1"/>
  <c r="Z2138" i="1"/>
  <c r="AA2138" i="1"/>
  <c r="X2139" i="1"/>
  <c r="Y2139" i="1"/>
  <c r="Z2139" i="1"/>
  <c r="AA2139" i="1"/>
  <c r="X2140" i="1"/>
  <c r="Y2140" i="1"/>
  <c r="Z2140" i="1"/>
  <c r="AA2140" i="1"/>
  <c r="X2141" i="1"/>
  <c r="Y2141" i="1"/>
  <c r="Z2141" i="1"/>
  <c r="AA2141" i="1"/>
  <c r="X2142" i="1"/>
  <c r="Y2142" i="1"/>
  <c r="Z2142" i="1"/>
  <c r="AA2142" i="1"/>
  <c r="X2143" i="1"/>
  <c r="Y2143" i="1"/>
  <c r="Z2143" i="1"/>
  <c r="AA2143" i="1"/>
  <c r="X2144" i="1"/>
  <c r="Y2144" i="1"/>
  <c r="Z2144" i="1"/>
  <c r="AA2144" i="1"/>
  <c r="X2145" i="1"/>
  <c r="Y2145" i="1"/>
  <c r="Z2145" i="1"/>
  <c r="AA2145" i="1"/>
  <c r="X2146" i="1"/>
  <c r="Y2146" i="1"/>
  <c r="Z2146" i="1"/>
  <c r="AA2146" i="1"/>
  <c r="X2147" i="1"/>
  <c r="Y2147" i="1"/>
  <c r="Z2147" i="1"/>
  <c r="AA2147" i="1"/>
  <c r="X2148" i="1"/>
  <c r="Y2148" i="1"/>
  <c r="Z2148" i="1"/>
  <c r="AA2148" i="1"/>
  <c r="X2149" i="1"/>
  <c r="Y2149" i="1"/>
  <c r="Z2149" i="1"/>
  <c r="AA2149" i="1"/>
  <c r="X2150" i="1"/>
  <c r="Y2150" i="1"/>
  <c r="Z2150" i="1"/>
  <c r="AA2150" i="1"/>
  <c r="X2151" i="1"/>
  <c r="Y2151" i="1"/>
  <c r="Z2151" i="1"/>
  <c r="AA2151" i="1"/>
  <c r="X2152" i="1"/>
  <c r="Y2152" i="1"/>
  <c r="Z2152" i="1"/>
  <c r="AA2152" i="1"/>
  <c r="X2153" i="1"/>
  <c r="Y2153" i="1"/>
  <c r="Z2153" i="1"/>
  <c r="AA2153" i="1"/>
  <c r="X2154" i="1"/>
  <c r="Y2154" i="1"/>
  <c r="Z2154" i="1"/>
  <c r="AA2154" i="1"/>
  <c r="X2155" i="1"/>
  <c r="Y2155" i="1"/>
  <c r="Z2155" i="1"/>
  <c r="AA2155" i="1"/>
  <c r="X2156" i="1"/>
  <c r="Y2156" i="1"/>
  <c r="Z2156" i="1"/>
  <c r="AA2156" i="1"/>
  <c r="X2157" i="1"/>
  <c r="Y2157" i="1"/>
  <c r="Z2157" i="1"/>
  <c r="AA2157" i="1"/>
  <c r="X2158" i="1"/>
  <c r="Y2158" i="1"/>
  <c r="Z2158" i="1"/>
  <c r="AA2158" i="1"/>
  <c r="X2159" i="1"/>
  <c r="Y2159" i="1"/>
  <c r="Z2159" i="1"/>
  <c r="AA2159" i="1"/>
  <c r="X2160" i="1"/>
  <c r="Y2160" i="1"/>
  <c r="Z2160" i="1"/>
  <c r="AA2160" i="1"/>
  <c r="X2161" i="1"/>
  <c r="Y2161" i="1"/>
  <c r="Z2161" i="1"/>
  <c r="AA2161" i="1"/>
  <c r="X2162" i="1"/>
  <c r="Y2162" i="1"/>
  <c r="Z2162" i="1"/>
  <c r="AA2162" i="1"/>
  <c r="X2163" i="1"/>
  <c r="Y2163" i="1"/>
  <c r="Z2163" i="1"/>
  <c r="AA2163" i="1"/>
  <c r="X2164" i="1"/>
  <c r="Y2164" i="1"/>
  <c r="Z2164" i="1"/>
  <c r="AA2164" i="1"/>
  <c r="X2165" i="1"/>
  <c r="Y2165" i="1"/>
  <c r="Z2165" i="1"/>
  <c r="AA2165" i="1"/>
  <c r="X2166" i="1"/>
  <c r="Y2166" i="1"/>
  <c r="Z2166" i="1"/>
  <c r="AA2166" i="1"/>
  <c r="X2167" i="1"/>
  <c r="Y2167" i="1"/>
  <c r="Z2167" i="1"/>
  <c r="AA2167" i="1"/>
  <c r="X2168" i="1"/>
  <c r="Y2168" i="1"/>
  <c r="Z2168" i="1"/>
  <c r="AA2168" i="1"/>
  <c r="X2169" i="1"/>
  <c r="Y2169" i="1"/>
  <c r="Z2169" i="1"/>
  <c r="AA2169" i="1"/>
  <c r="X2170" i="1"/>
  <c r="Y2170" i="1"/>
  <c r="Z2170" i="1"/>
  <c r="AA2170" i="1"/>
  <c r="X2171" i="1"/>
  <c r="Y2171" i="1"/>
  <c r="Z2171" i="1"/>
  <c r="AA2171" i="1"/>
  <c r="X2172" i="1"/>
  <c r="Y2172" i="1"/>
  <c r="Z2172" i="1"/>
  <c r="AA2172" i="1"/>
  <c r="X2173" i="1"/>
  <c r="Y2173" i="1"/>
  <c r="Z2173" i="1"/>
  <c r="AA2173" i="1"/>
  <c r="X2174" i="1"/>
  <c r="Y2174" i="1"/>
  <c r="Z2174" i="1"/>
  <c r="AA2174" i="1"/>
  <c r="X2175" i="1"/>
  <c r="Y2175" i="1"/>
  <c r="Z2175" i="1"/>
  <c r="AA2175" i="1"/>
  <c r="X2176" i="1"/>
  <c r="Y2176" i="1"/>
  <c r="Z2176" i="1"/>
  <c r="AA2176" i="1"/>
  <c r="X2177" i="1"/>
  <c r="Y2177" i="1"/>
  <c r="Z2177" i="1"/>
  <c r="AA2177" i="1"/>
  <c r="X2178" i="1"/>
  <c r="Y2178" i="1"/>
  <c r="Z2178" i="1"/>
  <c r="AA2178" i="1"/>
  <c r="X2179" i="1"/>
  <c r="Y2179" i="1"/>
  <c r="Z2179" i="1"/>
  <c r="AA2179" i="1"/>
  <c r="X2180" i="1"/>
  <c r="Y2180" i="1"/>
  <c r="Z2180" i="1"/>
  <c r="AA2180" i="1"/>
  <c r="X2181" i="1"/>
  <c r="Y2181" i="1"/>
  <c r="Z2181" i="1"/>
  <c r="AA2181" i="1"/>
  <c r="X2182" i="1"/>
  <c r="Y2182" i="1"/>
  <c r="Z2182" i="1"/>
  <c r="AA2182" i="1"/>
  <c r="X2183" i="1"/>
  <c r="Y2183" i="1"/>
  <c r="Z2183" i="1"/>
  <c r="AA2183" i="1"/>
  <c r="X2184" i="1"/>
  <c r="Y2184" i="1"/>
  <c r="Z2184" i="1"/>
  <c r="AA2184" i="1"/>
  <c r="X2185" i="1"/>
  <c r="Y2185" i="1"/>
  <c r="Z2185" i="1"/>
  <c r="AA2185" i="1"/>
  <c r="X2186" i="1"/>
  <c r="Y2186" i="1"/>
  <c r="Z2186" i="1"/>
  <c r="AA2186" i="1"/>
  <c r="X2187" i="1"/>
  <c r="Y2187" i="1"/>
  <c r="Z2187" i="1"/>
  <c r="AA2187" i="1"/>
  <c r="X2188" i="1"/>
  <c r="Y2188" i="1"/>
  <c r="Z2188" i="1"/>
  <c r="AA2188" i="1"/>
  <c r="X2189" i="1"/>
  <c r="Y2189" i="1"/>
  <c r="Z2189" i="1"/>
  <c r="AA2189" i="1"/>
  <c r="X2190" i="1"/>
  <c r="Y2190" i="1"/>
  <c r="Z2190" i="1"/>
  <c r="AA2190" i="1"/>
  <c r="X2191" i="1"/>
  <c r="Y2191" i="1"/>
  <c r="Z2191" i="1"/>
  <c r="AA2191" i="1"/>
  <c r="X2192" i="1"/>
  <c r="Y2192" i="1"/>
  <c r="Z2192" i="1"/>
  <c r="AA2192" i="1"/>
  <c r="X2193" i="1"/>
  <c r="Y2193" i="1"/>
  <c r="Z2193" i="1"/>
  <c r="AA2193" i="1"/>
  <c r="X2194" i="1"/>
  <c r="Y2194" i="1"/>
  <c r="Z2194" i="1"/>
  <c r="AA2194" i="1"/>
  <c r="X2195" i="1"/>
  <c r="Y2195" i="1"/>
  <c r="Z2195" i="1"/>
  <c r="AA2195" i="1"/>
  <c r="X2196" i="1"/>
  <c r="Y2196" i="1"/>
  <c r="Z2196" i="1"/>
  <c r="AA2196" i="1"/>
  <c r="X2197" i="1"/>
  <c r="Y2197" i="1"/>
  <c r="Z2197" i="1"/>
  <c r="AA2197" i="1"/>
  <c r="X2198" i="1"/>
  <c r="Y2198" i="1"/>
  <c r="Z2198" i="1"/>
  <c r="AA2198" i="1"/>
  <c r="X2199" i="1"/>
  <c r="Y2199" i="1"/>
  <c r="Z2199" i="1"/>
  <c r="AA2199" i="1"/>
  <c r="X2200" i="1"/>
  <c r="Y2200" i="1"/>
  <c r="Z2200" i="1"/>
  <c r="AA2200" i="1"/>
  <c r="X2201" i="1"/>
  <c r="Y2201" i="1"/>
  <c r="Z2201" i="1"/>
  <c r="AA2201" i="1"/>
  <c r="X2202" i="1"/>
  <c r="Y2202" i="1"/>
  <c r="Z2202" i="1"/>
  <c r="AA2202" i="1"/>
  <c r="X2203" i="1"/>
  <c r="Y2203" i="1"/>
  <c r="Z2203" i="1"/>
  <c r="AA2203" i="1"/>
  <c r="X2204" i="1"/>
  <c r="Y2204" i="1"/>
  <c r="Z2204" i="1"/>
  <c r="AA2204" i="1"/>
  <c r="X2205" i="1"/>
  <c r="Y2205" i="1"/>
  <c r="Z2205" i="1"/>
  <c r="AA2205" i="1"/>
  <c r="X2206" i="1"/>
  <c r="Y2206" i="1"/>
  <c r="Z2206" i="1"/>
  <c r="AA2206" i="1"/>
  <c r="X2207" i="1"/>
  <c r="Y2207" i="1"/>
  <c r="Z2207" i="1"/>
  <c r="AA2207" i="1"/>
  <c r="X2208" i="1"/>
  <c r="Y2208" i="1"/>
  <c r="Z2208" i="1"/>
  <c r="AA2208" i="1"/>
  <c r="X2209" i="1"/>
  <c r="Y2209" i="1"/>
  <c r="Z2209" i="1"/>
  <c r="AA2209" i="1"/>
  <c r="X2210" i="1"/>
  <c r="Y2210" i="1"/>
  <c r="Z2210" i="1"/>
  <c r="AA2210" i="1"/>
  <c r="X2211" i="1"/>
  <c r="Y2211" i="1"/>
  <c r="Z2211" i="1"/>
  <c r="AA2211" i="1"/>
  <c r="X2212" i="1"/>
  <c r="Y2212" i="1"/>
  <c r="Z2212" i="1"/>
  <c r="AA2212" i="1"/>
  <c r="X2213" i="1"/>
  <c r="Y2213" i="1"/>
  <c r="Z2213" i="1"/>
  <c r="AA2213" i="1"/>
  <c r="X2214" i="1"/>
  <c r="Y2214" i="1"/>
  <c r="Z2214" i="1"/>
  <c r="AA2214" i="1"/>
  <c r="X2215" i="1"/>
  <c r="Y2215" i="1"/>
  <c r="Z2215" i="1"/>
  <c r="AA2215" i="1"/>
  <c r="X2216" i="1"/>
  <c r="Y2216" i="1"/>
  <c r="Z2216" i="1"/>
  <c r="AA2216" i="1"/>
  <c r="X2217" i="1"/>
  <c r="Y2217" i="1"/>
  <c r="Z2217" i="1"/>
  <c r="AA2217" i="1"/>
  <c r="X2218" i="1"/>
  <c r="Y2218" i="1"/>
  <c r="Z2218" i="1"/>
  <c r="AA2218" i="1"/>
  <c r="X2219" i="1"/>
  <c r="Y2219" i="1"/>
  <c r="Z2219" i="1"/>
  <c r="AA2219" i="1"/>
  <c r="X2220" i="1"/>
  <c r="Y2220" i="1"/>
  <c r="Z2220" i="1"/>
  <c r="AA2220" i="1"/>
  <c r="X2221" i="1"/>
  <c r="Y2221" i="1"/>
  <c r="Z2221" i="1"/>
  <c r="AA2221" i="1"/>
  <c r="X2222" i="1"/>
  <c r="Y2222" i="1"/>
  <c r="Z2222" i="1"/>
  <c r="AA2222" i="1"/>
  <c r="X2223" i="1"/>
  <c r="Y2223" i="1"/>
  <c r="Z2223" i="1"/>
  <c r="AA2223" i="1"/>
  <c r="X2224" i="1"/>
  <c r="Y2224" i="1"/>
  <c r="Z2224" i="1"/>
  <c r="AA2224" i="1"/>
  <c r="X2225" i="1"/>
  <c r="Y2225" i="1"/>
  <c r="Z2225" i="1"/>
  <c r="AA2225" i="1"/>
  <c r="X2226" i="1"/>
  <c r="Y2226" i="1"/>
  <c r="Z2226" i="1"/>
  <c r="AA2226" i="1"/>
  <c r="X2227" i="1"/>
  <c r="Y2227" i="1"/>
  <c r="Z2227" i="1"/>
  <c r="AA2227" i="1"/>
  <c r="X2228" i="1"/>
  <c r="Y2228" i="1"/>
  <c r="Z2228" i="1"/>
  <c r="AA2228" i="1"/>
  <c r="X2229" i="1"/>
  <c r="Y2229" i="1"/>
  <c r="Z2229" i="1"/>
  <c r="AA2229" i="1"/>
  <c r="X2230" i="1"/>
  <c r="Y2230" i="1"/>
  <c r="Z2230" i="1"/>
  <c r="AA2230" i="1"/>
  <c r="X2231" i="1"/>
  <c r="Y2231" i="1"/>
  <c r="Z2231" i="1"/>
  <c r="AA2231" i="1"/>
  <c r="AA2232" i="1"/>
  <c r="AA2" i="1"/>
  <c r="Z2" i="1"/>
  <c r="Y2" i="1"/>
  <c r="X2" i="1"/>
</calcChain>
</file>

<file path=xl/sharedStrings.xml><?xml version="1.0" encoding="utf-8"?>
<sst xmlns="http://schemas.openxmlformats.org/spreadsheetml/2006/main" count="20881" uniqueCount="678">
  <si>
    <t>VRLOCATION</t>
  </si>
  <si>
    <t>VRMILEAGE</t>
  </si>
  <si>
    <t>Vehicle_year</t>
  </si>
  <si>
    <t>Make</t>
  </si>
  <si>
    <t>Model</t>
  </si>
  <si>
    <t>Vehicle_cylinders</t>
  </si>
  <si>
    <t>Vehicle_botcolor</t>
  </si>
  <si>
    <t>Vehicle_doors</t>
  </si>
  <si>
    <t>Vehicle_trantype</t>
  </si>
  <si>
    <t>Vehicle_btext</t>
  </si>
  <si>
    <t>Vehicle_airbag</t>
  </si>
  <si>
    <t>Vehicle_engine</t>
  </si>
  <si>
    <t>Vehicle_drive</t>
  </si>
  <si>
    <t>Vehicle_condition_grade_2</t>
  </si>
  <si>
    <t>Vehicle_condition_drivable</t>
  </si>
  <si>
    <t>XGB_Predictions</t>
  </si>
  <si>
    <t>CatBoost_Predictions</t>
  </si>
  <si>
    <t>CatBoost_Native_Predictions</t>
  </si>
  <si>
    <t>Stacked_Predictions</t>
  </si>
  <si>
    <t>CHIPPEWAFALLS</t>
  </si>
  <si>
    <t>GMC</t>
  </si>
  <si>
    <t>Terrain</t>
  </si>
  <si>
    <t>GRY</t>
  </si>
  <si>
    <t>A</t>
  </si>
  <si>
    <t>Sport Utility</t>
  </si>
  <si>
    <t>B</t>
  </si>
  <si>
    <t>3.6L</t>
  </si>
  <si>
    <t>Y</t>
  </si>
  <si>
    <t>HONDA</t>
  </si>
  <si>
    <t>Civic Sdn</t>
  </si>
  <si>
    <t>SIL</t>
  </si>
  <si>
    <t>4dr Car</t>
  </si>
  <si>
    <t>1.8L</t>
  </si>
  <si>
    <t>F</t>
  </si>
  <si>
    <t>TOYOTA</t>
  </si>
  <si>
    <t>Avalon</t>
  </si>
  <si>
    <t>BLK</t>
  </si>
  <si>
    <t>Sedan</t>
  </si>
  <si>
    <t>3.5 L</t>
  </si>
  <si>
    <t>N</t>
  </si>
  <si>
    <t>CHEVROLET</t>
  </si>
  <si>
    <t>Silverado 1500</t>
  </si>
  <si>
    <t>Crew Cab Pickup -</t>
  </si>
  <si>
    <t>5.3L</t>
  </si>
  <si>
    <t>FORD</t>
  </si>
  <si>
    <t>F-150</t>
  </si>
  <si>
    <t>Crew Cab</t>
  </si>
  <si>
    <t>WHT</t>
  </si>
  <si>
    <t>5 L</t>
  </si>
  <si>
    <t>Extended Cab Picku</t>
  </si>
  <si>
    <t>MERCEDES-BENZ</t>
  </si>
  <si>
    <t>E-Class</t>
  </si>
  <si>
    <t>Station Wagon</t>
  </si>
  <si>
    <t>3.5L</t>
  </si>
  <si>
    <t>JEEP</t>
  </si>
  <si>
    <t>Liberty</t>
  </si>
  <si>
    <t>GRN</t>
  </si>
  <si>
    <t>3.7L</t>
  </si>
  <si>
    <t>CR-V</t>
  </si>
  <si>
    <t>BLU</t>
  </si>
  <si>
    <t>2.4L</t>
  </si>
  <si>
    <t>Highlander</t>
  </si>
  <si>
    <t>Utility</t>
  </si>
  <si>
    <t>Equinox</t>
  </si>
  <si>
    <t>TOWMASTER</t>
  </si>
  <si>
    <t>TRAILER</t>
  </si>
  <si>
    <t>RED</t>
  </si>
  <si>
    <t>KANSAS</t>
  </si>
  <si>
    <t>Explorer</t>
  </si>
  <si>
    <t>2.3 L</t>
  </si>
  <si>
    <t>PENSACOLA</t>
  </si>
  <si>
    <t>BUICK</t>
  </si>
  <si>
    <t>Encore</t>
  </si>
  <si>
    <t>1.4L</t>
  </si>
  <si>
    <t>RAM</t>
  </si>
  <si>
    <t>1500</t>
  </si>
  <si>
    <t>Regular Cab Pickup</t>
  </si>
  <si>
    <t>4.7L</t>
  </si>
  <si>
    <t>R</t>
  </si>
  <si>
    <t>Silverado 2500HD</t>
  </si>
  <si>
    <t>6.0L</t>
  </si>
  <si>
    <t>DODGE</t>
  </si>
  <si>
    <t>Challenger</t>
  </si>
  <si>
    <t>2dr Car</t>
  </si>
  <si>
    <t>5.7L</t>
  </si>
  <si>
    <t>KIA</t>
  </si>
  <si>
    <t>Soul</t>
  </si>
  <si>
    <t>1.6L</t>
  </si>
  <si>
    <t>Corolla</t>
  </si>
  <si>
    <t>1.8 L</t>
  </si>
  <si>
    <t>VOLKSWAGEN</t>
  </si>
  <si>
    <t>Passat</t>
  </si>
  <si>
    <t>Rio</t>
  </si>
  <si>
    <t>1500 Classic</t>
  </si>
  <si>
    <t>Pickup QUADCAB</t>
  </si>
  <si>
    <t>Focus</t>
  </si>
  <si>
    <t>2 L</t>
  </si>
  <si>
    <t>FIAT</t>
  </si>
  <si>
    <t>500</t>
  </si>
  <si>
    <t>BRN</t>
  </si>
  <si>
    <t>NISSAN</t>
  </si>
  <si>
    <t>Altima</t>
  </si>
  <si>
    <t>2.5L</t>
  </si>
  <si>
    <t>INFINITI</t>
  </si>
  <si>
    <t>JX35</t>
  </si>
  <si>
    <t>Grand Caravan</t>
  </si>
  <si>
    <t>Mini-van, Passenge</t>
  </si>
  <si>
    <t>1.5L</t>
  </si>
  <si>
    <t>SILVERADO 1500</t>
  </si>
  <si>
    <t>I</t>
  </si>
  <si>
    <t>CREW CAB</t>
  </si>
  <si>
    <t>VIRGINIA</t>
  </si>
  <si>
    <t>ProMaster Cargo Van</t>
  </si>
  <si>
    <t>Full-size Cargo Va</t>
  </si>
  <si>
    <t>Titan</t>
  </si>
  <si>
    <t>5.6L</t>
  </si>
  <si>
    <t>Camry</t>
  </si>
  <si>
    <t>Escape</t>
  </si>
  <si>
    <t>1.6 L</t>
  </si>
  <si>
    <t>MITSUBISHI</t>
  </si>
  <si>
    <t>Mirage G4</t>
  </si>
  <si>
    <t>1.2L</t>
  </si>
  <si>
    <t>Trax</t>
  </si>
  <si>
    <t>K</t>
  </si>
  <si>
    <t>Compass</t>
  </si>
  <si>
    <t>HYUNDAI</t>
  </si>
  <si>
    <t>Elantra</t>
  </si>
  <si>
    <t>2.0L</t>
  </si>
  <si>
    <t>2.5 L</t>
  </si>
  <si>
    <t>Silverado 3500HD</t>
  </si>
  <si>
    <t>6.6L</t>
  </si>
  <si>
    <t>BADGERSTATE</t>
  </si>
  <si>
    <t>F150</t>
  </si>
  <si>
    <t>CONVENTIONAL</t>
  </si>
  <si>
    <t>5.0L</t>
  </si>
  <si>
    <t>SANANTONIO</t>
  </si>
  <si>
    <t>Cruze</t>
  </si>
  <si>
    <t>Accord Sedan</t>
  </si>
  <si>
    <t>Rogue</t>
  </si>
  <si>
    <t>F-350</t>
  </si>
  <si>
    <t>6.7 L</t>
  </si>
  <si>
    <t>CHRYSLER</t>
  </si>
  <si>
    <t>Town &amp; Country</t>
  </si>
  <si>
    <t>3.8L</t>
  </si>
  <si>
    <t>Corolla Hatchback</t>
  </si>
  <si>
    <t>Hatchback</t>
  </si>
  <si>
    <t>Tahoe</t>
  </si>
  <si>
    <t>F-150 Heritage</t>
  </si>
  <si>
    <t>BGE</t>
  </si>
  <si>
    <t>4.2L</t>
  </si>
  <si>
    <t>Traverse</t>
  </si>
  <si>
    <t>Sierra 1500</t>
  </si>
  <si>
    <t>Pickup DOUBLECAB</t>
  </si>
  <si>
    <t>Impala Limited</t>
  </si>
  <si>
    <t>Acadia</t>
  </si>
  <si>
    <t>Versa</t>
  </si>
  <si>
    <t>Extended Cab</t>
  </si>
  <si>
    <t>Prius</t>
  </si>
  <si>
    <t>SHREVEPORT</t>
  </si>
  <si>
    <t>LINCOLN</t>
  </si>
  <si>
    <t>Town Car</t>
  </si>
  <si>
    <t>4.6L</t>
  </si>
  <si>
    <t>FREIGHTLINER</t>
  </si>
  <si>
    <t>Business Class M2</t>
  </si>
  <si>
    <t>YUKON</t>
  </si>
  <si>
    <t>SPORT UTILITY VEHI</t>
  </si>
  <si>
    <t>6.2L</t>
  </si>
  <si>
    <t>Accent</t>
  </si>
  <si>
    <t>3 L</t>
  </si>
  <si>
    <t>Avalanche</t>
  </si>
  <si>
    <t>Enclave</t>
  </si>
  <si>
    <t>GLD</t>
  </si>
  <si>
    <t>Impala</t>
  </si>
  <si>
    <t>RAV4</t>
  </si>
  <si>
    <t>Patriot</t>
  </si>
  <si>
    <t>Yukon XL</t>
  </si>
  <si>
    <t>Edge</t>
  </si>
  <si>
    <t>City Express Cargo Van</t>
  </si>
  <si>
    <t>Mini-van, Cargo</t>
  </si>
  <si>
    <t>GREENVILLE</t>
  </si>
  <si>
    <t>Renegade</t>
  </si>
  <si>
    <t>1.3L</t>
  </si>
  <si>
    <t>Mustang</t>
  </si>
  <si>
    <t>Coupe</t>
  </si>
  <si>
    <t>SAVANNAH</t>
  </si>
  <si>
    <t>GENESIS</t>
  </si>
  <si>
    <t>GV80</t>
  </si>
  <si>
    <t>SUBARU</t>
  </si>
  <si>
    <t>Forester</t>
  </si>
  <si>
    <t>Q50</t>
  </si>
  <si>
    <t>TEA</t>
  </si>
  <si>
    <t>Outlander</t>
  </si>
  <si>
    <t>Sentra</t>
  </si>
  <si>
    <t>Cadenza</t>
  </si>
  <si>
    <t>3.3L</t>
  </si>
  <si>
    <t>Tiguan</t>
  </si>
  <si>
    <t>Transit-250</t>
  </si>
  <si>
    <t>Cargo Van</t>
  </si>
  <si>
    <t>3.7 L</t>
  </si>
  <si>
    <t>S</t>
  </si>
  <si>
    <t>1.5 L</t>
  </si>
  <si>
    <t>Journey</t>
  </si>
  <si>
    <t>Caliber</t>
  </si>
  <si>
    <t>Fiesta</t>
  </si>
  <si>
    <t>EXPLORER</t>
  </si>
  <si>
    <t>2.3L</t>
  </si>
  <si>
    <t>Wrangler</t>
  </si>
  <si>
    <t>Charger</t>
  </si>
  <si>
    <t>Camaro</t>
  </si>
  <si>
    <t>Convertible</t>
  </si>
  <si>
    <t>Fusion</t>
  </si>
  <si>
    <t>Spark</t>
  </si>
  <si>
    <t>LaCrosse</t>
  </si>
  <si>
    <t>C-HR</t>
  </si>
  <si>
    <t>Suburban</t>
  </si>
  <si>
    <t>300</t>
  </si>
  <si>
    <t>Odyssey</t>
  </si>
  <si>
    <t>2500</t>
  </si>
  <si>
    <t>3.0L</t>
  </si>
  <si>
    <t>Grand Cherokee</t>
  </si>
  <si>
    <t>Pilot</t>
  </si>
  <si>
    <t>BOSTON</t>
  </si>
  <si>
    <t>PORSCHE</t>
  </si>
  <si>
    <t>Cayenne</t>
  </si>
  <si>
    <t>Optima Hybrid</t>
  </si>
  <si>
    <t>K5</t>
  </si>
  <si>
    <t>AUDI</t>
  </si>
  <si>
    <t>A3</t>
  </si>
  <si>
    <t>Optima</t>
  </si>
  <si>
    <t>Malibu</t>
  </si>
  <si>
    <t>Sonata</t>
  </si>
  <si>
    <t>Jetta Sedan</t>
  </si>
  <si>
    <t>Yaris</t>
  </si>
  <si>
    <t>5</t>
  </si>
  <si>
    <t>Regal</t>
  </si>
  <si>
    <t>3.3 L</t>
  </si>
  <si>
    <t>SATURN</t>
  </si>
  <si>
    <t>SW</t>
  </si>
  <si>
    <t>1.9L</t>
  </si>
  <si>
    <t>BMW</t>
  </si>
  <si>
    <t>X5</t>
  </si>
  <si>
    <t>Venza</t>
  </si>
  <si>
    <t>2.7 L</t>
  </si>
  <si>
    <t>EXPEDITION</t>
  </si>
  <si>
    <t>Fusion Hybrid</t>
  </si>
  <si>
    <t>Routan</t>
  </si>
  <si>
    <t>ORG</t>
  </si>
  <si>
    <t>Legacy</t>
  </si>
  <si>
    <t>ANTIQUE PAR</t>
  </si>
  <si>
    <t>Mallard</t>
  </si>
  <si>
    <t>M</t>
  </si>
  <si>
    <t>TrailBlazer</t>
  </si>
  <si>
    <t>Express Commercial Cut</t>
  </si>
  <si>
    <t>Specialty Vehicle</t>
  </si>
  <si>
    <t>Ram 3500</t>
  </si>
  <si>
    <t>6.7L</t>
  </si>
  <si>
    <t>PUR</t>
  </si>
  <si>
    <t>Colorado</t>
  </si>
  <si>
    <t>Pacifica</t>
  </si>
  <si>
    <t>200</t>
  </si>
  <si>
    <t>Q3</t>
  </si>
  <si>
    <t>CLA</t>
  </si>
  <si>
    <t>Tundra</t>
  </si>
  <si>
    <t>4.7 L</t>
  </si>
  <si>
    <t>Santa Fe</t>
  </si>
  <si>
    <t>ALFA ROMEO</t>
  </si>
  <si>
    <t>Giulia</t>
  </si>
  <si>
    <t>F-250</t>
  </si>
  <si>
    <t>Atlas</t>
  </si>
  <si>
    <t>Envision</t>
  </si>
  <si>
    <t>Sorento</t>
  </si>
  <si>
    <t>2.7L</t>
  </si>
  <si>
    <t>BUR</t>
  </si>
  <si>
    <t>Golf GTI</t>
  </si>
  <si>
    <t>Ridgeline</t>
  </si>
  <si>
    <t>Cherokee</t>
  </si>
  <si>
    <t>Transit-250 Cargo Van</t>
  </si>
  <si>
    <t>Wrangler Unlimited</t>
  </si>
  <si>
    <t>Durango</t>
  </si>
  <si>
    <t>Gladiator</t>
  </si>
  <si>
    <t>Transit-150</t>
  </si>
  <si>
    <t>Wagon</t>
  </si>
  <si>
    <t>LEXUS</t>
  </si>
  <si>
    <t>IS 250</t>
  </si>
  <si>
    <t>Ranger</t>
  </si>
  <si>
    <t>SuperCrew</t>
  </si>
  <si>
    <t>3500 Chassis Cab</t>
  </si>
  <si>
    <t>Crew Cab Chassis-C</t>
  </si>
  <si>
    <t>6.4L</t>
  </si>
  <si>
    <t>Civic Sedan</t>
  </si>
  <si>
    <t>Sienna</t>
  </si>
  <si>
    <t>Passenger Van</t>
  </si>
  <si>
    <t>Sportage</t>
  </si>
  <si>
    <t>CR-V Hybrid</t>
  </si>
  <si>
    <t>Tonale</t>
  </si>
  <si>
    <t>2.4 L</t>
  </si>
  <si>
    <t>AUSTIN</t>
  </si>
  <si>
    <t>Tucson</t>
  </si>
  <si>
    <t>TAN</t>
  </si>
  <si>
    <t>X2</t>
  </si>
  <si>
    <t>Kicks</t>
  </si>
  <si>
    <t>3.2L</t>
  </si>
  <si>
    <t>EcoSport</t>
  </si>
  <si>
    <t>1 L</t>
  </si>
  <si>
    <t>X3</t>
  </si>
  <si>
    <t>Sierra 1500 Limited</t>
  </si>
  <si>
    <t>Santa Fe Sport</t>
  </si>
  <si>
    <t>Fusion Energi</t>
  </si>
  <si>
    <t>4.3L</t>
  </si>
  <si>
    <t>2.8L</t>
  </si>
  <si>
    <t>Accord Sdn</t>
  </si>
  <si>
    <t>5.4L</t>
  </si>
  <si>
    <t>T</t>
  </si>
  <si>
    <t>6.2 L</t>
  </si>
  <si>
    <t>Voyager</t>
  </si>
  <si>
    <t>F-550 Chassis</t>
  </si>
  <si>
    <t>Standard Cab</t>
  </si>
  <si>
    <t>Tacoma</t>
  </si>
  <si>
    <t>Envoy XL</t>
  </si>
  <si>
    <t>4 L</t>
  </si>
  <si>
    <t>Avenger</t>
  </si>
  <si>
    <t>LAND ROVER</t>
  </si>
  <si>
    <t>Discovery Sport</t>
  </si>
  <si>
    <t>I30</t>
  </si>
  <si>
    <t>CADILLAC</t>
  </si>
  <si>
    <t>DeVille</t>
  </si>
  <si>
    <t>Nitro</t>
  </si>
  <si>
    <t>C-Max Hybrid</t>
  </si>
  <si>
    <t>Wrangler JK Unlimited</t>
  </si>
  <si>
    <t>HR-V</t>
  </si>
  <si>
    <t>4Runner</t>
  </si>
  <si>
    <t>MASERATI</t>
  </si>
  <si>
    <t>Ghibli</t>
  </si>
  <si>
    <t>Taos</t>
  </si>
  <si>
    <t>4.8L</t>
  </si>
  <si>
    <t>SQ5</t>
  </si>
  <si>
    <t>Sonata Hybrid</t>
  </si>
  <si>
    <t>6</t>
  </si>
  <si>
    <t>A5</t>
  </si>
  <si>
    <t>XTS</t>
  </si>
  <si>
    <t>MAZDA</t>
  </si>
  <si>
    <t>CX-5</t>
  </si>
  <si>
    <t>QX80</t>
  </si>
  <si>
    <t>Versa Note</t>
  </si>
  <si>
    <t>XT4</t>
  </si>
  <si>
    <t>Yaris iA</t>
  </si>
  <si>
    <t>Cruze Limited</t>
  </si>
  <si>
    <t>Explorer Sport Trac</t>
  </si>
  <si>
    <t>4.0L</t>
  </si>
  <si>
    <t>Range Rover</t>
  </si>
  <si>
    <t>Encore GX</t>
  </si>
  <si>
    <t>Seltos</t>
  </si>
  <si>
    <t>Expedition</t>
  </si>
  <si>
    <t>A4</t>
  </si>
  <si>
    <t>5.7 L</t>
  </si>
  <si>
    <t>Civic Cpe</t>
  </si>
  <si>
    <t>QX60</t>
  </si>
  <si>
    <t>Rio 5-Door</t>
  </si>
  <si>
    <t>Murano</t>
  </si>
  <si>
    <t>Kona</t>
  </si>
  <si>
    <t>Rogue Sport</t>
  </si>
  <si>
    <t>MKX</t>
  </si>
  <si>
    <t>Outlander Sport</t>
  </si>
  <si>
    <t>JUKE</t>
  </si>
  <si>
    <t>YEL</t>
  </si>
  <si>
    <t>3 Series</t>
  </si>
  <si>
    <t>Flex</t>
  </si>
  <si>
    <t>Maxima</t>
  </si>
  <si>
    <t>Super Duty F-350 SRW</t>
  </si>
  <si>
    <t>C-Class</t>
  </si>
  <si>
    <t>Lancer</t>
  </si>
  <si>
    <t>Express Cargo Van</t>
  </si>
  <si>
    <t>Forte</t>
  </si>
  <si>
    <t>JAGUAR</t>
  </si>
  <si>
    <t>F-PACE</t>
  </si>
  <si>
    <t>Mazda3 4-Door</t>
  </si>
  <si>
    <t>Trailblazer</t>
  </si>
  <si>
    <t>Ram 1500</t>
  </si>
  <si>
    <t>4.6 L</t>
  </si>
  <si>
    <t>M3</t>
  </si>
  <si>
    <t>3.4L</t>
  </si>
  <si>
    <t>SRX</t>
  </si>
  <si>
    <t>Grand Cherokee L</t>
  </si>
  <si>
    <t>Navigator L</t>
  </si>
  <si>
    <t>SCION</t>
  </si>
  <si>
    <t>xB</t>
  </si>
  <si>
    <t>TOLEDO</t>
  </si>
  <si>
    <t>Civic Type R</t>
  </si>
  <si>
    <t>Crown Victoria</t>
  </si>
  <si>
    <t>Mirage</t>
  </si>
  <si>
    <t>Yukon</t>
  </si>
  <si>
    <t>Focus ST</t>
  </si>
  <si>
    <t>KEYSTO</t>
  </si>
  <si>
    <t>ZINGER 270BH</t>
  </si>
  <si>
    <t>TULSA</t>
  </si>
  <si>
    <t>JACKSONVILLE</t>
  </si>
  <si>
    <t>ACURA</t>
  </si>
  <si>
    <t>MDX</t>
  </si>
  <si>
    <t>Mazda3</t>
  </si>
  <si>
    <t>3500</t>
  </si>
  <si>
    <t>Accord Cpe</t>
  </si>
  <si>
    <t>Dakota</t>
  </si>
  <si>
    <t>Mazda6</t>
  </si>
  <si>
    <t>Telluride</t>
  </si>
  <si>
    <t>Canyon</t>
  </si>
  <si>
    <t>Transit Connect</t>
  </si>
  <si>
    <t>LWB</t>
  </si>
  <si>
    <t>I35</t>
  </si>
  <si>
    <t>Expedition MAX</t>
  </si>
  <si>
    <t>7.3 L</t>
  </si>
  <si>
    <t>Sierra 3500HD</t>
  </si>
  <si>
    <t>Outback</t>
  </si>
  <si>
    <t>Pathfinder</t>
  </si>
  <si>
    <t>Wagoneer</t>
  </si>
  <si>
    <t>Navigator</t>
  </si>
  <si>
    <t>STS</t>
  </si>
  <si>
    <t>LUBBOCK</t>
  </si>
  <si>
    <t>TRANSIT</t>
  </si>
  <si>
    <t>VAN CARGO</t>
  </si>
  <si>
    <t>PITTSBURGH</t>
  </si>
  <si>
    <t>GX</t>
  </si>
  <si>
    <t>Q7</t>
  </si>
  <si>
    <t>ES 350</t>
  </si>
  <si>
    <t>Passport</t>
  </si>
  <si>
    <t>Taurus</t>
  </si>
  <si>
    <t>Elantra GT</t>
  </si>
  <si>
    <t>Sonoma</t>
  </si>
  <si>
    <t>2.2L</t>
  </si>
  <si>
    <t>TL</t>
  </si>
  <si>
    <t>CLARKCOUNTY</t>
  </si>
  <si>
    <t>TAMPA</t>
  </si>
  <si>
    <t>CTS Sedan</t>
  </si>
  <si>
    <t>GLC</t>
  </si>
  <si>
    <t>ASPEN TRAIL</t>
  </si>
  <si>
    <t>Arteon</t>
  </si>
  <si>
    <t>LR4</t>
  </si>
  <si>
    <t>Continental</t>
  </si>
  <si>
    <t>LS 460</t>
  </si>
  <si>
    <t>5 Series</t>
  </si>
  <si>
    <t>FORTE</t>
  </si>
  <si>
    <t>SEDAN</t>
  </si>
  <si>
    <t>2L</t>
  </si>
  <si>
    <t>AUCTIONINMOTION</t>
  </si>
  <si>
    <t>X7</t>
  </si>
  <si>
    <t>Frontier</t>
  </si>
  <si>
    <t>Xterra</t>
  </si>
  <si>
    <t>1.7L</t>
  </si>
  <si>
    <t>Savana Passenger</t>
  </si>
  <si>
    <t>Full-size Passenge</t>
  </si>
  <si>
    <t>RDX</t>
  </si>
  <si>
    <t>PT Cruiser</t>
  </si>
  <si>
    <t>RIDGELINE</t>
  </si>
  <si>
    <t>ProMaster City Cargo V</t>
  </si>
  <si>
    <t>Sierra 2500HD</t>
  </si>
  <si>
    <t>PONTIAC</t>
  </si>
  <si>
    <t>GTO</t>
  </si>
  <si>
    <t>S5</t>
  </si>
  <si>
    <t>Ion</t>
  </si>
  <si>
    <t>CAMRY</t>
  </si>
  <si>
    <t>ACCORD</t>
  </si>
  <si>
    <t>WESTMICHIGAN</t>
  </si>
  <si>
    <t>NORTHHOUSTON</t>
  </si>
  <si>
    <t>GS 200t</t>
  </si>
  <si>
    <t>TESLA</t>
  </si>
  <si>
    <t>Model S</t>
  </si>
  <si>
    <t>Electric</t>
  </si>
  <si>
    <t>Veracruz</t>
  </si>
  <si>
    <t>Corvette</t>
  </si>
  <si>
    <t>Hatchback 2 Dr.</t>
  </si>
  <si>
    <t>TLX</t>
  </si>
  <si>
    <t>SYLVAN</t>
  </si>
  <si>
    <t>Mirage 8522 LZ</t>
  </si>
  <si>
    <t>SUV</t>
  </si>
  <si>
    <t>MINI</t>
  </si>
  <si>
    <t>Cooper Countryman</t>
  </si>
  <si>
    <t>GL-Class</t>
  </si>
  <si>
    <t>GLE</t>
  </si>
  <si>
    <t>Range Rover Velar</t>
  </si>
  <si>
    <t>Versa Sedan</t>
  </si>
  <si>
    <t>PROMASTER 2500</t>
  </si>
  <si>
    <t>228XI</t>
  </si>
  <si>
    <t>Veloster</t>
  </si>
  <si>
    <t>3dr Car</t>
  </si>
  <si>
    <t>RX 350</t>
  </si>
  <si>
    <t>MKC</t>
  </si>
  <si>
    <t>Bronco Sport</t>
  </si>
  <si>
    <t>Jetta</t>
  </si>
  <si>
    <t>Econoline Wagon</t>
  </si>
  <si>
    <t>X4</t>
  </si>
  <si>
    <t>VOLVO</t>
  </si>
  <si>
    <t>XC90</t>
  </si>
  <si>
    <t>Galant</t>
  </si>
  <si>
    <t>IS 200t</t>
  </si>
  <si>
    <t>Aura</t>
  </si>
  <si>
    <t>Verano</t>
  </si>
  <si>
    <t>M4</t>
  </si>
  <si>
    <t>Sonic</t>
  </si>
  <si>
    <t>Matrix</t>
  </si>
  <si>
    <t>WRANGLER UNLIMITED</t>
  </si>
  <si>
    <t>SILVERADO</t>
  </si>
  <si>
    <t>TERRAIN</t>
  </si>
  <si>
    <t>MODEL Y</t>
  </si>
  <si>
    <t>Express Passenger</t>
  </si>
  <si>
    <t>MODEL 3</t>
  </si>
  <si>
    <t>500L</t>
  </si>
  <si>
    <t>X1</t>
  </si>
  <si>
    <t>Blazer</t>
  </si>
  <si>
    <t>SAAB</t>
  </si>
  <si>
    <t>2025-09-03</t>
  </si>
  <si>
    <t>Forte Koup</t>
  </si>
  <si>
    <t>MKZ</t>
  </si>
  <si>
    <t>LR2</t>
  </si>
  <si>
    <t>CX-9</t>
  </si>
  <si>
    <t>Avalon Hybrid</t>
  </si>
  <si>
    <t>G37 Sedan</t>
  </si>
  <si>
    <t>Dart</t>
  </si>
  <si>
    <t>C70</t>
  </si>
  <si>
    <t>S-Class</t>
  </si>
  <si>
    <t>LS 430</t>
  </si>
  <si>
    <t>4.3 L</t>
  </si>
  <si>
    <t>Cooper Hardtop</t>
  </si>
  <si>
    <t>X6</t>
  </si>
  <si>
    <t>4.4L</t>
  </si>
  <si>
    <t>Lucerne</t>
  </si>
  <si>
    <t>3.9L</t>
  </si>
  <si>
    <t>GX 470</t>
  </si>
  <si>
    <t>Captiva Sport Fleet</t>
  </si>
  <si>
    <t>COROLLA</t>
  </si>
  <si>
    <t>New Beetle Coupe</t>
  </si>
  <si>
    <t>Acadia Limited</t>
  </si>
  <si>
    <t>Genesis</t>
  </si>
  <si>
    <t>Sedona</t>
  </si>
  <si>
    <t>G6</t>
  </si>
  <si>
    <t>5.9L</t>
  </si>
  <si>
    <t>tC</t>
  </si>
  <si>
    <t>CT6</t>
  </si>
  <si>
    <t>Tiburon</t>
  </si>
  <si>
    <t>Stratus</t>
  </si>
  <si>
    <t>3.4 L</t>
  </si>
  <si>
    <t>500X</t>
  </si>
  <si>
    <t>Super Duty F-350 DRW</t>
  </si>
  <si>
    <t>Equus</t>
  </si>
  <si>
    <t>Element</t>
  </si>
  <si>
    <t>Ascent</t>
  </si>
  <si>
    <t>Range Rover Evoque</t>
  </si>
  <si>
    <t>CC</t>
  </si>
  <si>
    <t>RX 450h</t>
  </si>
  <si>
    <t>Beetle</t>
  </si>
  <si>
    <t>Legacy Wagon</t>
  </si>
  <si>
    <t>Armada</t>
  </si>
  <si>
    <t>ILX</t>
  </si>
  <si>
    <t>New Beetle Convertible</t>
  </si>
  <si>
    <t>WRX</t>
  </si>
  <si>
    <t>Silverado 1500 LTD</t>
  </si>
  <si>
    <t>S3</t>
  </si>
  <si>
    <t>CX-50</t>
  </si>
  <si>
    <t>DALLAS</t>
  </si>
  <si>
    <t>RICHMOND</t>
  </si>
  <si>
    <t>Super Duty F-250 SRW</t>
  </si>
  <si>
    <t>XT5</t>
  </si>
  <si>
    <t>7 Series</t>
  </si>
  <si>
    <t>Regular Cab Chassi</t>
  </si>
  <si>
    <t>RAV4 Hybrid</t>
  </si>
  <si>
    <t>Cooper Convertible</t>
  </si>
  <si>
    <t>Escalade ESV</t>
  </si>
  <si>
    <t>Corsair</t>
  </si>
  <si>
    <t>Defender</t>
  </si>
  <si>
    <t>HHR</t>
  </si>
  <si>
    <t>OTH</t>
  </si>
  <si>
    <t>QX56</t>
  </si>
  <si>
    <t>Tacoma 2WD</t>
  </si>
  <si>
    <t>Range Rover Sport</t>
  </si>
  <si>
    <t>HUMMER</t>
  </si>
  <si>
    <t>H2</t>
  </si>
  <si>
    <t>Escalade</t>
  </si>
  <si>
    <t>Niro</t>
  </si>
  <si>
    <t>Regular Cab Styles</t>
  </si>
  <si>
    <t>Palisade</t>
  </si>
  <si>
    <t>G80</t>
  </si>
  <si>
    <t>Hardtop 4 Door</t>
  </si>
  <si>
    <t>NOC</t>
  </si>
  <si>
    <t>CR-Z</t>
  </si>
  <si>
    <t>Q5</t>
  </si>
  <si>
    <t>5.5L</t>
  </si>
  <si>
    <t>Phaeton</t>
  </si>
  <si>
    <t>RX 330</t>
  </si>
  <si>
    <t>Q70</t>
  </si>
  <si>
    <t>BIRMINGHAM</t>
  </si>
  <si>
    <t>Corolla iM</t>
  </si>
  <si>
    <t>CHARLESTON</t>
  </si>
  <si>
    <t>Police Interceptor Uti</t>
  </si>
  <si>
    <t>LANCASTER</t>
  </si>
  <si>
    <t>EQB</t>
  </si>
  <si>
    <t>ATLANTA</t>
  </si>
  <si>
    <t>5.2 L</t>
  </si>
  <si>
    <t>HOUSTON</t>
  </si>
  <si>
    <t>SAINTLOUIS</t>
  </si>
  <si>
    <t>Model 3</t>
  </si>
  <si>
    <t>SENTRA</t>
  </si>
  <si>
    <t>NAVIS</t>
  </si>
  <si>
    <t>4300sba4x2</t>
  </si>
  <si>
    <t>Windstar Wagon</t>
  </si>
  <si>
    <t>VUE</t>
  </si>
  <si>
    <t>Camry Solara</t>
  </si>
  <si>
    <t>5.4 L</t>
  </si>
  <si>
    <t>Econoline Cargo Van</t>
  </si>
  <si>
    <t>4.9L</t>
  </si>
  <si>
    <t>Silverado 1500 LD</t>
  </si>
  <si>
    <t>CLA-Class</t>
  </si>
  <si>
    <t>SIERRA</t>
  </si>
  <si>
    <t>Expedition EL</t>
  </si>
  <si>
    <t>E-350 Cutaway</t>
  </si>
  <si>
    <t>Chassis</t>
  </si>
  <si>
    <t>Solstice</t>
  </si>
  <si>
    <t>Macan</t>
  </si>
  <si>
    <t>XC70</t>
  </si>
  <si>
    <t>G35 Sedan</t>
  </si>
  <si>
    <t>Impreza Wagon</t>
  </si>
  <si>
    <t>M2 112</t>
  </si>
  <si>
    <t>Truck Tractor</t>
  </si>
  <si>
    <t>12.8L</t>
  </si>
  <si>
    <t>Envoy</t>
  </si>
  <si>
    <t>LASVEGAS</t>
  </si>
  <si>
    <t>CHICAGO</t>
  </si>
  <si>
    <t>Forester (Natl)</t>
  </si>
  <si>
    <t>TT</t>
  </si>
  <si>
    <t>Eldorado</t>
  </si>
  <si>
    <t>Envista</t>
  </si>
  <si>
    <t>Freestar Wagon</t>
  </si>
  <si>
    <t>Express Van</t>
  </si>
  <si>
    <t>COLUMBUS</t>
  </si>
  <si>
    <t>S4</t>
  </si>
  <si>
    <t>Caravan</t>
  </si>
  <si>
    <t>INTERNATIONAL</t>
  </si>
  <si>
    <t>4300 SBA 4x</t>
  </si>
  <si>
    <t>Golf</t>
  </si>
  <si>
    <t>Excursion</t>
  </si>
  <si>
    <t>7.3L</t>
  </si>
  <si>
    <t>MORTON</t>
  </si>
  <si>
    <t>HORNET</t>
  </si>
  <si>
    <t>XC60</t>
  </si>
  <si>
    <t>Explorer Sport</t>
  </si>
  <si>
    <t>Grand Am</t>
  </si>
  <si>
    <t>MKS</t>
  </si>
  <si>
    <t>CT 200h</t>
  </si>
  <si>
    <t>Vibe</t>
  </si>
  <si>
    <t>xA</t>
  </si>
  <si>
    <t>EQUINOX</t>
  </si>
  <si>
    <t>HARRISBURG</t>
  </si>
  <si>
    <t>Brougham</t>
  </si>
  <si>
    <t>Sedan 4 Dr.</t>
  </si>
  <si>
    <t>16M</t>
  </si>
  <si>
    <t>Flat bed</t>
  </si>
  <si>
    <t>S-TYPE</t>
  </si>
  <si>
    <t>Volt</t>
  </si>
  <si>
    <t>CL</t>
  </si>
  <si>
    <t>OLDSMOBILE</t>
  </si>
  <si>
    <t>Toronado</t>
  </si>
  <si>
    <t>STINGRAY</t>
  </si>
  <si>
    <t>1B5ls</t>
  </si>
  <si>
    <t>KALAMAZOO</t>
  </si>
  <si>
    <t>Aviator</t>
  </si>
  <si>
    <t>GX 460</t>
  </si>
  <si>
    <t>Outlander PHEV</t>
  </si>
  <si>
    <t>A7</t>
  </si>
  <si>
    <t>Ioniq Hybrid</t>
  </si>
  <si>
    <t>EXTENDED CAB</t>
  </si>
  <si>
    <t>BAJA</t>
  </si>
  <si>
    <t>Force 250</t>
  </si>
  <si>
    <t>VRSALEAMT</t>
  </si>
  <si>
    <t>NAAA_Region</t>
  </si>
  <si>
    <t>Market Classification</t>
  </si>
  <si>
    <t>Segment</t>
  </si>
  <si>
    <t>R^2</t>
  </si>
  <si>
    <t>Sum</t>
  </si>
  <si>
    <t>Sum Change</t>
  </si>
  <si>
    <t>STDV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</si>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</sst>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9" fontId="0" fillId="0" borderId="0" xfId="1" applyFont="1"/>
    <xf numFmtId="0" fontId="4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0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40"/>
  <sheetViews>
    <sheetView tabSelected="1" topLeftCell="I1" workbookViewId="0">
      <selection activeCell="N28" sqref="N28"/>
    </sheetView>
  </sheetViews>
  <sheetFormatPr defaultRowHeight="14.4" x14ac:dyDescent="0.3"/>
  <cols>
    <col min="1" max="1" width="19" bestFit="1" customWidth="1"/>
    <col min="2" max="2" width="11.44140625" bestFit="1" customWidth="1"/>
    <col min="3" max="3" width="12.5546875" bestFit="1" customWidth="1"/>
    <col min="4" max="4" width="15.6640625" bestFit="1" customWidth="1"/>
    <col min="5" max="5" width="22.6640625" bestFit="1" customWidth="1"/>
    <col min="6" max="6" width="16.88671875" bestFit="1" customWidth="1"/>
    <col min="7" max="7" width="16.33203125" bestFit="1" customWidth="1"/>
    <col min="8" max="8" width="13.88671875" bestFit="1" customWidth="1"/>
    <col min="9" max="9" width="16.44140625" bestFit="1" customWidth="1"/>
    <col min="10" max="10" width="18.5546875" bestFit="1" customWidth="1"/>
    <col min="11" max="11" width="14.33203125" bestFit="1" customWidth="1"/>
    <col min="12" max="12" width="15" bestFit="1" customWidth="1"/>
    <col min="13" max="13" width="13.44140625" bestFit="1" customWidth="1"/>
    <col min="14" max="14" width="25.6640625" bestFit="1" customWidth="1"/>
    <col min="15" max="15" width="26" bestFit="1" customWidth="1"/>
    <col min="16" max="18" width="26" customWidth="1"/>
    <col min="19" max="19" width="14" style="3" bestFit="1" customWidth="1"/>
    <col min="20" max="20" width="20.44140625" bestFit="1" customWidth="1"/>
    <col min="21" max="21" width="24.6640625" bestFit="1" customWidth="1"/>
    <col min="22" max="22" width="31.88671875" bestFit="1" customWidth="1"/>
    <col min="23" max="23" width="23.6640625" bestFit="1" customWidth="1"/>
    <col min="24" max="24" width="7.5546875" bestFit="1" customWidth="1"/>
    <col min="25" max="25" width="7.33203125" bestFit="1" customWidth="1"/>
    <col min="26" max="26" width="7.5546875" bestFit="1" customWidth="1"/>
    <col min="27" max="27" width="5.5546875" bestFit="1" customWidth="1"/>
  </cols>
  <sheetData>
    <row r="1" spans="1:27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5" t="s">
        <v>670</v>
      </c>
      <c r="Q1" s="5" t="s">
        <v>671</v>
      </c>
      <c r="R1" s="5" t="s">
        <v>672</v>
      </c>
      <c r="S1" s="3" t="s">
        <v>669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7" x14ac:dyDescent="0.3">
      <c r="A2" t="s">
        <v>19</v>
      </c>
      <c r="B2">
        <v>182910</v>
      </c>
      <c r="C2">
        <v>2014</v>
      </c>
      <c r="D2" t="s">
        <v>20</v>
      </c>
      <c r="E2" t="s">
        <v>21</v>
      </c>
      <c r="F2">
        <v>6</v>
      </c>
      <c r="G2" t="s">
        <v>22</v>
      </c>
      <c r="H2">
        <v>4</v>
      </c>
      <c r="I2" t="s">
        <v>23</v>
      </c>
      <c r="J2" t="s">
        <v>24</v>
      </c>
      <c r="K2" t="s">
        <v>25</v>
      </c>
      <c r="L2" t="s">
        <v>26</v>
      </c>
      <c r="M2" t="s">
        <v>23</v>
      </c>
      <c r="N2">
        <v>0</v>
      </c>
      <c r="O2" t="s">
        <v>27</v>
      </c>
      <c r="S2" s="3">
        <v>1800</v>
      </c>
      <c r="T2" s="2">
        <v>3034.12548828125</v>
      </c>
      <c r="U2" s="2">
        <v>4527.9132541892441</v>
      </c>
      <c r="V2" s="2">
        <v>1683.6882266824409</v>
      </c>
      <c r="W2" s="2">
        <v>4066.525146484375</v>
      </c>
      <c r="X2" s="4">
        <f t="shared" ref="X2:X65" si="0">S2/T2</f>
        <v>0.59325166574427057</v>
      </c>
      <c r="Y2" s="4">
        <f t="shared" ref="Y2:Y65" si="1">S2/U2</f>
        <v>0.39753411758377494</v>
      </c>
      <c r="Z2" s="4">
        <f t="shared" ref="Z2:Z65" si="2">S2/V2</f>
        <v>1.0690815386567982</v>
      </c>
      <c r="AA2" s="4">
        <f t="shared" ref="AA2:AA65" si="3">S2/W2</f>
        <v>0.44263835465425572</v>
      </c>
    </row>
    <row r="3" spans="1:27" x14ac:dyDescent="0.3">
      <c r="A3" t="s">
        <v>19</v>
      </c>
      <c r="B3">
        <v>176981</v>
      </c>
      <c r="C3">
        <v>2006</v>
      </c>
      <c r="D3" t="s">
        <v>28</v>
      </c>
      <c r="E3" t="s">
        <v>29</v>
      </c>
      <c r="F3">
        <v>4</v>
      </c>
      <c r="G3" t="s">
        <v>30</v>
      </c>
      <c r="H3">
        <v>4</v>
      </c>
      <c r="I3" t="s">
        <v>23</v>
      </c>
      <c r="J3" t="s">
        <v>31</v>
      </c>
      <c r="K3" t="s">
        <v>25</v>
      </c>
      <c r="L3" t="s">
        <v>32</v>
      </c>
      <c r="M3" t="s">
        <v>33</v>
      </c>
      <c r="N3">
        <v>0</v>
      </c>
      <c r="O3" t="s">
        <v>27</v>
      </c>
      <c r="S3" s="3">
        <v>500</v>
      </c>
      <c r="T3" s="2">
        <v>2041.140380859375</v>
      </c>
      <c r="U3" s="2">
        <v>2581.0121794236402</v>
      </c>
      <c r="V3" s="2">
        <v>1200.538809459711</v>
      </c>
      <c r="W3" s="2">
        <v>2013.190551757812</v>
      </c>
      <c r="X3" s="4">
        <f t="shared" si="0"/>
        <v>0.24496110345408312</v>
      </c>
      <c r="Y3" s="4">
        <f t="shared" si="1"/>
        <v>0.19372244888501605</v>
      </c>
      <c r="Z3" s="4">
        <f t="shared" si="2"/>
        <v>0.41647966401437647</v>
      </c>
      <c r="AA3" s="4">
        <f t="shared" si="3"/>
        <v>0.2483619841963923</v>
      </c>
    </row>
    <row r="4" spans="1:27" x14ac:dyDescent="0.3">
      <c r="A4" t="s">
        <v>19</v>
      </c>
      <c r="B4">
        <v>1</v>
      </c>
      <c r="C4">
        <v>2005</v>
      </c>
      <c r="D4" t="s">
        <v>34</v>
      </c>
      <c r="E4" t="s">
        <v>35</v>
      </c>
      <c r="F4">
        <v>6</v>
      </c>
      <c r="G4" t="s">
        <v>36</v>
      </c>
      <c r="H4">
        <v>4</v>
      </c>
      <c r="I4" t="s">
        <v>23</v>
      </c>
      <c r="J4" t="s">
        <v>37</v>
      </c>
      <c r="K4" t="s">
        <v>25</v>
      </c>
      <c r="L4" t="s">
        <v>38</v>
      </c>
      <c r="M4" t="s">
        <v>33</v>
      </c>
      <c r="N4">
        <v>1.5</v>
      </c>
      <c r="O4" t="s">
        <v>39</v>
      </c>
      <c r="S4" s="3">
        <v>400</v>
      </c>
      <c r="T4" s="2">
        <v>-18778.69140625</v>
      </c>
      <c r="U4" s="2">
        <v>-12452.002125655181</v>
      </c>
      <c r="V4" s="2">
        <v>-8234.8984535074196</v>
      </c>
      <c r="W4" s="2">
        <v>699.314453125</v>
      </c>
      <c r="X4" s="4">
        <f t="shared" si="0"/>
        <v>-2.1300738765368411E-2</v>
      </c>
      <c r="Y4" s="4">
        <f t="shared" si="1"/>
        <v>-3.2123348194413627E-2</v>
      </c>
      <c r="Z4" s="4">
        <f t="shared" si="2"/>
        <v>-4.8573762294498168E-2</v>
      </c>
      <c r="AA4" s="4">
        <f t="shared" si="3"/>
        <v>0.57198875014313688</v>
      </c>
    </row>
    <row r="5" spans="1:27" x14ac:dyDescent="0.3">
      <c r="A5" t="s">
        <v>19</v>
      </c>
      <c r="B5">
        <v>298409</v>
      </c>
      <c r="C5">
        <v>2008</v>
      </c>
      <c r="D5" t="s">
        <v>40</v>
      </c>
      <c r="E5" t="s">
        <v>41</v>
      </c>
      <c r="F5">
        <v>8</v>
      </c>
      <c r="G5" t="s">
        <v>36</v>
      </c>
      <c r="H5">
        <v>4</v>
      </c>
      <c r="I5" t="s">
        <v>23</v>
      </c>
      <c r="J5" t="s">
        <v>42</v>
      </c>
      <c r="K5" t="s">
        <v>25</v>
      </c>
      <c r="L5" t="s">
        <v>43</v>
      </c>
      <c r="M5">
        <v>4</v>
      </c>
      <c r="N5">
        <v>0</v>
      </c>
      <c r="O5" t="s">
        <v>27</v>
      </c>
      <c r="S5" s="3">
        <v>1100</v>
      </c>
      <c r="T5" s="2">
        <v>2164.008056640625</v>
      </c>
      <c r="U5" s="2">
        <v>9783.15001323242</v>
      </c>
      <c r="V5" s="2">
        <v>-4265.3979965692579</v>
      </c>
      <c r="W5" s="2">
        <v>6016.47509765625</v>
      </c>
      <c r="X5" s="4">
        <f t="shared" si="0"/>
        <v>0.5083160372829777</v>
      </c>
      <c r="Y5" s="4">
        <f t="shared" si="1"/>
        <v>0.11243822271069852</v>
      </c>
      <c r="Z5" s="4">
        <f t="shared" si="2"/>
        <v>-0.25788918194380717</v>
      </c>
      <c r="AA5" s="4">
        <f t="shared" si="3"/>
        <v>0.18283130606299872</v>
      </c>
    </row>
    <row r="6" spans="1:27" x14ac:dyDescent="0.3">
      <c r="A6" t="s">
        <v>19</v>
      </c>
      <c r="B6">
        <v>96568</v>
      </c>
      <c r="C6">
        <v>2018</v>
      </c>
      <c r="D6" t="s">
        <v>44</v>
      </c>
      <c r="E6" t="s">
        <v>45</v>
      </c>
      <c r="F6">
        <v>6</v>
      </c>
      <c r="G6" t="s">
        <v>30</v>
      </c>
      <c r="H6">
        <v>4</v>
      </c>
      <c r="I6" t="s">
        <v>23</v>
      </c>
      <c r="J6" t="s">
        <v>46</v>
      </c>
      <c r="K6" t="s">
        <v>25</v>
      </c>
      <c r="L6" t="s">
        <v>38</v>
      </c>
      <c r="M6">
        <v>4</v>
      </c>
      <c r="N6">
        <v>0</v>
      </c>
      <c r="O6" t="s">
        <v>27</v>
      </c>
      <c r="S6" s="3">
        <v>11200</v>
      </c>
      <c r="T6" s="2">
        <v>18003.2578125</v>
      </c>
      <c r="U6" s="2">
        <v>16820.389951884212</v>
      </c>
      <c r="V6" s="2">
        <v>25186.234019719581</v>
      </c>
      <c r="W6" s="2">
        <v>16378.9755859375</v>
      </c>
      <c r="X6" s="4">
        <f t="shared" si="0"/>
        <v>0.62210962686006921</v>
      </c>
      <c r="Y6" s="4">
        <f t="shared" si="1"/>
        <v>0.66585852242654942</v>
      </c>
      <c r="Z6" s="4">
        <f t="shared" si="2"/>
        <v>0.44468736339188114</v>
      </c>
      <c r="AA6" s="4">
        <f t="shared" si="3"/>
        <v>0.68380344919837266</v>
      </c>
    </row>
    <row r="7" spans="1:27" x14ac:dyDescent="0.3">
      <c r="A7" t="s">
        <v>19</v>
      </c>
      <c r="B7">
        <v>292485</v>
      </c>
      <c r="C7">
        <v>2012</v>
      </c>
      <c r="D7" t="s">
        <v>44</v>
      </c>
      <c r="E7" t="s">
        <v>45</v>
      </c>
      <c r="F7">
        <v>8</v>
      </c>
      <c r="G7" t="s">
        <v>47</v>
      </c>
      <c r="H7">
        <v>4</v>
      </c>
      <c r="I7" t="s">
        <v>23</v>
      </c>
      <c r="J7" t="s">
        <v>46</v>
      </c>
      <c r="K7" t="s">
        <v>25</v>
      </c>
      <c r="L7" t="s">
        <v>48</v>
      </c>
      <c r="M7">
        <v>4</v>
      </c>
      <c r="N7">
        <v>0</v>
      </c>
      <c r="O7" t="s">
        <v>27</v>
      </c>
      <c r="S7" s="3">
        <v>1400</v>
      </c>
      <c r="T7" s="2">
        <v>3153.162353515625</v>
      </c>
      <c r="U7" s="2">
        <v>9665.2933421365742</v>
      </c>
      <c r="V7" s="2">
        <v>-2143.8150987194481</v>
      </c>
      <c r="W7" s="2">
        <v>3382.60205078125</v>
      </c>
      <c r="X7" s="4">
        <f t="shared" si="0"/>
        <v>0.44399870448759704</v>
      </c>
      <c r="Y7" s="4">
        <f t="shared" si="1"/>
        <v>0.14484816450387436</v>
      </c>
      <c r="Z7" s="4">
        <f t="shared" si="2"/>
        <v>-0.65304139374531578</v>
      </c>
      <c r="AA7" s="4">
        <f t="shared" si="3"/>
        <v>0.41388256111198601</v>
      </c>
    </row>
    <row r="8" spans="1:27" x14ac:dyDescent="0.3">
      <c r="A8" t="s">
        <v>19</v>
      </c>
      <c r="B8">
        <v>166441</v>
      </c>
      <c r="C8">
        <v>2008</v>
      </c>
      <c r="D8" t="s">
        <v>40</v>
      </c>
      <c r="E8" t="s">
        <v>41</v>
      </c>
      <c r="F8">
        <v>8</v>
      </c>
      <c r="G8" t="s">
        <v>30</v>
      </c>
      <c r="H8">
        <v>2</v>
      </c>
      <c r="I8" t="s">
        <v>23</v>
      </c>
      <c r="J8" t="s">
        <v>49</v>
      </c>
      <c r="K8" t="s">
        <v>25</v>
      </c>
      <c r="L8" t="s">
        <v>43</v>
      </c>
      <c r="M8">
        <v>4</v>
      </c>
      <c r="N8">
        <v>0</v>
      </c>
      <c r="O8" t="s">
        <v>27</v>
      </c>
      <c r="S8" s="3">
        <v>3300</v>
      </c>
      <c r="T8" s="2">
        <v>2872.549072265625</v>
      </c>
      <c r="U8" s="2">
        <v>10089.494631860251</v>
      </c>
      <c r="V8" s="2">
        <v>985.33758607664822</v>
      </c>
      <c r="W8" s="2">
        <v>6185.857421875</v>
      </c>
      <c r="X8" s="4">
        <f t="shared" si="0"/>
        <v>1.1488054396916665</v>
      </c>
      <c r="Y8" s="4">
        <f t="shared" si="1"/>
        <v>0.32707287336071089</v>
      </c>
      <c r="Z8" s="4">
        <f t="shared" si="2"/>
        <v>3.3491059781244323</v>
      </c>
      <c r="AA8" s="4">
        <f t="shared" si="3"/>
        <v>0.53347495342039974</v>
      </c>
    </row>
    <row r="9" spans="1:27" x14ac:dyDescent="0.3">
      <c r="A9" t="s">
        <v>19</v>
      </c>
      <c r="B9">
        <v>130579</v>
      </c>
      <c r="C9">
        <v>2011</v>
      </c>
      <c r="D9" t="s">
        <v>50</v>
      </c>
      <c r="E9" t="s">
        <v>51</v>
      </c>
      <c r="F9">
        <v>6</v>
      </c>
      <c r="G9" t="s">
        <v>22</v>
      </c>
      <c r="H9">
        <v>4</v>
      </c>
      <c r="I9" t="s">
        <v>23</v>
      </c>
      <c r="J9" t="s">
        <v>52</v>
      </c>
      <c r="K9" t="s">
        <v>25</v>
      </c>
      <c r="L9" t="s">
        <v>53</v>
      </c>
      <c r="M9" t="s">
        <v>23</v>
      </c>
      <c r="N9">
        <v>0</v>
      </c>
      <c r="O9" t="s">
        <v>27</v>
      </c>
      <c r="S9" s="3">
        <v>5500</v>
      </c>
      <c r="T9" s="2">
        <v>3672.184814453125</v>
      </c>
      <c r="U9" s="2">
        <v>4275.0883549931768</v>
      </c>
      <c r="V9" s="2">
        <v>3047.169363183858</v>
      </c>
      <c r="W9" s="2">
        <v>4419.21240234375</v>
      </c>
      <c r="X9" s="4">
        <f t="shared" si="0"/>
        <v>1.4977459681094727</v>
      </c>
      <c r="Y9" s="4">
        <f t="shared" si="1"/>
        <v>1.2865231179552494</v>
      </c>
      <c r="Z9" s="4">
        <f t="shared" si="2"/>
        <v>1.8049538258199351</v>
      </c>
      <c r="AA9" s="4">
        <f t="shared" si="3"/>
        <v>1.2445656599540338</v>
      </c>
    </row>
    <row r="10" spans="1:27" x14ac:dyDescent="0.3">
      <c r="A10" t="s">
        <v>19</v>
      </c>
      <c r="B10">
        <v>109837</v>
      </c>
      <c r="C10">
        <v>2008</v>
      </c>
      <c r="D10" t="s">
        <v>54</v>
      </c>
      <c r="E10" t="s">
        <v>55</v>
      </c>
      <c r="F10">
        <v>6</v>
      </c>
      <c r="G10" t="s">
        <v>56</v>
      </c>
      <c r="H10">
        <v>4</v>
      </c>
      <c r="I10" t="s">
        <v>23</v>
      </c>
      <c r="J10" t="s">
        <v>24</v>
      </c>
      <c r="K10" t="s">
        <v>25</v>
      </c>
      <c r="L10" t="s">
        <v>57</v>
      </c>
      <c r="M10">
        <v>4</v>
      </c>
      <c r="N10">
        <v>0</v>
      </c>
      <c r="O10" t="s">
        <v>27</v>
      </c>
      <c r="S10" s="3">
        <v>1000</v>
      </c>
      <c r="T10" s="2">
        <v>2688.69384765625</v>
      </c>
      <c r="U10" s="2">
        <v>3702.454108289146</v>
      </c>
      <c r="V10" s="2">
        <v>1847.9885823038201</v>
      </c>
      <c r="W10" s="2">
        <v>3143.658447265625</v>
      </c>
      <c r="X10" s="4">
        <f t="shared" si="0"/>
        <v>0.37192780459988251</v>
      </c>
      <c r="Y10" s="4">
        <f t="shared" si="1"/>
        <v>0.27009112625087645</v>
      </c>
      <c r="Z10" s="4">
        <f t="shared" si="2"/>
        <v>0.54112888444004148</v>
      </c>
      <c r="AA10" s="4">
        <f t="shared" si="3"/>
        <v>0.31810071506648779</v>
      </c>
    </row>
    <row r="11" spans="1:27" x14ac:dyDescent="0.3">
      <c r="A11" t="s">
        <v>19</v>
      </c>
      <c r="B11">
        <v>195034</v>
      </c>
      <c r="C11">
        <v>2014</v>
      </c>
      <c r="D11" t="s">
        <v>28</v>
      </c>
      <c r="E11" t="s">
        <v>58</v>
      </c>
      <c r="F11">
        <v>4</v>
      </c>
      <c r="G11" t="s">
        <v>59</v>
      </c>
      <c r="H11">
        <v>4</v>
      </c>
      <c r="I11" t="s">
        <v>23</v>
      </c>
      <c r="J11" t="s">
        <v>24</v>
      </c>
      <c r="K11" t="s">
        <v>25</v>
      </c>
      <c r="L11" t="s">
        <v>60</v>
      </c>
      <c r="M11" t="s">
        <v>23</v>
      </c>
      <c r="N11">
        <v>0</v>
      </c>
      <c r="O11" t="s">
        <v>27</v>
      </c>
      <c r="S11" s="3">
        <v>5400</v>
      </c>
      <c r="T11" s="2">
        <v>4772.34765625</v>
      </c>
      <c r="U11" s="2">
        <v>4787.9678366780781</v>
      </c>
      <c r="V11" s="2">
        <v>4214.2821611038244</v>
      </c>
      <c r="W11" s="2">
        <v>5689.71142578125</v>
      </c>
      <c r="X11" s="4">
        <f t="shared" si="0"/>
        <v>1.131518570933953</v>
      </c>
      <c r="Y11" s="4">
        <f t="shared" si="1"/>
        <v>1.1278271250348568</v>
      </c>
      <c r="Z11" s="4">
        <f t="shared" si="2"/>
        <v>1.2813570125512448</v>
      </c>
      <c r="AA11" s="4">
        <f t="shared" si="3"/>
        <v>0.94908152556410719</v>
      </c>
    </row>
    <row r="12" spans="1:27" x14ac:dyDescent="0.3">
      <c r="A12" t="s">
        <v>19</v>
      </c>
      <c r="B12">
        <v>98491</v>
      </c>
      <c r="C12">
        <v>2020</v>
      </c>
      <c r="D12" t="s">
        <v>34</v>
      </c>
      <c r="E12" t="s">
        <v>61</v>
      </c>
      <c r="F12">
        <v>6</v>
      </c>
      <c r="G12" t="s">
        <v>36</v>
      </c>
      <c r="H12">
        <v>4</v>
      </c>
      <c r="I12" t="s">
        <v>23</v>
      </c>
      <c r="J12" t="s">
        <v>62</v>
      </c>
      <c r="K12" t="s">
        <v>25</v>
      </c>
      <c r="L12" t="s">
        <v>38</v>
      </c>
      <c r="M12" t="s">
        <v>23</v>
      </c>
      <c r="N12">
        <v>0</v>
      </c>
      <c r="O12" t="s">
        <v>27</v>
      </c>
      <c r="S12" s="3">
        <v>22750</v>
      </c>
      <c r="T12" s="2">
        <v>20269.83203125</v>
      </c>
      <c r="U12" s="2">
        <v>19485.804925203371</v>
      </c>
      <c r="V12" s="2">
        <v>16103.020122834731</v>
      </c>
      <c r="W12" s="2">
        <v>19596.49609375</v>
      </c>
      <c r="X12" s="4">
        <f t="shared" si="0"/>
        <v>1.1223575984707879</v>
      </c>
      <c r="Y12" s="4">
        <f t="shared" si="1"/>
        <v>1.167516563330399</v>
      </c>
      <c r="Z12" s="4">
        <f t="shared" si="2"/>
        <v>1.412778461832733</v>
      </c>
      <c r="AA12" s="4">
        <f t="shared" si="3"/>
        <v>1.1609218245528985</v>
      </c>
    </row>
    <row r="13" spans="1:27" x14ac:dyDescent="0.3">
      <c r="A13" t="s">
        <v>19</v>
      </c>
      <c r="B13">
        <v>117944</v>
      </c>
      <c r="C13">
        <v>2017</v>
      </c>
      <c r="D13" t="s">
        <v>40</v>
      </c>
      <c r="E13" t="s">
        <v>63</v>
      </c>
      <c r="F13">
        <v>4</v>
      </c>
      <c r="G13" t="s">
        <v>59</v>
      </c>
      <c r="H13">
        <v>4</v>
      </c>
      <c r="I13" t="s">
        <v>23</v>
      </c>
      <c r="J13" t="s">
        <v>24</v>
      </c>
      <c r="K13" t="s">
        <v>25</v>
      </c>
      <c r="L13" t="s">
        <v>60</v>
      </c>
      <c r="M13" t="s">
        <v>23</v>
      </c>
      <c r="N13">
        <v>0</v>
      </c>
      <c r="O13" t="s">
        <v>27</v>
      </c>
      <c r="S13" s="3">
        <v>6500</v>
      </c>
      <c r="T13" s="2">
        <v>7318.82763671875</v>
      </c>
      <c r="U13" s="2">
        <v>8471.8567569540319</v>
      </c>
      <c r="V13" s="2">
        <v>6061.2013293530063</v>
      </c>
      <c r="W13" s="2">
        <v>7985.58642578125</v>
      </c>
      <c r="X13" s="4">
        <f t="shared" si="0"/>
        <v>0.88812038247619463</v>
      </c>
      <c r="Y13" s="4">
        <f t="shared" si="1"/>
        <v>0.76724621136500515</v>
      </c>
      <c r="Z13" s="4">
        <f t="shared" si="2"/>
        <v>1.0723946700998022</v>
      </c>
      <c r="AA13" s="4">
        <f t="shared" si="3"/>
        <v>0.81396652085749466</v>
      </c>
    </row>
    <row r="14" spans="1:27" x14ac:dyDescent="0.3">
      <c r="A14" t="s">
        <v>19</v>
      </c>
      <c r="B14">
        <v>1</v>
      </c>
      <c r="C14">
        <v>2009</v>
      </c>
      <c r="D14" t="s">
        <v>64</v>
      </c>
      <c r="E14" t="s">
        <v>65</v>
      </c>
      <c r="F14">
        <v>0</v>
      </c>
      <c r="G14" t="s">
        <v>66</v>
      </c>
      <c r="H14">
        <v>0</v>
      </c>
      <c r="I14" t="s">
        <v>23</v>
      </c>
      <c r="M14" t="s">
        <v>23</v>
      </c>
      <c r="N14">
        <v>0</v>
      </c>
      <c r="O14" t="s">
        <v>27</v>
      </c>
      <c r="S14" s="3">
        <v>1200</v>
      </c>
      <c r="T14" s="2">
        <v>12750.830078125</v>
      </c>
      <c r="U14" s="2">
        <v>18832.400809391711</v>
      </c>
      <c r="V14" s="2">
        <v>-4574.7543290760477</v>
      </c>
      <c r="W14" s="2">
        <v>8098.3779296875</v>
      </c>
      <c r="X14" s="4">
        <f t="shared" si="0"/>
        <v>9.4111520006739752E-2</v>
      </c>
      <c r="Y14" s="4">
        <f t="shared" si="1"/>
        <v>6.3719969224612108E-2</v>
      </c>
      <c r="Z14" s="4">
        <f t="shared" si="2"/>
        <v>-0.26230916759247291</v>
      </c>
      <c r="AA14" s="4">
        <f t="shared" si="3"/>
        <v>0.14817782158584758</v>
      </c>
    </row>
    <row r="15" spans="1:27" x14ac:dyDescent="0.3">
      <c r="A15" t="s">
        <v>67</v>
      </c>
      <c r="B15">
        <v>85031</v>
      </c>
      <c r="C15">
        <v>2021</v>
      </c>
      <c r="D15" t="s">
        <v>44</v>
      </c>
      <c r="E15" t="s">
        <v>68</v>
      </c>
      <c r="F15">
        <v>4</v>
      </c>
      <c r="G15" t="s">
        <v>36</v>
      </c>
      <c r="H15">
        <v>4</v>
      </c>
      <c r="I15" t="s">
        <v>23</v>
      </c>
      <c r="J15" t="s">
        <v>62</v>
      </c>
      <c r="K15" t="s">
        <v>27</v>
      </c>
      <c r="L15" t="s">
        <v>69</v>
      </c>
      <c r="M15">
        <v>4</v>
      </c>
      <c r="N15">
        <v>2.9</v>
      </c>
      <c r="O15" t="s">
        <v>27</v>
      </c>
      <c r="S15" s="3">
        <v>20250</v>
      </c>
      <c r="T15" s="2">
        <v>15703.8984375</v>
      </c>
      <c r="U15" s="2">
        <v>18650.40859963217</v>
      </c>
      <c r="V15" s="2">
        <v>26766.992265066689</v>
      </c>
      <c r="W15" s="2">
        <v>17836.5625</v>
      </c>
      <c r="X15" s="4">
        <f t="shared" si="0"/>
        <v>1.2894887266746564</v>
      </c>
      <c r="Y15" s="4">
        <f t="shared" si="1"/>
        <v>1.0857670968345099</v>
      </c>
      <c r="Z15" s="4">
        <f t="shared" si="2"/>
        <v>0.75652877990434719</v>
      </c>
      <c r="AA15" s="4">
        <f t="shared" si="3"/>
        <v>1.1353084429805351</v>
      </c>
    </row>
    <row r="16" spans="1:27" x14ac:dyDescent="0.3">
      <c r="A16" t="s">
        <v>70</v>
      </c>
      <c r="B16">
        <v>137967</v>
      </c>
      <c r="C16">
        <v>2015</v>
      </c>
      <c r="D16" t="s">
        <v>71</v>
      </c>
      <c r="E16" t="s">
        <v>72</v>
      </c>
      <c r="F16">
        <v>4</v>
      </c>
      <c r="G16" t="s">
        <v>30</v>
      </c>
      <c r="H16">
        <v>4</v>
      </c>
      <c r="I16" t="s">
        <v>23</v>
      </c>
      <c r="J16" t="s">
        <v>24</v>
      </c>
      <c r="K16" t="s">
        <v>27</v>
      </c>
      <c r="L16" t="s">
        <v>73</v>
      </c>
      <c r="M16" t="s">
        <v>33</v>
      </c>
      <c r="N16">
        <v>0</v>
      </c>
      <c r="O16" t="s">
        <v>39</v>
      </c>
      <c r="S16" s="3">
        <v>950</v>
      </c>
      <c r="T16" s="2">
        <v>3756.680419921875</v>
      </c>
      <c r="U16" s="2">
        <v>1706.8437505162749</v>
      </c>
      <c r="V16" s="2">
        <v>1762.285025995734</v>
      </c>
      <c r="W16" s="2">
        <v>1887.959838867188</v>
      </c>
      <c r="X16" s="4">
        <f t="shared" si="0"/>
        <v>0.25288283638983494</v>
      </c>
      <c r="Y16" s="4">
        <f t="shared" si="1"/>
        <v>0.55658287392308181</v>
      </c>
      <c r="Z16" s="4">
        <f t="shared" si="2"/>
        <v>0.53907284348808837</v>
      </c>
      <c r="AA16" s="4">
        <f t="shared" si="3"/>
        <v>0.50318866982362198</v>
      </c>
    </row>
    <row r="17" spans="1:27" x14ac:dyDescent="0.3">
      <c r="A17" t="s">
        <v>70</v>
      </c>
      <c r="B17">
        <v>298167</v>
      </c>
      <c r="C17">
        <v>2012</v>
      </c>
      <c r="D17" t="s">
        <v>74</v>
      </c>
      <c r="E17" t="s">
        <v>75</v>
      </c>
      <c r="F17">
        <v>8</v>
      </c>
      <c r="G17" t="s">
        <v>47</v>
      </c>
      <c r="H17">
        <v>2</v>
      </c>
      <c r="I17" t="s">
        <v>23</v>
      </c>
      <c r="J17" t="s">
        <v>76</v>
      </c>
      <c r="L17" t="s">
        <v>77</v>
      </c>
      <c r="M17" t="s">
        <v>78</v>
      </c>
      <c r="N17">
        <v>0</v>
      </c>
      <c r="O17" t="s">
        <v>39</v>
      </c>
      <c r="S17" s="3">
        <v>900</v>
      </c>
      <c r="T17" s="2">
        <v>897.76446533203125</v>
      </c>
      <c r="U17" s="2">
        <v>-373.65611212724428</v>
      </c>
      <c r="V17" s="2">
        <v>4032.47675582582</v>
      </c>
      <c r="W17" s="2">
        <v>860.44970703125</v>
      </c>
      <c r="X17" s="4">
        <f t="shared" si="0"/>
        <v>1.0024901126679613</v>
      </c>
      <c r="Y17" s="4">
        <f t="shared" si="1"/>
        <v>-2.4086318162340548</v>
      </c>
      <c r="Z17" s="4">
        <f t="shared" si="2"/>
        <v>0.2231878953052234</v>
      </c>
      <c r="AA17" s="4">
        <f t="shared" si="3"/>
        <v>1.045964677128205</v>
      </c>
    </row>
    <row r="18" spans="1:27" x14ac:dyDescent="0.3">
      <c r="A18" t="s">
        <v>70</v>
      </c>
      <c r="B18">
        <v>171894</v>
      </c>
      <c r="C18">
        <v>2012</v>
      </c>
      <c r="D18" t="s">
        <v>40</v>
      </c>
      <c r="E18" t="s">
        <v>79</v>
      </c>
      <c r="F18">
        <v>8</v>
      </c>
      <c r="G18" t="s">
        <v>36</v>
      </c>
      <c r="H18">
        <v>4</v>
      </c>
      <c r="I18" t="s">
        <v>23</v>
      </c>
      <c r="J18" t="s">
        <v>42</v>
      </c>
      <c r="K18" t="s">
        <v>27</v>
      </c>
      <c r="L18" t="s">
        <v>80</v>
      </c>
      <c r="M18">
        <v>4</v>
      </c>
      <c r="N18">
        <v>1</v>
      </c>
      <c r="O18" t="s">
        <v>27</v>
      </c>
      <c r="S18" s="3">
        <v>4200</v>
      </c>
      <c r="T18" s="2">
        <v>7103.28173828125</v>
      </c>
      <c r="U18" s="2">
        <v>14909.40327211269</v>
      </c>
      <c r="V18" s="2">
        <v>6682.0992803379131</v>
      </c>
      <c r="W18" s="2">
        <v>11499.6748046875</v>
      </c>
      <c r="X18" s="4">
        <f t="shared" si="0"/>
        <v>0.59127599815803666</v>
      </c>
      <c r="Y18" s="4">
        <f t="shared" si="1"/>
        <v>0.28170141509659846</v>
      </c>
      <c r="Z18" s="4">
        <f t="shared" si="2"/>
        <v>0.62854498620792809</v>
      </c>
      <c r="AA18" s="4">
        <f t="shared" si="3"/>
        <v>0.36522771916019703</v>
      </c>
    </row>
    <row r="19" spans="1:27" x14ac:dyDescent="0.3">
      <c r="A19" t="s">
        <v>70</v>
      </c>
      <c r="B19">
        <v>149553</v>
      </c>
      <c r="C19">
        <v>2012</v>
      </c>
      <c r="D19" t="s">
        <v>81</v>
      </c>
      <c r="E19" t="s">
        <v>82</v>
      </c>
      <c r="F19">
        <v>8</v>
      </c>
      <c r="G19" t="s">
        <v>66</v>
      </c>
      <c r="H19">
        <v>2</v>
      </c>
      <c r="I19" t="s">
        <v>23</v>
      </c>
      <c r="J19" t="s">
        <v>83</v>
      </c>
      <c r="K19" t="s">
        <v>27</v>
      </c>
      <c r="L19" t="s">
        <v>84</v>
      </c>
      <c r="M19" t="s">
        <v>78</v>
      </c>
      <c r="N19">
        <v>1</v>
      </c>
      <c r="O19" t="s">
        <v>27</v>
      </c>
      <c r="S19" s="3">
        <v>3600</v>
      </c>
      <c r="T19" s="2">
        <v>5656.89208984375</v>
      </c>
      <c r="U19" s="2">
        <v>14074.33188787727</v>
      </c>
      <c r="V19" s="2">
        <v>5615.3981766977586</v>
      </c>
      <c r="W19" s="2">
        <v>7457.34033203125</v>
      </c>
      <c r="X19" s="4">
        <f t="shared" si="0"/>
        <v>0.63639184605684007</v>
      </c>
      <c r="Y19" s="4">
        <f t="shared" si="1"/>
        <v>0.25578478812914807</v>
      </c>
      <c r="Z19" s="4">
        <f t="shared" si="2"/>
        <v>0.6410943421499361</v>
      </c>
      <c r="AA19" s="4">
        <f t="shared" si="3"/>
        <v>0.48274583694900547</v>
      </c>
    </row>
    <row r="20" spans="1:27" x14ac:dyDescent="0.3">
      <c r="A20" t="s">
        <v>70</v>
      </c>
      <c r="B20">
        <v>92918</v>
      </c>
      <c r="C20">
        <v>2019</v>
      </c>
      <c r="D20" t="s">
        <v>85</v>
      </c>
      <c r="E20" t="s">
        <v>86</v>
      </c>
      <c r="F20">
        <v>4</v>
      </c>
      <c r="G20" t="s">
        <v>22</v>
      </c>
      <c r="H20">
        <v>4</v>
      </c>
      <c r="I20" t="s">
        <v>23</v>
      </c>
      <c r="J20" t="s">
        <v>31</v>
      </c>
      <c r="L20" t="s">
        <v>87</v>
      </c>
      <c r="M20" t="s">
        <v>33</v>
      </c>
      <c r="N20">
        <v>1</v>
      </c>
      <c r="O20" t="s">
        <v>27</v>
      </c>
      <c r="S20" s="3">
        <v>4800</v>
      </c>
      <c r="T20" s="2">
        <v>9030.1865234375</v>
      </c>
      <c r="U20" s="2">
        <v>8388.2193831393615</v>
      </c>
      <c r="V20" s="2">
        <v>6571.5433939995364</v>
      </c>
      <c r="W20" s="2">
        <v>9253.11328125</v>
      </c>
      <c r="X20" s="4">
        <f t="shared" si="0"/>
        <v>0.53155048210153644</v>
      </c>
      <c r="Y20" s="4">
        <f t="shared" si="1"/>
        <v>0.57223109944503614</v>
      </c>
      <c r="Z20" s="4">
        <f t="shared" si="2"/>
        <v>0.73042201994479272</v>
      </c>
      <c r="AA20" s="4">
        <f t="shared" si="3"/>
        <v>0.51874432465086706</v>
      </c>
    </row>
    <row r="21" spans="1:27" x14ac:dyDescent="0.3">
      <c r="A21" t="s">
        <v>70</v>
      </c>
      <c r="B21">
        <v>139641</v>
      </c>
      <c r="C21">
        <v>2013</v>
      </c>
      <c r="D21" t="s">
        <v>34</v>
      </c>
      <c r="E21" t="s">
        <v>88</v>
      </c>
      <c r="F21">
        <v>4</v>
      </c>
      <c r="G21" t="s">
        <v>30</v>
      </c>
      <c r="H21">
        <v>4</v>
      </c>
      <c r="I21" t="s">
        <v>23</v>
      </c>
      <c r="J21" t="s">
        <v>37</v>
      </c>
      <c r="L21" t="s">
        <v>89</v>
      </c>
      <c r="M21" t="s">
        <v>33</v>
      </c>
      <c r="N21">
        <v>0</v>
      </c>
      <c r="O21" t="s">
        <v>39</v>
      </c>
      <c r="S21" s="3">
        <v>1200</v>
      </c>
      <c r="T21" s="2">
        <v>4165.88330078125</v>
      </c>
      <c r="U21" s="2">
        <v>2770.4027143291892</v>
      </c>
      <c r="V21" s="2">
        <v>1237.7736029320131</v>
      </c>
      <c r="W21" s="2">
        <v>2425.447509765625</v>
      </c>
      <c r="X21" s="4">
        <f t="shared" si="0"/>
        <v>0.2880541564318323</v>
      </c>
      <c r="Y21" s="4">
        <f t="shared" si="1"/>
        <v>0.43315002320540308</v>
      </c>
      <c r="Z21" s="4">
        <f t="shared" si="2"/>
        <v>0.96948262360537041</v>
      </c>
      <c r="AA21" s="4">
        <f t="shared" si="3"/>
        <v>0.49475405885652746</v>
      </c>
    </row>
    <row r="22" spans="1:27" x14ac:dyDescent="0.3">
      <c r="A22" t="s">
        <v>70</v>
      </c>
      <c r="B22">
        <v>111483</v>
      </c>
      <c r="C22">
        <v>2018</v>
      </c>
      <c r="D22" t="s">
        <v>74</v>
      </c>
      <c r="E22" t="s">
        <v>75</v>
      </c>
      <c r="F22">
        <v>8</v>
      </c>
      <c r="G22" t="s">
        <v>22</v>
      </c>
      <c r="H22">
        <v>4</v>
      </c>
      <c r="I22" t="s">
        <v>23</v>
      </c>
      <c r="J22" t="s">
        <v>42</v>
      </c>
      <c r="K22" t="s">
        <v>27</v>
      </c>
      <c r="L22" t="s">
        <v>84</v>
      </c>
      <c r="M22" t="s">
        <v>78</v>
      </c>
      <c r="N22">
        <v>2</v>
      </c>
      <c r="O22" t="s">
        <v>27</v>
      </c>
      <c r="S22" s="3">
        <v>10300</v>
      </c>
      <c r="T22" s="2">
        <v>16120.9765625</v>
      </c>
      <c r="U22" s="2">
        <v>18025.871978376661</v>
      </c>
      <c r="V22" s="2">
        <v>15222.56249342073</v>
      </c>
      <c r="W22" s="2">
        <v>15790.1103515625</v>
      </c>
      <c r="X22" s="4">
        <f t="shared" si="0"/>
        <v>0.63891911014618474</v>
      </c>
      <c r="Y22" s="4">
        <f t="shared" si="1"/>
        <v>0.57140092930625475</v>
      </c>
      <c r="Z22" s="4">
        <f t="shared" si="2"/>
        <v>0.67662721072432541</v>
      </c>
      <c r="AA22" s="4">
        <f t="shared" si="3"/>
        <v>0.65230703083596686</v>
      </c>
    </row>
    <row r="23" spans="1:27" x14ac:dyDescent="0.3">
      <c r="A23" t="s">
        <v>70</v>
      </c>
      <c r="B23">
        <v>97848</v>
      </c>
      <c r="C23">
        <v>2017</v>
      </c>
      <c r="D23" t="s">
        <v>90</v>
      </c>
      <c r="E23" t="s">
        <v>91</v>
      </c>
      <c r="F23">
        <v>4</v>
      </c>
      <c r="G23" t="s">
        <v>30</v>
      </c>
      <c r="H23">
        <v>4</v>
      </c>
      <c r="I23" t="s">
        <v>23</v>
      </c>
      <c r="J23" t="s">
        <v>31</v>
      </c>
      <c r="L23" t="s">
        <v>32</v>
      </c>
      <c r="M23" t="s">
        <v>33</v>
      </c>
      <c r="N23">
        <v>2.6</v>
      </c>
      <c r="O23" t="s">
        <v>27</v>
      </c>
      <c r="S23" s="3">
        <v>6300</v>
      </c>
      <c r="T23" s="2">
        <v>6626.021484375</v>
      </c>
      <c r="U23" s="2">
        <v>6242.7903710750343</v>
      </c>
      <c r="V23" s="2">
        <v>9205.5017187544945</v>
      </c>
      <c r="W23" s="2">
        <v>7521.3994140625</v>
      </c>
      <c r="X23" s="4">
        <f t="shared" si="0"/>
        <v>0.95079679636659797</v>
      </c>
      <c r="Y23" s="4">
        <f t="shared" si="1"/>
        <v>1.009164111803279</v>
      </c>
      <c r="Z23" s="4">
        <f t="shared" si="2"/>
        <v>0.68437334460162269</v>
      </c>
      <c r="AA23" s="4">
        <f t="shared" si="3"/>
        <v>0.83761008466338172</v>
      </c>
    </row>
    <row r="24" spans="1:27" x14ac:dyDescent="0.3">
      <c r="A24" t="s">
        <v>70</v>
      </c>
      <c r="B24">
        <v>124067</v>
      </c>
      <c r="C24">
        <v>2019</v>
      </c>
      <c r="D24" t="s">
        <v>85</v>
      </c>
      <c r="E24" t="s">
        <v>92</v>
      </c>
      <c r="F24">
        <v>4</v>
      </c>
      <c r="G24" t="s">
        <v>47</v>
      </c>
      <c r="H24">
        <v>4</v>
      </c>
      <c r="I24" t="s">
        <v>23</v>
      </c>
      <c r="J24" t="s">
        <v>31</v>
      </c>
      <c r="L24" t="s">
        <v>87</v>
      </c>
      <c r="M24" t="s">
        <v>33</v>
      </c>
      <c r="N24">
        <v>1</v>
      </c>
      <c r="O24" t="s">
        <v>27</v>
      </c>
      <c r="S24" s="3">
        <v>4400</v>
      </c>
      <c r="T24" s="2">
        <v>6445.04833984375</v>
      </c>
      <c r="U24" s="2">
        <v>6289.6971697749614</v>
      </c>
      <c r="V24" s="2">
        <v>3132.934366491721</v>
      </c>
      <c r="W24" s="2">
        <v>6324.48291015625</v>
      </c>
      <c r="X24" s="4">
        <f t="shared" si="0"/>
        <v>0.68269464680332737</v>
      </c>
      <c r="Y24" s="4">
        <f t="shared" si="1"/>
        <v>0.69955673242014405</v>
      </c>
      <c r="Z24" s="4">
        <f t="shared" si="2"/>
        <v>1.4044341455282854</v>
      </c>
      <c r="AA24" s="4">
        <f t="shared" si="3"/>
        <v>0.6957090504480935</v>
      </c>
    </row>
    <row r="25" spans="1:27" x14ac:dyDescent="0.3">
      <c r="A25" t="s">
        <v>70</v>
      </c>
      <c r="B25">
        <v>163782</v>
      </c>
      <c r="C25">
        <v>2019</v>
      </c>
      <c r="D25" t="s">
        <v>74</v>
      </c>
      <c r="E25" t="s">
        <v>93</v>
      </c>
      <c r="F25">
        <v>8</v>
      </c>
      <c r="G25" t="s">
        <v>30</v>
      </c>
      <c r="H25">
        <v>4</v>
      </c>
      <c r="I25" t="s">
        <v>23</v>
      </c>
      <c r="J25" t="s">
        <v>94</v>
      </c>
      <c r="L25" t="s">
        <v>84</v>
      </c>
      <c r="M25">
        <v>4</v>
      </c>
      <c r="N25">
        <v>1</v>
      </c>
      <c r="O25" t="s">
        <v>27</v>
      </c>
      <c r="S25" s="3">
        <v>9000</v>
      </c>
      <c r="T25" s="2">
        <v>9701.4951171875</v>
      </c>
      <c r="U25" s="2">
        <v>6010.5869594405476</v>
      </c>
      <c r="V25" s="2">
        <v>13336.68646009702</v>
      </c>
      <c r="W25" s="2">
        <v>6225.482421875</v>
      </c>
      <c r="X25" s="4">
        <f t="shared" si="0"/>
        <v>0.9276920609953504</v>
      </c>
      <c r="Y25" s="4">
        <f t="shared" si="1"/>
        <v>1.4973579220685129</v>
      </c>
      <c r="Z25" s="4">
        <f t="shared" si="2"/>
        <v>0.67483029063686395</v>
      </c>
      <c r="AA25" s="4">
        <f t="shared" si="3"/>
        <v>1.4456710966488227</v>
      </c>
    </row>
    <row r="26" spans="1:27" x14ac:dyDescent="0.3">
      <c r="A26" t="s">
        <v>70</v>
      </c>
      <c r="B26">
        <v>56432</v>
      </c>
      <c r="C26">
        <v>2012</v>
      </c>
      <c r="D26" t="s">
        <v>44</v>
      </c>
      <c r="E26" t="s">
        <v>95</v>
      </c>
      <c r="F26">
        <v>4</v>
      </c>
      <c r="G26" t="s">
        <v>22</v>
      </c>
      <c r="H26">
        <v>4</v>
      </c>
      <c r="I26" t="s">
        <v>23</v>
      </c>
      <c r="J26" t="s">
        <v>37</v>
      </c>
      <c r="K26" t="s">
        <v>27</v>
      </c>
      <c r="L26" t="s">
        <v>96</v>
      </c>
      <c r="M26" t="s">
        <v>33</v>
      </c>
      <c r="N26">
        <v>0</v>
      </c>
      <c r="O26" t="s">
        <v>27</v>
      </c>
      <c r="S26" s="3">
        <v>2400</v>
      </c>
      <c r="T26" s="2">
        <v>5599.9306640625</v>
      </c>
      <c r="U26" s="2">
        <v>3820.83587059508</v>
      </c>
      <c r="V26" s="2">
        <v>4249.4877520919172</v>
      </c>
      <c r="W26" s="2">
        <v>3877.011962890625</v>
      </c>
      <c r="X26" s="4">
        <f t="shared" si="0"/>
        <v>0.4285767349588766</v>
      </c>
      <c r="Y26" s="4">
        <f t="shared" si="1"/>
        <v>0.62813480643600883</v>
      </c>
      <c r="Z26" s="4">
        <f t="shared" si="2"/>
        <v>0.56477395394739982</v>
      </c>
      <c r="AA26" s="4">
        <f t="shared" si="3"/>
        <v>0.61903342650782189</v>
      </c>
    </row>
    <row r="27" spans="1:27" x14ac:dyDescent="0.3">
      <c r="A27" t="s">
        <v>19</v>
      </c>
      <c r="B27">
        <v>139086</v>
      </c>
      <c r="C27">
        <v>2012</v>
      </c>
      <c r="D27" t="s">
        <v>20</v>
      </c>
      <c r="E27" t="s">
        <v>21</v>
      </c>
      <c r="F27">
        <v>4</v>
      </c>
      <c r="G27" t="s">
        <v>47</v>
      </c>
      <c r="H27">
        <v>4</v>
      </c>
      <c r="I27" t="s">
        <v>23</v>
      </c>
      <c r="J27" t="s">
        <v>24</v>
      </c>
      <c r="K27" t="s">
        <v>25</v>
      </c>
      <c r="L27" t="s">
        <v>60</v>
      </c>
      <c r="M27" t="s">
        <v>33</v>
      </c>
      <c r="N27">
        <v>0</v>
      </c>
      <c r="O27" t="s">
        <v>27</v>
      </c>
      <c r="S27" s="3">
        <v>1600</v>
      </c>
      <c r="T27" s="2">
        <v>3027.44580078125</v>
      </c>
      <c r="U27" s="2">
        <v>4252.5971615167846</v>
      </c>
      <c r="V27" s="2">
        <v>1961.519609682598</v>
      </c>
      <c r="W27" s="2">
        <v>3526.84033203125</v>
      </c>
      <c r="X27" s="4">
        <f t="shared" si="0"/>
        <v>0.52849831352459242</v>
      </c>
      <c r="Y27" s="4">
        <f t="shared" si="1"/>
        <v>0.37624066875624868</v>
      </c>
      <c r="Z27" s="4">
        <f t="shared" si="2"/>
        <v>0.81569411394204872</v>
      </c>
      <c r="AA27" s="4">
        <f t="shared" si="3"/>
        <v>0.45366386038760514</v>
      </c>
    </row>
    <row r="28" spans="1:27" x14ac:dyDescent="0.3">
      <c r="A28" t="s">
        <v>19</v>
      </c>
      <c r="B28">
        <v>139907</v>
      </c>
      <c r="C28">
        <v>2010</v>
      </c>
      <c r="D28" t="s">
        <v>40</v>
      </c>
      <c r="E28" t="s">
        <v>41</v>
      </c>
      <c r="F28">
        <v>8</v>
      </c>
      <c r="G28" t="s">
        <v>59</v>
      </c>
      <c r="H28">
        <v>2</v>
      </c>
      <c r="I28" t="s">
        <v>23</v>
      </c>
      <c r="J28" t="s">
        <v>49</v>
      </c>
      <c r="K28" t="s">
        <v>25</v>
      </c>
      <c r="L28" t="s">
        <v>43</v>
      </c>
      <c r="M28">
        <v>4</v>
      </c>
      <c r="N28">
        <v>0</v>
      </c>
      <c r="O28" t="s">
        <v>27</v>
      </c>
      <c r="S28" s="3">
        <v>2800</v>
      </c>
      <c r="T28" s="2">
        <v>4712.2294921875</v>
      </c>
      <c r="U28" s="2">
        <v>12950.93902301408</v>
      </c>
      <c r="V28" s="2">
        <v>2954.3860390179339</v>
      </c>
      <c r="W28" s="2">
        <v>8010.7802734375</v>
      </c>
      <c r="X28" s="4">
        <f t="shared" si="0"/>
        <v>0.5941985645313278</v>
      </c>
      <c r="Y28" s="4">
        <f t="shared" si="1"/>
        <v>0.21620053920602542</v>
      </c>
      <c r="Z28" s="4">
        <f t="shared" si="2"/>
        <v>0.94774344416098943</v>
      </c>
      <c r="AA28" s="4">
        <f t="shared" si="3"/>
        <v>0.34952899772876855</v>
      </c>
    </row>
    <row r="29" spans="1:27" x14ac:dyDescent="0.3">
      <c r="A29" t="s">
        <v>19</v>
      </c>
      <c r="B29">
        <v>31505</v>
      </c>
      <c r="C29">
        <v>2012</v>
      </c>
      <c r="D29" t="s">
        <v>97</v>
      </c>
      <c r="E29" t="s">
        <v>98</v>
      </c>
      <c r="F29">
        <v>4</v>
      </c>
      <c r="G29" t="s">
        <v>99</v>
      </c>
      <c r="H29">
        <v>2</v>
      </c>
      <c r="I29" t="s">
        <v>23</v>
      </c>
      <c r="J29" t="s">
        <v>83</v>
      </c>
      <c r="K29" t="s">
        <v>25</v>
      </c>
      <c r="L29" t="s">
        <v>73</v>
      </c>
      <c r="M29" t="s">
        <v>33</v>
      </c>
      <c r="N29">
        <v>0</v>
      </c>
      <c r="O29" t="s">
        <v>27</v>
      </c>
      <c r="S29" s="3">
        <v>4300</v>
      </c>
      <c r="T29" s="2">
        <v>6709.7392578125</v>
      </c>
      <c r="U29" s="2">
        <v>3998.0202132582249</v>
      </c>
      <c r="V29" s="2">
        <v>4203.7887733990674</v>
      </c>
      <c r="W29" s="2">
        <v>5959.44091796875</v>
      </c>
      <c r="X29" s="4">
        <f t="shared" si="0"/>
        <v>0.64085947825666778</v>
      </c>
      <c r="Y29" s="4">
        <f t="shared" si="1"/>
        <v>1.0755323311623965</v>
      </c>
      <c r="Z29" s="4">
        <f t="shared" si="2"/>
        <v>1.0228867889865787</v>
      </c>
      <c r="AA29" s="4">
        <f t="shared" si="3"/>
        <v>0.72154419503258316</v>
      </c>
    </row>
    <row r="30" spans="1:27" x14ac:dyDescent="0.3">
      <c r="A30" t="s">
        <v>19</v>
      </c>
      <c r="B30">
        <v>144189</v>
      </c>
      <c r="C30">
        <v>2014</v>
      </c>
      <c r="D30" t="s">
        <v>100</v>
      </c>
      <c r="E30" t="s">
        <v>101</v>
      </c>
      <c r="F30">
        <v>4</v>
      </c>
      <c r="G30" t="s">
        <v>22</v>
      </c>
      <c r="H30">
        <v>4</v>
      </c>
      <c r="I30" t="s">
        <v>23</v>
      </c>
      <c r="J30" t="s">
        <v>31</v>
      </c>
      <c r="K30" t="s">
        <v>25</v>
      </c>
      <c r="L30" t="s">
        <v>102</v>
      </c>
      <c r="M30" t="s">
        <v>33</v>
      </c>
      <c r="N30">
        <v>0</v>
      </c>
      <c r="O30" t="s">
        <v>27</v>
      </c>
      <c r="S30" s="3">
        <v>700</v>
      </c>
      <c r="T30" s="2">
        <v>2616.24951171875</v>
      </c>
      <c r="U30" s="2">
        <v>3314.342134995296</v>
      </c>
      <c r="V30" s="2">
        <v>4152.1012909448018</v>
      </c>
      <c r="W30" s="2">
        <v>3196.41259765625</v>
      </c>
      <c r="X30" s="4">
        <f t="shared" si="0"/>
        <v>0.26755857836362623</v>
      </c>
      <c r="Y30" s="4">
        <f t="shared" si="1"/>
        <v>0.21120330113444777</v>
      </c>
      <c r="Z30" s="4">
        <f t="shared" si="2"/>
        <v>0.16858933608546831</v>
      </c>
      <c r="AA30" s="4">
        <f t="shared" si="3"/>
        <v>0.21899550781187344</v>
      </c>
    </row>
    <row r="31" spans="1:27" x14ac:dyDescent="0.3">
      <c r="A31" t="s">
        <v>19</v>
      </c>
      <c r="B31">
        <v>154006</v>
      </c>
      <c r="C31">
        <v>2013</v>
      </c>
      <c r="D31" t="s">
        <v>103</v>
      </c>
      <c r="E31" t="s">
        <v>104</v>
      </c>
      <c r="F31">
        <v>6</v>
      </c>
      <c r="G31" t="s">
        <v>36</v>
      </c>
      <c r="H31">
        <v>4</v>
      </c>
      <c r="I31" t="s">
        <v>23</v>
      </c>
      <c r="J31" t="s">
        <v>24</v>
      </c>
      <c r="K31" t="s">
        <v>25</v>
      </c>
      <c r="L31" t="s">
        <v>53</v>
      </c>
      <c r="M31" t="s">
        <v>23</v>
      </c>
      <c r="N31">
        <v>0</v>
      </c>
      <c r="O31" t="s">
        <v>27</v>
      </c>
      <c r="S31" s="3">
        <v>1900</v>
      </c>
      <c r="T31" s="2">
        <v>3705.661865234375</v>
      </c>
      <c r="U31" s="2">
        <v>4485.3114028313594</v>
      </c>
      <c r="V31" s="2">
        <v>2294.1695891460949</v>
      </c>
      <c r="W31" s="2">
        <v>4231.9365234375</v>
      </c>
      <c r="X31" s="4">
        <f t="shared" si="0"/>
        <v>0.51272891836822498</v>
      </c>
      <c r="Y31" s="4">
        <f t="shared" si="1"/>
        <v>0.42360492491126084</v>
      </c>
      <c r="Z31" s="4">
        <f t="shared" si="2"/>
        <v>0.82818637688733054</v>
      </c>
      <c r="AA31" s="4">
        <f t="shared" si="3"/>
        <v>0.44896703659833626</v>
      </c>
    </row>
    <row r="32" spans="1:27" x14ac:dyDescent="0.3">
      <c r="A32" t="s">
        <v>19</v>
      </c>
      <c r="B32">
        <v>231506</v>
      </c>
      <c r="C32">
        <v>2016</v>
      </c>
      <c r="D32" t="s">
        <v>81</v>
      </c>
      <c r="E32" t="s">
        <v>105</v>
      </c>
      <c r="F32">
        <v>6</v>
      </c>
      <c r="G32" t="s">
        <v>47</v>
      </c>
      <c r="H32">
        <v>4</v>
      </c>
      <c r="I32" t="s">
        <v>23</v>
      </c>
      <c r="J32" t="s">
        <v>106</v>
      </c>
      <c r="K32" t="s">
        <v>25</v>
      </c>
      <c r="L32" t="s">
        <v>26</v>
      </c>
      <c r="M32" t="s">
        <v>33</v>
      </c>
      <c r="N32">
        <v>0</v>
      </c>
      <c r="O32" t="s">
        <v>27</v>
      </c>
      <c r="S32" s="3">
        <v>2000</v>
      </c>
      <c r="T32" s="2">
        <v>2487.11669921875</v>
      </c>
      <c r="U32" s="2">
        <v>3651.9067720946568</v>
      </c>
      <c r="V32" s="2">
        <v>1801.307883559484</v>
      </c>
      <c r="W32" s="2">
        <v>2775.799560546875</v>
      </c>
      <c r="X32" s="4">
        <f t="shared" si="0"/>
        <v>0.80414401166951177</v>
      </c>
      <c r="Y32" s="4">
        <f t="shared" si="1"/>
        <v>0.54765910654746597</v>
      </c>
      <c r="Z32" s="4">
        <f t="shared" si="2"/>
        <v>1.1103043617662347</v>
      </c>
      <c r="AA32" s="4">
        <f t="shared" si="3"/>
        <v>0.72051311932838891</v>
      </c>
    </row>
    <row r="33" spans="1:27" x14ac:dyDescent="0.3">
      <c r="A33" t="s">
        <v>19</v>
      </c>
      <c r="B33">
        <v>106801</v>
      </c>
      <c r="C33">
        <v>2014</v>
      </c>
      <c r="D33" t="s">
        <v>74</v>
      </c>
      <c r="E33" t="s">
        <v>75</v>
      </c>
      <c r="F33">
        <v>8</v>
      </c>
      <c r="G33" t="s">
        <v>22</v>
      </c>
      <c r="H33">
        <v>2</v>
      </c>
      <c r="I33" t="s">
        <v>23</v>
      </c>
      <c r="J33" t="s">
        <v>76</v>
      </c>
      <c r="K33" t="s">
        <v>25</v>
      </c>
      <c r="L33" t="s">
        <v>84</v>
      </c>
      <c r="M33">
        <v>4</v>
      </c>
      <c r="N33">
        <v>0</v>
      </c>
      <c r="O33" t="s">
        <v>27</v>
      </c>
      <c r="S33" s="3">
        <v>4200</v>
      </c>
      <c r="T33" s="2">
        <v>9311.1171875</v>
      </c>
      <c r="U33" s="2">
        <v>10297.45517850463</v>
      </c>
      <c r="V33" s="2">
        <v>9692.2043413466636</v>
      </c>
      <c r="W33" s="2">
        <v>9848.306640625</v>
      </c>
      <c r="X33" s="4">
        <f t="shared" si="0"/>
        <v>0.4510736913115454</v>
      </c>
      <c r="Y33" s="4">
        <f t="shared" si="1"/>
        <v>0.40786776219888471</v>
      </c>
      <c r="Z33" s="4">
        <f t="shared" si="2"/>
        <v>0.43333795410017528</v>
      </c>
      <c r="AA33" s="4">
        <f t="shared" si="3"/>
        <v>0.42646925540221164</v>
      </c>
    </row>
    <row r="34" spans="1:27" x14ac:dyDescent="0.3">
      <c r="A34" t="s">
        <v>19</v>
      </c>
      <c r="B34">
        <v>103354</v>
      </c>
      <c r="C34">
        <v>2013</v>
      </c>
      <c r="D34" t="s">
        <v>40</v>
      </c>
      <c r="E34" t="s">
        <v>41</v>
      </c>
      <c r="F34">
        <v>8</v>
      </c>
      <c r="G34" t="s">
        <v>66</v>
      </c>
      <c r="H34">
        <v>2</v>
      </c>
      <c r="I34" t="s">
        <v>23</v>
      </c>
      <c r="J34" t="s">
        <v>49</v>
      </c>
      <c r="K34" t="s">
        <v>25</v>
      </c>
      <c r="L34" t="s">
        <v>43</v>
      </c>
      <c r="M34">
        <v>4</v>
      </c>
      <c r="N34">
        <v>0</v>
      </c>
      <c r="O34" t="s">
        <v>27</v>
      </c>
      <c r="S34" s="3">
        <v>3000</v>
      </c>
      <c r="T34" s="2">
        <v>8934.578125</v>
      </c>
      <c r="U34" s="2">
        <v>18426.923839039839</v>
      </c>
      <c r="V34" s="2">
        <v>8798.2482297050337</v>
      </c>
      <c r="W34" s="2">
        <v>11646.3466796875</v>
      </c>
      <c r="X34" s="4">
        <f t="shared" si="0"/>
        <v>0.33577410796886392</v>
      </c>
      <c r="Y34" s="4">
        <f t="shared" si="1"/>
        <v>0.16280525312880001</v>
      </c>
      <c r="Z34" s="4">
        <f t="shared" si="2"/>
        <v>0.3409769674230454</v>
      </c>
      <c r="AA34" s="4">
        <f t="shared" si="3"/>
        <v>0.25759150766414396</v>
      </c>
    </row>
    <row r="35" spans="1:27" x14ac:dyDescent="0.3">
      <c r="A35" t="s">
        <v>67</v>
      </c>
      <c r="B35">
        <v>21552</v>
      </c>
      <c r="C35">
        <v>2024</v>
      </c>
      <c r="D35" t="s">
        <v>40</v>
      </c>
      <c r="E35" t="s">
        <v>41</v>
      </c>
      <c r="F35">
        <v>8</v>
      </c>
      <c r="G35" t="s">
        <v>47</v>
      </c>
      <c r="H35">
        <v>2</v>
      </c>
      <c r="I35" t="s">
        <v>23</v>
      </c>
      <c r="J35" t="s">
        <v>76</v>
      </c>
      <c r="L35" t="s">
        <v>43</v>
      </c>
      <c r="M35" t="s">
        <v>78</v>
      </c>
      <c r="N35">
        <v>3.5</v>
      </c>
      <c r="O35" t="s">
        <v>27</v>
      </c>
      <c r="S35" s="3">
        <v>24000</v>
      </c>
      <c r="T35" s="2">
        <v>48216.1640625</v>
      </c>
      <c r="U35" s="2">
        <v>61177.850234311867</v>
      </c>
      <c r="V35" s="2">
        <v>32014.71065293179</v>
      </c>
      <c r="W35" s="2">
        <v>54052.21484375</v>
      </c>
      <c r="X35" s="4">
        <f t="shared" si="0"/>
        <v>0.49775838594065885</v>
      </c>
      <c r="Y35" s="4">
        <f t="shared" si="1"/>
        <v>0.39229884522061048</v>
      </c>
      <c r="Z35" s="4">
        <f t="shared" si="2"/>
        <v>0.74965537749759947</v>
      </c>
      <c r="AA35" s="4">
        <f t="shared" si="3"/>
        <v>0.44401510778748587</v>
      </c>
    </row>
    <row r="36" spans="1:27" x14ac:dyDescent="0.3">
      <c r="A36" t="s">
        <v>67</v>
      </c>
      <c r="B36">
        <v>19</v>
      </c>
      <c r="C36">
        <v>2024</v>
      </c>
      <c r="D36" t="s">
        <v>40</v>
      </c>
      <c r="E36" t="s">
        <v>63</v>
      </c>
      <c r="F36">
        <v>4</v>
      </c>
      <c r="G36" t="s">
        <v>47</v>
      </c>
      <c r="H36">
        <v>4</v>
      </c>
      <c r="I36" t="s">
        <v>23</v>
      </c>
      <c r="J36" t="s">
        <v>24</v>
      </c>
      <c r="K36" t="s">
        <v>27</v>
      </c>
      <c r="L36" t="s">
        <v>107</v>
      </c>
      <c r="M36" t="s">
        <v>23</v>
      </c>
      <c r="N36">
        <v>3.5</v>
      </c>
      <c r="O36" t="s">
        <v>27</v>
      </c>
      <c r="S36" s="3">
        <v>19800</v>
      </c>
      <c r="T36" s="2">
        <v>29970.166015625</v>
      </c>
      <c r="U36" s="2">
        <v>32874.626878240873</v>
      </c>
      <c r="V36" s="2">
        <v>22908.094092128518</v>
      </c>
      <c r="W36" s="2">
        <v>33461.140625</v>
      </c>
      <c r="X36" s="4">
        <f t="shared" si="0"/>
        <v>0.66065700102152369</v>
      </c>
      <c r="Y36" s="4">
        <f t="shared" si="1"/>
        <v>0.60228820461853716</v>
      </c>
      <c r="Z36" s="4">
        <f t="shared" si="2"/>
        <v>0.8643233225938034</v>
      </c>
      <c r="AA36" s="4">
        <f t="shared" si="3"/>
        <v>0.59173117324060143</v>
      </c>
    </row>
    <row r="37" spans="1:27" x14ac:dyDescent="0.3">
      <c r="A37" t="s">
        <v>67</v>
      </c>
      <c r="B37">
        <v>80838</v>
      </c>
      <c r="C37">
        <v>2021</v>
      </c>
      <c r="D37" t="s">
        <v>40</v>
      </c>
      <c r="E37" t="s">
        <v>108</v>
      </c>
      <c r="F37">
        <v>8</v>
      </c>
      <c r="G37" t="s">
        <v>47</v>
      </c>
      <c r="H37">
        <v>4</v>
      </c>
      <c r="I37" t="s">
        <v>109</v>
      </c>
      <c r="J37" t="s">
        <v>110</v>
      </c>
      <c r="K37" t="s">
        <v>25</v>
      </c>
      <c r="L37" t="s">
        <v>43</v>
      </c>
      <c r="M37">
        <v>4</v>
      </c>
      <c r="N37">
        <v>0</v>
      </c>
      <c r="O37" t="s">
        <v>27</v>
      </c>
      <c r="S37" s="3">
        <v>32000</v>
      </c>
      <c r="T37" s="2">
        <v>48672.6796875</v>
      </c>
      <c r="U37" s="2">
        <v>40579.303161008123</v>
      </c>
      <c r="V37" s="2">
        <v>38989.716160013049</v>
      </c>
      <c r="W37" s="2">
        <v>45880.16015625</v>
      </c>
      <c r="X37" s="4">
        <f t="shared" si="0"/>
        <v>0.65745301482174534</v>
      </c>
      <c r="Y37" s="4">
        <f t="shared" si="1"/>
        <v>0.78857933742805586</v>
      </c>
      <c r="Z37" s="4">
        <f t="shared" si="2"/>
        <v>0.82072923713198143</v>
      </c>
      <c r="AA37" s="4">
        <f t="shared" si="3"/>
        <v>0.69746923051315501</v>
      </c>
    </row>
    <row r="38" spans="1:27" x14ac:dyDescent="0.3">
      <c r="A38" t="s">
        <v>111</v>
      </c>
      <c r="B38">
        <v>1</v>
      </c>
      <c r="C38">
        <v>2022</v>
      </c>
      <c r="D38" t="s">
        <v>74</v>
      </c>
      <c r="E38" t="s">
        <v>112</v>
      </c>
      <c r="F38">
        <v>6</v>
      </c>
      <c r="G38" t="s">
        <v>47</v>
      </c>
      <c r="H38">
        <v>3</v>
      </c>
      <c r="I38" t="s">
        <v>23</v>
      </c>
      <c r="J38" t="s">
        <v>113</v>
      </c>
      <c r="L38" t="s">
        <v>26</v>
      </c>
      <c r="M38" t="s">
        <v>33</v>
      </c>
      <c r="N38">
        <v>0</v>
      </c>
      <c r="O38" t="s">
        <v>27</v>
      </c>
      <c r="S38" s="3">
        <v>28000</v>
      </c>
      <c r="T38" s="2">
        <v>41779.37109375</v>
      </c>
      <c r="U38" s="2">
        <v>41507.747520017147</v>
      </c>
      <c r="V38" s="2">
        <v>68269.799786000251</v>
      </c>
      <c r="W38" s="2">
        <v>48663.03515625</v>
      </c>
      <c r="X38" s="4">
        <f t="shared" si="0"/>
        <v>0.67018720643663954</v>
      </c>
      <c r="Y38" s="4">
        <f t="shared" si="1"/>
        <v>0.67457286104231451</v>
      </c>
      <c r="Z38" s="4">
        <f t="shared" si="2"/>
        <v>0.41013742661864111</v>
      </c>
      <c r="AA38" s="4">
        <f t="shared" si="3"/>
        <v>0.57538540105638769</v>
      </c>
    </row>
    <row r="39" spans="1:27" x14ac:dyDescent="0.3">
      <c r="A39" t="s">
        <v>70</v>
      </c>
      <c r="B39">
        <v>287372</v>
      </c>
      <c r="C39">
        <v>2011</v>
      </c>
      <c r="D39" t="s">
        <v>100</v>
      </c>
      <c r="E39" t="s">
        <v>114</v>
      </c>
      <c r="F39">
        <v>8</v>
      </c>
      <c r="G39" t="s">
        <v>36</v>
      </c>
      <c r="H39">
        <v>4</v>
      </c>
      <c r="I39" t="s">
        <v>23</v>
      </c>
      <c r="J39" t="s">
        <v>42</v>
      </c>
      <c r="K39" t="s">
        <v>27</v>
      </c>
      <c r="L39" t="s">
        <v>115</v>
      </c>
      <c r="M39" t="s">
        <v>78</v>
      </c>
      <c r="N39">
        <v>1.5</v>
      </c>
      <c r="O39" t="s">
        <v>27</v>
      </c>
      <c r="S39" s="3">
        <v>1000</v>
      </c>
      <c r="T39" s="2">
        <v>3142.33837890625</v>
      </c>
      <c r="U39" s="2">
        <v>3087.32202817903</v>
      </c>
      <c r="V39" s="2">
        <v>1720.620042411914</v>
      </c>
      <c r="W39" s="2">
        <v>3619.802490234375</v>
      </c>
      <c r="X39" s="4">
        <f t="shared" si="0"/>
        <v>0.31823434634307868</v>
      </c>
      <c r="Y39" s="4">
        <f t="shared" si="1"/>
        <v>0.32390531045114912</v>
      </c>
      <c r="Z39" s="4">
        <f t="shared" si="2"/>
        <v>0.58118583728585993</v>
      </c>
      <c r="AA39" s="4">
        <f t="shared" si="3"/>
        <v>0.27625816676402476</v>
      </c>
    </row>
    <row r="40" spans="1:27" x14ac:dyDescent="0.3">
      <c r="A40" t="s">
        <v>70</v>
      </c>
      <c r="B40">
        <v>172395</v>
      </c>
      <c r="C40">
        <v>2010</v>
      </c>
      <c r="D40" t="s">
        <v>34</v>
      </c>
      <c r="E40" t="s">
        <v>116</v>
      </c>
      <c r="F40">
        <v>6</v>
      </c>
      <c r="G40" t="s">
        <v>66</v>
      </c>
      <c r="H40">
        <v>4</v>
      </c>
      <c r="I40" t="s">
        <v>23</v>
      </c>
      <c r="J40" t="s">
        <v>37</v>
      </c>
      <c r="L40" t="s">
        <v>38</v>
      </c>
      <c r="M40" t="s">
        <v>33</v>
      </c>
      <c r="N40">
        <v>1</v>
      </c>
      <c r="O40" t="s">
        <v>27</v>
      </c>
      <c r="S40" s="3">
        <v>1000</v>
      </c>
      <c r="T40" s="2">
        <v>3158.636474609375</v>
      </c>
      <c r="U40" s="2">
        <v>2930.7683319870998</v>
      </c>
      <c r="V40" s="2">
        <v>1003.6095328873849</v>
      </c>
      <c r="W40" s="2">
        <v>2491.1845703125</v>
      </c>
      <c r="X40" s="4">
        <f t="shared" si="0"/>
        <v>0.31659230431816909</v>
      </c>
      <c r="Y40" s="4">
        <f t="shared" si="1"/>
        <v>0.3412074537198192</v>
      </c>
      <c r="Z40" s="4">
        <f t="shared" si="2"/>
        <v>0.99640344898179645</v>
      </c>
      <c r="AA40" s="4">
        <f t="shared" si="3"/>
        <v>0.40141545990490685</v>
      </c>
    </row>
    <row r="41" spans="1:27" x14ac:dyDescent="0.3">
      <c r="A41" t="s">
        <v>70</v>
      </c>
      <c r="B41">
        <v>104524</v>
      </c>
      <c r="C41">
        <v>2015</v>
      </c>
      <c r="D41" t="s">
        <v>44</v>
      </c>
      <c r="E41" t="s">
        <v>117</v>
      </c>
      <c r="F41">
        <v>4</v>
      </c>
      <c r="G41" t="s">
        <v>22</v>
      </c>
      <c r="H41">
        <v>4</v>
      </c>
      <c r="I41" t="s">
        <v>23</v>
      </c>
      <c r="J41" t="s">
        <v>62</v>
      </c>
      <c r="K41" t="s">
        <v>27</v>
      </c>
      <c r="L41" t="s">
        <v>118</v>
      </c>
      <c r="M41" t="s">
        <v>33</v>
      </c>
      <c r="N41">
        <v>2</v>
      </c>
      <c r="O41" t="s">
        <v>27</v>
      </c>
      <c r="S41" s="3">
        <v>5200</v>
      </c>
      <c r="T41" s="2">
        <v>4818.93994140625</v>
      </c>
      <c r="U41" s="2">
        <v>4949.8074435701046</v>
      </c>
      <c r="V41" s="2">
        <v>4746.1309090741543</v>
      </c>
      <c r="W41" s="2">
        <v>4818.7294921875</v>
      </c>
      <c r="X41" s="4">
        <f t="shared" si="0"/>
        <v>1.0790754944504559</v>
      </c>
      <c r="Y41" s="4">
        <f t="shared" si="1"/>
        <v>1.0505459170446925</v>
      </c>
      <c r="Z41" s="4">
        <f t="shared" si="2"/>
        <v>1.0956292819606157</v>
      </c>
      <c r="AA41" s="4">
        <f t="shared" si="3"/>
        <v>1.0791226211038918</v>
      </c>
    </row>
    <row r="42" spans="1:27" x14ac:dyDescent="0.3">
      <c r="A42" t="s">
        <v>70</v>
      </c>
      <c r="B42">
        <v>22344</v>
      </c>
      <c r="C42">
        <v>2024</v>
      </c>
      <c r="D42" t="s">
        <v>119</v>
      </c>
      <c r="E42" t="s">
        <v>120</v>
      </c>
      <c r="F42">
        <v>3</v>
      </c>
      <c r="G42" t="s">
        <v>66</v>
      </c>
      <c r="H42">
        <v>4</v>
      </c>
      <c r="I42" t="s">
        <v>23</v>
      </c>
      <c r="J42" t="s">
        <v>31</v>
      </c>
      <c r="L42" t="s">
        <v>121</v>
      </c>
      <c r="M42" t="s">
        <v>33</v>
      </c>
      <c r="N42">
        <v>3</v>
      </c>
      <c r="O42" t="s">
        <v>27</v>
      </c>
      <c r="S42" s="3">
        <v>11800</v>
      </c>
      <c r="T42" s="2">
        <v>13173.064453125</v>
      </c>
      <c r="U42" s="2">
        <v>17941.995843851761</v>
      </c>
      <c r="V42" s="2">
        <v>16463.101875364529</v>
      </c>
      <c r="W42" s="2">
        <v>14112.6064453125</v>
      </c>
      <c r="X42" s="4">
        <f t="shared" si="0"/>
        <v>0.89576727131254008</v>
      </c>
      <c r="Y42" s="4">
        <f t="shared" si="1"/>
        <v>0.65767488203067126</v>
      </c>
      <c r="Z42" s="4">
        <f t="shared" si="2"/>
        <v>0.71675435706667046</v>
      </c>
      <c r="AA42" s="4">
        <f t="shared" si="3"/>
        <v>0.83613186874628453</v>
      </c>
    </row>
    <row r="43" spans="1:27" x14ac:dyDescent="0.3">
      <c r="A43" t="s">
        <v>70</v>
      </c>
      <c r="B43">
        <v>164599</v>
      </c>
      <c r="C43">
        <v>2018</v>
      </c>
      <c r="D43" t="s">
        <v>40</v>
      </c>
      <c r="E43" t="s">
        <v>122</v>
      </c>
      <c r="F43">
        <v>4</v>
      </c>
      <c r="G43" t="s">
        <v>36</v>
      </c>
      <c r="H43">
        <v>4</v>
      </c>
      <c r="I43" t="s">
        <v>23</v>
      </c>
      <c r="J43" t="s">
        <v>24</v>
      </c>
      <c r="K43" t="s">
        <v>27</v>
      </c>
      <c r="L43" t="s">
        <v>73</v>
      </c>
      <c r="M43" t="s">
        <v>33</v>
      </c>
      <c r="N43">
        <v>0</v>
      </c>
      <c r="O43" t="s">
        <v>123</v>
      </c>
      <c r="S43" s="3">
        <v>700</v>
      </c>
      <c r="T43" s="2">
        <v>4242.63818359375</v>
      </c>
      <c r="U43" s="2">
        <v>1580.3303811041569</v>
      </c>
      <c r="V43" s="2">
        <v>1407.075700548623</v>
      </c>
      <c r="W43" s="2">
        <v>2009.984008789062</v>
      </c>
      <c r="X43" s="4">
        <f t="shared" si="0"/>
        <v>0.16499167963624492</v>
      </c>
      <c r="Y43" s="4">
        <f t="shared" si="1"/>
        <v>0.44294535393980011</v>
      </c>
      <c r="Z43" s="4">
        <f t="shared" si="2"/>
        <v>0.49748567168565838</v>
      </c>
      <c r="AA43" s="4">
        <f t="shared" si="3"/>
        <v>0.34826147717549405</v>
      </c>
    </row>
    <row r="44" spans="1:27" x14ac:dyDescent="0.3">
      <c r="A44" t="s">
        <v>70</v>
      </c>
      <c r="B44">
        <v>93830</v>
      </c>
      <c r="C44">
        <v>2017</v>
      </c>
      <c r="D44" t="s">
        <v>54</v>
      </c>
      <c r="E44" t="s">
        <v>124</v>
      </c>
      <c r="F44">
        <v>4</v>
      </c>
      <c r="G44" t="s">
        <v>22</v>
      </c>
      <c r="H44">
        <v>4</v>
      </c>
      <c r="I44" t="s">
        <v>23</v>
      </c>
      <c r="J44" t="s">
        <v>24</v>
      </c>
      <c r="L44" t="s">
        <v>60</v>
      </c>
      <c r="M44" t="s">
        <v>33</v>
      </c>
      <c r="N44">
        <v>2</v>
      </c>
      <c r="O44" t="s">
        <v>27</v>
      </c>
      <c r="S44" s="3">
        <v>3000</v>
      </c>
      <c r="T44" s="2">
        <v>9224.5869140625</v>
      </c>
      <c r="U44" s="2">
        <v>9833.2250557498774</v>
      </c>
      <c r="V44" s="2">
        <v>7165.2718391574572</v>
      </c>
      <c r="W44" s="2">
        <v>9040.0283203125</v>
      </c>
      <c r="X44" s="4">
        <f t="shared" si="0"/>
        <v>0.32521781494915775</v>
      </c>
      <c r="Y44" s="4">
        <f t="shared" si="1"/>
        <v>0.30508810517316298</v>
      </c>
      <c r="Z44" s="4">
        <f t="shared" si="2"/>
        <v>0.41868613882941824</v>
      </c>
      <c r="AA44" s="4">
        <f t="shared" si="3"/>
        <v>0.33185736744420891</v>
      </c>
    </row>
    <row r="45" spans="1:27" x14ac:dyDescent="0.3">
      <c r="A45" t="s">
        <v>70</v>
      </c>
      <c r="B45">
        <v>75120</v>
      </c>
      <c r="C45">
        <v>2017</v>
      </c>
      <c r="D45" t="s">
        <v>125</v>
      </c>
      <c r="E45" t="s">
        <v>126</v>
      </c>
      <c r="F45">
        <v>4</v>
      </c>
      <c r="G45" t="s">
        <v>66</v>
      </c>
      <c r="H45">
        <v>4</v>
      </c>
      <c r="I45" t="s">
        <v>23</v>
      </c>
      <c r="J45" t="s">
        <v>31</v>
      </c>
      <c r="K45" t="s">
        <v>27</v>
      </c>
      <c r="L45" t="s">
        <v>127</v>
      </c>
      <c r="M45" t="s">
        <v>33</v>
      </c>
      <c r="N45">
        <v>0</v>
      </c>
      <c r="O45" t="s">
        <v>39</v>
      </c>
      <c r="S45" s="3">
        <v>3000</v>
      </c>
      <c r="T45" s="2">
        <v>6659.97314453125</v>
      </c>
      <c r="U45" s="2">
        <v>5183.220717229492</v>
      </c>
      <c r="V45" s="2">
        <v>4264.2525919853624</v>
      </c>
      <c r="W45" s="2">
        <v>5474.7998046875</v>
      </c>
      <c r="X45" s="4">
        <f t="shared" si="0"/>
        <v>0.45045226683284917</v>
      </c>
      <c r="Y45" s="4">
        <f t="shared" si="1"/>
        <v>0.57879071019062145</v>
      </c>
      <c r="Z45" s="4">
        <f t="shared" si="2"/>
        <v>0.70352305246609503</v>
      </c>
      <c r="AA45" s="4">
        <f t="shared" si="3"/>
        <v>0.54796524202244123</v>
      </c>
    </row>
    <row r="46" spans="1:27" x14ac:dyDescent="0.3">
      <c r="A46" t="s">
        <v>70</v>
      </c>
      <c r="B46">
        <v>85188</v>
      </c>
      <c r="C46">
        <v>2023</v>
      </c>
      <c r="D46" t="s">
        <v>34</v>
      </c>
      <c r="E46" t="s">
        <v>116</v>
      </c>
      <c r="F46">
        <v>4</v>
      </c>
      <c r="G46" t="s">
        <v>22</v>
      </c>
      <c r="H46">
        <v>4</v>
      </c>
      <c r="I46" t="s">
        <v>23</v>
      </c>
      <c r="J46" t="s">
        <v>37</v>
      </c>
      <c r="K46" t="s">
        <v>27</v>
      </c>
      <c r="L46" t="s">
        <v>128</v>
      </c>
      <c r="M46" t="s">
        <v>33</v>
      </c>
      <c r="N46">
        <v>4</v>
      </c>
      <c r="O46" t="s">
        <v>27</v>
      </c>
      <c r="S46" s="3">
        <v>18800</v>
      </c>
      <c r="T46" s="2">
        <v>19149.01953125</v>
      </c>
      <c r="U46" s="2">
        <v>15077.11740919269</v>
      </c>
      <c r="V46" s="2">
        <v>19748.946600551641</v>
      </c>
      <c r="W46" s="2">
        <v>18199.935546875</v>
      </c>
      <c r="X46" s="4">
        <f t="shared" si="0"/>
        <v>0.9817735038245472</v>
      </c>
      <c r="Y46" s="4">
        <f t="shared" si="1"/>
        <v>1.2469227034431281</v>
      </c>
      <c r="Z46" s="4">
        <f t="shared" si="2"/>
        <v>0.95194950800438471</v>
      </c>
      <c r="AA46" s="4">
        <f t="shared" si="3"/>
        <v>1.03297069110929</v>
      </c>
    </row>
    <row r="47" spans="1:27" x14ac:dyDescent="0.3">
      <c r="A47" t="s">
        <v>70</v>
      </c>
      <c r="B47">
        <v>153545</v>
      </c>
      <c r="C47">
        <v>2007</v>
      </c>
      <c r="D47" t="s">
        <v>40</v>
      </c>
      <c r="E47" t="s">
        <v>129</v>
      </c>
      <c r="F47">
        <v>8</v>
      </c>
      <c r="G47" t="s">
        <v>30</v>
      </c>
      <c r="H47">
        <v>4</v>
      </c>
      <c r="I47" t="s">
        <v>23</v>
      </c>
      <c r="J47" t="s">
        <v>42</v>
      </c>
      <c r="L47" t="s">
        <v>130</v>
      </c>
      <c r="M47" t="s">
        <v>78</v>
      </c>
      <c r="N47">
        <v>0</v>
      </c>
      <c r="O47" t="s">
        <v>27</v>
      </c>
      <c r="S47" s="3">
        <v>11600</v>
      </c>
      <c r="T47" s="2">
        <v>14825.7314453125</v>
      </c>
      <c r="U47" s="2">
        <v>18919.24002733441</v>
      </c>
      <c r="V47" s="2">
        <v>7152.3722536989017</v>
      </c>
      <c r="W47" s="2">
        <v>14443.810546875</v>
      </c>
      <c r="X47" s="4">
        <f t="shared" si="0"/>
        <v>0.78242345362782151</v>
      </c>
      <c r="Y47" s="4">
        <f t="shared" si="1"/>
        <v>0.61313245052340293</v>
      </c>
      <c r="Z47" s="4">
        <f t="shared" si="2"/>
        <v>1.6218395224047484</v>
      </c>
      <c r="AA47" s="4">
        <f t="shared" si="3"/>
        <v>0.80311216782815842</v>
      </c>
    </row>
    <row r="48" spans="1:27" x14ac:dyDescent="0.3">
      <c r="A48" t="s">
        <v>131</v>
      </c>
      <c r="B48">
        <v>1999</v>
      </c>
      <c r="C48">
        <v>2024</v>
      </c>
      <c r="D48" t="s">
        <v>44</v>
      </c>
      <c r="E48" t="s">
        <v>132</v>
      </c>
      <c r="F48">
        <v>8</v>
      </c>
      <c r="G48" t="s">
        <v>36</v>
      </c>
      <c r="H48">
        <v>2</v>
      </c>
      <c r="I48" t="s">
        <v>109</v>
      </c>
      <c r="J48" t="s">
        <v>133</v>
      </c>
      <c r="K48" t="s">
        <v>25</v>
      </c>
      <c r="L48" t="s">
        <v>134</v>
      </c>
      <c r="M48">
        <v>4</v>
      </c>
      <c r="S48" s="3">
        <v>44300</v>
      </c>
      <c r="T48" s="2">
        <v>95224.2265625</v>
      </c>
      <c r="U48" s="2">
        <v>93876.542360259322</v>
      </c>
      <c r="V48" s="2">
        <v>76138.359491831041</v>
      </c>
      <c r="W48" s="2">
        <v>93241.7734375</v>
      </c>
      <c r="X48" s="4">
        <f t="shared" si="0"/>
        <v>0.46521774551693407</v>
      </c>
      <c r="Y48" s="4">
        <f t="shared" si="1"/>
        <v>0.47189637460224015</v>
      </c>
      <c r="Z48" s="4">
        <f t="shared" si="2"/>
        <v>0.58183549390439637</v>
      </c>
      <c r="AA48" s="4">
        <f t="shared" si="3"/>
        <v>0.47510893848125174</v>
      </c>
    </row>
    <row r="49" spans="1:27" x14ac:dyDescent="0.3">
      <c r="A49" t="s">
        <v>135</v>
      </c>
      <c r="B49">
        <v>128421</v>
      </c>
      <c r="C49">
        <v>2019</v>
      </c>
      <c r="D49" t="s">
        <v>44</v>
      </c>
      <c r="E49" t="s">
        <v>45</v>
      </c>
      <c r="F49">
        <v>6</v>
      </c>
      <c r="G49" t="s">
        <v>22</v>
      </c>
      <c r="H49">
        <v>4</v>
      </c>
      <c r="I49" t="s">
        <v>23</v>
      </c>
      <c r="J49" t="s">
        <v>46</v>
      </c>
      <c r="K49" t="s">
        <v>27</v>
      </c>
      <c r="L49" t="s">
        <v>38</v>
      </c>
      <c r="M49">
        <v>4</v>
      </c>
      <c r="N49">
        <v>3</v>
      </c>
      <c r="O49" t="s">
        <v>27</v>
      </c>
      <c r="S49" s="3">
        <v>21300</v>
      </c>
      <c r="T49" s="2">
        <v>16663.234375</v>
      </c>
      <c r="U49" s="2">
        <v>16237.569495002201</v>
      </c>
      <c r="V49" s="2">
        <v>18468.588571824301</v>
      </c>
      <c r="W49" s="2">
        <v>15366.0625</v>
      </c>
      <c r="X49" s="4">
        <f t="shared" si="0"/>
        <v>1.2782632423364686</v>
      </c>
      <c r="Y49" s="4">
        <f t="shared" si="1"/>
        <v>1.3117726767270173</v>
      </c>
      <c r="Z49" s="4">
        <f t="shared" si="2"/>
        <v>1.1533095730171445</v>
      </c>
      <c r="AA49" s="4">
        <f t="shared" si="3"/>
        <v>1.3861716363577201</v>
      </c>
    </row>
    <row r="50" spans="1:27" x14ac:dyDescent="0.3">
      <c r="A50" t="s">
        <v>135</v>
      </c>
      <c r="B50">
        <v>121528</v>
      </c>
      <c r="C50">
        <v>2018</v>
      </c>
      <c r="D50" t="s">
        <v>40</v>
      </c>
      <c r="E50" t="s">
        <v>136</v>
      </c>
      <c r="F50">
        <v>4</v>
      </c>
      <c r="G50" t="s">
        <v>36</v>
      </c>
      <c r="H50">
        <v>4</v>
      </c>
      <c r="I50" t="s">
        <v>23</v>
      </c>
      <c r="J50" t="s">
        <v>31</v>
      </c>
      <c r="K50" t="s">
        <v>27</v>
      </c>
      <c r="L50" t="s">
        <v>73</v>
      </c>
      <c r="M50" t="s">
        <v>33</v>
      </c>
      <c r="N50">
        <v>4</v>
      </c>
      <c r="O50" t="s">
        <v>27</v>
      </c>
      <c r="S50" s="3">
        <v>5800</v>
      </c>
      <c r="T50" s="2">
        <v>8566.486328125</v>
      </c>
      <c r="U50" s="2">
        <v>8221.3339141343295</v>
      </c>
      <c r="V50" s="2">
        <v>7487.7420132651478</v>
      </c>
      <c r="W50" s="2">
        <v>8603.80078125</v>
      </c>
      <c r="X50" s="4">
        <f t="shared" si="0"/>
        <v>0.67705705441422004</v>
      </c>
      <c r="Y50" s="4">
        <f t="shared" si="1"/>
        <v>0.70548162385528346</v>
      </c>
      <c r="Z50" s="4">
        <f t="shared" si="2"/>
        <v>0.77459933711989881</v>
      </c>
      <c r="AA50" s="4">
        <f t="shared" si="3"/>
        <v>0.6741206761365004</v>
      </c>
    </row>
    <row r="51" spans="1:27" x14ac:dyDescent="0.3">
      <c r="A51" t="s">
        <v>135</v>
      </c>
      <c r="B51">
        <v>90076</v>
      </c>
      <c r="C51">
        <v>2019</v>
      </c>
      <c r="D51" t="s">
        <v>28</v>
      </c>
      <c r="E51" t="s">
        <v>137</v>
      </c>
      <c r="F51">
        <v>4</v>
      </c>
      <c r="G51" t="s">
        <v>30</v>
      </c>
      <c r="H51">
        <v>4</v>
      </c>
      <c r="I51" t="s">
        <v>23</v>
      </c>
      <c r="J51" t="s">
        <v>31</v>
      </c>
      <c r="K51" t="s">
        <v>27</v>
      </c>
      <c r="L51" t="s">
        <v>107</v>
      </c>
      <c r="M51" t="s">
        <v>33</v>
      </c>
      <c r="N51">
        <v>3.9</v>
      </c>
      <c r="O51" t="s">
        <v>27</v>
      </c>
      <c r="S51" s="3">
        <v>15500</v>
      </c>
      <c r="T51" s="2">
        <v>15496.818359375</v>
      </c>
      <c r="U51" s="2">
        <v>16324.67986452446</v>
      </c>
      <c r="V51" s="2">
        <v>16977.57241318452</v>
      </c>
      <c r="W51" s="2">
        <v>17686.048828125</v>
      </c>
      <c r="X51" s="4">
        <f t="shared" si="0"/>
        <v>1.0002053092803449</v>
      </c>
      <c r="Y51" s="4">
        <f t="shared" si="1"/>
        <v>0.94948263173499714</v>
      </c>
      <c r="Z51" s="4">
        <f t="shared" si="2"/>
        <v>0.91296915853310923</v>
      </c>
      <c r="AA51" s="4">
        <f t="shared" si="3"/>
        <v>0.87639699237691426</v>
      </c>
    </row>
    <row r="52" spans="1:27" x14ac:dyDescent="0.3">
      <c r="A52" t="s">
        <v>19</v>
      </c>
      <c r="B52">
        <v>117361</v>
      </c>
      <c r="C52">
        <v>2014</v>
      </c>
      <c r="D52" t="s">
        <v>81</v>
      </c>
      <c r="E52" t="s">
        <v>105</v>
      </c>
      <c r="F52">
        <v>6</v>
      </c>
      <c r="G52" t="s">
        <v>66</v>
      </c>
      <c r="H52">
        <v>4</v>
      </c>
      <c r="I52" t="s">
        <v>23</v>
      </c>
      <c r="J52" t="s">
        <v>106</v>
      </c>
      <c r="K52" t="s">
        <v>25</v>
      </c>
      <c r="L52" t="s">
        <v>26</v>
      </c>
      <c r="M52" t="s">
        <v>33</v>
      </c>
      <c r="N52">
        <v>0</v>
      </c>
      <c r="O52" t="s">
        <v>27</v>
      </c>
      <c r="S52" s="3">
        <v>3800</v>
      </c>
      <c r="T52" s="2">
        <v>5975.8115234375</v>
      </c>
      <c r="U52" s="2">
        <v>6268.0564287847583</v>
      </c>
      <c r="V52" s="2">
        <v>3849.9978189867438</v>
      </c>
      <c r="W52" s="2">
        <v>5432.79150390625</v>
      </c>
      <c r="X52" s="4">
        <f t="shared" si="0"/>
        <v>0.63589689619496303</v>
      </c>
      <c r="Y52" s="4">
        <f t="shared" si="1"/>
        <v>0.60624853065286433</v>
      </c>
      <c r="Z52" s="4">
        <f t="shared" si="2"/>
        <v>0.98701354615315018</v>
      </c>
      <c r="AA52" s="4">
        <f t="shared" si="3"/>
        <v>0.69945625508870513</v>
      </c>
    </row>
    <row r="53" spans="1:27" x14ac:dyDescent="0.3">
      <c r="A53" t="s">
        <v>19</v>
      </c>
      <c r="B53">
        <v>222372</v>
      </c>
      <c r="C53">
        <v>2011</v>
      </c>
      <c r="D53" t="s">
        <v>100</v>
      </c>
      <c r="E53" t="s">
        <v>138</v>
      </c>
      <c r="F53">
        <v>4</v>
      </c>
      <c r="G53" t="s">
        <v>66</v>
      </c>
      <c r="H53">
        <v>4</v>
      </c>
      <c r="I53" t="s">
        <v>23</v>
      </c>
      <c r="J53" t="s">
        <v>24</v>
      </c>
      <c r="K53" t="s">
        <v>25</v>
      </c>
      <c r="L53" t="s">
        <v>102</v>
      </c>
      <c r="M53" t="s">
        <v>23</v>
      </c>
      <c r="N53">
        <v>0</v>
      </c>
      <c r="O53" t="s">
        <v>123</v>
      </c>
      <c r="S53" s="3">
        <v>400</v>
      </c>
      <c r="T53" s="2">
        <v>-107.83689880371089</v>
      </c>
      <c r="U53" s="2">
        <v>116.90427579107021</v>
      </c>
      <c r="V53" s="2">
        <v>1100.399729577166</v>
      </c>
      <c r="W53" s="2">
        <v>1025.825439453125</v>
      </c>
      <c r="X53" s="4">
        <f t="shared" si="0"/>
        <v>-3.7093054829784773</v>
      </c>
      <c r="Y53" s="4">
        <f t="shared" si="1"/>
        <v>3.4216028224226354</v>
      </c>
      <c r="Z53" s="4">
        <f t="shared" si="2"/>
        <v>0.36350426962909377</v>
      </c>
      <c r="AA53" s="4">
        <f t="shared" si="3"/>
        <v>0.38992988925410438</v>
      </c>
    </row>
    <row r="54" spans="1:27" x14ac:dyDescent="0.3">
      <c r="A54" t="s">
        <v>19</v>
      </c>
      <c r="B54">
        <v>95785</v>
      </c>
      <c r="C54">
        <v>2016</v>
      </c>
      <c r="D54" t="s">
        <v>44</v>
      </c>
      <c r="E54" t="s">
        <v>139</v>
      </c>
      <c r="F54">
        <v>8</v>
      </c>
      <c r="G54" t="s">
        <v>47</v>
      </c>
      <c r="H54">
        <v>4</v>
      </c>
      <c r="I54" t="s">
        <v>23</v>
      </c>
      <c r="J54" t="s">
        <v>46</v>
      </c>
      <c r="K54" t="s">
        <v>25</v>
      </c>
      <c r="L54" t="s">
        <v>140</v>
      </c>
      <c r="M54">
        <v>4</v>
      </c>
      <c r="N54">
        <v>3.2</v>
      </c>
      <c r="O54" t="s">
        <v>27</v>
      </c>
      <c r="S54" s="3">
        <v>14000</v>
      </c>
      <c r="T54" s="2">
        <v>23202.8828125</v>
      </c>
      <c r="U54" s="2">
        <v>29022.48332504493</v>
      </c>
      <c r="V54" s="2">
        <v>21917.492039066648</v>
      </c>
      <c r="W54" s="2">
        <v>22989.001953125</v>
      </c>
      <c r="X54" s="4">
        <f t="shared" si="0"/>
        <v>0.60337330120280719</v>
      </c>
      <c r="Y54" s="4">
        <f t="shared" si="1"/>
        <v>0.48238463411980703</v>
      </c>
      <c r="Z54" s="4">
        <f t="shared" si="2"/>
        <v>0.63875921456003348</v>
      </c>
      <c r="AA54" s="4">
        <f t="shared" si="3"/>
        <v>0.60898685504252248</v>
      </c>
    </row>
    <row r="55" spans="1:27" x14ac:dyDescent="0.3">
      <c r="A55" t="s">
        <v>19</v>
      </c>
      <c r="B55">
        <v>167230</v>
      </c>
      <c r="C55">
        <v>2010</v>
      </c>
      <c r="D55" t="s">
        <v>141</v>
      </c>
      <c r="E55" t="s">
        <v>142</v>
      </c>
      <c r="F55">
        <v>6</v>
      </c>
      <c r="G55" t="s">
        <v>36</v>
      </c>
      <c r="H55">
        <v>4</v>
      </c>
      <c r="I55" t="s">
        <v>23</v>
      </c>
      <c r="J55" t="s">
        <v>106</v>
      </c>
      <c r="K55" t="s">
        <v>25</v>
      </c>
      <c r="L55" t="s">
        <v>143</v>
      </c>
      <c r="M55" t="s">
        <v>33</v>
      </c>
      <c r="N55">
        <v>0</v>
      </c>
      <c r="O55" t="s">
        <v>39</v>
      </c>
      <c r="S55" s="3">
        <v>450</v>
      </c>
      <c r="T55" s="2">
        <v>1887.879272460938</v>
      </c>
      <c r="U55" s="2">
        <v>182.18906148419049</v>
      </c>
      <c r="V55" s="2">
        <v>432.86548471680362</v>
      </c>
      <c r="W55" s="2">
        <v>1198.268920898438</v>
      </c>
      <c r="X55" s="4">
        <f t="shared" si="0"/>
        <v>0.23836269965155354</v>
      </c>
      <c r="Y55" s="4">
        <f t="shared" si="1"/>
        <v>2.4699616779081377</v>
      </c>
      <c r="Z55" s="4">
        <f t="shared" si="2"/>
        <v>1.0395839259265645</v>
      </c>
      <c r="AA55" s="4">
        <f t="shared" si="3"/>
        <v>0.37554174372026528</v>
      </c>
    </row>
    <row r="56" spans="1:27" x14ac:dyDescent="0.3">
      <c r="A56" t="s">
        <v>19</v>
      </c>
      <c r="B56">
        <v>86069</v>
      </c>
      <c r="C56">
        <v>2019</v>
      </c>
      <c r="D56" t="s">
        <v>34</v>
      </c>
      <c r="E56" t="s">
        <v>144</v>
      </c>
      <c r="F56">
        <v>4</v>
      </c>
      <c r="G56" t="s">
        <v>36</v>
      </c>
      <c r="H56">
        <v>4</v>
      </c>
      <c r="I56" t="s">
        <v>23</v>
      </c>
      <c r="J56" t="s">
        <v>145</v>
      </c>
      <c r="K56" t="s">
        <v>25</v>
      </c>
      <c r="L56" t="s">
        <v>96</v>
      </c>
      <c r="M56" t="s">
        <v>33</v>
      </c>
      <c r="N56">
        <v>0</v>
      </c>
      <c r="O56" t="s">
        <v>27</v>
      </c>
      <c r="S56" s="3">
        <v>13000</v>
      </c>
      <c r="T56" s="2">
        <v>10832.1689453125</v>
      </c>
      <c r="U56" s="2">
        <v>10664.704964384329</v>
      </c>
      <c r="V56" s="2">
        <v>9988.1944240990088</v>
      </c>
      <c r="W56" s="2">
        <v>11367.9345703125</v>
      </c>
      <c r="X56" s="4">
        <f t="shared" si="0"/>
        <v>1.2001289922297238</v>
      </c>
      <c r="Y56" s="4">
        <f t="shared" si="1"/>
        <v>1.2189741810405992</v>
      </c>
      <c r="Z56" s="4">
        <f t="shared" si="2"/>
        <v>1.3015365388397186</v>
      </c>
      <c r="AA56" s="4">
        <f t="shared" si="3"/>
        <v>1.1435674545444392</v>
      </c>
    </row>
    <row r="57" spans="1:27" x14ac:dyDescent="0.3">
      <c r="A57" t="s">
        <v>19</v>
      </c>
      <c r="B57">
        <v>223954</v>
      </c>
      <c r="C57">
        <v>2004</v>
      </c>
      <c r="D57" t="s">
        <v>40</v>
      </c>
      <c r="E57" t="s">
        <v>146</v>
      </c>
      <c r="F57">
        <v>8</v>
      </c>
      <c r="G57" t="s">
        <v>56</v>
      </c>
      <c r="H57">
        <v>4</v>
      </c>
      <c r="I57" t="s">
        <v>23</v>
      </c>
      <c r="J57" t="s">
        <v>24</v>
      </c>
      <c r="K57" t="s">
        <v>25</v>
      </c>
      <c r="L57" t="s">
        <v>43</v>
      </c>
      <c r="M57">
        <v>4</v>
      </c>
      <c r="N57">
        <v>0</v>
      </c>
      <c r="O57" t="s">
        <v>27</v>
      </c>
      <c r="S57" s="3">
        <v>450</v>
      </c>
      <c r="T57" s="2">
        <v>1707.156982421875</v>
      </c>
      <c r="U57" s="2">
        <v>8720.1903683807632</v>
      </c>
      <c r="V57" s="2">
        <v>768.25593825118267</v>
      </c>
      <c r="W57" s="2">
        <v>5499.82470703125</v>
      </c>
      <c r="X57" s="4">
        <f t="shared" si="0"/>
        <v>0.26359614530680309</v>
      </c>
      <c r="Y57" s="4">
        <f t="shared" si="1"/>
        <v>5.1604377999784394E-2</v>
      </c>
      <c r="Z57" s="4">
        <f t="shared" si="2"/>
        <v>0.58574229966169389</v>
      </c>
      <c r="AA57" s="4">
        <f t="shared" si="3"/>
        <v>8.1820789565292429E-2</v>
      </c>
    </row>
    <row r="58" spans="1:27" x14ac:dyDescent="0.3">
      <c r="A58" t="s">
        <v>19</v>
      </c>
      <c r="B58">
        <v>134662</v>
      </c>
      <c r="C58">
        <v>2013</v>
      </c>
      <c r="D58" t="s">
        <v>90</v>
      </c>
      <c r="E58" t="s">
        <v>91</v>
      </c>
      <c r="F58">
        <v>5</v>
      </c>
      <c r="G58" t="s">
        <v>59</v>
      </c>
      <c r="H58">
        <v>4</v>
      </c>
      <c r="I58" t="s">
        <v>23</v>
      </c>
      <c r="J58" t="s">
        <v>31</v>
      </c>
      <c r="K58" t="s">
        <v>25</v>
      </c>
      <c r="L58" t="s">
        <v>102</v>
      </c>
      <c r="M58" t="s">
        <v>33</v>
      </c>
      <c r="N58">
        <v>0</v>
      </c>
      <c r="O58" t="s">
        <v>27</v>
      </c>
      <c r="S58" s="3">
        <v>3800</v>
      </c>
      <c r="T58" s="2">
        <v>2893.222900390625</v>
      </c>
      <c r="U58" s="2">
        <v>2995.4800055932328</v>
      </c>
      <c r="V58" s="2">
        <v>2590.138958991025</v>
      </c>
      <c r="W58" s="2">
        <v>3012.307861328125</v>
      </c>
      <c r="X58" s="4">
        <f t="shared" si="0"/>
        <v>1.3134141857811743</v>
      </c>
      <c r="Y58" s="4">
        <f t="shared" si="1"/>
        <v>1.2685779884708119</v>
      </c>
      <c r="Z58" s="4">
        <f t="shared" si="2"/>
        <v>1.4671027540083295</v>
      </c>
      <c r="AA58" s="4">
        <f t="shared" si="3"/>
        <v>1.2614912468888828</v>
      </c>
    </row>
    <row r="59" spans="1:27" x14ac:dyDescent="0.3">
      <c r="A59" t="s">
        <v>19</v>
      </c>
      <c r="B59">
        <v>179804</v>
      </c>
      <c r="C59">
        <v>2003</v>
      </c>
      <c r="D59" t="s">
        <v>28</v>
      </c>
      <c r="E59" t="s">
        <v>58</v>
      </c>
      <c r="F59">
        <v>4</v>
      </c>
      <c r="G59" t="s">
        <v>30</v>
      </c>
      <c r="H59">
        <v>4</v>
      </c>
      <c r="I59" t="s">
        <v>23</v>
      </c>
      <c r="J59" t="s">
        <v>24</v>
      </c>
      <c r="K59" t="s">
        <v>25</v>
      </c>
      <c r="L59" t="s">
        <v>60</v>
      </c>
      <c r="M59">
        <v>4</v>
      </c>
      <c r="N59">
        <v>0</v>
      </c>
      <c r="O59" t="s">
        <v>27</v>
      </c>
      <c r="S59" s="3">
        <v>2400</v>
      </c>
      <c r="T59" s="2">
        <v>1971.03759765625</v>
      </c>
      <c r="U59" s="2">
        <v>2684.3026533177849</v>
      </c>
      <c r="V59" s="2">
        <v>-975.51176332532123</v>
      </c>
      <c r="W59" s="2">
        <v>2254.819580078125</v>
      </c>
      <c r="X59" s="4">
        <f t="shared" si="0"/>
        <v>1.2176327853176554</v>
      </c>
      <c r="Y59" s="4">
        <f t="shared" si="1"/>
        <v>0.89408696036328528</v>
      </c>
      <c r="Z59" s="4">
        <f t="shared" si="2"/>
        <v>-2.4602471135959325</v>
      </c>
      <c r="AA59" s="4">
        <f t="shared" si="3"/>
        <v>1.064386712446787</v>
      </c>
    </row>
    <row r="60" spans="1:27" x14ac:dyDescent="0.3">
      <c r="A60" t="s">
        <v>19</v>
      </c>
      <c r="B60">
        <v>197575</v>
      </c>
      <c r="C60">
        <v>2004</v>
      </c>
      <c r="D60" t="s">
        <v>44</v>
      </c>
      <c r="E60" t="s">
        <v>147</v>
      </c>
      <c r="F60">
        <v>6</v>
      </c>
      <c r="G60" t="s">
        <v>148</v>
      </c>
      <c r="H60">
        <v>2</v>
      </c>
      <c r="I60" t="s">
        <v>23</v>
      </c>
      <c r="J60" t="s">
        <v>49</v>
      </c>
      <c r="K60" t="s">
        <v>25</v>
      </c>
      <c r="L60" t="s">
        <v>149</v>
      </c>
      <c r="M60" t="s">
        <v>78</v>
      </c>
      <c r="N60">
        <v>0</v>
      </c>
      <c r="O60" t="s">
        <v>27</v>
      </c>
      <c r="S60" s="3">
        <v>2500</v>
      </c>
      <c r="T60" s="2">
        <v>1794.278442382812</v>
      </c>
      <c r="U60" s="2">
        <v>1584.054069101212</v>
      </c>
      <c r="V60" s="2">
        <v>958.95518566247119</v>
      </c>
      <c r="W60" s="2">
        <v>1631.752563476562</v>
      </c>
      <c r="X60" s="4">
        <f t="shared" si="0"/>
        <v>1.393317748765897</v>
      </c>
      <c r="Y60" s="4">
        <f t="shared" si="1"/>
        <v>1.5782289561735057</v>
      </c>
      <c r="Z60" s="4">
        <f t="shared" si="2"/>
        <v>2.6070039949499151</v>
      </c>
      <c r="AA60" s="4">
        <f t="shared" si="3"/>
        <v>1.5320950344784976</v>
      </c>
    </row>
    <row r="61" spans="1:27" x14ac:dyDescent="0.3">
      <c r="A61" t="s">
        <v>19</v>
      </c>
      <c r="B61">
        <v>224120</v>
      </c>
      <c r="C61">
        <v>2010</v>
      </c>
      <c r="D61" t="s">
        <v>34</v>
      </c>
      <c r="E61" t="s">
        <v>61</v>
      </c>
      <c r="F61">
        <v>6</v>
      </c>
      <c r="G61" t="s">
        <v>22</v>
      </c>
      <c r="H61">
        <v>4</v>
      </c>
      <c r="I61" t="s">
        <v>23</v>
      </c>
      <c r="J61" t="s">
        <v>62</v>
      </c>
      <c r="K61" t="s">
        <v>25</v>
      </c>
      <c r="L61" t="s">
        <v>38</v>
      </c>
      <c r="M61" t="s">
        <v>23</v>
      </c>
      <c r="N61">
        <v>0</v>
      </c>
      <c r="O61" t="s">
        <v>27</v>
      </c>
      <c r="S61" s="3">
        <v>3600</v>
      </c>
      <c r="T61" s="2">
        <v>3447.692626953125</v>
      </c>
      <c r="U61" s="2">
        <v>4135.3811244978642</v>
      </c>
      <c r="V61" s="2">
        <v>1499.7298608803119</v>
      </c>
      <c r="W61" s="2">
        <v>3700.926025390625</v>
      </c>
      <c r="X61" s="4">
        <f t="shared" si="0"/>
        <v>1.0441766101351893</v>
      </c>
      <c r="Y61" s="4">
        <f t="shared" si="1"/>
        <v>0.87053644914944261</v>
      </c>
      <c r="Z61" s="4">
        <f t="shared" si="2"/>
        <v>2.4004323004456753</v>
      </c>
      <c r="AA61" s="4">
        <f t="shared" si="3"/>
        <v>0.97272952101765597</v>
      </c>
    </row>
    <row r="62" spans="1:27" x14ac:dyDescent="0.3">
      <c r="A62" t="s">
        <v>19</v>
      </c>
      <c r="B62">
        <v>188932</v>
      </c>
      <c r="C62">
        <v>2014</v>
      </c>
      <c r="D62" t="s">
        <v>40</v>
      </c>
      <c r="E62" t="s">
        <v>150</v>
      </c>
      <c r="F62">
        <v>6</v>
      </c>
      <c r="G62" t="s">
        <v>22</v>
      </c>
      <c r="H62">
        <v>4</v>
      </c>
      <c r="I62" t="s">
        <v>23</v>
      </c>
      <c r="J62" t="s">
        <v>24</v>
      </c>
      <c r="K62" t="s">
        <v>25</v>
      </c>
      <c r="L62" t="s">
        <v>26</v>
      </c>
      <c r="M62" t="s">
        <v>23</v>
      </c>
      <c r="N62">
        <v>0</v>
      </c>
      <c r="O62" t="s">
        <v>27</v>
      </c>
      <c r="S62" s="3">
        <v>2700</v>
      </c>
      <c r="T62" s="2">
        <v>2932.60986328125</v>
      </c>
      <c r="U62" s="2">
        <v>4034.087448473691</v>
      </c>
      <c r="V62" s="2">
        <v>2034.543969549313</v>
      </c>
      <c r="W62" s="2">
        <v>4087.69580078125</v>
      </c>
      <c r="X62" s="4">
        <f t="shared" si="0"/>
        <v>0.92068162008396626</v>
      </c>
      <c r="Y62" s="4">
        <f t="shared" si="1"/>
        <v>0.66929634879916966</v>
      </c>
      <c r="Z62" s="4">
        <f t="shared" si="2"/>
        <v>1.3270787166119085</v>
      </c>
      <c r="AA62" s="4">
        <f t="shared" si="3"/>
        <v>0.66051881832399795</v>
      </c>
    </row>
    <row r="63" spans="1:27" x14ac:dyDescent="0.3">
      <c r="A63" t="s">
        <v>19</v>
      </c>
      <c r="B63">
        <v>113140</v>
      </c>
      <c r="C63">
        <v>2016</v>
      </c>
      <c r="D63" t="s">
        <v>20</v>
      </c>
      <c r="E63" t="s">
        <v>151</v>
      </c>
      <c r="F63">
        <v>8</v>
      </c>
      <c r="G63" t="s">
        <v>36</v>
      </c>
      <c r="H63">
        <v>4</v>
      </c>
      <c r="I63" t="s">
        <v>23</v>
      </c>
      <c r="J63" t="s">
        <v>152</v>
      </c>
      <c r="K63" t="s">
        <v>25</v>
      </c>
      <c r="L63" t="s">
        <v>43</v>
      </c>
      <c r="M63">
        <v>4</v>
      </c>
      <c r="N63">
        <v>0</v>
      </c>
      <c r="O63" t="s">
        <v>27</v>
      </c>
      <c r="S63" s="3">
        <v>4200</v>
      </c>
      <c r="T63" s="2">
        <v>14723.5009765625</v>
      </c>
      <c r="U63" s="2">
        <v>14961.075741680361</v>
      </c>
      <c r="V63" s="2">
        <v>14093.78193540788</v>
      </c>
      <c r="W63" s="2">
        <v>15569.4619140625</v>
      </c>
      <c r="X63" s="4">
        <f t="shared" si="0"/>
        <v>0.28525824168353303</v>
      </c>
      <c r="Y63" s="4">
        <f t="shared" si="1"/>
        <v>0.28072847651583877</v>
      </c>
      <c r="Z63" s="4">
        <f t="shared" si="2"/>
        <v>0.29800375933505246</v>
      </c>
      <c r="AA63" s="4">
        <f t="shared" si="3"/>
        <v>0.26975884094019437</v>
      </c>
    </row>
    <row r="64" spans="1:27" x14ac:dyDescent="0.3">
      <c r="A64" t="s">
        <v>19</v>
      </c>
      <c r="B64">
        <v>200391</v>
      </c>
      <c r="C64">
        <v>2015</v>
      </c>
      <c r="D64" t="s">
        <v>40</v>
      </c>
      <c r="E64" t="s">
        <v>153</v>
      </c>
      <c r="F64">
        <v>6</v>
      </c>
      <c r="G64" t="s">
        <v>66</v>
      </c>
      <c r="H64">
        <v>4</v>
      </c>
      <c r="I64" t="s">
        <v>23</v>
      </c>
      <c r="J64" t="s">
        <v>31</v>
      </c>
      <c r="K64" t="s">
        <v>25</v>
      </c>
      <c r="L64" t="s">
        <v>26</v>
      </c>
      <c r="M64" t="s">
        <v>33</v>
      </c>
      <c r="N64">
        <v>0</v>
      </c>
      <c r="O64" t="s">
        <v>27</v>
      </c>
      <c r="S64" s="3">
        <v>2000</v>
      </c>
      <c r="T64" s="2">
        <v>3581.96337890625</v>
      </c>
      <c r="U64" s="2">
        <v>3993.3623674602109</v>
      </c>
      <c r="V64" s="2">
        <v>1292.9864542794039</v>
      </c>
      <c r="W64" s="2">
        <v>3174.459228515625</v>
      </c>
      <c r="X64" s="4">
        <f t="shared" si="0"/>
        <v>0.55835300041808311</v>
      </c>
      <c r="Y64" s="4">
        <f t="shared" si="1"/>
        <v>0.50083108317365277</v>
      </c>
      <c r="Z64" s="4">
        <f t="shared" si="2"/>
        <v>1.5468066145477315</v>
      </c>
      <c r="AA64" s="4">
        <f t="shared" si="3"/>
        <v>0.63002856739640622</v>
      </c>
    </row>
    <row r="65" spans="1:27" x14ac:dyDescent="0.3">
      <c r="A65" t="s">
        <v>19</v>
      </c>
      <c r="B65">
        <v>132101</v>
      </c>
      <c r="C65">
        <v>2016</v>
      </c>
      <c r="D65" t="s">
        <v>40</v>
      </c>
      <c r="E65" t="s">
        <v>63</v>
      </c>
      <c r="F65">
        <v>4</v>
      </c>
      <c r="G65" t="s">
        <v>30</v>
      </c>
      <c r="H65">
        <v>4</v>
      </c>
      <c r="I65" t="s">
        <v>23</v>
      </c>
      <c r="J65" t="s">
        <v>24</v>
      </c>
      <c r="K65" t="s">
        <v>25</v>
      </c>
      <c r="L65" t="s">
        <v>60</v>
      </c>
      <c r="M65" t="s">
        <v>23</v>
      </c>
      <c r="N65">
        <v>0</v>
      </c>
      <c r="O65" t="s">
        <v>27</v>
      </c>
      <c r="S65" s="3">
        <v>4300</v>
      </c>
      <c r="T65" s="2">
        <v>5564.09716796875</v>
      </c>
      <c r="U65" s="2">
        <v>6865.1046513577076</v>
      </c>
      <c r="V65" s="2">
        <v>4167.713877671772</v>
      </c>
      <c r="W65" s="2">
        <v>5853.91455078125</v>
      </c>
      <c r="X65" s="4">
        <f t="shared" si="0"/>
        <v>0.77281180939005312</v>
      </c>
      <c r="Y65" s="4">
        <f t="shared" si="1"/>
        <v>0.62635607443356189</v>
      </c>
      <c r="Z65" s="4">
        <f t="shared" si="2"/>
        <v>1.0317406919503138</v>
      </c>
      <c r="AA65" s="4">
        <f t="shared" si="3"/>
        <v>0.73455120717915701</v>
      </c>
    </row>
    <row r="66" spans="1:27" x14ac:dyDescent="0.3">
      <c r="A66" t="s">
        <v>19</v>
      </c>
      <c r="B66">
        <v>151952</v>
      </c>
      <c r="C66">
        <v>2009</v>
      </c>
      <c r="D66" t="s">
        <v>20</v>
      </c>
      <c r="E66" t="s">
        <v>154</v>
      </c>
      <c r="F66">
        <v>6</v>
      </c>
      <c r="G66" t="s">
        <v>47</v>
      </c>
      <c r="H66">
        <v>4</v>
      </c>
      <c r="I66" t="s">
        <v>23</v>
      </c>
      <c r="J66" t="s">
        <v>24</v>
      </c>
      <c r="K66" t="s">
        <v>25</v>
      </c>
      <c r="L66" t="s">
        <v>26</v>
      </c>
      <c r="M66" t="s">
        <v>33</v>
      </c>
      <c r="N66">
        <v>0</v>
      </c>
      <c r="O66" t="s">
        <v>27</v>
      </c>
      <c r="S66" s="3">
        <v>900</v>
      </c>
      <c r="T66" s="2">
        <v>2455.226318359375</v>
      </c>
      <c r="U66" s="2">
        <v>3141.2350765405822</v>
      </c>
      <c r="V66" s="2">
        <v>968.13398823787611</v>
      </c>
      <c r="W66" s="2">
        <v>2527.61376953125</v>
      </c>
      <c r="X66" s="4">
        <f t="shared" ref="X66:X129" si="4">S66/T66</f>
        <v>0.3665649855860928</v>
      </c>
      <c r="Y66" s="4">
        <f t="shared" ref="Y66:Y129" si="5">S66/U66</f>
        <v>0.28651150839406869</v>
      </c>
      <c r="Z66" s="4">
        <f t="shared" ref="Z66:Z129" si="6">S66/V66</f>
        <v>0.92962338987613846</v>
      </c>
      <c r="AA66" s="4">
        <f t="shared" ref="AA66:AA129" si="7">S66/W66</f>
        <v>0.35606705852330695</v>
      </c>
    </row>
    <row r="67" spans="1:27" x14ac:dyDescent="0.3">
      <c r="A67" t="s">
        <v>19</v>
      </c>
      <c r="B67">
        <v>103469</v>
      </c>
      <c r="C67">
        <v>2010</v>
      </c>
      <c r="D67" t="s">
        <v>100</v>
      </c>
      <c r="E67" t="s">
        <v>155</v>
      </c>
      <c r="F67">
        <v>4</v>
      </c>
      <c r="G67" t="s">
        <v>36</v>
      </c>
      <c r="H67">
        <v>4</v>
      </c>
      <c r="I67" t="s">
        <v>23</v>
      </c>
      <c r="J67" t="s">
        <v>31</v>
      </c>
      <c r="K67" t="s">
        <v>25</v>
      </c>
      <c r="L67" t="s">
        <v>32</v>
      </c>
      <c r="M67" t="s">
        <v>33</v>
      </c>
      <c r="N67">
        <v>0</v>
      </c>
      <c r="O67" t="s">
        <v>27</v>
      </c>
      <c r="S67" s="3">
        <v>1400</v>
      </c>
      <c r="T67" s="2">
        <v>1979.818237304688</v>
      </c>
      <c r="U67" s="2">
        <v>2336.124508444977</v>
      </c>
      <c r="V67" s="2">
        <v>966.84191879912214</v>
      </c>
      <c r="W67" s="2">
        <v>2449.702880859375</v>
      </c>
      <c r="X67" s="4">
        <f t="shared" si="4"/>
        <v>0.7071356216548198</v>
      </c>
      <c r="Y67" s="4">
        <f t="shared" si="5"/>
        <v>0.5992831267935711</v>
      </c>
      <c r="Z67" s="4">
        <f t="shared" si="6"/>
        <v>1.4480133440416889</v>
      </c>
      <c r="AA67" s="4">
        <f t="shared" si="7"/>
        <v>0.57149787875861457</v>
      </c>
    </row>
    <row r="68" spans="1:27" x14ac:dyDescent="0.3">
      <c r="A68" t="s">
        <v>19</v>
      </c>
      <c r="B68">
        <v>176634</v>
      </c>
      <c r="C68">
        <v>2014</v>
      </c>
      <c r="D68" t="s">
        <v>44</v>
      </c>
      <c r="E68" t="s">
        <v>45</v>
      </c>
      <c r="F68">
        <v>6</v>
      </c>
      <c r="G68" t="s">
        <v>56</v>
      </c>
      <c r="H68">
        <v>4</v>
      </c>
      <c r="I68" t="s">
        <v>23</v>
      </c>
      <c r="J68" t="s">
        <v>46</v>
      </c>
      <c r="K68" t="s">
        <v>25</v>
      </c>
      <c r="L68" t="s">
        <v>38</v>
      </c>
      <c r="M68">
        <v>4</v>
      </c>
      <c r="N68">
        <v>0</v>
      </c>
      <c r="O68" t="s">
        <v>27</v>
      </c>
      <c r="S68" s="3">
        <v>3600</v>
      </c>
      <c r="T68" s="2">
        <v>5158.18994140625</v>
      </c>
      <c r="U68" s="2">
        <v>6217.7935264536591</v>
      </c>
      <c r="V68" s="2">
        <v>10348.48029900148</v>
      </c>
      <c r="W68" s="2">
        <v>6822.97705078125</v>
      </c>
      <c r="X68" s="4">
        <f t="shared" si="4"/>
        <v>0.69791923928620414</v>
      </c>
      <c r="Y68" s="4">
        <f t="shared" si="5"/>
        <v>0.57898352280174104</v>
      </c>
      <c r="Z68" s="4">
        <f t="shared" si="6"/>
        <v>0.34787716611369135</v>
      </c>
      <c r="AA68" s="4">
        <f t="shared" si="7"/>
        <v>0.52762891816964119</v>
      </c>
    </row>
    <row r="69" spans="1:27" x14ac:dyDescent="0.3">
      <c r="A69" t="s">
        <v>19</v>
      </c>
      <c r="B69">
        <v>134576</v>
      </c>
      <c r="C69">
        <v>2016</v>
      </c>
      <c r="D69" t="s">
        <v>44</v>
      </c>
      <c r="E69" t="s">
        <v>68</v>
      </c>
      <c r="F69">
        <v>6</v>
      </c>
      <c r="G69" t="s">
        <v>30</v>
      </c>
      <c r="H69">
        <v>4</v>
      </c>
      <c r="I69" t="s">
        <v>23</v>
      </c>
      <c r="J69" t="s">
        <v>62</v>
      </c>
      <c r="K69" t="s">
        <v>25</v>
      </c>
      <c r="L69" t="s">
        <v>38</v>
      </c>
      <c r="M69">
        <v>4</v>
      </c>
      <c r="N69">
        <v>0</v>
      </c>
      <c r="O69" t="s">
        <v>27</v>
      </c>
      <c r="S69" s="3">
        <v>6400</v>
      </c>
      <c r="T69" s="2">
        <v>7255.88037109375</v>
      </c>
      <c r="U69" s="2">
        <v>8508.8553122026678</v>
      </c>
      <c r="V69" s="2">
        <v>7721.8705741772064</v>
      </c>
      <c r="W69" s="2">
        <v>7579.3330078125</v>
      </c>
      <c r="X69" s="4">
        <f t="shared" si="4"/>
        <v>0.88204320808492953</v>
      </c>
      <c r="Y69" s="4">
        <f t="shared" si="5"/>
        <v>0.75215757762641366</v>
      </c>
      <c r="Z69" s="4">
        <f t="shared" si="6"/>
        <v>0.82881472028323178</v>
      </c>
      <c r="AA69" s="4">
        <f t="shared" si="7"/>
        <v>0.84440147878488958</v>
      </c>
    </row>
    <row r="70" spans="1:27" x14ac:dyDescent="0.3">
      <c r="A70" t="s">
        <v>19</v>
      </c>
      <c r="B70">
        <v>217142</v>
      </c>
      <c r="C70">
        <v>2018</v>
      </c>
      <c r="D70" t="s">
        <v>44</v>
      </c>
      <c r="E70" t="s">
        <v>45</v>
      </c>
      <c r="F70">
        <v>8</v>
      </c>
      <c r="G70" t="s">
        <v>47</v>
      </c>
      <c r="H70">
        <v>4</v>
      </c>
      <c r="I70" t="s">
        <v>23</v>
      </c>
      <c r="J70" t="s">
        <v>156</v>
      </c>
      <c r="K70" t="s">
        <v>25</v>
      </c>
      <c r="L70" t="s">
        <v>48</v>
      </c>
      <c r="M70">
        <v>4</v>
      </c>
      <c r="N70">
        <v>0</v>
      </c>
      <c r="O70" t="s">
        <v>27</v>
      </c>
      <c r="S70" s="3">
        <v>3800</v>
      </c>
      <c r="T70" s="2">
        <v>4669.86962890625</v>
      </c>
      <c r="U70" s="2">
        <v>11981.046627634139</v>
      </c>
      <c r="V70" s="2">
        <v>4699.9463481330813</v>
      </c>
      <c r="W70" s="2">
        <v>5671.70751953125</v>
      </c>
      <c r="X70" s="4">
        <f t="shared" si="4"/>
        <v>0.81372721338475873</v>
      </c>
      <c r="Y70" s="4">
        <f t="shared" si="5"/>
        <v>0.31716761632788792</v>
      </c>
      <c r="Z70" s="4">
        <f t="shared" si="6"/>
        <v>0.808519867787308</v>
      </c>
      <c r="AA70" s="4">
        <f t="shared" si="7"/>
        <v>0.66999223548009379</v>
      </c>
    </row>
    <row r="71" spans="1:27" x14ac:dyDescent="0.3">
      <c r="A71" t="s">
        <v>19</v>
      </c>
      <c r="B71">
        <v>222570</v>
      </c>
      <c r="C71">
        <v>2013</v>
      </c>
      <c r="D71" t="s">
        <v>34</v>
      </c>
      <c r="E71" t="s">
        <v>157</v>
      </c>
      <c r="F71">
        <v>4</v>
      </c>
      <c r="G71" t="s">
        <v>36</v>
      </c>
      <c r="H71">
        <v>4</v>
      </c>
      <c r="I71" t="s">
        <v>23</v>
      </c>
      <c r="J71" t="s">
        <v>145</v>
      </c>
      <c r="K71" t="s">
        <v>25</v>
      </c>
      <c r="L71" t="s">
        <v>89</v>
      </c>
      <c r="M71" t="s">
        <v>33</v>
      </c>
      <c r="N71">
        <v>0</v>
      </c>
      <c r="O71" t="s">
        <v>27</v>
      </c>
      <c r="S71" s="3">
        <v>2500</v>
      </c>
      <c r="T71" s="2">
        <v>2549.803955078125</v>
      </c>
      <c r="U71" s="2">
        <v>2525.723002912011</v>
      </c>
      <c r="V71" s="2">
        <v>925.02732090300015</v>
      </c>
      <c r="W71" s="2">
        <v>2505.0927734375</v>
      </c>
      <c r="X71" s="4">
        <f t="shared" si="4"/>
        <v>0.98046753556133726</v>
      </c>
      <c r="Y71" s="4">
        <f t="shared" si="5"/>
        <v>0.98981558829596361</v>
      </c>
      <c r="Z71" s="4">
        <f t="shared" si="6"/>
        <v>2.7026228777324448</v>
      </c>
      <c r="AA71" s="4">
        <f t="shared" si="7"/>
        <v>0.99796703200316539</v>
      </c>
    </row>
    <row r="72" spans="1:27" x14ac:dyDescent="0.3">
      <c r="A72" t="s">
        <v>158</v>
      </c>
      <c r="B72">
        <v>72340</v>
      </c>
      <c r="C72">
        <v>2004</v>
      </c>
      <c r="D72" t="s">
        <v>159</v>
      </c>
      <c r="E72" t="s">
        <v>160</v>
      </c>
      <c r="F72">
        <v>8</v>
      </c>
      <c r="G72" t="s">
        <v>47</v>
      </c>
      <c r="H72">
        <v>4</v>
      </c>
      <c r="I72" t="s">
        <v>23</v>
      </c>
      <c r="J72" t="s">
        <v>31</v>
      </c>
      <c r="K72" t="s">
        <v>25</v>
      </c>
      <c r="L72" t="s">
        <v>161</v>
      </c>
      <c r="M72" t="s">
        <v>78</v>
      </c>
      <c r="N72">
        <v>0</v>
      </c>
      <c r="O72" t="s">
        <v>27</v>
      </c>
      <c r="S72" s="3">
        <v>9550</v>
      </c>
      <c r="T72" s="2">
        <v>3388.33642578125</v>
      </c>
      <c r="U72" s="2">
        <v>5824.3568023564794</v>
      </c>
      <c r="V72" s="2">
        <v>2788.9210365063832</v>
      </c>
      <c r="W72" s="2">
        <v>3801.78125</v>
      </c>
      <c r="X72" s="4">
        <f t="shared" si="4"/>
        <v>2.8184922628508038</v>
      </c>
      <c r="Y72" s="4">
        <f t="shared" si="5"/>
        <v>1.6396660307857789</v>
      </c>
      <c r="Z72" s="4">
        <f t="shared" si="6"/>
        <v>3.4242633172443862</v>
      </c>
      <c r="AA72" s="4">
        <f t="shared" si="7"/>
        <v>2.5119804039225033</v>
      </c>
    </row>
    <row r="73" spans="1:27" x14ac:dyDescent="0.3">
      <c r="A73" t="s">
        <v>67</v>
      </c>
      <c r="B73">
        <v>292913</v>
      </c>
      <c r="C73">
        <v>2012</v>
      </c>
      <c r="D73" t="s">
        <v>162</v>
      </c>
      <c r="E73" t="s">
        <v>163</v>
      </c>
      <c r="F73">
        <v>0</v>
      </c>
      <c r="G73" t="s">
        <v>47</v>
      </c>
      <c r="H73">
        <v>2</v>
      </c>
      <c r="M73" t="s">
        <v>78</v>
      </c>
      <c r="N73">
        <v>3.9</v>
      </c>
      <c r="O73" t="s">
        <v>27</v>
      </c>
      <c r="S73" s="3">
        <v>6900</v>
      </c>
      <c r="T73" s="2">
        <v>5699.767578125</v>
      </c>
      <c r="U73" s="2">
        <v>11016.387948936281</v>
      </c>
      <c r="V73" s="2">
        <v>4095.8133507253328</v>
      </c>
      <c r="W73" s="2">
        <v>7712.47119140625</v>
      </c>
      <c r="X73" s="4">
        <f t="shared" si="4"/>
        <v>1.2105756779419117</v>
      </c>
      <c r="Y73" s="4">
        <f t="shared" si="5"/>
        <v>0.62633959805911243</v>
      </c>
      <c r="Z73" s="4">
        <f t="shared" si="6"/>
        <v>1.6846470796278035</v>
      </c>
      <c r="AA73" s="4">
        <f t="shared" si="7"/>
        <v>0.8946548815233748</v>
      </c>
    </row>
    <row r="74" spans="1:27" x14ac:dyDescent="0.3">
      <c r="A74" t="s">
        <v>67</v>
      </c>
      <c r="B74">
        <v>29493</v>
      </c>
      <c r="C74">
        <v>2022</v>
      </c>
      <c r="D74" t="s">
        <v>20</v>
      </c>
      <c r="E74" t="s">
        <v>164</v>
      </c>
      <c r="F74">
        <v>8</v>
      </c>
      <c r="G74" t="s">
        <v>36</v>
      </c>
      <c r="H74">
        <v>4</v>
      </c>
      <c r="I74" t="s">
        <v>23</v>
      </c>
      <c r="J74" t="s">
        <v>165</v>
      </c>
      <c r="K74" t="s">
        <v>25</v>
      </c>
      <c r="L74" t="s">
        <v>166</v>
      </c>
      <c r="M74">
        <v>4</v>
      </c>
      <c r="N74">
        <v>0</v>
      </c>
      <c r="O74" t="s">
        <v>27</v>
      </c>
      <c r="S74" s="3">
        <v>62000</v>
      </c>
      <c r="T74" s="2">
        <v>78108.9921875</v>
      </c>
      <c r="U74" s="2">
        <v>68531.017856164675</v>
      </c>
      <c r="V74" s="2">
        <v>75053.87341583689</v>
      </c>
      <c r="W74" s="2">
        <v>93241.7734375</v>
      </c>
      <c r="X74" s="4">
        <f t="shared" si="4"/>
        <v>0.79376264196533874</v>
      </c>
      <c r="Y74" s="4">
        <f t="shared" si="5"/>
        <v>0.9046998270203398</v>
      </c>
      <c r="Z74" s="4">
        <f t="shared" si="6"/>
        <v>0.82607328813648639</v>
      </c>
      <c r="AA74" s="4">
        <f t="shared" si="7"/>
        <v>0.66493801773899797</v>
      </c>
    </row>
    <row r="75" spans="1:27" x14ac:dyDescent="0.3">
      <c r="A75" t="s">
        <v>70</v>
      </c>
      <c r="B75">
        <v>247723</v>
      </c>
      <c r="C75">
        <v>2016</v>
      </c>
      <c r="D75" t="s">
        <v>40</v>
      </c>
      <c r="E75" t="s">
        <v>41</v>
      </c>
      <c r="F75">
        <v>8</v>
      </c>
      <c r="G75" t="s">
        <v>47</v>
      </c>
      <c r="H75">
        <v>4</v>
      </c>
      <c r="I75" t="s">
        <v>23</v>
      </c>
      <c r="J75" t="s">
        <v>152</v>
      </c>
      <c r="L75" t="s">
        <v>43</v>
      </c>
      <c r="M75" t="s">
        <v>78</v>
      </c>
      <c r="N75">
        <v>1</v>
      </c>
      <c r="O75" t="s">
        <v>27</v>
      </c>
      <c r="S75" s="3">
        <v>5400</v>
      </c>
      <c r="T75" s="2">
        <v>6152.6552734375</v>
      </c>
      <c r="U75" s="2">
        <v>13642.352136795769</v>
      </c>
      <c r="V75" s="2">
        <v>50.262533422284832</v>
      </c>
      <c r="W75" s="2">
        <v>7609.58544921875</v>
      </c>
      <c r="X75" s="4">
        <f t="shared" si="4"/>
        <v>0.87766984497134193</v>
      </c>
      <c r="Y75" s="4">
        <f t="shared" si="5"/>
        <v>0.39582617028593414</v>
      </c>
      <c r="Z75" s="4">
        <f t="shared" si="6"/>
        <v>107.43588976368248</v>
      </c>
      <c r="AA75" s="4">
        <f t="shared" si="7"/>
        <v>0.70963129805637437</v>
      </c>
    </row>
    <row r="76" spans="1:27" x14ac:dyDescent="0.3">
      <c r="A76" t="s">
        <v>70</v>
      </c>
      <c r="B76">
        <v>96476</v>
      </c>
      <c r="C76">
        <v>2019</v>
      </c>
      <c r="D76" t="s">
        <v>125</v>
      </c>
      <c r="E76" t="s">
        <v>167</v>
      </c>
      <c r="F76">
        <v>4</v>
      </c>
      <c r="G76" t="s">
        <v>47</v>
      </c>
      <c r="H76">
        <v>4</v>
      </c>
      <c r="I76" t="s">
        <v>23</v>
      </c>
      <c r="J76" t="s">
        <v>31</v>
      </c>
      <c r="K76" t="s">
        <v>27</v>
      </c>
      <c r="L76" t="s">
        <v>87</v>
      </c>
      <c r="M76" t="s">
        <v>33</v>
      </c>
      <c r="N76">
        <v>1</v>
      </c>
      <c r="O76" t="s">
        <v>27</v>
      </c>
      <c r="S76" s="3">
        <v>3000</v>
      </c>
      <c r="T76" s="2">
        <v>6536.11474609375</v>
      </c>
      <c r="U76" s="2">
        <v>6759.5834266733846</v>
      </c>
      <c r="V76" s="2">
        <v>4532.7065351125984</v>
      </c>
      <c r="W76" s="2">
        <v>7488.84912109375</v>
      </c>
      <c r="X76" s="4">
        <f t="shared" si="4"/>
        <v>0.45898827002584724</v>
      </c>
      <c r="Y76" s="4">
        <f t="shared" si="5"/>
        <v>0.44381433154030908</v>
      </c>
      <c r="Z76" s="4">
        <f t="shared" si="6"/>
        <v>0.6618562169777612</v>
      </c>
      <c r="AA76" s="4">
        <f t="shared" si="7"/>
        <v>0.40059559906874564</v>
      </c>
    </row>
    <row r="77" spans="1:27" x14ac:dyDescent="0.3">
      <c r="A77" t="s">
        <v>19</v>
      </c>
      <c r="B77">
        <v>186666</v>
      </c>
      <c r="C77">
        <v>2011</v>
      </c>
      <c r="D77" t="s">
        <v>100</v>
      </c>
      <c r="E77" t="s">
        <v>138</v>
      </c>
      <c r="F77">
        <v>4</v>
      </c>
      <c r="G77" t="s">
        <v>47</v>
      </c>
      <c r="H77">
        <v>4</v>
      </c>
      <c r="I77" t="s">
        <v>23</v>
      </c>
      <c r="J77" t="s">
        <v>24</v>
      </c>
      <c r="K77" t="s">
        <v>25</v>
      </c>
      <c r="L77" t="s">
        <v>102</v>
      </c>
      <c r="M77" t="s">
        <v>23</v>
      </c>
      <c r="N77">
        <v>0</v>
      </c>
      <c r="O77" t="s">
        <v>27</v>
      </c>
      <c r="S77" s="3">
        <v>1300</v>
      </c>
      <c r="T77" s="2">
        <v>1529.820922851562</v>
      </c>
      <c r="U77" s="2">
        <v>1925.2740167558079</v>
      </c>
      <c r="V77" s="2">
        <v>2012.8713663949311</v>
      </c>
      <c r="W77" s="2">
        <v>2241.046630859375</v>
      </c>
      <c r="X77" s="4">
        <f t="shared" si="4"/>
        <v>0.8497726633106969</v>
      </c>
      <c r="Y77" s="4">
        <f t="shared" si="5"/>
        <v>0.67522855899264211</v>
      </c>
      <c r="Z77" s="4">
        <f t="shared" si="6"/>
        <v>0.6458435554817944</v>
      </c>
      <c r="AA77" s="4">
        <f t="shared" si="7"/>
        <v>0.58008609999404093</v>
      </c>
    </row>
    <row r="78" spans="1:27" x14ac:dyDescent="0.3">
      <c r="A78" t="s">
        <v>19</v>
      </c>
      <c r="B78">
        <v>164262</v>
      </c>
      <c r="C78">
        <v>2011</v>
      </c>
      <c r="D78" t="s">
        <v>44</v>
      </c>
      <c r="E78" t="s">
        <v>117</v>
      </c>
      <c r="F78">
        <v>6</v>
      </c>
      <c r="G78" t="s">
        <v>22</v>
      </c>
      <c r="H78">
        <v>4</v>
      </c>
      <c r="I78" t="s">
        <v>23</v>
      </c>
      <c r="J78" t="s">
        <v>62</v>
      </c>
      <c r="K78" t="s">
        <v>25</v>
      </c>
      <c r="L78" t="s">
        <v>168</v>
      </c>
      <c r="M78">
        <v>4</v>
      </c>
      <c r="N78">
        <v>0</v>
      </c>
      <c r="O78" t="s">
        <v>27</v>
      </c>
      <c r="S78" s="3">
        <v>400</v>
      </c>
      <c r="T78" s="2">
        <v>2832.66357421875</v>
      </c>
      <c r="U78" s="2">
        <v>2252.417070001311</v>
      </c>
      <c r="V78" s="2">
        <v>944.28824888395684</v>
      </c>
      <c r="W78" s="2">
        <v>1805.986694335938</v>
      </c>
      <c r="X78" s="4">
        <f t="shared" si="4"/>
        <v>0.14120985055922858</v>
      </c>
      <c r="Y78" s="4">
        <f t="shared" si="5"/>
        <v>0.17758700434629862</v>
      </c>
      <c r="Z78" s="4">
        <f t="shared" si="6"/>
        <v>0.42359946814201627</v>
      </c>
      <c r="AA78" s="4">
        <f t="shared" si="7"/>
        <v>0.22148557420412235</v>
      </c>
    </row>
    <row r="79" spans="1:27" x14ac:dyDescent="0.3">
      <c r="A79" t="s">
        <v>19</v>
      </c>
      <c r="B79">
        <v>238759</v>
      </c>
      <c r="C79">
        <v>2011</v>
      </c>
      <c r="D79" t="s">
        <v>44</v>
      </c>
      <c r="E79" t="s">
        <v>45</v>
      </c>
      <c r="F79">
        <v>6</v>
      </c>
      <c r="G79" t="s">
        <v>66</v>
      </c>
      <c r="H79">
        <v>4</v>
      </c>
      <c r="I79" t="s">
        <v>23</v>
      </c>
      <c r="J79" t="s">
        <v>46</v>
      </c>
      <c r="K79" t="s">
        <v>25</v>
      </c>
      <c r="L79" t="s">
        <v>38</v>
      </c>
      <c r="M79">
        <v>4</v>
      </c>
      <c r="N79">
        <v>0</v>
      </c>
      <c r="O79" t="s">
        <v>27</v>
      </c>
      <c r="S79" s="3">
        <v>2800</v>
      </c>
      <c r="T79" s="2">
        <v>3330.697998046875</v>
      </c>
      <c r="U79" s="2">
        <v>3385.5597735732372</v>
      </c>
      <c r="V79" s="2">
        <v>4000.5826695687979</v>
      </c>
      <c r="W79" s="2">
        <v>3749.35595703125</v>
      </c>
      <c r="X79" s="4">
        <f t="shared" si="4"/>
        <v>0.84066462994901459</v>
      </c>
      <c r="Y79" s="4">
        <f t="shared" si="5"/>
        <v>0.8270419627076272</v>
      </c>
      <c r="Z79" s="4">
        <f t="shared" si="6"/>
        <v>0.69989804767658947</v>
      </c>
      <c r="AA79" s="4">
        <f t="shared" si="7"/>
        <v>0.74679492480544507</v>
      </c>
    </row>
    <row r="80" spans="1:27" x14ac:dyDescent="0.3">
      <c r="A80" t="s">
        <v>19</v>
      </c>
      <c r="B80">
        <v>177421</v>
      </c>
      <c r="C80">
        <v>2011</v>
      </c>
      <c r="D80" t="s">
        <v>40</v>
      </c>
      <c r="E80" t="s">
        <v>150</v>
      </c>
      <c r="F80">
        <v>6</v>
      </c>
      <c r="G80" t="s">
        <v>22</v>
      </c>
      <c r="H80">
        <v>4</v>
      </c>
      <c r="I80" t="s">
        <v>23</v>
      </c>
      <c r="J80" t="s">
        <v>24</v>
      </c>
      <c r="K80" t="s">
        <v>25</v>
      </c>
      <c r="L80" t="s">
        <v>26</v>
      </c>
      <c r="M80" t="s">
        <v>23</v>
      </c>
      <c r="N80">
        <v>0</v>
      </c>
      <c r="O80" t="s">
        <v>27</v>
      </c>
      <c r="S80" s="3">
        <v>400</v>
      </c>
      <c r="T80" s="2">
        <v>2346.366943359375</v>
      </c>
      <c r="U80" s="2">
        <v>2119.3661493153832</v>
      </c>
      <c r="V80" s="2">
        <v>1041.6052433937839</v>
      </c>
      <c r="W80" s="2">
        <v>2442.527587890625</v>
      </c>
      <c r="X80" s="4">
        <f t="shared" si="4"/>
        <v>0.17047631920150824</v>
      </c>
      <c r="Y80" s="4">
        <f t="shared" si="5"/>
        <v>0.18873567463989724</v>
      </c>
      <c r="Z80" s="4">
        <f t="shared" si="6"/>
        <v>0.38402264441057354</v>
      </c>
      <c r="AA80" s="4">
        <f t="shared" si="7"/>
        <v>0.16376478283524376</v>
      </c>
    </row>
    <row r="81" spans="1:27" x14ac:dyDescent="0.3">
      <c r="A81" t="s">
        <v>19</v>
      </c>
      <c r="B81">
        <v>115361</v>
      </c>
      <c r="C81">
        <v>2003</v>
      </c>
      <c r="D81" t="s">
        <v>40</v>
      </c>
      <c r="E81" t="s">
        <v>169</v>
      </c>
      <c r="F81">
        <v>8</v>
      </c>
      <c r="G81" t="s">
        <v>36</v>
      </c>
      <c r="H81">
        <v>4</v>
      </c>
      <c r="I81" t="s">
        <v>23</v>
      </c>
      <c r="J81" t="s">
        <v>42</v>
      </c>
      <c r="K81" t="s">
        <v>25</v>
      </c>
      <c r="L81" t="s">
        <v>43</v>
      </c>
      <c r="M81">
        <v>4</v>
      </c>
      <c r="N81">
        <v>0</v>
      </c>
      <c r="O81" t="s">
        <v>27</v>
      </c>
      <c r="S81" s="3">
        <v>1000</v>
      </c>
      <c r="T81" s="2">
        <v>4087.6611328125</v>
      </c>
      <c r="U81" s="2">
        <v>12105.978915467531</v>
      </c>
      <c r="V81" s="2">
        <v>282.8191501800884</v>
      </c>
      <c r="W81" s="2">
        <v>6066.68505859375</v>
      </c>
      <c r="X81" s="4">
        <f t="shared" si="4"/>
        <v>0.24463867417306037</v>
      </c>
      <c r="Y81" s="4">
        <f t="shared" si="5"/>
        <v>8.2603811470572039E-2</v>
      </c>
      <c r="Z81" s="4">
        <f t="shared" si="6"/>
        <v>3.5358284591522118</v>
      </c>
      <c r="AA81" s="4">
        <f t="shared" si="7"/>
        <v>0.16483466511640524</v>
      </c>
    </row>
    <row r="82" spans="1:27" x14ac:dyDescent="0.3">
      <c r="A82" t="s">
        <v>19</v>
      </c>
      <c r="B82">
        <v>211715</v>
      </c>
      <c r="C82">
        <v>2014</v>
      </c>
      <c r="D82" t="s">
        <v>71</v>
      </c>
      <c r="E82" t="s">
        <v>170</v>
      </c>
      <c r="F82">
        <v>6</v>
      </c>
      <c r="G82" t="s">
        <v>171</v>
      </c>
      <c r="H82">
        <v>4</v>
      </c>
      <c r="I82" t="s">
        <v>23</v>
      </c>
      <c r="J82" t="s">
        <v>24</v>
      </c>
      <c r="K82" t="s">
        <v>25</v>
      </c>
      <c r="L82" t="s">
        <v>26</v>
      </c>
      <c r="M82" t="s">
        <v>23</v>
      </c>
      <c r="N82">
        <v>0</v>
      </c>
      <c r="O82" t="s">
        <v>27</v>
      </c>
      <c r="S82" s="3">
        <v>1900</v>
      </c>
      <c r="T82" s="2">
        <v>3207.217041015625</v>
      </c>
      <c r="U82" s="2">
        <v>3918.4531841394669</v>
      </c>
      <c r="V82" s="2">
        <v>2644.745292536591</v>
      </c>
      <c r="W82" s="2">
        <v>3723.700927734375</v>
      </c>
      <c r="X82" s="4">
        <f t="shared" si="4"/>
        <v>0.59241391390160791</v>
      </c>
      <c r="Y82" s="4">
        <f t="shared" si="5"/>
        <v>0.48488521125900852</v>
      </c>
      <c r="Z82" s="4">
        <f t="shared" si="6"/>
        <v>0.71840566475787115</v>
      </c>
      <c r="AA82" s="4">
        <f t="shared" si="7"/>
        <v>0.51024505911542795</v>
      </c>
    </row>
    <row r="83" spans="1:27" x14ac:dyDescent="0.3">
      <c r="A83" t="s">
        <v>19</v>
      </c>
      <c r="B83">
        <v>162302</v>
      </c>
      <c r="C83">
        <v>2014</v>
      </c>
      <c r="D83" t="s">
        <v>40</v>
      </c>
      <c r="E83" t="s">
        <v>172</v>
      </c>
      <c r="F83">
        <v>4</v>
      </c>
      <c r="G83" t="s">
        <v>59</v>
      </c>
      <c r="H83">
        <v>4</v>
      </c>
      <c r="I83" t="s">
        <v>23</v>
      </c>
      <c r="J83" t="s">
        <v>31</v>
      </c>
      <c r="K83" t="s">
        <v>25</v>
      </c>
      <c r="L83" t="s">
        <v>102</v>
      </c>
      <c r="M83" t="s">
        <v>33</v>
      </c>
      <c r="N83">
        <v>0</v>
      </c>
      <c r="O83" t="s">
        <v>27</v>
      </c>
      <c r="S83" s="3">
        <v>4500</v>
      </c>
      <c r="T83" s="2">
        <v>4784.89404296875</v>
      </c>
      <c r="U83" s="2">
        <v>4249.7882219019893</v>
      </c>
      <c r="V83" s="2">
        <v>2747.5941980023472</v>
      </c>
      <c r="W83" s="2">
        <v>4591.3662109375</v>
      </c>
      <c r="X83" s="4">
        <f t="shared" si="4"/>
        <v>0.94045969661806983</v>
      </c>
      <c r="Y83" s="4">
        <f t="shared" si="5"/>
        <v>1.0588762933664559</v>
      </c>
      <c r="Z83" s="4">
        <f t="shared" si="6"/>
        <v>1.637796441436566</v>
      </c>
      <c r="AA83" s="4">
        <f t="shared" si="7"/>
        <v>0.98010043051677109</v>
      </c>
    </row>
    <row r="84" spans="1:27" x14ac:dyDescent="0.3">
      <c r="A84" t="s">
        <v>19</v>
      </c>
      <c r="B84">
        <v>193124</v>
      </c>
      <c r="C84">
        <v>2011</v>
      </c>
      <c r="D84" t="s">
        <v>34</v>
      </c>
      <c r="E84" t="s">
        <v>173</v>
      </c>
      <c r="F84">
        <v>4</v>
      </c>
      <c r="G84" t="s">
        <v>36</v>
      </c>
      <c r="H84">
        <v>4</v>
      </c>
      <c r="I84" t="s">
        <v>23</v>
      </c>
      <c r="J84" t="s">
        <v>62</v>
      </c>
      <c r="K84" t="s">
        <v>25</v>
      </c>
      <c r="L84" t="s">
        <v>128</v>
      </c>
      <c r="M84">
        <v>4</v>
      </c>
      <c r="N84">
        <v>0</v>
      </c>
      <c r="O84" t="s">
        <v>27</v>
      </c>
      <c r="S84" s="3">
        <v>3900</v>
      </c>
      <c r="T84" s="2">
        <v>4589.32421875</v>
      </c>
      <c r="U84" s="2">
        <v>3813.1359329694692</v>
      </c>
      <c r="V84" s="2">
        <v>581.83030123077151</v>
      </c>
      <c r="W84" s="2">
        <v>4296.20458984375</v>
      </c>
      <c r="X84" s="4">
        <f t="shared" si="4"/>
        <v>0.84979831759680036</v>
      </c>
      <c r="Y84" s="4">
        <f t="shared" si="5"/>
        <v>1.0227802177938319</v>
      </c>
      <c r="Z84" s="4">
        <f t="shared" si="6"/>
        <v>6.7029853752033137</v>
      </c>
      <c r="AA84" s="4">
        <f t="shared" si="7"/>
        <v>0.90777799763531286</v>
      </c>
    </row>
    <row r="85" spans="1:27" x14ac:dyDescent="0.3">
      <c r="A85" t="s">
        <v>19</v>
      </c>
      <c r="B85">
        <v>126289</v>
      </c>
      <c r="C85">
        <v>2014</v>
      </c>
      <c r="D85" t="s">
        <v>54</v>
      </c>
      <c r="E85" t="s">
        <v>174</v>
      </c>
      <c r="F85">
        <v>4</v>
      </c>
      <c r="G85" t="s">
        <v>22</v>
      </c>
      <c r="H85">
        <v>4</v>
      </c>
      <c r="I85" t="s">
        <v>23</v>
      </c>
      <c r="J85" t="s">
        <v>24</v>
      </c>
      <c r="K85" t="s">
        <v>25</v>
      </c>
      <c r="L85" t="s">
        <v>60</v>
      </c>
      <c r="M85">
        <v>4</v>
      </c>
      <c r="N85">
        <v>0</v>
      </c>
      <c r="O85" t="s">
        <v>27</v>
      </c>
      <c r="S85" s="3">
        <v>1000</v>
      </c>
      <c r="T85" s="2">
        <v>3599.905517578125</v>
      </c>
      <c r="U85" s="2">
        <v>4898.7572296171766</v>
      </c>
      <c r="V85" s="2">
        <v>2909.9846743152611</v>
      </c>
      <c r="W85" s="2">
        <v>4795.78662109375</v>
      </c>
      <c r="X85" s="4">
        <f t="shared" si="4"/>
        <v>0.27778506827944771</v>
      </c>
      <c r="Y85" s="4">
        <f t="shared" si="5"/>
        <v>0.20413340631663576</v>
      </c>
      <c r="Z85" s="4">
        <f t="shared" si="6"/>
        <v>0.34364442150723928</v>
      </c>
      <c r="AA85" s="4">
        <f t="shared" si="7"/>
        <v>0.20851636634574355</v>
      </c>
    </row>
    <row r="86" spans="1:27" x14ac:dyDescent="0.3">
      <c r="A86" t="s">
        <v>19</v>
      </c>
      <c r="B86">
        <v>144776</v>
      </c>
      <c r="C86">
        <v>2009</v>
      </c>
      <c r="D86" t="s">
        <v>20</v>
      </c>
      <c r="E86" t="s">
        <v>175</v>
      </c>
      <c r="F86">
        <v>8</v>
      </c>
      <c r="G86" t="s">
        <v>171</v>
      </c>
      <c r="H86">
        <v>4</v>
      </c>
      <c r="I86" t="s">
        <v>23</v>
      </c>
      <c r="J86" t="s">
        <v>24</v>
      </c>
      <c r="K86" t="s">
        <v>25</v>
      </c>
      <c r="L86" t="s">
        <v>43</v>
      </c>
      <c r="M86">
        <v>4</v>
      </c>
      <c r="N86">
        <v>0</v>
      </c>
      <c r="O86" t="s">
        <v>27</v>
      </c>
      <c r="S86" s="3">
        <v>5000</v>
      </c>
      <c r="T86" s="2">
        <v>4423.31201171875</v>
      </c>
      <c r="U86" s="2">
        <v>5043.1256562703866</v>
      </c>
      <c r="V86" s="2">
        <v>1119.5499327174491</v>
      </c>
      <c r="W86" s="2">
        <v>5019.63818359375</v>
      </c>
      <c r="X86" s="4">
        <f t="shared" si="4"/>
        <v>1.1303747026557072</v>
      </c>
      <c r="Y86" s="4">
        <f t="shared" si="5"/>
        <v>0.99144862547361556</v>
      </c>
      <c r="Z86" s="4">
        <f t="shared" si="6"/>
        <v>4.4660803898792203</v>
      </c>
      <c r="AA86" s="4">
        <f t="shared" si="7"/>
        <v>0.99608772925946421</v>
      </c>
    </row>
    <row r="87" spans="1:27" x14ac:dyDescent="0.3">
      <c r="A87" t="s">
        <v>19</v>
      </c>
      <c r="B87">
        <v>179452</v>
      </c>
      <c r="C87">
        <v>2016</v>
      </c>
      <c r="D87" t="s">
        <v>44</v>
      </c>
      <c r="E87" t="s">
        <v>176</v>
      </c>
      <c r="F87">
        <v>6</v>
      </c>
      <c r="G87" t="s">
        <v>36</v>
      </c>
      <c r="H87">
        <v>4</v>
      </c>
      <c r="I87" t="s">
        <v>23</v>
      </c>
      <c r="J87" t="s">
        <v>62</v>
      </c>
      <c r="K87" t="s">
        <v>25</v>
      </c>
      <c r="L87" t="s">
        <v>38</v>
      </c>
      <c r="M87" t="s">
        <v>23</v>
      </c>
      <c r="N87">
        <v>0</v>
      </c>
      <c r="O87" t="s">
        <v>27</v>
      </c>
      <c r="S87" s="3">
        <v>4000</v>
      </c>
      <c r="T87" s="2">
        <v>4244.6650390625</v>
      </c>
      <c r="U87" s="2">
        <v>5426.7297768181279</v>
      </c>
      <c r="V87" s="2">
        <v>3182.522197831333</v>
      </c>
      <c r="W87" s="2">
        <v>4840.421875</v>
      </c>
      <c r="X87" s="4">
        <f t="shared" si="4"/>
        <v>0.94235940013854713</v>
      </c>
      <c r="Y87" s="4">
        <f t="shared" si="5"/>
        <v>0.73709216498805163</v>
      </c>
      <c r="Z87" s="4">
        <f t="shared" si="6"/>
        <v>1.2568647605115595</v>
      </c>
      <c r="AA87" s="4">
        <f t="shared" si="7"/>
        <v>0.82637425069483228</v>
      </c>
    </row>
    <row r="88" spans="1:27" x14ac:dyDescent="0.3">
      <c r="A88" t="s">
        <v>19</v>
      </c>
      <c r="B88">
        <v>159833</v>
      </c>
      <c r="C88">
        <v>2013</v>
      </c>
      <c r="D88" t="s">
        <v>71</v>
      </c>
      <c r="E88" t="s">
        <v>170</v>
      </c>
      <c r="F88">
        <v>6</v>
      </c>
      <c r="G88" t="s">
        <v>36</v>
      </c>
      <c r="H88">
        <v>4</v>
      </c>
      <c r="I88" t="s">
        <v>23</v>
      </c>
      <c r="J88" t="s">
        <v>24</v>
      </c>
      <c r="K88" t="s">
        <v>25</v>
      </c>
      <c r="L88" t="s">
        <v>26</v>
      </c>
      <c r="M88" t="s">
        <v>33</v>
      </c>
      <c r="N88">
        <v>0</v>
      </c>
      <c r="O88" t="s">
        <v>27</v>
      </c>
      <c r="S88" s="3">
        <v>1500</v>
      </c>
      <c r="T88" s="2">
        <v>5215.60302734375</v>
      </c>
      <c r="U88" s="2">
        <v>4794.3994181698281</v>
      </c>
      <c r="V88" s="2">
        <v>3210.9411860079349</v>
      </c>
      <c r="W88" s="2">
        <v>4247.259765625</v>
      </c>
      <c r="X88" s="4">
        <f t="shared" si="4"/>
        <v>0.28759857530106808</v>
      </c>
      <c r="Y88" s="4">
        <f t="shared" si="5"/>
        <v>0.3128650471454873</v>
      </c>
      <c r="Z88" s="4">
        <f t="shared" si="6"/>
        <v>0.46715274840175575</v>
      </c>
      <c r="AA88" s="4">
        <f t="shared" si="7"/>
        <v>0.35316888600508506</v>
      </c>
    </row>
    <row r="89" spans="1:27" x14ac:dyDescent="0.3">
      <c r="A89" t="s">
        <v>19</v>
      </c>
      <c r="B89">
        <v>190323</v>
      </c>
      <c r="C89">
        <v>2015</v>
      </c>
      <c r="D89" t="s">
        <v>40</v>
      </c>
      <c r="E89" t="s">
        <v>177</v>
      </c>
      <c r="F89">
        <v>4</v>
      </c>
      <c r="G89" t="s">
        <v>47</v>
      </c>
      <c r="H89">
        <v>4</v>
      </c>
      <c r="I89" t="s">
        <v>23</v>
      </c>
      <c r="J89" t="s">
        <v>178</v>
      </c>
      <c r="K89" t="s">
        <v>25</v>
      </c>
      <c r="L89" t="s">
        <v>127</v>
      </c>
      <c r="M89" t="s">
        <v>33</v>
      </c>
      <c r="N89">
        <v>0</v>
      </c>
      <c r="O89" t="s">
        <v>27</v>
      </c>
      <c r="S89" s="3">
        <v>2300</v>
      </c>
      <c r="T89" s="2">
        <v>3897.78466796875</v>
      </c>
      <c r="U89" s="2">
        <v>4027.243535920059</v>
      </c>
      <c r="V89" s="2">
        <v>2526.978243852489</v>
      </c>
      <c r="W89" s="2">
        <v>3318.810546875</v>
      </c>
      <c r="X89" s="4">
        <f t="shared" si="4"/>
        <v>0.5900787744641105</v>
      </c>
      <c r="Y89" s="4">
        <f t="shared" si="5"/>
        <v>0.5711102344533393</v>
      </c>
      <c r="Z89" s="4">
        <f t="shared" si="6"/>
        <v>0.91017799840395508</v>
      </c>
      <c r="AA89" s="4">
        <f t="shared" si="7"/>
        <v>0.69301937170402372</v>
      </c>
    </row>
    <row r="90" spans="1:27" x14ac:dyDescent="0.3">
      <c r="A90" t="s">
        <v>179</v>
      </c>
      <c r="B90">
        <v>28768</v>
      </c>
      <c r="C90">
        <v>2023</v>
      </c>
      <c r="D90" t="s">
        <v>54</v>
      </c>
      <c r="E90" t="s">
        <v>180</v>
      </c>
      <c r="F90">
        <v>4</v>
      </c>
      <c r="G90" t="s">
        <v>36</v>
      </c>
      <c r="H90">
        <v>4</v>
      </c>
      <c r="I90" t="s">
        <v>23</v>
      </c>
      <c r="J90" t="s">
        <v>24</v>
      </c>
      <c r="K90" t="s">
        <v>27</v>
      </c>
      <c r="L90" t="s">
        <v>181</v>
      </c>
      <c r="M90">
        <v>4</v>
      </c>
      <c r="N90">
        <v>0</v>
      </c>
      <c r="S90" s="3">
        <v>19000</v>
      </c>
      <c r="T90" s="2">
        <v>27396.060546875</v>
      </c>
      <c r="U90" s="2">
        <v>27146.499929244292</v>
      </c>
      <c r="V90" s="2">
        <v>24619.822986225361</v>
      </c>
      <c r="W90" s="2">
        <v>29007.9453125</v>
      </c>
      <c r="X90" s="4">
        <f t="shared" si="4"/>
        <v>0.69353036972198112</v>
      </c>
      <c r="Y90" s="4">
        <f t="shared" si="5"/>
        <v>0.6999060670628755</v>
      </c>
      <c r="Z90" s="4">
        <f t="shared" si="6"/>
        <v>0.7717358492232208</v>
      </c>
      <c r="AA90" s="4">
        <f t="shared" si="7"/>
        <v>0.6549929612495714</v>
      </c>
    </row>
    <row r="91" spans="1:27" x14ac:dyDescent="0.3">
      <c r="A91" t="s">
        <v>70</v>
      </c>
      <c r="B91">
        <v>17103</v>
      </c>
      <c r="C91">
        <v>2022</v>
      </c>
      <c r="D91" t="s">
        <v>44</v>
      </c>
      <c r="E91" t="s">
        <v>182</v>
      </c>
      <c r="F91">
        <v>8</v>
      </c>
      <c r="G91" t="s">
        <v>22</v>
      </c>
      <c r="H91">
        <v>2</v>
      </c>
      <c r="I91" t="s">
        <v>23</v>
      </c>
      <c r="J91" t="s">
        <v>183</v>
      </c>
      <c r="K91" t="s">
        <v>27</v>
      </c>
      <c r="L91" t="s">
        <v>48</v>
      </c>
      <c r="M91" t="s">
        <v>78</v>
      </c>
      <c r="N91">
        <v>4</v>
      </c>
      <c r="O91" t="s">
        <v>27</v>
      </c>
      <c r="S91" s="3">
        <v>43800</v>
      </c>
      <c r="T91" s="2">
        <v>53179.46484375</v>
      </c>
      <c r="U91" s="2">
        <v>66480.556334413675</v>
      </c>
      <c r="V91" s="2">
        <v>43160.220633644203</v>
      </c>
      <c r="W91" s="2">
        <v>93241.7734375</v>
      </c>
      <c r="X91" s="4">
        <f t="shared" si="4"/>
        <v>0.82362618970859502</v>
      </c>
      <c r="Y91" s="4">
        <f t="shared" si="5"/>
        <v>0.65883925188103332</v>
      </c>
      <c r="Z91" s="4">
        <f t="shared" si="6"/>
        <v>1.0148233571785099</v>
      </c>
      <c r="AA91" s="4">
        <f t="shared" si="7"/>
        <v>0.46974653511238884</v>
      </c>
    </row>
    <row r="92" spans="1:27" x14ac:dyDescent="0.3">
      <c r="A92" t="s">
        <v>184</v>
      </c>
      <c r="B92">
        <v>19568</v>
      </c>
      <c r="C92">
        <v>2023</v>
      </c>
      <c r="D92" t="s">
        <v>185</v>
      </c>
      <c r="E92" t="s">
        <v>186</v>
      </c>
      <c r="F92">
        <v>6</v>
      </c>
      <c r="G92" t="s">
        <v>22</v>
      </c>
      <c r="H92">
        <v>4</v>
      </c>
      <c r="I92" t="s">
        <v>23</v>
      </c>
      <c r="J92" t="s">
        <v>165</v>
      </c>
      <c r="K92" t="s">
        <v>25</v>
      </c>
      <c r="L92" t="s">
        <v>53</v>
      </c>
      <c r="M92" t="s">
        <v>23</v>
      </c>
      <c r="S92" s="3">
        <v>50000</v>
      </c>
      <c r="T92" s="2">
        <v>56499.23828125</v>
      </c>
      <c r="U92" s="2">
        <v>64720.74605503065</v>
      </c>
      <c r="V92" s="2">
        <v>52677.248926815613</v>
      </c>
      <c r="W92" s="2">
        <v>64722.8828125</v>
      </c>
      <c r="X92" s="4">
        <f t="shared" si="4"/>
        <v>0.88496768312349339</v>
      </c>
      <c r="Y92" s="4">
        <f t="shared" si="5"/>
        <v>0.7725498089513072</v>
      </c>
      <c r="Z92" s="4">
        <f t="shared" si="6"/>
        <v>0.94917637155776469</v>
      </c>
      <c r="AA92" s="4">
        <f t="shared" si="7"/>
        <v>0.77252430403707928</v>
      </c>
    </row>
    <row r="93" spans="1:27" x14ac:dyDescent="0.3">
      <c r="A93" t="s">
        <v>70</v>
      </c>
      <c r="B93">
        <v>89122</v>
      </c>
      <c r="C93">
        <v>2016</v>
      </c>
      <c r="D93" t="s">
        <v>40</v>
      </c>
      <c r="E93" t="s">
        <v>150</v>
      </c>
      <c r="F93">
        <v>6</v>
      </c>
      <c r="G93" t="s">
        <v>22</v>
      </c>
      <c r="H93">
        <v>4</v>
      </c>
      <c r="I93" t="s">
        <v>23</v>
      </c>
      <c r="J93" t="s">
        <v>24</v>
      </c>
      <c r="L93" t="s">
        <v>26</v>
      </c>
      <c r="M93" t="s">
        <v>33</v>
      </c>
      <c r="N93">
        <v>0</v>
      </c>
      <c r="O93" t="s">
        <v>39</v>
      </c>
      <c r="S93" s="3">
        <v>4000</v>
      </c>
      <c r="T93" s="2">
        <v>10230.36328125</v>
      </c>
      <c r="U93" s="2">
        <v>8239.056453406467</v>
      </c>
      <c r="V93" s="2">
        <v>4253.7799616087368</v>
      </c>
      <c r="W93" s="2">
        <v>6771.69384765625</v>
      </c>
      <c r="X93" s="4">
        <f t="shared" si="4"/>
        <v>0.39099295792663763</v>
      </c>
      <c r="Y93" s="4">
        <f t="shared" si="5"/>
        <v>0.48549248601715622</v>
      </c>
      <c r="Z93" s="4">
        <f t="shared" si="6"/>
        <v>0.94034012950854196</v>
      </c>
      <c r="AA93" s="4">
        <f t="shared" si="7"/>
        <v>0.59069415865344232</v>
      </c>
    </row>
    <row r="94" spans="1:27" x14ac:dyDescent="0.3">
      <c r="A94" t="s">
        <v>70</v>
      </c>
      <c r="B94">
        <v>89934</v>
      </c>
      <c r="C94">
        <v>2014</v>
      </c>
      <c r="D94" t="s">
        <v>187</v>
      </c>
      <c r="E94" t="s">
        <v>188</v>
      </c>
      <c r="F94">
        <v>4</v>
      </c>
      <c r="G94" t="s">
        <v>30</v>
      </c>
      <c r="H94">
        <v>4</v>
      </c>
      <c r="I94" t="s">
        <v>23</v>
      </c>
      <c r="J94" t="s">
        <v>24</v>
      </c>
      <c r="K94" t="s">
        <v>27</v>
      </c>
      <c r="L94" t="s">
        <v>127</v>
      </c>
      <c r="M94" t="s">
        <v>23</v>
      </c>
      <c r="N94">
        <v>2.5</v>
      </c>
      <c r="O94" t="s">
        <v>27</v>
      </c>
      <c r="S94" s="3">
        <v>6400</v>
      </c>
      <c r="T94" s="2">
        <v>5552.32421875</v>
      </c>
      <c r="U94" s="2">
        <v>6189.7162146838791</v>
      </c>
      <c r="V94" s="2">
        <v>6212.6121080212961</v>
      </c>
      <c r="W94" s="2">
        <v>5853.91455078125</v>
      </c>
      <c r="X94" s="4">
        <f t="shared" si="4"/>
        <v>1.1526704399551144</v>
      </c>
      <c r="Y94" s="4">
        <f t="shared" si="5"/>
        <v>1.0339730898837114</v>
      </c>
      <c r="Z94" s="4">
        <f t="shared" si="6"/>
        <v>1.0301624966633216</v>
      </c>
      <c r="AA94" s="4">
        <f t="shared" si="7"/>
        <v>1.0932855176620011</v>
      </c>
    </row>
    <row r="95" spans="1:27" x14ac:dyDescent="0.3">
      <c r="A95" t="s">
        <v>70</v>
      </c>
      <c r="B95">
        <v>133046</v>
      </c>
      <c r="C95">
        <v>2014</v>
      </c>
      <c r="D95" t="s">
        <v>103</v>
      </c>
      <c r="E95" t="s">
        <v>189</v>
      </c>
      <c r="F95">
        <v>6</v>
      </c>
      <c r="G95" t="s">
        <v>30</v>
      </c>
      <c r="H95">
        <v>4</v>
      </c>
      <c r="I95" t="s">
        <v>23</v>
      </c>
      <c r="J95" t="s">
        <v>31</v>
      </c>
      <c r="K95" t="s">
        <v>27</v>
      </c>
      <c r="L95" t="s">
        <v>57</v>
      </c>
      <c r="M95" t="s">
        <v>78</v>
      </c>
      <c r="N95">
        <v>1</v>
      </c>
      <c r="O95" t="s">
        <v>27</v>
      </c>
      <c r="S95" s="3">
        <v>3500</v>
      </c>
      <c r="T95" s="2">
        <v>5059.6884765625</v>
      </c>
      <c r="U95" s="2">
        <v>7951.9380575084406</v>
      </c>
      <c r="V95" s="2">
        <v>4826.047503132565</v>
      </c>
      <c r="W95" s="2">
        <v>5571.0419921875</v>
      </c>
      <c r="X95" s="4">
        <f t="shared" si="4"/>
        <v>0.69174219247147484</v>
      </c>
      <c r="Y95" s="4">
        <f t="shared" si="5"/>
        <v>0.44014427359569319</v>
      </c>
      <c r="Z95" s="4">
        <f t="shared" si="6"/>
        <v>0.72523115400919003</v>
      </c>
      <c r="AA95" s="4">
        <f t="shared" si="7"/>
        <v>0.6282487198818808</v>
      </c>
    </row>
    <row r="96" spans="1:27" x14ac:dyDescent="0.3">
      <c r="A96" t="s">
        <v>70</v>
      </c>
      <c r="B96">
        <v>36410</v>
      </c>
      <c r="C96">
        <v>2020</v>
      </c>
      <c r="D96" t="s">
        <v>54</v>
      </c>
      <c r="E96" t="s">
        <v>180</v>
      </c>
      <c r="F96">
        <v>4</v>
      </c>
      <c r="G96" t="s">
        <v>190</v>
      </c>
      <c r="H96">
        <v>4</v>
      </c>
      <c r="I96" t="s">
        <v>23</v>
      </c>
      <c r="J96" t="s">
        <v>24</v>
      </c>
      <c r="L96" t="s">
        <v>60</v>
      </c>
      <c r="M96">
        <v>4</v>
      </c>
      <c r="N96">
        <v>2</v>
      </c>
      <c r="O96" t="s">
        <v>27</v>
      </c>
      <c r="S96" s="3">
        <v>11700</v>
      </c>
      <c r="T96" s="2">
        <v>21069.359375</v>
      </c>
      <c r="U96" s="2">
        <v>21186.503500319221</v>
      </c>
      <c r="V96" s="2">
        <v>20601.240961389711</v>
      </c>
      <c r="W96" s="2">
        <v>23330.3515625</v>
      </c>
      <c r="X96" s="4">
        <f t="shared" si="4"/>
        <v>0.55530876813856611</v>
      </c>
      <c r="Y96" s="4">
        <f t="shared" si="5"/>
        <v>0.55223836249448688</v>
      </c>
      <c r="Z96" s="4">
        <f t="shared" si="6"/>
        <v>0.56792695264949444</v>
      </c>
      <c r="AA96" s="4">
        <f t="shared" si="7"/>
        <v>0.50149265726479553</v>
      </c>
    </row>
    <row r="97" spans="1:27" x14ac:dyDescent="0.3">
      <c r="A97" t="s">
        <v>70</v>
      </c>
      <c r="B97">
        <v>63618</v>
      </c>
      <c r="C97">
        <v>2018</v>
      </c>
      <c r="D97" t="s">
        <v>119</v>
      </c>
      <c r="E97" t="s">
        <v>191</v>
      </c>
      <c r="F97">
        <v>4</v>
      </c>
      <c r="G97" t="s">
        <v>36</v>
      </c>
      <c r="H97">
        <v>4</v>
      </c>
      <c r="I97" t="s">
        <v>23</v>
      </c>
      <c r="J97" t="s">
        <v>24</v>
      </c>
      <c r="K97" t="s">
        <v>27</v>
      </c>
      <c r="L97" t="s">
        <v>60</v>
      </c>
      <c r="M97" t="s">
        <v>33</v>
      </c>
      <c r="N97">
        <v>0</v>
      </c>
      <c r="O97" t="s">
        <v>39</v>
      </c>
      <c r="S97" s="3">
        <v>4500</v>
      </c>
      <c r="T97" s="2">
        <v>4857.59912109375</v>
      </c>
      <c r="U97" s="2">
        <v>4479.9458934474469</v>
      </c>
      <c r="V97" s="2">
        <v>4874.0567013797681</v>
      </c>
      <c r="W97" s="2">
        <v>5406.50634765625</v>
      </c>
      <c r="X97" s="4">
        <f t="shared" si="4"/>
        <v>0.92638356682400913</v>
      </c>
      <c r="Y97" s="4">
        <f t="shared" si="5"/>
        <v>1.0044764171330474</v>
      </c>
      <c r="Z97" s="4">
        <f t="shared" si="6"/>
        <v>0.92325557040116535</v>
      </c>
      <c r="AA97" s="4">
        <f t="shared" si="7"/>
        <v>0.83233047565934604</v>
      </c>
    </row>
    <row r="98" spans="1:27" x14ac:dyDescent="0.3">
      <c r="A98" t="s">
        <v>70</v>
      </c>
      <c r="B98">
        <v>277367</v>
      </c>
      <c r="C98">
        <v>2016</v>
      </c>
      <c r="D98" t="s">
        <v>20</v>
      </c>
      <c r="E98" t="s">
        <v>175</v>
      </c>
      <c r="F98">
        <v>8</v>
      </c>
      <c r="G98" t="s">
        <v>36</v>
      </c>
      <c r="H98">
        <v>4</v>
      </c>
      <c r="I98" t="s">
        <v>23</v>
      </c>
      <c r="J98" t="s">
        <v>24</v>
      </c>
      <c r="K98" t="s">
        <v>27</v>
      </c>
      <c r="L98" t="s">
        <v>43</v>
      </c>
      <c r="M98" t="s">
        <v>78</v>
      </c>
      <c r="N98">
        <v>0</v>
      </c>
      <c r="O98" t="s">
        <v>27</v>
      </c>
      <c r="S98" s="3">
        <v>6300</v>
      </c>
      <c r="T98" s="2">
        <v>6093.5068359375</v>
      </c>
      <c r="U98" s="2">
        <v>7905.2075671830917</v>
      </c>
      <c r="V98" s="2">
        <v>6435.0125662418113</v>
      </c>
      <c r="W98" s="2">
        <v>8135.32177734375</v>
      </c>
      <c r="X98" s="4">
        <f t="shared" si="4"/>
        <v>1.0338874099303001</v>
      </c>
      <c r="Y98" s="4">
        <f t="shared" si="5"/>
        <v>0.79694302097179659</v>
      </c>
      <c r="Z98" s="4">
        <f t="shared" si="6"/>
        <v>0.97901906719652898</v>
      </c>
      <c r="AA98" s="4">
        <f t="shared" si="7"/>
        <v>0.77440083778185875</v>
      </c>
    </row>
    <row r="99" spans="1:27" x14ac:dyDescent="0.3">
      <c r="A99" t="s">
        <v>70</v>
      </c>
      <c r="B99">
        <v>144722</v>
      </c>
      <c r="C99">
        <v>2011</v>
      </c>
      <c r="D99" t="s">
        <v>100</v>
      </c>
      <c r="E99" t="s">
        <v>192</v>
      </c>
      <c r="F99">
        <v>4</v>
      </c>
      <c r="G99" t="s">
        <v>30</v>
      </c>
      <c r="H99">
        <v>4</v>
      </c>
      <c r="I99" t="s">
        <v>23</v>
      </c>
      <c r="J99" t="s">
        <v>31</v>
      </c>
      <c r="K99" t="s">
        <v>27</v>
      </c>
      <c r="L99" t="s">
        <v>127</v>
      </c>
      <c r="M99" t="s">
        <v>33</v>
      </c>
      <c r="N99">
        <v>0</v>
      </c>
      <c r="O99" t="s">
        <v>27</v>
      </c>
      <c r="S99" s="3">
        <v>900</v>
      </c>
      <c r="T99" s="2">
        <v>2050.9912109375</v>
      </c>
      <c r="U99" s="2">
        <v>2224.6634634316069</v>
      </c>
      <c r="V99" s="2">
        <v>3174.680076001719</v>
      </c>
      <c r="W99" s="2">
        <v>2334.1591796875</v>
      </c>
      <c r="X99" s="4">
        <f t="shared" si="4"/>
        <v>0.43881221684446592</v>
      </c>
      <c r="Y99" s="4">
        <f t="shared" si="5"/>
        <v>0.40455557201974462</v>
      </c>
      <c r="Z99" s="4">
        <f t="shared" si="6"/>
        <v>0.28349313267921006</v>
      </c>
      <c r="AA99" s="4">
        <f t="shared" si="7"/>
        <v>0.38557781655683526</v>
      </c>
    </row>
    <row r="100" spans="1:27" x14ac:dyDescent="0.3">
      <c r="A100" t="s">
        <v>70</v>
      </c>
      <c r="B100">
        <v>91233</v>
      </c>
      <c r="C100">
        <v>2015</v>
      </c>
      <c r="D100" t="s">
        <v>85</v>
      </c>
      <c r="E100" t="s">
        <v>193</v>
      </c>
      <c r="F100">
        <v>6</v>
      </c>
      <c r="G100" t="s">
        <v>59</v>
      </c>
      <c r="H100">
        <v>4</v>
      </c>
      <c r="I100" t="s">
        <v>23</v>
      </c>
      <c r="J100" t="s">
        <v>31</v>
      </c>
      <c r="K100" t="s">
        <v>27</v>
      </c>
      <c r="L100" t="s">
        <v>194</v>
      </c>
      <c r="M100" t="s">
        <v>33</v>
      </c>
      <c r="N100">
        <v>0</v>
      </c>
      <c r="S100" s="3">
        <v>4200</v>
      </c>
      <c r="T100" s="2">
        <v>7843.3154296875</v>
      </c>
      <c r="U100" s="2">
        <v>8820.6290316270388</v>
      </c>
      <c r="V100" s="2">
        <v>7607.0952278811401</v>
      </c>
      <c r="W100" s="2">
        <v>10146.123046875</v>
      </c>
      <c r="X100" s="4">
        <f t="shared" si="4"/>
        <v>0.53548783517015075</v>
      </c>
      <c r="Y100" s="4">
        <f t="shared" si="5"/>
        <v>0.47615651728925218</v>
      </c>
      <c r="Z100" s="4">
        <f t="shared" si="6"/>
        <v>0.55211613292369111</v>
      </c>
      <c r="AA100" s="4">
        <f t="shared" si="7"/>
        <v>0.41395121866707474</v>
      </c>
    </row>
    <row r="101" spans="1:27" x14ac:dyDescent="0.3">
      <c r="A101" t="s">
        <v>70</v>
      </c>
      <c r="B101">
        <v>103966</v>
      </c>
      <c r="C101">
        <v>2019</v>
      </c>
      <c r="D101" t="s">
        <v>90</v>
      </c>
      <c r="E101" t="s">
        <v>195</v>
      </c>
      <c r="F101">
        <v>4</v>
      </c>
      <c r="G101" t="s">
        <v>47</v>
      </c>
      <c r="H101">
        <v>4</v>
      </c>
      <c r="I101" t="s">
        <v>23</v>
      </c>
      <c r="J101" t="s">
        <v>24</v>
      </c>
      <c r="L101" t="s">
        <v>127</v>
      </c>
      <c r="M101" t="s">
        <v>33</v>
      </c>
      <c r="N101">
        <v>0</v>
      </c>
      <c r="S101" s="3">
        <v>7400</v>
      </c>
      <c r="T101" s="2">
        <v>10419.376953125</v>
      </c>
      <c r="U101" s="2">
        <v>9451.7994706510508</v>
      </c>
      <c r="V101" s="2">
        <v>11055.51030442979</v>
      </c>
      <c r="W101" s="2">
        <v>11427.466796875</v>
      </c>
      <c r="X101" s="4">
        <f t="shared" si="4"/>
        <v>0.7102152108798192</v>
      </c>
      <c r="Y101" s="4">
        <f t="shared" si="5"/>
        <v>0.78291969936284311</v>
      </c>
      <c r="Z101" s="4">
        <f t="shared" si="6"/>
        <v>0.66934947336034978</v>
      </c>
      <c r="AA101" s="4">
        <f t="shared" si="7"/>
        <v>0.64756259033923713</v>
      </c>
    </row>
    <row r="102" spans="1:27" x14ac:dyDescent="0.3">
      <c r="A102" t="s">
        <v>19</v>
      </c>
      <c r="B102">
        <v>286085</v>
      </c>
      <c r="C102">
        <v>2018</v>
      </c>
      <c r="D102" t="s">
        <v>44</v>
      </c>
      <c r="E102" t="s">
        <v>196</v>
      </c>
      <c r="F102">
        <v>6</v>
      </c>
      <c r="G102" t="s">
        <v>47</v>
      </c>
      <c r="H102">
        <v>3</v>
      </c>
      <c r="I102" t="s">
        <v>23</v>
      </c>
      <c r="J102" t="s">
        <v>197</v>
      </c>
      <c r="K102" t="s">
        <v>25</v>
      </c>
      <c r="L102" t="s">
        <v>198</v>
      </c>
      <c r="M102" t="s">
        <v>78</v>
      </c>
      <c r="N102">
        <v>2.9</v>
      </c>
      <c r="O102" t="s">
        <v>27</v>
      </c>
      <c r="S102" s="3">
        <v>2400</v>
      </c>
      <c r="T102" s="2">
        <v>3933.574462890625</v>
      </c>
      <c r="U102" s="2">
        <v>5422.6423400030071</v>
      </c>
      <c r="V102" s="2">
        <v>3009.0100844383619</v>
      </c>
      <c r="W102" s="2">
        <v>4719.04541015625</v>
      </c>
      <c r="X102" s="4">
        <f t="shared" si="4"/>
        <v>0.6101320879118014</v>
      </c>
      <c r="Y102" s="4">
        <f t="shared" si="5"/>
        <v>0.44258865872364894</v>
      </c>
      <c r="Z102" s="4">
        <f t="shared" si="6"/>
        <v>0.79760450535278449</v>
      </c>
      <c r="AA102" s="4">
        <f t="shared" si="7"/>
        <v>0.50857743280765222</v>
      </c>
    </row>
    <row r="103" spans="1:27" x14ac:dyDescent="0.3">
      <c r="A103" t="s">
        <v>19</v>
      </c>
      <c r="B103">
        <v>143578</v>
      </c>
      <c r="C103">
        <v>2011</v>
      </c>
      <c r="D103" t="s">
        <v>40</v>
      </c>
      <c r="E103" t="s">
        <v>150</v>
      </c>
      <c r="F103">
        <v>6</v>
      </c>
      <c r="G103" t="s">
        <v>66</v>
      </c>
      <c r="H103">
        <v>4</v>
      </c>
      <c r="I103" t="s">
        <v>23</v>
      </c>
      <c r="J103" t="s">
        <v>24</v>
      </c>
      <c r="K103" t="s">
        <v>25</v>
      </c>
      <c r="L103" t="s">
        <v>26</v>
      </c>
      <c r="M103" t="s">
        <v>23</v>
      </c>
      <c r="N103">
        <v>0</v>
      </c>
      <c r="O103" t="s">
        <v>199</v>
      </c>
      <c r="S103" s="3">
        <v>450</v>
      </c>
      <c r="T103" s="2">
        <v>785.17767333984375</v>
      </c>
      <c r="U103" s="2">
        <v>1417.11126061096</v>
      </c>
      <c r="V103" s="2">
        <v>-404.70640222501419</v>
      </c>
      <c r="W103" s="2">
        <v>1452.494262695312</v>
      </c>
      <c r="X103" s="4">
        <f t="shared" si="4"/>
        <v>0.57311869055811682</v>
      </c>
      <c r="Y103" s="4">
        <f t="shared" si="5"/>
        <v>0.317547402598432</v>
      </c>
      <c r="Z103" s="4">
        <f t="shared" si="6"/>
        <v>-1.1119171763183595</v>
      </c>
      <c r="AA103" s="4">
        <f t="shared" si="7"/>
        <v>0.30981189499844236</v>
      </c>
    </row>
    <row r="104" spans="1:27" x14ac:dyDescent="0.3">
      <c r="A104" t="s">
        <v>19</v>
      </c>
      <c r="B104">
        <v>253990</v>
      </c>
      <c r="C104">
        <v>2003</v>
      </c>
      <c r="D104" t="s">
        <v>40</v>
      </c>
      <c r="E104" t="s">
        <v>146</v>
      </c>
      <c r="F104">
        <v>8</v>
      </c>
      <c r="G104" t="s">
        <v>171</v>
      </c>
      <c r="H104">
        <v>4</v>
      </c>
      <c r="I104" t="s">
        <v>23</v>
      </c>
      <c r="J104" t="s">
        <v>24</v>
      </c>
      <c r="K104" t="s">
        <v>25</v>
      </c>
      <c r="L104" t="s">
        <v>43</v>
      </c>
      <c r="M104">
        <v>4</v>
      </c>
      <c r="N104">
        <v>1</v>
      </c>
      <c r="O104" t="s">
        <v>27</v>
      </c>
      <c r="S104" s="3">
        <v>450</v>
      </c>
      <c r="T104" s="2">
        <v>762.62176513671875</v>
      </c>
      <c r="U104" s="2">
        <v>7858.62539582301</v>
      </c>
      <c r="V104" s="2">
        <v>-413.38261549118403</v>
      </c>
      <c r="W104" s="2">
        <v>4239.1962890625</v>
      </c>
      <c r="X104" s="4">
        <f t="shared" si="4"/>
        <v>0.59006970502517253</v>
      </c>
      <c r="Y104" s="4">
        <f t="shared" si="5"/>
        <v>5.7261922707141949E-2</v>
      </c>
      <c r="Z104" s="4">
        <f t="shared" si="6"/>
        <v>-1.0885798849216408</v>
      </c>
      <c r="AA104" s="4">
        <f t="shared" si="7"/>
        <v>0.10615219709477471</v>
      </c>
    </row>
    <row r="105" spans="1:27" x14ac:dyDescent="0.3">
      <c r="A105" t="s">
        <v>19</v>
      </c>
      <c r="B105">
        <v>61387</v>
      </c>
      <c r="C105">
        <v>2017</v>
      </c>
      <c r="D105" t="s">
        <v>44</v>
      </c>
      <c r="E105" t="s">
        <v>117</v>
      </c>
      <c r="F105">
        <v>4</v>
      </c>
      <c r="G105" t="s">
        <v>59</v>
      </c>
      <c r="H105">
        <v>4</v>
      </c>
      <c r="I105" t="s">
        <v>23</v>
      </c>
      <c r="J105" t="s">
        <v>62</v>
      </c>
      <c r="K105" t="s">
        <v>25</v>
      </c>
      <c r="L105" t="s">
        <v>200</v>
      </c>
      <c r="M105">
        <v>4</v>
      </c>
      <c r="N105">
        <v>0</v>
      </c>
      <c r="O105" t="s">
        <v>27</v>
      </c>
      <c r="S105" s="3">
        <v>2900</v>
      </c>
      <c r="T105" s="2">
        <v>10595.2880859375</v>
      </c>
      <c r="U105" s="2">
        <v>11558.94555559338</v>
      </c>
      <c r="V105" s="2">
        <v>11919.860569641451</v>
      </c>
      <c r="W105" s="2">
        <v>10851.3916015625</v>
      </c>
      <c r="X105" s="4">
        <f t="shared" si="4"/>
        <v>0.27370657375980167</v>
      </c>
      <c r="Y105" s="4">
        <f t="shared" si="5"/>
        <v>0.250887936624694</v>
      </c>
      <c r="Z105" s="4">
        <f t="shared" si="6"/>
        <v>0.24329143642719908</v>
      </c>
      <c r="AA105" s="4">
        <f t="shared" si="7"/>
        <v>0.26724682939121164</v>
      </c>
    </row>
    <row r="106" spans="1:27" x14ac:dyDescent="0.3">
      <c r="A106" t="s">
        <v>19</v>
      </c>
      <c r="B106">
        <v>167381</v>
      </c>
      <c r="C106">
        <v>2016</v>
      </c>
      <c r="D106" t="s">
        <v>81</v>
      </c>
      <c r="E106" t="s">
        <v>201</v>
      </c>
      <c r="F106">
        <v>6</v>
      </c>
      <c r="G106" t="s">
        <v>47</v>
      </c>
      <c r="H106">
        <v>4</v>
      </c>
      <c r="I106" t="s">
        <v>23</v>
      </c>
      <c r="J106" t="s">
        <v>24</v>
      </c>
      <c r="K106" t="s">
        <v>25</v>
      </c>
      <c r="L106" t="s">
        <v>26</v>
      </c>
      <c r="M106" t="s">
        <v>23</v>
      </c>
      <c r="N106">
        <v>1.4</v>
      </c>
      <c r="O106" t="s">
        <v>27</v>
      </c>
      <c r="S106" s="3">
        <v>1200</v>
      </c>
      <c r="T106" s="2">
        <v>2297.323974609375</v>
      </c>
      <c r="U106" s="2">
        <v>3197.159687687898</v>
      </c>
      <c r="V106" s="2">
        <v>1673.76729249914</v>
      </c>
      <c r="W106" s="2">
        <v>2463.8193359375</v>
      </c>
      <c r="X106" s="4">
        <f t="shared" si="4"/>
        <v>0.52234687543538205</v>
      </c>
      <c r="Y106" s="4">
        <f t="shared" si="5"/>
        <v>0.37533314479759644</v>
      </c>
      <c r="Z106" s="4">
        <f t="shared" si="6"/>
        <v>0.7169455427750967</v>
      </c>
      <c r="AA106" s="4">
        <f t="shared" si="7"/>
        <v>0.48704869813167201</v>
      </c>
    </row>
    <row r="107" spans="1:27" x14ac:dyDescent="0.3">
      <c r="A107" t="s">
        <v>19</v>
      </c>
      <c r="B107">
        <v>205213</v>
      </c>
      <c r="C107">
        <v>2008</v>
      </c>
      <c r="D107" t="s">
        <v>54</v>
      </c>
      <c r="E107" t="s">
        <v>55</v>
      </c>
      <c r="F107">
        <v>6</v>
      </c>
      <c r="G107" t="s">
        <v>47</v>
      </c>
      <c r="H107">
        <v>4</v>
      </c>
      <c r="I107" t="s">
        <v>23</v>
      </c>
      <c r="J107" t="s">
        <v>24</v>
      </c>
      <c r="K107" t="s">
        <v>25</v>
      </c>
      <c r="L107" t="s">
        <v>57</v>
      </c>
      <c r="M107">
        <v>4</v>
      </c>
      <c r="N107">
        <v>0</v>
      </c>
      <c r="O107" t="s">
        <v>27</v>
      </c>
      <c r="S107" s="3">
        <v>800</v>
      </c>
      <c r="T107" s="2">
        <v>1049.296875</v>
      </c>
      <c r="U107" s="2">
        <v>2116.1307610450799</v>
      </c>
      <c r="V107" s="2">
        <v>-1108.4713851874681</v>
      </c>
      <c r="W107" s="2">
        <v>1609.536010742188</v>
      </c>
      <c r="X107" s="4">
        <f t="shared" si="4"/>
        <v>0.76241530786985334</v>
      </c>
      <c r="Y107" s="4">
        <f t="shared" si="5"/>
        <v>0.37804847163835431</v>
      </c>
      <c r="Z107" s="4">
        <f t="shared" si="6"/>
        <v>-0.72171461590296404</v>
      </c>
      <c r="AA107" s="4">
        <f t="shared" si="7"/>
        <v>0.49703765225551222</v>
      </c>
    </row>
    <row r="108" spans="1:27" x14ac:dyDescent="0.3">
      <c r="A108" t="s">
        <v>19</v>
      </c>
      <c r="B108">
        <v>165595</v>
      </c>
      <c r="C108">
        <v>2016</v>
      </c>
      <c r="D108" t="s">
        <v>44</v>
      </c>
      <c r="E108" t="s">
        <v>117</v>
      </c>
      <c r="F108">
        <v>4</v>
      </c>
      <c r="G108" t="s">
        <v>59</v>
      </c>
      <c r="H108">
        <v>4</v>
      </c>
      <c r="I108" t="s">
        <v>23</v>
      </c>
      <c r="J108" t="s">
        <v>62</v>
      </c>
      <c r="K108" t="s">
        <v>25</v>
      </c>
      <c r="L108" t="s">
        <v>118</v>
      </c>
      <c r="M108">
        <v>4</v>
      </c>
      <c r="N108">
        <v>0</v>
      </c>
      <c r="O108" t="s">
        <v>27</v>
      </c>
      <c r="S108" s="3">
        <v>2300</v>
      </c>
      <c r="T108" s="2">
        <v>2805.786376953125</v>
      </c>
      <c r="U108" s="2">
        <v>4002.5870266726179</v>
      </c>
      <c r="V108" s="2">
        <v>2911.3892086027131</v>
      </c>
      <c r="W108" s="2">
        <v>3107.09326171875</v>
      </c>
      <c r="X108" s="4">
        <f t="shared" si="4"/>
        <v>0.81973453820017073</v>
      </c>
      <c r="Y108" s="4">
        <f t="shared" si="5"/>
        <v>0.57462835527951239</v>
      </c>
      <c r="Z108" s="4">
        <f t="shared" si="6"/>
        <v>0.79000086735358133</v>
      </c>
      <c r="AA108" s="4">
        <f t="shared" si="7"/>
        <v>0.74024170060724526</v>
      </c>
    </row>
    <row r="109" spans="1:27" x14ac:dyDescent="0.3">
      <c r="A109" t="s">
        <v>19</v>
      </c>
      <c r="B109">
        <v>205848</v>
      </c>
      <c r="C109">
        <v>2015</v>
      </c>
      <c r="D109" t="s">
        <v>40</v>
      </c>
      <c r="E109" t="s">
        <v>177</v>
      </c>
      <c r="F109">
        <v>4</v>
      </c>
      <c r="G109" t="s">
        <v>47</v>
      </c>
      <c r="H109">
        <v>4</v>
      </c>
      <c r="I109" t="s">
        <v>23</v>
      </c>
      <c r="J109" t="s">
        <v>178</v>
      </c>
      <c r="K109" t="s">
        <v>25</v>
      </c>
      <c r="L109" t="s">
        <v>127</v>
      </c>
      <c r="M109" t="s">
        <v>33</v>
      </c>
      <c r="N109">
        <v>0</v>
      </c>
      <c r="O109" t="s">
        <v>27</v>
      </c>
      <c r="S109" s="3">
        <v>2300</v>
      </c>
      <c r="T109" s="2">
        <v>3315.19921875</v>
      </c>
      <c r="U109" s="2">
        <v>3903.744135205272</v>
      </c>
      <c r="V109" s="2">
        <v>1863.407997791342</v>
      </c>
      <c r="W109" s="2">
        <v>3140.275146484375</v>
      </c>
      <c r="X109" s="4">
        <f t="shared" si="4"/>
        <v>0.69377429476688213</v>
      </c>
      <c r="Y109" s="4">
        <f t="shared" si="5"/>
        <v>0.58917795847781873</v>
      </c>
      <c r="Z109" s="4">
        <f t="shared" si="6"/>
        <v>1.2342975895381694</v>
      </c>
      <c r="AA109" s="4">
        <f t="shared" si="7"/>
        <v>0.73241989721025358</v>
      </c>
    </row>
    <row r="110" spans="1:27" x14ac:dyDescent="0.3">
      <c r="A110" t="s">
        <v>19</v>
      </c>
      <c r="B110">
        <v>84490</v>
      </c>
      <c r="C110">
        <v>2007</v>
      </c>
      <c r="D110" t="s">
        <v>81</v>
      </c>
      <c r="E110" t="s">
        <v>202</v>
      </c>
      <c r="F110">
        <v>4</v>
      </c>
      <c r="G110" t="s">
        <v>30</v>
      </c>
      <c r="H110">
        <v>4</v>
      </c>
      <c r="I110" t="s">
        <v>23</v>
      </c>
      <c r="J110" t="s">
        <v>31</v>
      </c>
      <c r="K110" t="s">
        <v>25</v>
      </c>
      <c r="L110" t="s">
        <v>127</v>
      </c>
      <c r="M110" t="s">
        <v>33</v>
      </c>
      <c r="N110">
        <v>0</v>
      </c>
      <c r="O110" t="s">
        <v>27</v>
      </c>
      <c r="S110" s="3">
        <v>1500</v>
      </c>
      <c r="T110" s="2">
        <v>3294.9931640625</v>
      </c>
      <c r="U110" s="2">
        <v>2611.0538229992399</v>
      </c>
      <c r="V110" s="2">
        <v>1868.339835898701</v>
      </c>
      <c r="W110" s="2">
        <v>3107.39111328125</v>
      </c>
      <c r="X110" s="4">
        <f t="shared" si="4"/>
        <v>0.45523614930678735</v>
      </c>
      <c r="Y110" s="4">
        <f t="shared" si="5"/>
        <v>0.5744806892862111</v>
      </c>
      <c r="Z110" s="4">
        <f t="shared" si="6"/>
        <v>0.80285179985924582</v>
      </c>
      <c r="AA110" s="4">
        <f t="shared" si="7"/>
        <v>0.4827200520683973</v>
      </c>
    </row>
    <row r="111" spans="1:27" x14ac:dyDescent="0.3">
      <c r="A111" t="s">
        <v>19</v>
      </c>
      <c r="B111">
        <v>187356</v>
      </c>
      <c r="C111">
        <v>2019</v>
      </c>
      <c r="D111" t="s">
        <v>40</v>
      </c>
      <c r="E111" t="s">
        <v>41</v>
      </c>
      <c r="F111">
        <v>8</v>
      </c>
      <c r="G111" t="s">
        <v>36</v>
      </c>
      <c r="H111">
        <v>4</v>
      </c>
      <c r="I111" t="s">
        <v>23</v>
      </c>
      <c r="J111" t="s">
        <v>42</v>
      </c>
      <c r="K111" t="s">
        <v>25</v>
      </c>
      <c r="L111" t="s">
        <v>166</v>
      </c>
      <c r="M111">
        <v>4</v>
      </c>
      <c r="N111">
        <v>0</v>
      </c>
      <c r="O111" t="s">
        <v>27</v>
      </c>
      <c r="S111" s="3">
        <v>18300</v>
      </c>
      <c r="T111" s="2">
        <v>10744.8984375</v>
      </c>
      <c r="U111" s="2">
        <v>19937.791512142601</v>
      </c>
      <c r="V111" s="2">
        <v>10643.07892180773</v>
      </c>
      <c r="W111" s="2">
        <v>19549.388671875</v>
      </c>
      <c r="X111" s="4">
        <f t="shared" si="4"/>
        <v>1.7031338273177605</v>
      </c>
      <c r="Y111" s="4">
        <f t="shared" si="5"/>
        <v>0.91785491832708022</v>
      </c>
      <c r="Z111" s="4">
        <f t="shared" si="6"/>
        <v>1.7194272573233667</v>
      </c>
      <c r="AA111" s="4">
        <f t="shared" si="7"/>
        <v>0.93609065261092028</v>
      </c>
    </row>
    <row r="112" spans="1:27" x14ac:dyDescent="0.3">
      <c r="A112" t="s">
        <v>19</v>
      </c>
      <c r="B112">
        <v>135259</v>
      </c>
      <c r="C112">
        <v>2016</v>
      </c>
      <c r="D112" t="s">
        <v>44</v>
      </c>
      <c r="E112" t="s">
        <v>203</v>
      </c>
      <c r="F112">
        <v>4</v>
      </c>
      <c r="G112" t="s">
        <v>36</v>
      </c>
      <c r="H112">
        <v>4</v>
      </c>
      <c r="I112" t="s">
        <v>23</v>
      </c>
      <c r="J112" t="s">
        <v>145</v>
      </c>
      <c r="K112" t="s">
        <v>25</v>
      </c>
      <c r="L112" t="s">
        <v>118</v>
      </c>
      <c r="M112" t="s">
        <v>33</v>
      </c>
      <c r="N112">
        <v>0</v>
      </c>
      <c r="O112" t="s">
        <v>27</v>
      </c>
      <c r="S112" s="3">
        <v>900</v>
      </c>
      <c r="T112" s="2">
        <v>3518.225341796875</v>
      </c>
      <c r="U112" s="2">
        <v>3893.7891307771142</v>
      </c>
      <c r="V112" s="2">
        <v>2487.8834700317911</v>
      </c>
      <c r="W112" s="2">
        <v>2565.521240234375</v>
      </c>
      <c r="X112" s="4">
        <f t="shared" si="4"/>
        <v>0.25581078883944935</v>
      </c>
      <c r="Y112" s="4">
        <f t="shared" si="5"/>
        <v>0.23113732402359957</v>
      </c>
      <c r="Z112" s="4">
        <f t="shared" si="6"/>
        <v>0.36175327777249128</v>
      </c>
      <c r="AA112" s="4">
        <f t="shared" si="7"/>
        <v>0.35080590481401741</v>
      </c>
    </row>
    <row r="113" spans="1:27" x14ac:dyDescent="0.3">
      <c r="A113" t="s">
        <v>19</v>
      </c>
      <c r="B113">
        <v>62769</v>
      </c>
      <c r="C113">
        <v>2013</v>
      </c>
      <c r="D113" t="s">
        <v>40</v>
      </c>
      <c r="E113" t="s">
        <v>63</v>
      </c>
      <c r="F113">
        <v>4</v>
      </c>
      <c r="G113" t="s">
        <v>171</v>
      </c>
      <c r="H113">
        <v>4</v>
      </c>
      <c r="I113" t="s">
        <v>23</v>
      </c>
      <c r="J113" t="s">
        <v>24</v>
      </c>
      <c r="K113" t="s">
        <v>25</v>
      </c>
      <c r="L113" t="s">
        <v>60</v>
      </c>
      <c r="M113" t="s">
        <v>33</v>
      </c>
      <c r="N113">
        <v>0</v>
      </c>
      <c r="O113" t="s">
        <v>27</v>
      </c>
      <c r="S113" s="3">
        <v>4500</v>
      </c>
      <c r="T113" s="2">
        <v>8046.759765625</v>
      </c>
      <c r="U113" s="2">
        <v>8700.2133704958651</v>
      </c>
      <c r="V113" s="2">
        <v>5234.4014624618458</v>
      </c>
      <c r="W113" s="2">
        <v>7538.56884765625</v>
      </c>
      <c r="X113" s="4">
        <f t="shared" si="4"/>
        <v>0.55923130938040133</v>
      </c>
      <c r="Y113" s="4">
        <f t="shared" si="5"/>
        <v>0.51722869409851313</v>
      </c>
      <c r="Z113" s="4">
        <f t="shared" si="6"/>
        <v>0.85969714632540972</v>
      </c>
      <c r="AA113" s="4">
        <f t="shared" si="7"/>
        <v>0.59693027827145939</v>
      </c>
    </row>
    <row r="114" spans="1:27" x14ac:dyDescent="0.3">
      <c r="A114" t="s">
        <v>67</v>
      </c>
      <c r="B114">
        <v>47</v>
      </c>
      <c r="C114">
        <v>2024</v>
      </c>
      <c r="D114" t="s">
        <v>40</v>
      </c>
      <c r="E114" t="s">
        <v>63</v>
      </c>
      <c r="F114">
        <v>4</v>
      </c>
      <c r="G114" t="s">
        <v>47</v>
      </c>
      <c r="H114">
        <v>4</v>
      </c>
      <c r="I114" t="s">
        <v>23</v>
      </c>
      <c r="J114" t="s">
        <v>24</v>
      </c>
      <c r="K114" t="s">
        <v>27</v>
      </c>
      <c r="L114" t="s">
        <v>107</v>
      </c>
      <c r="M114" t="s">
        <v>23</v>
      </c>
      <c r="N114">
        <v>2.2000000000000002</v>
      </c>
      <c r="O114" t="s">
        <v>27</v>
      </c>
      <c r="S114" s="3">
        <v>18400</v>
      </c>
      <c r="T114" s="2">
        <v>26140.578125</v>
      </c>
      <c r="U114" s="2">
        <v>24035.85335833162</v>
      </c>
      <c r="V114" s="2">
        <v>19261.443399416279</v>
      </c>
      <c r="W114" s="2">
        <v>26484.548828125</v>
      </c>
      <c r="X114" s="4">
        <f t="shared" si="4"/>
        <v>0.70388649830214878</v>
      </c>
      <c r="Y114" s="4">
        <f t="shared" si="5"/>
        <v>0.76552305947656119</v>
      </c>
      <c r="Z114" s="4">
        <f t="shared" si="6"/>
        <v>0.95527628010253973</v>
      </c>
      <c r="AA114" s="4">
        <f t="shared" si="7"/>
        <v>0.69474470263432642</v>
      </c>
    </row>
    <row r="115" spans="1:27" x14ac:dyDescent="0.3">
      <c r="A115" t="s">
        <v>67</v>
      </c>
      <c r="B115">
        <v>2395</v>
      </c>
      <c r="C115">
        <v>2025</v>
      </c>
      <c r="D115" t="s">
        <v>44</v>
      </c>
      <c r="E115" t="s">
        <v>204</v>
      </c>
      <c r="F115">
        <v>4</v>
      </c>
      <c r="G115" t="s">
        <v>47</v>
      </c>
      <c r="H115">
        <v>4</v>
      </c>
      <c r="I115" t="s">
        <v>109</v>
      </c>
      <c r="J115" t="s">
        <v>165</v>
      </c>
      <c r="K115" t="s">
        <v>25</v>
      </c>
      <c r="L115" t="s">
        <v>205</v>
      </c>
      <c r="M115">
        <v>4</v>
      </c>
      <c r="N115">
        <v>0</v>
      </c>
      <c r="O115" t="s">
        <v>27</v>
      </c>
      <c r="S115" s="3">
        <v>40000</v>
      </c>
      <c r="T115" s="2">
        <v>39376.828125</v>
      </c>
      <c r="U115" s="2">
        <v>45763.22556863902</v>
      </c>
      <c r="V115" s="2">
        <v>58124.372390991753</v>
      </c>
      <c r="W115" s="2">
        <v>42489.08984375</v>
      </c>
      <c r="X115" s="4">
        <f t="shared" si="4"/>
        <v>1.0158258525298627</v>
      </c>
      <c r="Y115" s="4">
        <f t="shared" si="5"/>
        <v>0.87406426236291157</v>
      </c>
      <c r="Z115" s="4">
        <f t="shared" si="6"/>
        <v>0.68817947367977583</v>
      </c>
      <c r="AA115" s="4">
        <f t="shared" si="7"/>
        <v>0.94141814162404003</v>
      </c>
    </row>
    <row r="116" spans="1:27" x14ac:dyDescent="0.3">
      <c r="A116" t="s">
        <v>179</v>
      </c>
      <c r="B116">
        <v>183196</v>
      </c>
      <c r="C116">
        <v>2008</v>
      </c>
      <c r="D116" t="s">
        <v>54</v>
      </c>
      <c r="E116" t="s">
        <v>206</v>
      </c>
      <c r="F116">
        <v>6</v>
      </c>
      <c r="G116" t="s">
        <v>56</v>
      </c>
      <c r="H116">
        <v>4</v>
      </c>
      <c r="I116" t="s">
        <v>23</v>
      </c>
      <c r="J116" t="s">
        <v>24</v>
      </c>
      <c r="K116" t="s">
        <v>27</v>
      </c>
      <c r="L116" t="s">
        <v>143</v>
      </c>
      <c r="M116">
        <v>4</v>
      </c>
      <c r="N116">
        <v>3</v>
      </c>
      <c r="O116" t="s">
        <v>27</v>
      </c>
      <c r="S116" s="3">
        <v>3500</v>
      </c>
      <c r="T116" s="2">
        <v>4678.228515625</v>
      </c>
      <c r="U116" s="2">
        <v>6005.4786048506676</v>
      </c>
      <c r="V116" s="2">
        <v>9072.8025786001781</v>
      </c>
      <c r="W116" s="2">
        <v>5553.77197265625</v>
      </c>
      <c r="X116" s="4">
        <f t="shared" si="4"/>
        <v>0.74814643797544556</v>
      </c>
      <c r="Y116" s="4">
        <f t="shared" si="5"/>
        <v>0.58280117710735413</v>
      </c>
      <c r="Z116" s="4">
        <f t="shared" si="6"/>
        <v>0.38576834111384434</v>
      </c>
      <c r="AA116" s="4">
        <f t="shared" si="7"/>
        <v>0.63020232325563508</v>
      </c>
    </row>
    <row r="117" spans="1:27" x14ac:dyDescent="0.3">
      <c r="A117" t="s">
        <v>184</v>
      </c>
      <c r="B117">
        <v>50666</v>
      </c>
      <c r="C117">
        <v>2023</v>
      </c>
      <c r="D117" t="s">
        <v>81</v>
      </c>
      <c r="E117" t="s">
        <v>207</v>
      </c>
      <c r="F117">
        <v>6</v>
      </c>
      <c r="G117" t="s">
        <v>66</v>
      </c>
      <c r="H117">
        <v>4</v>
      </c>
      <c r="I117" t="s">
        <v>23</v>
      </c>
      <c r="J117" t="s">
        <v>31</v>
      </c>
      <c r="L117" t="s">
        <v>26</v>
      </c>
      <c r="M117" t="s">
        <v>78</v>
      </c>
      <c r="N117">
        <v>0</v>
      </c>
      <c r="S117" s="3">
        <v>18900</v>
      </c>
      <c r="T117" s="2">
        <v>31612.67578125</v>
      </c>
      <c r="U117" s="2">
        <v>30382.843095201701</v>
      </c>
      <c r="V117" s="2">
        <v>23653.926619234091</v>
      </c>
      <c r="W117" s="2">
        <v>32217.103515625</v>
      </c>
      <c r="X117" s="4">
        <f t="shared" si="4"/>
        <v>0.59786144427577692</v>
      </c>
      <c r="Y117" s="4">
        <f t="shared" si="5"/>
        <v>0.62206160038343605</v>
      </c>
      <c r="Z117" s="4">
        <f t="shared" si="6"/>
        <v>0.79902167214096054</v>
      </c>
      <c r="AA117" s="4">
        <f t="shared" si="7"/>
        <v>0.58664491644426298</v>
      </c>
    </row>
    <row r="118" spans="1:27" x14ac:dyDescent="0.3">
      <c r="A118" t="s">
        <v>70</v>
      </c>
      <c r="B118">
        <v>109733</v>
      </c>
      <c r="C118">
        <v>2016</v>
      </c>
      <c r="D118" t="s">
        <v>40</v>
      </c>
      <c r="E118" t="s">
        <v>208</v>
      </c>
      <c r="F118">
        <v>6</v>
      </c>
      <c r="G118" t="s">
        <v>47</v>
      </c>
      <c r="H118">
        <v>2</v>
      </c>
      <c r="I118" t="s">
        <v>23</v>
      </c>
      <c r="J118" t="s">
        <v>209</v>
      </c>
      <c r="L118" t="s">
        <v>26</v>
      </c>
      <c r="M118" t="s">
        <v>78</v>
      </c>
      <c r="N118">
        <v>1</v>
      </c>
      <c r="O118" t="s">
        <v>27</v>
      </c>
      <c r="S118" s="3">
        <v>5200</v>
      </c>
      <c r="T118" s="2">
        <v>9972.291015625</v>
      </c>
      <c r="U118" s="2">
        <v>9913.137343662469</v>
      </c>
      <c r="V118" s="2">
        <v>8173.915531001523</v>
      </c>
      <c r="W118" s="2">
        <v>9523.478515625</v>
      </c>
      <c r="X118" s="4">
        <f t="shared" si="4"/>
        <v>0.52144487077768031</v>
      </c>
      <c r="Y118" s="4">
        <f t="shared" si="5"/>
        <v>0.52455643654774875</v>
      </c>
      <c r="Z118" s="4">
        <f t="shared" si="6"/>
        <v>0.63617001916373617</v>
      </c>
      <c r="AA118" s="4">
        <f t="shared" si="7"/>
        <v>0.54601897735879312</v>
      </c>
    </row>
    <row r="119" spans="1:27" x14ac:dyDescent="0.3">
      <c r="A119" t="s">
        <v>70</v>
      </c>
      <c r="B119">
        <v>84695</v>
      </c>
      <c r="C119">
        <v>2015</v>
      </c>
      <c r="D119" t="s">
        <v>44</v>
      </c>
      <c r="E119" t="s">
        <v>210</v>
      </c>
      <c r="F119">
        <v>4</v>
      </c>
      <c r="G119" t="s">
        <v>22</v>
      </c>
      <c r="H119">
        <v>4</v>
      </c>
      <c r="I119" t="s">
        <v>23</v>
      </c>
      <c r="J119" t="s">
        <v>37</v>
      </c>
      <c r="K119" t="s">
        <v>27</v>
      </c>
      <c r="L119" t="s">
        <v>200</v>
      </c>
      <c r="M119" t="s">
        <v>33</v>
      </c>
      <c r="N119">
        <v>0</v>
      </c>
      <c r="O119" t="s">
        <v>39</v>
      </c>
      <c r="S119" s="3">
        <v>1000</v>
      </c>
      <c r="T119" s="2">
        <v>4141.3359375</v>
      </c>
      <c r="U119" s="2">
        <v>2809.3358482787148</v>
      </c>
      <c r="V119" s="2">
        <v>2892.235903201748</v>
      </c>
      <c r="W119" s="2">
        <v>2583.000244140625</v>
      </c>
      <c r="X119" s="4">
        <f t="shared" si="4"/>
        <v>0.24146797436666534</v>
      </c>
      <c r="Y119" s="4">
        <f t="shared" si="5"/>
        <v>0.35595601736713034</v>
      </c>
      <c r="Z119" s="4">
        <f t="shared" si="6"/>
        <v>0.34575326268959777</v>
      </c>
      <c r="AA119" s="4">
        <f t="shared" si="7"/>
        <v>0.38714669201771762</v>
      </c>
    </row>
    <row r="120" spans="1:27" x14ac:dyDescent="0.3">
      <c r="A120" t="s">
        <v>70</v>
      </c>
      <c r="B120">
        <v>254000</v>
      </c>
      <c r="C120">
        <v>2012</v>
      </c>
      <c r="D120" t="s">
        <v>81</v>
      </c>
      <c r="E120" t="s">
        <v>105</v>
      </c>
      <c r="F120">
        <v>6</v>
      </c>
      <c r="G120" t="s">
        <v>59</v>
      </c>
      <c r="H120">
        <v>4</v>
      </c>
      <c r="I120" t="s">
        <v>23</v>
      </c>
      <c r="J120" t="s">
        <v>106</v>
      </c>
      <c r="L120" t="s">
        <v>26</v>
      </c>
      <c r="M120" t="s">
        <v>33</v>
      </c>
      <c r="N120">
        <v>1.3</v>
      </c>
      <c r="O120" t="s">
        <v>27</v>
      </c>
      <c r="S120" s="3">
        <v>200</v>
      </c>
      <c r="T120" s="2">
        <v>2216.104248046875</v>
      </c>
      <c r="U120" s="2">
        <v>1605.9509824468639</v>
      </c>
      <c r="V120" s="2">
        <v>986.31624813563758</v>
      </c>
      <c r="W120" s="2">
        <v>1617.721801757812</v>
      </c>
      <c r="X120" s="4">
        <f t="shared" si="4"/>
        <v>9.0248461991924128E-2</v>
      </c>
      <c r="Y120" s="4">
        <f t="shared" si="5"/>
        <v>0.12453680229721295</v>
      </c>
      <c r="Z120" s="4">
        <f t="shared" si="6"/>
        <v>0.20277471893831778</v>
      </c>
      <c r="AA120" s="4">
        <f t="shared" si="7"/>
        <v>0.12363065131636389</v>
      </c>
    </row>
    <row r="121" spans="1:27" x14ac:dyDescent="0.3">
      <c r="A121" t="s">
        <v>70</v>
      </c>
      <c r="B121">
        <v>162672</v>
      </c>
      <c r="C121">
        <v>2017</v>
      </c>
      <c r="D121" t="s">
        <v>40</v>
      </c>
      <c r="E121" t="s">
        <v>211</v>
      </c>
      <c r="F121">
        <v>4</v>
      </c>
      <c r="G121" t="s">
        <v>36</v>
      </c>
      <c r="H121">
        <v>4</v>
      </c>
      <c r="I121" t="s">
        <v>23</v>
      </c>
      <c r="J121" t="s">
        <v>31</v>
      </c>
      <c r="L121" t="s">
        <v>73</v>
      </c>
      <c r="M121" t="s">
        <v>33</v>
      </c>
      <c r="N121">
        <v>1.6</v>
      </c>
      <c r="O121" t="s">
        <v>27</v>
      </c>
      <c r="S121" s="3">
        <v>1000</v>
      </c>
      <c r="T121" s="2">
        <v>5726.36767578125</v>
      </c>
      <c r="U121" s="2">
        <v>3697.4640282768501</v>
      </c>
      <c r="V121" s="2">
        <v>3361.3371042110398</v>
      </c>
      <c r="W121" s="2">
        <v>4232.4091796875</v>
      </c>
      <c r="X121" s="4">
        <f t="shared" si="4"/>
        <v>0.17463077060687859</v>
      </c>
      <c r="Y121" s="4">
        <f t="shared" si="5"/>
        <v>0.27045563996089383</v>
      </c>
      <c r="Z121" s="4">
        <f t="shared" si="6"/>
        <v>0.29750065792187663</v>
      </c>
      <c r="AA121" s="4">
        <f t="shared" si="7"/>
        <v>0.23627205157745051</v>
      </c>
    </row>
    <row r="122" spans="1:27" x14ac:dyDescent="0.3">
      <c r="A122" t="s">
        <v>70</v>
      </c>
      <c r="B122">
        <v>146004</v>
      </c>
      <c r="C122">
        <v>2015</v>
      </c>
      <c r="D122" t="s">
        <v>90</v>
      </c>
      <c r="E122" t="s">
        <v>91</v>
      </c>
      <c r="F122">
        <v>4</v>
      </c>
      <c r="G122" t="s">
        <v>171</v>
      </c>
      <c r="H122">
        <v>4</v>
      </c>
      <c r="I122" t="s">
        <v>23</v>
      </c>
      <c r="J122" t="s">
        <v>31</v>
      </c>
      <c r="L122" t="s">
        <v>32</v>
      </c>
      <c r="M122" t="s">
        <v>33</v>
      </c>
      <c r="N122">
        <v>1</v>
      </c>
      <c r="O122" t="s">
        <v>27</v>
      </c>
      <c r="S122" s="3">
        <v>3400</v>
      </c>
      <c r="T122" s="2">
        <v>3614.676025390625</v>
      </c>
      <c r="U122" s="2">
        <v>2181.4735910976119</v>
      </c>
      <c r="V122" s="2">
        <v>2550.3765006644612</v>
      </c>
      <c r="W122" s="2">
        <v>3104.991455078125</v>
      </c>
      <c r="X122" s="4">
        <f t="shared" si="4"/>
        <v>0.94060988484647789</v>
      </c>
      <c r="Y122" s="4">
        <f t="shared" si="5"/>
        <v>1.5585794913470781</v>
      </c>
      <c r="Z122" s="4">
        <f t="shared" si="6"/>
        <v>1.3331364993028216</v>
      </c>
      <c r="AA122" s="4">
        <f t="shared" si="7"/>
        <v>1.0950110649867963</v>
      </c>
    </row>
    <row r="123" spans="1:27" x14ac:dyDescent="0.3">
      <c r="A123" t="s">
        <v>70</v>
      </c>
      <c r="B123">
        <v>155093</v>
      </c>
      <c r="C123">
        <v>2017</v>
      </c>
      <c r="D123" t="s">
        <v>71</v>
      </c>
      <c r="E123" t="s">
        <v>212</v>
      </c>
      <c r="F123">
        <v>6</v>
      </c>
      <c r="G123" t="s">
        <v>66</v>
      </c>
      <c r="H123">
        <v>4</v>
      </c>
      <c r="I123" t="s">
        <v>23</v>
      </c>
      <c r="J123" t="s">
        <v>31</v>
      </c>
      <c r="K123" t="s">
        <v>27</v>
      </c>
      <c r="L123" t="s">
        <v>26</v>
      </c>
      <c r="M123" t="s">
        <v>33</v>
      </c>
      <c r="N123">
        <v>2</v>
      </c>
      <c r="O123" t="s">
        <v>27</v>
      </c>
      <c r="S123" s="3">
        <v>4000</v>
      </c>
      <c r="T123" s="2">
        <v>6360.765625</v>
      </c>
      <c r="U123" s="2">
        <v>6108.4815649287184</v>
      </c>
      <c r="V123" s="2">
        <v>6463.5846456036334</v>
      </c>
      <c r="W123" s="2">
        <v>6608.0576171875</v>
      </c>
      <c r="X123" s="4">
        <f t="shared" si="4"/>
        <v>0.62885511522050463</v>
      </c>
      <c r="Y123" s="4">
        <f t="shared" si="5"/>
        <v>0.65482721974076663</v>
      </c>
      <c r="Z123" s="4">
        <f t="shared" si="6"/>
        <v>0.61885164646535551</v>
      </c>
      <c r="AA123" s="4">
        <f t="shared" si="7"/>
        <v>0.60532159852783896</v>
      </c>
    </row>
    <row r="124" spans="1:27" x14ac:dyDescent="0.3">
      <c r="A124" t="s">
        <v>70</v>
      </c>
      <c r="B124">
        <v>126100</v>
      </c>
      <c r="C124">
        <v>2012</v>
      </c>
      <c r="D124" t="s">
        <v>100</v>
      </c>
      <c r="E124" t="s">
        <v>114</v>
      </c>
      <c r="F124">
        <v>8</v>
      </c>
      <c r="G124" t="s">
        <v>66</v>
      </c>
      <c r="H124">
        <v>4</v>
      </c>
      <c r="I124" t="s">
        <v>23</v>
      </c>
      <c r="J124" t="s">
        <v>42</v>
      </c>
      <c r="K124" t="s">
        <v>27</v>
      </c>
      <c r="L124" t="s">
        <v>115</v>
      </c>
      <c r="M124">
        <v>4</v>
      </c>
      <c r="N124">
        <v>1</v>
      </c>
      <c r="O124" t="s">
        <v>27</v>
      </c>
      <c r="S124" s="3">
        <v>4500</v>
      </c>
      <c r="T124" s="2">
        <v>5404.08984375</v>
      </c>
      <c r="U124" s="2">
        <v>5477.8391964594457</v>
      </c>
      <c r="V124" s="2">
        <v>11579.099939131611</v>
      </c>
      <c r="W124" s="2">
        <v>6673.22119140625</v>
      </c>
      <c r="X124" s="4">
        <f t="shared" si="4"/>
        <v>0.83270266226317302</v>
      </c>
      <c r="Y124" s="4">
        <f t="shared" si="5"/>
        <v>0.82149180335715888</v>
      </c>
      <c r="Z124" s="4">
        <f t="shared" si="6"/>
        <v>0.38863124281294381</v>
      </c>
      <c r="AA124" s="4">
        <f t="shared" si="7"/>
        <v>0.6743370062114955</v>
      </c>
    </row>
    <row r="125" spans="1:27" x14ac:dyDescent="0.3">
      <c r="A125" t="s">
        <v>70</v>
      </c>
      <c r="B125">
        <v>185466</v>
      </c>
      <c r="C125">
        <v>2013</v>
      </c>
      <c r="D125" t="s">
        <v>40</v>
      </c>
      <c r="E125" t="s">
        <v>208</v>
      </c>
      <c r="F125">
        <v>8</v>
      </c>
      <c r="G125" t="s">
        <v>36</v>
      </c>
      <c r="H125">
        <v>2</v>
      </c>
      <c r="I125" t="s">
        <v>23</v>
      </c>
      <c r="J125" t="s">
        <v>83</v>
      </c>
      <c r="L125" t="s">
        <v>166</v>
      </c>
      <c r="M125" t="s">
        <v>78</v>
      </c>
      <c r="N125">
        <v>1</v>
      </c>
      <c r="O125" t="s">
        <v>27</v>
      </c>
      <c r="S125" s="3">
        <v>6800</v>
      </c>
      <c r="T125" s="2">
        <v>5621.19091796875</v>
      </c>
      <c r="U125" s="2">
        <v>14707.47534335501</v>
      </c>
      <c r="V125" s="2">
        <v>5273.2261707612279</v>
      </c>
      <c r="W125" s="2">
        <v>6939.6484375</v>
      </c>
      <c r="X125" s="4">
        <f t="shared" si="4"/>
        <v>1.2097080670686808</v>
      </c>
      <c r="Y125" s="4">
        <f t="shared" si="5"/>
        <v>0.46234991670900949</v>
      </c>
      <c r="Z125" s="4">
        <f t="shared" si="6"/>
        <v>1.2895331586011551</v>
      </c>
      <c r="AA125" s="4">
        <f t="shared" si="7"/>
        <v>0.97987672736483633</v>
      </c>
    </row>
    <row r="126" spans="1:27" x14ac:dyDescent="0.3">
      <c r="A126" t="s">
        <v>70</v>
      </c>
      <c r="B126">
        <v>58989</v>
      </c>
      <c r="C126">
        <v>2018</v>
      </c>
      <c r="D126" t="s">
        <v>34</v>
      </c>
      <c r="E126" t="s">
        <v>213</v>
      </c>
      <c r="F126">
        <v>4</v>
      </c>
      <c r="G126" t="s">
        <v>22</v>
      </c>
      <c r="H126">
        <v>4</v>
      </c>
      <c r="I126" t="s">
        <v>23</v>
      </c>
      <c r="J126" t="s">
        <v>62</v>
      </c>
      <c r="L126" t="s">
        <v>96</v>
      </c>
      <c r="M126" t="s">
        <v>33</v>
      </c>
      <c r="N126">
        <v>3</v>
      </c>
      <c r="O126" t="s">
        <v>27</v>
      </c>
      <c r="S126" s="3">
        <v>13600</v>
      </c>
      <c r="T126" s="2">
        <v>12382.3271484375</v>
      </c>
      <c r="U126" s="2">
        <v>12660.31921666414</v>
      </c>
      <c r="V126" s="2">
        <v>13585.695899662711</v>
      </c>
      <c r="W126" s="2">
        <v>12716.244140625</v>
      </c>
      <c r="X126" s="4">
        <f t="shared" si="4"/>
        <v>1.0983395800292803</v>
      </c>
      <c r="Y126" s="4">
        <f t="shared" si="5"/>
        <v>1.0742225189787478</v>
      </c>
      <c r="Z126" s="4">
        <f t="shared" si="6"/>
        <v>1.0010528794728613</v>
      </c>
      <c r="AA126" s="4">
        <f t="shared" si="7"/>
        <v>1.0694981827654313</v>
      </c>
    </row>
    <row r="127" spans="1:27" x14ac:dyDescent="0.3">
      <c r="A127" t="s">
        <v>19</v>
      </c>
      <c r="B127">
        <v>253235</v>
      </c>
      <c r="C127">
        <v>1999</v>
      </c>
      <c r="D127" t="s">
        <v>40</v>
      </c>
      <c r="E127" t="s">
        <v>214</v>
      </c>
      <c r="F127">
        <v>8</v>
      </c>
      <c r="G127" t="s">
        <v>22</v>
      </c>
      <c r="H127">
        <v>4</v>
      </c>
      <c r="I127" t="s">
        <v>23</v>
      </c>
      <c r="J127" t="s">
        <v>24</v>
      </c>
      <c r="K127" t="s">
        <v>25</v>
      </c>
      <c r="L127" t="s">
        <v>84</v>
      </c>
      <c r="M127">
        <v>4</v>
      </c>
      <c r="N127">
        <v>0</v>
      </c>
      <c r="O127" t="s">
        <v>27</v>
      </c>
      <c r="S127" s="3">
        <v>450</v>
      </c>
      <c r="T127" s="2">
        <v>1205.266845703125</v>
      </c>
      <c r="U127" s="2">
        <v>8696.6130964227013</v>
      </c>
      <c r="V127" s="2">
        <v>-141.30667175538841</v>
      </c>
      <c r="W127" s="2">
        <v>6236.86181640625</v>
      </c>
      <c r="X127" s="4">
        <f t="shared" si="4"/>
        <v>0.37336130302122461</v>
      </c>
      <c r="Y127" s="4">
        <f t="shared" si="5"/>
        <v>5.1744281941794645E-2</v>
      </c>
      <c r="Z127" s="4">
        <f t="shared" si="6"/>
        <v>-3.1845630104357778</v>
      </c>
      <c r="AA127" s="4">
        <f t="shared" si="7"/>
        <v>7.2151670703407542E-2</v>
      </c>
    </row>
    <row r="128" spans="1:27" x14ac:dyDescent="0.3">
      <c r="A128" t="s">
        <v>19</v>
      </c>
      <c r="B128">
        <v>125721</v>
      </c>
      <c r="C128">
        <v>2006</v>
      </c>
      <c r="D128" t="s">
        <v>141</v>
      </c>
      <c r="E128" t="s">
        <v>215</v>
      </c>
      <c r="F128">
        <v>6</v>
      </c>
      <c r="G128" t="s">
        <v>22</v>
      </c>
      <c r="H128">
        <v>4</v>
      </c>
      <c r="I128" t="s">
        <v>23</v>
      </c>
      <c r="J128" t="s">
        <v>31</v>
      </c>
      <c r="K128" t="s">
        <v>25</v>
      </c>
      <c r="L128" t="s">
        <v>53</v>
      </c>
      <c r="M128" t="s">
        <v>78</v>
      </c>
      <c r="N128">
        <v>1.6</v>
      </c>
      <c r="O128" t="s">
        <v>27</v>
      </c>
      <c r="S128" s="3">
        <v>500</v>
      </c>
      <c r="T128" s="2">
        <v>1523.9541015625</v>
      </c>
      <c r="U128" s="2">
        <v>5035.0148040096628</v>
      </c>
      <c r="V128" s="2">
        <v>-551.03509713297171</v>
      </c>
      <c r="W128" s="2">
        <v>1522.492919921875</v>
      </c>
      <c r="X128" s="4">
        <f t="shared" si="4"/>
        <v>0.32809387073229657</v>
      </c>
      <c r="Y128" s="4">
        <f t="shared" si="5"/>
        <v>9.930457396109782E-2</v>
      </c>
      <c r="Z128" s="4">
        <f t="shared" si="6"/>
        <v>-0.90738321860348525</v>
      </c>
      <c r="AA128" s="4">
        <f t="shared" si="7"/>
        <v>0.32840875215738735</v>
      </c>
    </row>
    <row r="129" spans="1:27" x14ac:dyDescent="0.3">
      <c r="A129" t="s">
        <v>19</v>
      </c>
      <c r="B129">
        <v>271080</v>
      </c>
      <c r="C129">
        <v>2005</v>
      </c>
      <c r="D129" t="s">
        <v>28</v>
      </c>
      <c r="E129" t="s">
        <v>216</v>
      </c>
      <c r="F129">
        <v>6</v>
      </c>
      <c r="G129" t="s">
        <v>59</v>
      </c>
      <c r="H129">
        <v>4</v>
      </c>
      <c r="I129" t="s">
        <v>23</v>
      </c>
      <c r="J129" t="s">
        <v>106</v>
      </c>
      <c r="K129" t="s">
        <v>25</v>
      </c>
      <c r="L129" t="s">
        <v>53</v>
      </c>
      <c r="M129" t="s">
        <v>33</v>
      </c>
      <c r="N129">
        <v>0</v>
      </c>
      <c r="O129" t="s">
        <v>199</v>
      </c>
      <c r="S129" s="3">
        <v>450</v>
      </c>
      <c r="T129" s="2">
        <v>-28.295133590698239</v>
      </c>
      <c r="U129" s="2">
        <v>563.93792759489043</v>
      </c>
      <c r="V129" s="2">
        <v>-609.51190168369249</v>
      </c>
      <c r="W129" s="2">
        <v>885.19873046875</v>
      </c>
      <c r="X129" s="4">
        <f t="shared" si="4"/>
        <v>-15.903794854247774</v>
      </c>
      <c r="Y129" s="4">
        <f t="shared" si="5"/>
        <v>0.79796016189083363</v>
      </c>
      <c r="Z129" s="4">
        <f t="shared" si="6"/>
        <v>-0.73829567356590931</v>
      </c>
      <c r="AA129" s="4">
        <f t="shared" si="7"/>
        <v>0.50836042180235175</v>
      </c>
    </row>
    <row r="130" spans="1:27" x14ac:dyDescent="0.3">
      <c r="A130" t="s">
        <v>19</v>
      </c>
      <c r="B130">
        <v>230780</v>
      </c>
      <c r="C130">
        <v>2011</v>
      </c>
      <c r="D130" t="s">
        <v>74</v>
      </c>
      <c r="E130" t="s">
        <v>217</v>
      </c>
      <c r="F130">
        <v>8</v>
      </c>
      <c r="G130" t="s">
        <v>47</v>
      </c>
      <c r="H130">
        <v>4</v>
      </c>
      <c r="I130" t="s">
        <v>23</v>
      </c>
      <c r="J130" t="s">
        <v>42</v>
      </c>
      <c r="K130" t="s">
        <v>25</v>
      </c>
      <c r="L130" t="s">
        <v>84</v>
      </c>
      <c r="M130">
        <v>4</v>
      </c>
      <c r="N130">
        <v>0</v>
      </c>
      <c r="O130" t="s">
        <v>27</v>
      </c>
      <c r="S130" s="3">
        <v>1500</v>
      </c>
      <c r="T130" s="2">
        <v>3988.206787109375</v>
      </c>
      <c r="U130" s="2">
        <v>2159.6940058496129</v>
      </c>
      <c r="V130" s="2">
        <v>6486.752269214845</v>
      </c>
      <c r="W130" s="2">
        <v>3199.412353515625</v>
      </c>
      <c r="X130" s="4">
        <f t="shared" ref="X130:X193" si="8">S130/T130</f>
        <v>0.37610888303191264</v>
      </c>
      <c r="Y130" s="4">
        <f t="shared" ref="Y130:Y193" si="9">S130/U130</f>
        <v>0.69454283613196743</v>
      </c>
      <c r="Z130" s="4">
        <f t="shared" ref="Z130:Z193" si="10">S130/V130</f>
        <v>0.23124052495711536</v>
      </c>
      <c r="AA130" s="4">
        <f t="shared" ref="AA130:AA193" si="11">S130/W130</f>
        <v>0.46883609683876731</v>
      </c>
    </row>
    <row r="131" spans="1:27" x14ac:dyDescent="0.3">
      <c r="A131" t="s">
        <v>19</v>
      </c>
      <c r="B131">
        <v>242173</v>
      </c>
      <c r="C131">
        <v>2007</v>
      </c>
      <c r="D131" t="s">
        <v>40</v>
      </c>
      <c r="E131" t="s">
        <v>146</v>
      </c>
      <c r="F131">
        <v>8</v>
      </c>
      <c r="G131" t="s">
        <v>30</v>
      </c>
      <c r="H131">
        <v>4</v>
      </c>
      <c r="I131" t="s">
        <v>23</v>
      </c>
      <c r="J131" t="s">
        <v>24</v>
      </c>
      <c r="K131" t="s">
        <v>25</v>
      </c>
      <c r="L131" t="s">
        <v>43</v>
      </c>
      <c r="M131">
        <v>4</v>
      </c>
      <c r="N131">
        <v>0</v>
      </c>
      <c r="O131" t="s">
        <v>27</v>
      </c>
      <c r="S131" s="3">
        <v>450</v>
      </c>
      <c r="T131" s="2">
        <v>2233.138427734375</v>
      </c>
      <c r="U131" s="2">
        <v>9150.5326097076868</v>
      </c>
      <c r="V131" s="2">
        <v>729.0742741117374</v>
      </c>
      <c r="W131" s="2">
        <v>5474.484375</v>
      </c>
      <c r="X131" s="4">
        <f t="shared" si="8"/>
        <v>0.20151012333639629</v>
      </c>
      <c r="Y131" s="4">
        <f t="shared" si="9"/>
        <v>4.9177465311975456E-2</v>
      </c>
      <c r="Z131" s="4">
        <f t="shared" si="10"/>
        <v>0.61722106509416264</v>
      </c>
      <c r="AA131" s="4">
        <f t="shared" si="11"/>
        <v>8.2199522215277127E-2</v>
      </c>
    </row>
    <row r="132" spans="1:27" x14ac:dyDescent="0.3">
      <c r="A132" t="s">
        <v>19</v>
      </c>
      <c r="B132">
        <v>165093</v>
      </c>
      <c r="C132">
        <v>2005</v>
      </c>
      <c r="D132" t="s">
        <v>44</v>
      </c>
      <c r="E132" t="s">
        <v>117</v>
      </c>
      <c r="F132">
        <v>6</v>
      </c>
      <c r="G132" t="s">
        <v>47</v>
      </c>
      <c r="H132">
        <v>4</v>
      </c>
      <c r="I132" t="s">
        <v>23</v>
      </c>
      <c r="J132" t="s">
        <v>24</v>
      </c>
      <c r="K132" t="s">
        <v>25</v>
      </c>
      <c r="L132" t="s">
        <v>218</v>
      </c>
      <c r="M132" t="s">
        <v>33</v>
      </c>
      <c r="N132">
        <v>0</v>
      </c>
      <c r="O132" t="s">
        <v>27</v>
      </c>
      <c r="S132" s="3">
        <v>1300</v>
      </c>
      <c r="T132" s="2">
        <v>1708.828002929688</v>
      </c>
      <c r="U132" s="2">
        <v>1363.6280560631999</v>
      </c>
      <c r="V132" s="2">
        <v>701.22357113020917</v>
      </c>
      <c r="W132" s="2">
        <v>1655.596313476562</v>
      </c>
      <c r="X132" s="4">
        <f t="shared" si="8"/>
        <v>0.76075532339780494</v>
      </c>
      <c r="Y132" s="4">
        <f t="shared" si="9"/>
        <v>0.95333914128542185</v>
      </c>
      <c r="Z132" s="4">
        <f t="shared" si="10"/>
        <v>1.8539023123605252</v>
      </c>
      <c r="AA132" s="4">
        <f t="shared" si="11"/>
        <v>0.78521556820222038</v>
      </c>
    </row>
    <row r="133" spans="1:27" x14ac:dyDescent="0.3">
      <c r="A133" t="s">
        <v>19</v>
      </c>
      <c r="B133">
        <v>265228</v>
      </c>
      <c r="C133">
        <v>2011</v>
      </c>
      <c r="D133" t="s">
        <v>54</v>
      </c>
      <c r="E133" t="s">
        <v>174</v>
      </c>
      <c r="F133">
        <v>4</v>
      </c>
      <c r="G133" t="s">
        <v>30</v>
      </c>
      <c r="H133">
        <v>4</v>
      </c>
      <c r="I133" t="s">
        <v>23</v>
      </c>
      <c r="J133" t="s">
        <v>24</v>
      </c>
      <c r="K133" t="s">
        <v>25</v>
      </c>
      <c r="L133" t="s">
        <v>60</v>
      </c>
      <c r="M133" t="s">
        <v>33</v>
      </c>
      <c r="N133">
        <v>0</v>
      </c>
      <c r="O133" t="s">
        <v>27</v>
      </c>
      <c r="S133" s="3">
        <v>600</v>
      </c>
      <c r="T133" s="2">
        <v>1275.319580078125</v>
      </c>
      <c r="U133" s="2">
        <v>1080.1849009971761</v>
      </c>
      <c r="V133" s="2">
        <v>-911.86006667976653</v>
      </c>
      <c r="W133" s="2">
        <v>1151.563110351562</v>
      </c>
      <c r="X133" s="4">
        <f t="shared" si="8"/>
        <v>0.47047031142048684</v>
      </c>
      <c r="Y133" s="4">
        <f t="shared" si="9"/>
        <v>0.55546045815499556</v>
      </c>
      <c r="Z133" s="4">
        <f t="shared" si="10"/>
        <v>-0.65799569684491099</v>
      </c>
      <c r="AA133" s="4">
        <f t="shared" si="11"/>
        <v>0.52103093144137391</v>
      </c>
    </row>
    <row r="134" spans="1:27" x14ac:dyDescent="0.3">
      <c r="A134" t="s">
        <v>19</v>
      </c>
      <c r="B134">
        <v>110432</v>
      </c>
      <c r="C134">
        <v>2014</v>
      </c>
      <c r="D134" t="s">
        <v>54</v>
      </c>
      <c r="E134" t="s">
        <v>219</v>
      </c>
      <c r="F134">
        <v>6</v>
      </c>
      <c r="G134" t="s">
        <v>47</v>
      </c>
      <c r="H134">
        <v>4</v>
      </c>
      <c r="I134" t="s">
        <v>23</v>
      </c>
      <c r="J134" t="s">
        <v>24</v>
      </c>
      <c r="K134" t="s">
        <v>25</v>
      </c>
      <c r="L134" t="s">
        <v>26</v>
      </c>
      <c r="M134">
        <v>4</v>
      </c>
      <c r="N134">
        <v>0</v>
      </c>
      <c r="O134" t="s">
        <v>27</v>
      </c>
      <c r="S134" s="3">
        <v>6200</v>
      </c>
      <c r="T134" s="2">
        <v>7349.58642578125</v>
      </c>
      <c r="U134" s="2">
        <v>9319.3953992428324</v>
      </c>
      <c r="V134" s="2">
        <v>8113.0218986075424</v>
      </c>
      <c r="W134" s="2">
        <v>7876.72119140625</v>
      </c>
      <c r="X134" s="4">
        <f t="shared" si="8"/>
        <v>0.84358488230729922</v>
      </c>
      <c r="Y134" s="4">
        <f t="shared" si="9"/>
        <v>0.66527920904651472</v>
      </c>
      <c r="Z134" s="4">
        <f t="shared" si="10"/>
        <v>0.76420353321912282</v>
      </c>
      <c r="AA134" s="4">
        <f t="shared" si="11"/>
        <v>0.78712954912818223</v>
      </c>
    </row>
    <row r="135" spans="1:27" x14ac:dyDescent="0.3">
      <c r="A135" t="s">
        <v>19</v>
      </c>
      <c r="B135">
        <v>144231</v>
      </c>
      <c r="C135">
        <v>2015</v>
      </c>
      <c r="D135" t="s">
        <v>28</v>
      </c>
      <c r="E135" t="s">
        <v>220</v>
      </c>
      <c r="F135">
        <v>6</v>
      </c>
      <c r="G135" t="s">
        <v>30</v>
      </c>
      <c r="H135">
        <v>4</v>
      </c>
      <c r="I135" t="s">
        <v>23</v>
      </c>
      <c r="J135" t="s">
        <v>24</v>
      </c>
      <c r="K135" t="s">
        <v>25</v>
      </c>
      <c r="L135" t="s">
        <v>53</v>
      </c>
      <c r="M135">
        <v>4</v>
      </c>
      <c r="N135">
        <v>0</v>
      </c>
      <c r="O135" t="s">
        <v>27</v>
      </c>
      <c r="S135" s="3">
        <v>4700</v>
      </c>
      <c r="T135" s="2">
        <v>7640.693359375</v>
      </c>
      <c r="U135" s="2">
        <v>9224.5720829328911</v>
      </c>
      <c r="V135" s="2">
        <v>7825.8953322239249</v>
      </c>
      <c r="W135" s="2">
        <v>8090.53466796875</v>
      </c>
      <c r="X135" s="4">
        <f t="shared" si="8"/>
        <v>0.6151274208947517</v>
      </c>
      <c r="Y135" s="4">
        <f t="shared" si="9"/>
        <v>0.50950872926624324</v>
      </c>
      <c r="Z135" s="4">
        <f t="shared" si="10"/>
        <v>0.6005702607147414</v>
      </c>
      <c r="AA135" s="4">
        <f t="shared" si="11"/>
        <v>0.58092575990160189</v>
      </c>
    </row>
    <row r="136" spans="1:27" x14ac:dyDescent="0.3">
      <c r="A136" t="s">
        <v>19</v>
      </c>
      <c r="B136">
        <v>184217</v>
      </c>
      <c r="C136">
        <v>2015</v>
      </c>
      <c r="D136" t="s">
        <v>40</v>
      </c>
      <c r="E136" t="s">
        <v>177</v>
      </c>
      <c r="F136">
        <v>4</v>
      </c>
      <c r="G136" t="s">
        <v>47</v>
      </c>
      <c r="H136">
        <v>4</v>
      </c>
      <c r="I136" t="s">
        <v>23</v>
      </c>
      <c r="J136" t="s">
        <v>178</v>
      </c>
      <c r="K136" t="s">
        <v>25</v>
      </c>
      <c r="L136" t="s">
        <v>127</v>
      </c>
      <c r="M136" t="s">
        <v>33</v>
      </c>
      <c r="N136">
        <v>0</v>
      </c>
      <c r="O136" t="s">
        <v>27</v>
      </c>
      <c r="S136" s="3">
        <v>2900</v>
      </c>
      <c r="T136" s="2">
        <v>3957.4453125</v>
      </c>
      <c r="U136" s="2">
        <v>4057.7346255316661</v>
      </c>
      <c r="V136" s="2">
        <v>2484.4735155603539</v>
      </c>
      <c r="W136" s="2">
        <v>3463.18017578125</v>
      </c>
      <c r="X136" s="4">
        <f t="shared" si="8"/>
        <v>0.73279597593933898</v>
      </c>
      <c r="Y136" s="4">
        <f t="shared" si="9"/>
        <v>0.71468448965413223</v>
      </c>
      <c r="Z136" s="4">
        <f t="shared" si="10"/>
        <v>1.1672493113076825</v>
      </c>
      <c r="AA136" s="4">
        <f t="shared" si="11"/>
        <v>0.83738063075098201</v>
      </c>
    </row>
    <row r="137" spans="1:27" x14ac:dyDescent="0.3">
      <c r="A137" t="s">
        <v>221</v>
      </c>
      <c r="B137">
        <v>59061</v>
      </c>
      <c r="C137">
        <v>2022</v>
      </c>
      <c r="D137" t="s">
        <v>222</v>
      </c>
      <c r="E137" t="s">
        <v>223</v>
      </c>
      <c r="F137">
        <v>6</v>
      </c>
      <c r="G137" t="s">
        <v>36</v>
      </c>
      <c r="H137">
        <v>4</v>
      </c>
      <c r="I137" t="s">
        <v>23</v>
      </c>
      <c r="J137" t="s">
        <v>24</v>
      </c>
      <c r="K137" t="s">
        <v>27</v>
      </c>
      <c r="L137" t="s">
        <v>218</v>
      </c>
      <c r="M137" t="s">
        <v>23</v>
      </c>
      <c r="N137">
        <v>0</v>
      </c>
      <c r="S137" s="3">
        <v>55000</v>
      </c>
      <c r="T137" s="2">
        <v>43848.09375</v>
      </c>
      <c r="U137" s="2">
        <v>35711.460032990173</v>
      </c>
      <c r="V137" s="2">
        <v>37933.892117423668</v>
      </c>
      <c r="W137" s="2">
        <v>44643.4140625</v>
      </c>
      <c r="X137" s="4">
        <f t="shared" si="8"/>
        <v>1.2543304690411998</v>
      </c>
      <c r="Y137" s="4">
        <f t="shared" si="9"/>
        <v>1.540121853018362</v>
      </c>
      <c r="Z137" s="4">
        <f t="shared" si="10"/>
        <v>1.4498907686495366</v>
      </c>
      <c r="AA137" s="4">
        <f t="shared" si="11"/>
        <v>1.2319846309917284</v>
      </c>
    </row>
    <row r="138" spans="1:27" x14ac:dyDescent="0.3">
      <c r="A138" t="s">
        <v>67</v>
      </c>
      <c r="B138">
        <v>18</v>
      </c>
      <c r="C138">
        <v>2024</v>
      </c>
      <c r="D138" t="s">
        <v>40</v>
      </c>
      <c r="E138" t="s">
        <v>63</v>
      </c>
      <c r="F138">
        <v>4</v>
      </c>
      <c r="G138" t="s">
        <v>47</v>
      </c>
      <c r="H138">
        <v>4</v>
      </c>
      <c r="I138" t="s">
        <v>23</v>
      </c>
      <c r="J138" t="s">
        <v>24</v>
      </c>
      <c r="K138" t="s">
        <v>27</v>
      </c>
      <c r="L138" t="s">
        <v>107</v>
      </c>
      <c r="M138" t="s">
        <v>33</v>
      </c>
      <c r="N138">
        <v>3</v>
      </c>
      <c r="O138" t="s">
        <v>27</v>
      </c>
      <c r="S138" s="3">
        <v>17300</v>
      </c>
      <c r="T138" s="2">
        <v>27460.9296875</v>
      </c>
      <c r="U138" s="2">
        <v>27612.963815359191</v>
      </c>
      <c r="V138" s="2">
        <v>21071.9971556946</v>
      </c>
      <c r="W138" s="2">
        <v>29289.935546875</v>
      </c>
      <c r="X138" s="4">
        <f t="shared" si="8"/>
        <v>0.62998595447680072</v>
      </c>
      <c r="Y138" s="4">
        <f t="shared" si="9"/>
        <v>0.62651731685452761</v>
      </c>
      <c r="Z138" s="4">
        <f t="shared" si="10"/>
        <v>0.82099479570804534</v>
      </c>
      <c r="AA138" s="4">
        <f t="shared" si="11"/>
        <v>0.59064657115115338</v>
      </c>
    </row>
    <row r="139" spans="1:27" x14ac:dyDescent="0.3">
      <c r="A139" t="s">
        <v>70</v>
      </c>
      <c r="B139">
        <v>111194</v>
      </c>
      <c r="C139">
        <v>2018</v>
      </c>
      <c r="D139" t="s">
        <v>81</v>
      </c>
      <c r="E139" t="s">
        <v>207</v>
      </c>
      <c r="F139">
        <v>8</v>
      </c>
      <c r="G139" t="s">
        <v>59</v>
      </c>
      <c r="H139">
        <v>4</v>
      </c>
      <c r="I139" t="s">
        <v>23</v>
      </c>
      <c r="J139" t="s">
        <v>31</v>
      </c>
      <c r="L139" t="s">
        <v>84</v>
      </c>
      <c r="M139" t="s">
        <v>78</v>
      </c>
      <c r="N139">
        <v>2</v>
      </c>
      <c r="O139" t="s">
        <v>27</v>
      </c>
      <c r="S139" s="3">
        <v>12500</v>
      </c>
      <c r="T139" s="2">
        <v>16625.93359375</v>
      </c>
      <c r="U139" s="2">
        <v>22463.072117941771</v>
      </c>
      <c r="V139" s="2">
        <v>13226.57604210669</v>
      </c>
      <c r="W139" s="2">
        <v>17458.048828125</v>
      </c>
      <c r="X139" s="4">
        <f t="shared" si="8"/>
        <v>0.75183747905134091</v>
      </c>
      <c r="Y139" s="4">
        <f t="shared" si="9"/>
        <v>0.55646885405384794</v>
      </c>
      <c r="Z139" s="4">
        <f t="shared" si="10"/>
        <v>0.94506695914395067</v>
      </c>
      <c r="AA139" s="4">
        <f t="shared" si="11"/>
        <v>0.71600212160378662</v>
      </c>
    </row>
    <row r="140" spans="1:27" x14ac:dyDescent="0.3">
      <c r="A140" t="s">
        <v>70</v>
      </c>
      <c r="B140">
        <v>146876</v>
      </c>
      <c r="C140">
        <v>2016</v>
      </c>
      <c r="D140" t="s">
        <v>28</v>
      </c>
      <c r="E140" t="s">
        <v>137</v>
      </c>
      <c r="F140">
        <v>4</v>
      </c>
      <c r="G140" t="s">
        <v>22</v>
      </c>
      <c r="H140">
        <v>4</v>
      </c>
      <c r="I140" t="s">
        <v>23</v>
      </c>
      <c r="J140" t="s">
        <v>31</v>
      </c>
      <c r="K140" t="s">
        <v>27</v>
      </c>
      <c r="L140" t="s">
        <v>60</v>
      </c>
      <c r="M140" t="s">
        <v>33</v>
      </c>
      <c r="N140">
        <v>1</v>
      </c>
      <c r="O140" t="s">
        <v>27</v>
      </c>
      <c r="S140" s="3">
        <v>7200</v>
      </c>
      <c r="T140" s="2">
        <v>6990.876953125</v>
      </c>
      <c r="U140" s="2">
        <v>6095.3683317661962</v>
      </c>
      <c r="V140" s="2">
        <v>6135.5843118458124</v>
      </c>
      <c r="W140" s="2">
        <v>8064.31005859375</v>
      </c>
      <c r="X140" s="4">
        <f t="shared" si="8"/>
        <v>1.0299137072898301</v>
      </c>
      <c r="Y140" s="4">
        <f t="shared" si="9"/>
        <v>1.181224760852758</v>
      </c>
      <c r="Z140" s="4">
        <f t="shared" si="10"/>
        <v>1.1734823668055785</v>
      </c>
      <c r="AA140" s="4">
        <f t="shared" si="11"/>
        <v>0.89282281406421171</v>
      </c>
    </row>
    <row r="141" spans="1:27" x14ac:dyDescent="0.3">
      <c r="A141" t="s">
        <v>70</v>
      </c>
      <c r="B141">
        <v>170140</v>
      </c>
      <c r="C141">
        <v>2016</v>
      </c>
      <c r="D141" t="s">
        <v>85</v>
      </c>
      <c r="E141" t="s">
        <v>224</v>
      </c>
      <c r="F141">
        <v>4</v>
      </c>
      <c r="G141" t="s">
        <v>47</v>
      </c>
      <c r="H141">
        <v>4</v>
      </c>
      <c r="I141" t="s">
        <v>23</v>
      </c>
      <c r="J141" t="s">
        <v>31</v>
      </c>
      <c r="K141" t="s">
        <v>27</v>
      </c>
      <c r="L141" t="s">
        <v>60</v>
      </c>
      <c r="M141" t="s">
        <v>33</v>
      </c>
      <c r="N141">
        <v>1</v>
      </c>
      <c r="O141" t="s">
        <v>27</v>
      </c>
      <c r="S141" s="3">
        <v>1200</v>
      </c>
      <c r="T141" s="2">
        <v>3443.651611328125</v>
      </c>
      <c r="U141" s="2">
        <v>3096.8805706220701</v>
      </c>
      <c r="V141" s="2">
        <v>1986.2277305405621</v>
      </c>
      <c r="W141" s="2">
        <v>4768.16162109375</v>
      </c>
      <c r="X141" s="4">
        <f t="shared" si="8"/>
        <v>0.34846730605747656</v>
      </c>
      <c r="Y141" s="4">
        <f t="shared" si="9"/>
        <v>0.38748668947183718</v>
      </c>
      <c r="Z141" s="4">
        <f t="shared" si="10"/>
        <v>0.60416032942678422</v>
      </c>
      <c r="AA141" s="4">
        <f t="shared" si="11"/>
        <v>0.25166932150356447</v>
      </c>
    </row>
    <row r="142" spans="1:27" x14ac:dyDescent="0.3">
      <c r="A142" t="s">
        <v>70</v>
      </c>
      <c r="B142">
        <v>135815</v>
      </c>
      <c r="C142">
        <v>2021</v>
      </c>
      <c r="D142" t="s">
        <v>85</v>
      </c>
      <c r="E142" t="s">
        <v>225</v>
      </c>
      <c r="F142">
        <v>4</v>
      </c>
      <c r="G142" t="s">
        <v>59</v>
      </c>
      <c r="H142">
        <v>4</v>
      </c>
      <c r="I142" t="s">
        <v>23</v>
      </c>
      <c r="J142" t="s">
        <v>31</v>
      </c>
      <c r="K142" t="s">
        <v>27</v>
      </c>
      <c r="L142" t="s">
        <v>102</v>
      </c>
      <c r="M142" t="s">
        <v>33</v>
      </c>
      <c r="N142">
        <v>1</v>
      </c>
      <c r="O142" t="s">
        <v>27</v>
      </c>
      <c r="S142" s="3">
        <v>7600</v>
      </c>
      <c r="T142" s="2">
        <v>9619.0146484375</v>
      </c>
      <c r="U142" s="2">
        <v>9606.6291596828905</v>
      </c>
      <c r="V142" s="2">
        <v>8680.5576696939806</v>
      </c>
      <c r="W142" s="2">
        <v>10226.9326171875</v>
      </c>
      <c r="X142" s="4">
        <f t="shared" si="8"/>
        <v>0.79010171808341445</v>
      </c>
      <c r="Y142" s="4">
        <f t="shared" si="9"/>
        <v>0.79112036841139721</v>
      </c>
      <c r="Z142" s="4">
        <f t="shared" si="10"/>
        <v>0.87551978676825337</v>
      </c>
      <c r="AA142" s="4">
        <f t="shared" si="11"/>
        <v>0.74313582424776647</v>
      </c>
    </row>
    <row r="143" spans="1:27" x14ac:dyDescent="0.3">
      <c r="A143" t="s">
        <v>70</v>
      </c>
      <c r="B143">
        <v>107522</v>
      </c>
      <c r="C143">
        <v>2015</v>
      </c>
      <c r="D143" t="s">
        <v>226</v>
      </c>
      <c r="E143" t="s">
        <v>227</v>
      </c>
      <c r="F143">
        <v>4</v>
      </c>
      <c r="G143" t="s">
        <v>22</v>
      </c>
      <c r="H143">
        <v>4</v>
      </c>
      <c r="I143" t="s">
        <v>23</v>
      </c>
      <c r="J143" t="s">
        <v>31</v>
      </c>
      <c r="K143" t="s">
        <v>27</v>
      </c>
      <c r="L143" t="s">
        <v>32</v>
      </c>
      <c r="M143" t="s">
        <v>33</v>
      </c>
      <c r="N143">
        <v>0</v>
      </c>
      <c r="O143" t="s">
        <v>39</v>
      </c>
      <c r="S143" s="3">
        <v>1100</v>
      </c>
      <c r="T143" s="2">
        <v>-96.454360961914063</v>
      </c>
      <c r="U143" s="2">
        <v>3025.008118241894</v>
      </c>
      <c r="V143" s="2">
        <v>2045.0360245629711</v>
      </c>
      <c r="W143" s="2">
        <v>2584.17431640625</v>
      </c>
      <c r="X143" s="4">
        <f t="shared" si="8"/>
        <v>-11.404357346106369</v>
      </c>
      <c r="Y143" s="4">
        <f t="shared" si="9"/>
        <v>0.36363538774213588</v>
      </c>
      <c r="Z143" s="4">
        <f t="shared" si="10"/>
        <v>0.5378878351226466</v>
      </c>
      <c r="AA143" s="4">
        <f t="shared" si="11"/>
        <v>0.4256678789106394</v>
      </c>
    </row>
    <row r="144" spans="1:27" x14ac:dyDescent="0.3">
      <c r="A144" t="s">
        <v>70</v>
      </c>
      <c r="B144">
        <v>141655</v>
      </c>
      <c r="C144">
        <v>2016</v>
      </c>
      <c r="D144" t="s">
        <v>28</v>
      </c>
      <c r="E144" t="s">
        <v>58</v>
      </c>
      <c r="F144">
        <v>4</v>
      </c>
      <c r="G144" t="s">
        <v>30</v>
      </c>
      <c r="H144">
        <v>4</v>
      </c>
      <c r="I144" t="s">
        <v>23</v>
      </c>
      <c r="J144" t="s">
        <v>24</v>
      </c>
      <c r="K144" t="s">
        <v>27</v>
      </c>
      <c r="L144" t="s">
        <v>60</v>
      </c>
      <c r="M144" t="s">
        <v>33</v>
      </c>
      <c r="N144">
        <v>1</v>
      </c>
      <c r="O144" t="s">
        <v>27</v>
      </c>
      <c r="S144" s="3">
        <v>6800</v>
      </c>
      <c r="T144" s="2">
        <v>8541.4677734375</v>
      </c>
      <c r="U144" s="2">
        <v>6989.2310858133751</v>
      </c>
      <c r="V144" s="2">
        <v>6045.9277426160124</v>
      </c>
      <c r="W144" s="2">
        <v>8630.7607421875</v>
      </c>
      <c r="X144" s="4">
        <f t="shared" si="8"/>
        <v>0.79611609858750898</v>
      </c>
      <c r="Y144" s="4">
        <f t="shared" si="9"/>
        <v>0.97292533563563621</v>
      </c>
      <c r="Z144" s="4">
        <f t="shared" si="10"/>
        <v>1.1247239943125269</v>
      </c>
      <c r="AA144" s="4">
        <f t="shared" si="11"/>
        <v>0.78787956277843862</v>
      </c>
    </row>
    <row r="145" spans="1:27" x14ac:dyDescent="0.3">
      <c r="A145" t="s">
        <v>70</v>
      </c>
      <c r="B145">
        <v>232552</v>
      </c>
      <c r="C145">
        <v>2016</v>
      </c>
      <c r="D145" t="s">
        <v>40</v>
      </c>
      <c r="E145" t="s">
        <v>41</v>
      </c>
      <c r="F145">
        <v>8</v>
      </c>
      <c r="G145" t="s">
        <v>66</v>
      </c>
      <c r="H145">
        <v>4</v>
      </c>
      <c r="I145" t="s">
        <v>23</v>
      </c>
      <c r="J145" t="s">
        <v>42</v>
      </c>
      <c r="K145" t="s">
        <v>27</v>
      </c>
      <c r="L145" t="s">
        <v>43</v>
      </c>
      <c r="M145">
        <v>4</v>
      </c>
      <c r="N145">
        <v>1</v>
      </c>
      <c r="O145" t="s">
        <v>27</v>
      </c>
      <c r="S145" s="3">
        <v>4400</v>
      </c>
      <c r="T145" s="2">
        <v>6463.1796875</v>
      </c>
      <c r="U145" s="2">
        <v>13731.69974343642</v>
      </c>
      <c r="V145" s="2">
        <v>1776.7115741534869</v>
      </c>
      <c r="W145" s="2">
        <v>9168.0458984375</v>
      </c>
      <c r="X145" s="4">
        <f t="shared" si="8"/>
        <v>0.68077946347519058</v>
      </c>
      <c r="Y145" s="4">
        <f t="shared" si="9"/>
        <v>0.32042646447342721</v>
      </c>
      <c r="Z145" s="4">
        <f t="shared" si="10"/>
        <v>2.4764852461190148</v>
      </c>
      <c r="AA145" s="4">
        <f t="shared" si="11"/>
        <v>0.47992778927403573</v>
      </c>
    </row>
    <row r="146" spans="1:27" x14ac:dyDescent="0.3">
      <c r="A146" t="s">
        <v>70</v>
      </c>
      <c r="B146">
        <v>10702</v>
      </c>
      <c r="C146">
        <v>2024</v>
      </c>
      <c r="D146" t="s">
        <v>54</v>
      </c>
      <c r="E146" t="s">
        <v>219</v>
      </c>
      <c r="F146">
        <v>6</v>
      </c>
      <c r="G146" t="s">
        <v>22</v>
      </c>
      <c r="H146">
        <v>4</v>
      </c>
      <c r="I146" t="s">
        <v>23</v>
      </c>
      <c r="J146" t="s">
        <v>24</v>
      </c>
      <c r="K146" t="s">
        <v>27</v>
      </c>
      <c r="L146" t="s">
        <v>26</v>
      </c>
      <c r="M146">
        <v>4</v>
      </c>
      <c r="N146">
        <v>4.5</v>
      </c>
      <c r="O146" t="s">
        <v>27</v>
      </c>
      <c r="S146" s="3">
        <v>30600</v>
      </c>
      <c r="T146" s="2">
        <v>44163.5078125</v>
      </c>
      <c r="U146" s="2">
        <v>47873.247306520891</v>
      </c>
      <c r="V146" s="2">
        <v>51641.300861277647</v>
      </c>
      <c r="W146" s="2">
        <v>48631.30859375</v>
      </c>
      <c r="X146" s="4">
        <f t="shared" si="8"/>
        <v>0.692879744288315</v>
      </c>
      <c r="Y146" s="4">
        <f t="shared" si="9"/>
        <v>0.63918789139319421</v>
      </c>
      <c r="Z146" s="4">
        <f t="shared" si="10"/>
        <v>0.59254897707166188</v>
      </c>
      <c r="AA146" s="4">
        <f t="shared" si="11"/>
        <v>0.62922427721660468</v>
      </c>
    </row>
    <row r="147" spans="1:27" x14ac:dyDescent="0.3">
      <c r="A147" t="s">
        <v>70</v>
      </c>
      <c r="B147">
        <v>136664</v>
      </c>
      <c r="C147">
        <v>2018</v>
      </c>
      <c r="D147" t="s">
        <v>85</v>
      </c>
      <c r="E147" t="s">
        <v>228</v>
      </c>
      <c r="F147">
        <v>4</v>
      </c>
      <c r="G147" t="s">
        <v>36</v>
      </c>
      <c r="H147">
        <v>4</v>
      </c>
      <c r="I147" t="s">
        <v>23</v>
      </c>
      <c r="J147" t="s">
        <v>31</v>
      </c>
      <c r="K147" t="s">
        <v>27</v>
      </c>
      <c r="L147" t="s">
        <v>87</v>
      </c>
      <c r="M147" t="s">
        <v>33</v>
      </c>
      <c r="N147">
        <v>2.6</v>
      </c>
      <c r="O147" t="s">
        <v>27</v>
      </c>
      <c r="S147" s="3">
        <v>4100</v>
      </c>
      <c r="T147" s="2">
        <v>5398.2626953125</v>
      </c>
      <c r="U147" s="2">
        <v>5798.9555258513165</v>
      </c>
      <c r="V147" s="2">
        <v>6266.0653291893259</v>
      </c>
      <c r="W147" s="2">
        <v>7493.2802734375</v>
      </c>
      <c r="X147" s="4">
        <f t="shared" si="8"/>
        <v>0.7595036091074584</v>
      </c>
      <c r="Y147" s="4">
        <f t="shared" si="9"/>
        <v>0.70702387382046683</v>
      </c>
      <c r="Z147" s="4">
        <f t="shared" si="10"/>
        <v>0.65431810627650111</v>
      </c>
      <c r="AA147" s="4">
        <f t="shared" si="11"/>
        <v>0.54715689930001088</v>
      </c>
    </row>
    <row r="148" spans="1:27" x14ac:dyDescent="0.3">
      <c r="A148" t="s">
        <v>70</v>
      </c>
      <c r="B148">
        <v>150106</v>
      </c>
      <c r="C148">
        <v>2018</v>
      </c>
      <c r="D148" t="s">
        <v>81</v>
      </c>
      <c r="E148" t="s">
        <v>207</v>
      </c>
      <c r="F148">
        <v>8</v>
      </c>
      <c r="G148" t="s">
        <v>36</v>
      </c>
      <c r="H148">
        <v>4</v>
      </c>
      <c r="I148" t="s">
        <v>23</v>
      </c>
      <c r="J148" t="s">
        <v>31</v>
      </c>
      <c r="L148" t="s">
        <v>84</v>
      </c>
      <c r="M148" t="s">
        <v>78</v>
      </c>
      <c r="N148">
        <v>1</v>
      </c>
      <c r="O148" t="s">
        <v>27</v>
      </c>
      <c r="S148" s="3">
        <v>6200</v>
      </c>
      <c r="T148" s="2">
        <v>11566.5703125</v>
      </c>
      <c r="U148" s="2">
        <v>16263.89638497986</v>
      </c>
      <c r="V148" s="2">
        <v>5996.1693431226022</v>
      </c>
      <c r="W148" s="2">
        <v>11292.20703125</v>
      </c>
      <c r="X148" s="4">
        <f t="shared" si="8"/>
        <v>0.53602752004193122</v>
      </c>
      <c r="Y148" s="4">
        <f t="shared" si="9"/>
        <v>0.38121246306794382</v>
      </c>
      <c r="Z148" s="4">
        <f t="shared" si="10"/>
        <v>1.0339934790386107</v>
      </c>
      <c r="AA148" s="4">
        <f t="shared" si="11"/>
        <v>0.54905121583780292</v>
      </c>
    </row>
    <row r="149" spans="1:27" x14ac:dyDescent="0.3">
      <c r="A149" t="s">
        <v>70</v>
      </c>
      <c r="B149">
        <v>92933</v>
      </c>
      <c r="C149">
        <v>2021</v>
      </c>
      <c r="D149" t="s">
        <v>40</v>
      </c>
      <c r="E149" t="s">
        <v>229</v>
      </c>
      <c r="F149">
        <v>4</v>
      </c>
      <c r="G149" t="s">
        <v>22</v>
      </c>
      <c r="H149">
        <v>4</v>
      </c>
      <c r="I149" t="s">
        <v>23</v>
      </c>
      <c r="J149" t="s">
        <v>31</v>
      </c>
      <c r="K149" t="s">
        <v>27</v>
      </c>
      <c r="L149" t="s">
        <v>107</v>
      </c>
      <c r="M149" t="s">
        <v>33</v>
      </c>
      <c r="N149">
        <v>2</v>
      </c>
      <c r="O149" t="s">
        <v>27</v>
      </c>
      <c r="S149" s="3">
        <v>10400</v>
      </c>
      <c r="T149" s="2">
        <v>14427.3740234375</v>
      </c>
      <c r="U149" s="2">
        <v>13963.48223309377</v>
      </c>
      <c r="V149" s="2">
        <v>11667.116346930419</v>
      </c>
      <c r="W149" s="2">
        <v>13189.9111328125</v>
      </c>
      <c r="X149" s="4">
        <f t="shared" si="8"/>
        <v>0.72085190160766843</v>
      </c>
      <c r="Y149" s="4">
        <f t="shared" si="9"/>
        <v>0.74479988776379602</v>
      </c>
      <c r="Z149" s="4">
        <f t="shared" si="10"/>
        <v>0.89139421350985382</v>
      </c>
      <c r="AA149" s="4">
        <f t="shared" si="11"/>
        <v>0.78848143063890352</v>
      </c>
    </row>
    <row r="150" spans="1:27" x14ac:dyDescent="0.3">
      <c r="A150" t="s">
        <v>70</v>
      </c>
      <c r="B150">
        <v>82575</v>
      </c>
      <c r="C150">
        <v>2013</v>
      </c>
      <c r="D150" t="s">
        <v>125</v>
      </c>
      <c r="E150" t="s">
        <v>230</v>
      </c>
      <c r="F150">
        <v>4</v>
      </c>
      <c r="G150" t="s">
        <v>36</v>
      </c>
      <c r="H150">
        <v>4</v>
      </c>
      <c r="I150" t="s">
        <v>23</v>
      </c>
      <c r="J150" t="s">
        <v>31</v>
      </c>
      <c r="K150" t="s">
        <v>27</v>
      </c>
      <c r="L150" t="s">
        <v>60</v>
      </c>
      <c r="M150" t="s">
        <v>33</v>
      </c>
      <c r="N150">
        <v>0</v>
      </c>
      <c r="O150" t="s">
        <v>27</v>
      </c>
      <c r="S150" s="3">
        <v>3700</v>
      </c>
      <c r="T150" s="2">
        <v>6290.43798828125</v>
      </c>
      <c r="U150" s="2">
        <v>6210.3886223269838</v>
      </c>
      <c r="V150" s="2">
        <v>5124.4320937780549</v>
      </c>
      <c r="W150" s="2">
        <v>7179.70751953125</v>
      </c>
      <c r="X150" s="4">
        <f t="shared" si="8"/>
        <v>0.58819433668894006</v>
      </c>
      <c r="Y150" s="4">
        <f t="shared" si="9"/>
        <v>0.59577592080117514</v>
      </c>
      <c r="Z150" s="4">
        <f t="shared" si="10"/>
        <v>0.72203122849309265</v>
      </c>
      <c r="AA150" s="4">
        <f t="shared" si="11"/>
        <v>0.51534132691822609</v>
      </c>
    </row>
    <row r="151" spans="1:27" x14ac:dyDescent="0.3">
      <c r="A151" t="s">
        <v>70</v>
      </c>
      <c r="B151">
        <v>187246</v>
      </c>
      <c r="C151">
        <v>2013</v>
      </c>
      <c r="D151" t="s">
        <v>90</v>
      </c>
      <c r="E151" t="s">
        <v>231</v>
      </c>
      <c r="F151">
        <v>5</v>
      </c>
      <c r="G151" t="s">
        <v>47</v>
      </c>
      <c r="H151">
        <v>4</v>
      </c>
      <c r="I151" t="s">
        <v>23</v>
      </c>
      <c r="J151" t="s">
        <v>31</v>
      </c>
      <c r="L151" t="s">
        <v>102</v>
      </c>
      <c r="M151" t="s">
        <v>33</v>
      </c>
      <c r="N151">
        <v>0</v>
      </c>
      <c r="O151" t="s">
        <v>27</v>
      </c>
      <c r="S151" s="3">
        <v>2700</v>
      </c>
      <c r="T151" s="2">
        <v>2346.83251953125</v>
      </c>
      <c r="U151" s="2">
        <v>1930.979841477332</v>
      </c>
      <c r="V151" s="2">
        <v>2102.601846732081</v>
      </c>
      <c r="W151" s="2">
        <v>2653.142822265625</v>
      </c>
      <c r="X151" s="4">
        <f t="shared" si="8"/>
        <v>1.1504868700810789</v>
      </c>
      <c r="Y151" s="4">
        <f t="shared" si="9"/>
        <v>1.3982538512335347</v>
      </c>
      <c r="Z151" s="4">
        <f t="shared" si="10"/>
        <v>1.2841232895312116</v>
      </c>
      <c r="AA151" s="4">
        <f t="shared" si="11"/>
        <v>1.0176610084241005</v>
      </c>
    </row>
    <row r="152" spans="1:27" x14ac:dyDescent="0.3">
      <c r="A152" t="s">
        <v>19</v>
      </c>
      <c r="B152">
        <v>119757</v>
      </c>
      <c r="C152">
        <v>2014</v>
      </c>
      <c r="D152" t="s">
        <v>90</v>
      </c>
      <c r="E152" t="s">
        <v>91</v>
      </c>
      <c r="F152">
        <v>4</v>
      </c>
      <c r="G152" t="s">
        <v>22</v>
      </c>
      <c r="H152">
        <v>4</v>
      </c>
      <c r="I152" t="s">
        <v>23</v>
      </c>
      <c r="J152" t="s">
        <v>31</v>
      </c>
      <c r="K152" t="s">
        <v>25</v>
      </c>
      <c r="L152" t="s">
        <v>32</v>
      </c>
      <c r="M152" t="s">
        <v>33</v>
      </c>
      <c r="N152">
        <v>0</v>
      </c>
      <c r="O152" t="s">
        <v>27</v>
      </c>
      <c r="S152" s="3">
        <v>450</v>
      </c>
      <c r="T152" s="2">
        <v>3571.831298828125</v>
      </c>
      <c r="U152" s="2">
        <v>3243.0461049832411</v>
      </c>
      <c r="V152" s="2">
        <v>2915.393994323837</v>
      </c>
      <c r="W152" s="2">
        <v>3487.864501953125</v>
      </c>
      <c r="X152" s="4">
        <f t="shared" si="8"/>
        <v>0.12598579337933447</v>
      </c>
      <c r="Y152" s="4">
        <f t="shared" si="9"/>
        <v>0.13875843433386076</v>
      </c>
      <c r="Z152" s="4">
        <f t="shared" si="10"/>
        <v>0.15435306544368727</v>
      </c>
      <c r="AA152" s="4">
        <f t="shared" si="11"/>
        <v>0.12901877344948756</v>
      </c>
    </row>
    <row r="153" spans="1:27" x14ac:dyDescent="0.3">
      <c r="A153" t="s">
        <v>19</v>
      </c>
      <c r="B153">
        <v>1</v>
      </c>
      <c r="C153">
        <v>2008</v>
      </c>
      <c r="D153" t="s">
        <v>34</v>
      </c>
      <c r="E153" t="s">
        <v>232</v>
      </c>
      <c r="F153">
        <v>4</v>
      </c>
      <c r="G153" t="s">
        <v>30</v>
      </c>
      <c r="H153">
        <v>4</v>
      </c>
      <c r="I153" t="s">
        <v>233</v>
      </c>
      <c r="J153" t="s">
        <v>37</v>
      </c>
      <c r="K153" t="s">
        <v>25</v>
      </c>
      <c r="L153" t="s">
        <v>200</v>
      </c>
      <c r="M153" t="s">
        <v>33</v>
      </c>
      <c r="N153">
        <v>0</v>
      </c>
      <c r="O153" t="s">
        <v>123</v>
      </c>
      <c r="S153" s="3">
        <v>400</v>
      </c>
      <c r="T153" s="2">
        <v>-5099.322265625</v>
      </c>
      <c r="U153" s="2">
        <v>-16832.194082565198</v>
      </c>
      <c r="V153" s="2">
        <v>-8285.0802407627743</v>
      </c>
      <c r="W153" s="2">
        <v>699.314453125</v>
      </c>
      <c r="X153" s="4">
        <f t="shared" si="8"/>
        <v>-7.8441796608234929E-2</v>
      </c>
      <c r="Y153" s="4">
        <f t="shared" si="9"/>
        <v>-2.3763984542830359E-2</v>
      </c>
      <c r="Z153" s="4">
        <f t="shared" si="10"/>
        <v>-4.827955654937309E-2</v>
      </c>
      <c r="AA153" s="4">
        <f t="shared" si="11"/>
        <v>0.57198875014313688</v>
      </c>
    </row>
    <row r="154" spans="1:27" x14ac:dyDescent="0.3">
      <c r="A154" t="s">
        <v>19</v>
      </c>
      <c r="B154">
        <v>248096</v>
      </c>
      <c r="C154">
        <v>2014</v>
      </c>
      <c r="D154" t="s">
        <v>74</v>
      </c>
      <c r="E154" t="s">
        <v>217</v>
      </c>
      <c r="F154">
        <v>8</v>
      </c>
      <c r="G154" t="s">
        <v>47</v>
      </c>
      <c r="H154">
        <v>4</v>
      </c>
      <c r="I154" t="s">
        <v>23</v>
      </c>
      <c r="J154" t="s">
        <v>42</v>
      </c>
      <c r="K154" t="s">
        <v>25</v>
      </c>
      <c r="L154" t="s">
        <v>84</v>
      </c>
      <c r="M154">
        <v>4</v>
      </c>
      <c r="N154">
        <v>0</v>
      </c>
      <c r="O154" t="s">
        <v>27</v>
      </c>
      <c r="S154" s="3">
        <v>1500</v>
      </c>
      <c r="T154" s="2">
        <v>3001.964111328125</v>
      </c>
      <c r="U154" s="2">
        <v>2891.9100143665701</v>
      </c>
      <c r="V154" s="2">
        <v>7185.3481633703323</v>
      </c>
      <c r="W154" s="2">
        <v>3419.046630859375</v>
      </c>
      <c r="X154" s="4">
        <f t="shared" si="8"/>
        <v>0.49967286229027302</v>
      </c>
      <c r="Y154" s="4">
        <f t="shared" si="9"/>
        <v>0.5186883383467078</v>
      </c>
      <c r="Z154" s="4">
        <f t="shared" si="10"/>
        <v>0.20875815143471291</v>
      </c>
      <c r="AA154" s="4">
        <f t="shared" si="11"/>
        <v>0.43871878975308859</v>
      </c>
    </row>
    <row r="155" spans="1:27" x14ac:dyDescent="0.3">
      <c r="A155" t="s">
        <v>19</v>
      </c>
      <c r="B155">
        <v>206686</v>
      </c>
      <c r="C155">
        <v>2003</v>
      </c>
      <c r="D155" t="s">
        <v>71</v>
      </c>
      <c r="E155" t="s">
        <v>234</v>
      </c>
      <c r="F155">
        <v>6</v>
      </c>
      <c r="G155" t="s">
        <v>171</v>
      </c>
      <c r="H155">
        <v>4</v>
      </c>
      <c r="I155" t="s">
        <v>23</v>
      </c>
      <c r="J155" t="s">
        <v>31</v>
      </c>
      <c r="K155" t="s">
        <v>25</v>
      </c>
      <c r="L155" t="s">
        <v>143</v>
      </c>
      <c r="M155" t="s">
        <v>33</v>
      </c>
      <c r="N155">
        <v>0.9</v>
      </c>
      <c r="O155" t="s">
        <v>27</v>
      </c>
      <c r="S155" s="3">
        <v>400</v>
      </c>
      <c r="T155" s="2">
        <v>341.97732543945313</v>
      </c>
      <c r="U155" s="2">
        <v>605.86860187032653</v>
      </c>
      <c r="V155" s="2">
        <v>124.22913872766</v>
      </c>
      <c r="W155" s="2">
        <v>1062.169799804688</v>
      </c>
      <c r="X155" s="4">
        <f t="shared" si="8"/>
        <v>1.1696681921410599</v>
      </c>
      <c r="Y155" s="4">
        <f t="shared" si="9"/>
        <v>0.6602091588261767</v>
      </c>
      <c r="Z155" s="4">
        <f t="shared" si="10"/>
        <v>3.2198565014355909</v>
      </c>
      <c r="AA155" s="4">
        <f t="shared" si="11"/>
        <v>0.37658762287682451</v>
      </c>
    </row>
    <row r="156" spans="1:27" x14ac:dyDescent="0.3">
      <c r="A156" t="s">
        <v>19</v>
      </c>
      <c r="B156">
        <v>162636</v>
      </c>
      <c r="C156">
        <v>2011</v>
      </c>
      <c r="D156" t="s">
        <v>20</v>
      </c>
      <c r="E156" t="s">
        <v>154</v>
      </c>
      <c r="F156">
        <v>6</v>
      </c>
      <c r="G156" t="s">
        <v>47</v>
      </c>
      <c r="H156">
        <v>4</v>
      </c>
      <c r="I156" t="s">
        <v>23</v>
      </c>
      <c r="J156" t="s">
        <v>24</v>
      </c>
      <c r="K156" t="s">
        <v>25</v>
      </c>
      <c r="L156" t="s">
        <v>26</v>
      </c>
      <c r="M156" t="s">
        <v>23</v>
      </c>
      <c r="N156">
        <v>0</v>
      </c>
      <c r="O156" t="s">
        <v>27</v>
      </c>
      <c r="S156" s="3">
        <v>1900</v>
      </c>
      <c r="T156" s="2">
        <v>2750.798828125</v>
      </c>
      <c r="U156" s="2">
        <v>3687.707274509095</v>
      </c>
      <c r="V156" s="2">
        <v>1550.094316654589</v>
      </c>
      <c r="W156" s="2">
        <v>3070.442626953125</v>
      </c>
      <c r="X156" s="4">
        <f t="shared" si="8"/>
        <v>0.69070845187726004</v>
      </c>
      <c r="Y156" s="4">
        <f t="shared" si="9"/>
        <v>0.51522527645660998</v>
      </c>
      <c r="Z156" s="4">
        <f t="shared" si="10"/>
        <v>1.2257318664973735</v>
      </c>
      <c r="AA156" s="4">
        <f t="shared" si="11"/>
        <v>0.61880329022314817</v>
      </c>
    </row>
    <row r="157" spans="1:27" x14ac:dyDescent="0.3">
      <c r="A157" t="s">
        <v>19</v>
      </c>
      <c r="B157">
        <v>266890</v>
      </c>
      <c r="C157">
        <v>2008</v>
      </c>
      <c r="D157" t="s">
        <v>28</v>
      </c>
      <c r="E157" t="s">
        <v>216</v>
      </c>
      <c r="F157">
        <v>6</v>
      </c>
      <c r="G157" t="s">
        <v>30</v>
      </c>
      <c r="H157">
        <v>4</v>
      </c>
      <c r="I157" t="s">
        <v>23</v>
      </c>
      <c r="J157" t="s">
        <v>106</v>
      </c>
      <c r="K157" t="s">
        <v>25</v>
      </c>
      <c r="L157" t="s">
        <v>53</v>
      </c>
      <c r="M157" t="s">
        <v>33</v>
      </c>
      <c r="N157">
        <v>0</v>
      </c>
      <c r="O157" t="s">
        <v>27</v>
      </c>
      <c r="S157" s="3">
        <v>1100</v>
      </c>
      <c r="T157" s="2">
        <v>1601.379638671875</v>
      </c>
      <c r="U157" s="2">
        <v>2204.1509034456849</v>
      </c>
      <c r="V157" s="2">
        <v>101.04733518877219</v>
      </c>
      <c r="W157" s="2">
        <v>1663.883422851562</v>
      </c>
      <c r="X157" s="4">
        <f t="shared" si="8"/>
        <v>0.68690769723555323</v>
      </c>
      <c r="Y157" s="4">
        <f t="shared" si="9"/>
        <v>0.49905838945981512</v>
      </c>
      <c r="Z157" s="4">
        <f t="shared" si="10"/>
        <v>10.885987225145803</v>
      </c>
      <c r="AA157" s="4">
        <f t="shared" si="11"/>
        <v>0.66110400818515336</v>
      </c>
    </row>
    <row r="158" spans="1:27" x14ac:dyDescent="0.3">
      <c r="A158" t="s">
        <v>19</v>
      </c>
      <c r="B158">
        <v>117269</v>
      </c>
      <c r="C158">
        <v>2013</v>
      </c>
      <c r="D158" t="s">
        <v>90</v>
      </c>
      <c r="E158" t="s">
        <v>91</v>
      </c>
      <c r="F158">
        <v>4</v>
      </c>
      <c r="G158" t="s">
        <v>36</v>
      </c>
      <c r="H158">
        <v>4</v>
      </c>
      <c r="I158" t="s">
        <v>23</v>
      </c>
      <c r="J158" t="s">
        <v>31</v>
      </c>
      <c r="K158" t="s">
        <v>25</v>
      </c>
      <c r="L158" t="s">
        <v>127</v>
      </c>
      <c r="M158" t="s">
        <v>33</v>
      </c>
      <c r="N158">
        <v>0</v>
      </c>
      <c r="O158" t="s">
        <v>27</v>
      </c>
      <c r="S158" s="3">
        <v>6000</v>
      </c>
      <c r="T158" s="2">
        <v>3424.25</v>
      </c>
      <c r="U158" s="2">
        <v>3054.1532410613258</v>
      </c>
      <c r="V158" s="2">
        <v>2661.5639639369442</v>
      </c>
      <c r="W158" s="2">
        <v>3335.1669921875</v>
      </c>
      <c r="X158" s="4">
        <f t="shared" si="8"/>
        <v>1.7522085128130247</v>
      </c>
      <c r="Y158" s="4">
        <f t="shared" si="9"/>
        <v>1.9645379672943277</v>
      </c>
      <c r="Z158" s="4">
        <f t="shared" si="10"/>
        <v>2.2543136596743265</v>
      </c>
      <c r="AA158" s="4">
        <f t="shared" si="11"/>
        <v>1.7990103686126566</v>
      </c>
    </row>
    <row r="159" spans="1:27" x14ac:dyDescent="0.3">
      <c r="A159" t="s">
        <v>19</v>
      </c>
      <c r="B159">
        <v>181639</v>
      </c>
      <c r="C159">
        <v>2007</v>
      </c>
      <c r="D159" t="s">
        <v>28</v>
      </c>
      <c r="E159" t="s">
        <v>220</v>
      </c>
      <c r="F159">
        <v>6</v>
      </c>
      <c r="G159" t="s">
        <v>30</v>
      </c>
      <c r="H159">
        <v>4</v>
      </c>
      <c r="I159" t="s">
        <v>23</v>
      </c>
      <c r="J159" t="s">
        <v>24</v>
      </c>
      <c r="K159" t="s">
        <v>25</v>
      </c>
      <c r="L159" t="s">
        <v>53</v>
      </c>
      <c r="M159">
        <v>4</v>
      </c>
      <c r="N159">
        <v>0</v>
      </c>
      <c r="O159" t="s">
        <v>27</v>
      </c>
      <c r="S159" s="3">
        <v>2000</v>
      </c>
      <c r="T159" s="2">
        <v>1800.20703125</v>
      </c>
      <c r="U159" s="2">
        <v>3891.599330678087</v>
      </c>
      <c r="V159" s="2">
        <v>181.06339758760441</v>
      </c>
      <c r="W159" s="2">
        <v>2475.327880859375</v>
      </c>
      <c r="X159" s="4">
        <f t="shared" si="8"/>
        <v>1.110983328740401</v>
      </c>
      <c r="Y159" s="4">
        <f t="shared" si="9"/>
        <v>0.51392752183753521</v>
      </c>
      <c r="Z159" s="4">
        <f t="shared" si="10"/>
        <v>11.045854803604547</v>
      </c>
      <c r="AA159" s="4">
        <f t="shared" si="11"/>
        <v>0.80797377004683824</v>
      </c>
    </row>
    <row r="160" spans="1:27" x14ac:dyDescent="0.3">
      <c r="A160" t="s">
        <v>19</v>
      </c>
      <c r="B160">
        <v>241653</v>
      </c>
      <c r="C160">
        <v>2006</v>
      </c>
      <c r="D160" t="s">
        <v>34</v>
      </c>
      <c r="E160" t="s">
        <v>61</v>
      </c>
      <c r="F160">
        <v>6</v>
      </c>
      <c r="G160" t="s">
        <v>36</v>
      </c>
      <c r="H160">
        <v>4</v>
      </c>
      <c r="I160" t="s">
        <v>23</v>
      </c>
      <c r="J160" t="s">
        <v>62</v>
      </c>
      <c r="K160" t="s">
        <v>25</v>
      </c>
      <c r="L160" t="s">
        <v>235</v>
      </c>
      <c r="M160" t="s">
        <v>23</v>
      </c>
      <c r="N160">
        <v>0</v>
      </c>
      <c r="O160" t="s">
        <v>27</v>
      </c>
      <c r="S160" s="3">
        <v>1900</v>
      </c>
      <c r="T160" s="2">
        <v>1665.37548828125</v>
      </c>
      <c r="U160" s="2">
        <v>1823.9783997552711</v>
      </c>
      <c r="V160" s="2">
        <v>332.05641429222487</v>
      </c>
      <c r="W160" s="2">
        <v>1734.556030273438</v>
      </c>
      <c r="X160" s="4">
        <f t="shared" si="8"/>
        <v>1.1408838507410086</v>
      </c>
      <c r="Y160" s="4">
        <f t="shared" si="9"/>
        <v>1.0416790024788281</v>
      </c>
      <c r="Z160" s="4">
        <f t="shared" si="10"/>
        <v>5.7219192830526469</v>
      </c>
      <c r="AA160" s="4">
        <f t="shared" si="11"/>
        <v>1.0953811620028677</v>
      </c>
    </row>
    <row r="161" spans="1:27" x14ac:dyDescent="0.3">
      <c r="A161" t="s">
        <v>19</v>
      </c>
      <c r="B161">
        <v>196496</v>
      </c>
      <c r="C161">
        <v>2000</v>
      </c>
      <c r="D161" t="s">
        <v>236</v>
      </c>
      <c r="E161" t="s">
        <v>237</v>
      </c>
      <c r="F161">
        <v>4</v>
      </c>
      <c r="G161" t="s">
        <v>30</v>
      </c>
      <c r="H161">
        <v>4</v>
      </c>
      <c r="I161" t="s">
        <v>23</v>
      </c>
      <c r="J161" t="s">
        <v>52</v>
      </c>
      <c r="K161" t="s">
        <v>25</v>
      </c>
      <c r="L161" t="s">
        <v>238</v>
      </c>
      <c r="M161" t="s">
        <v>33</v>
      </c>
      <c r="N161">
        <v>0</v>
      </c>
      <c r="O161" t="s">
        <v>27</v>
      </c>
      <c r="S161" s="3">
        <v>500</v>
      </c>
      <c r="T161" s="2">
        <v>715.1593017578125</v>
      </c>
      <c r="U161" s="2">
        <v>211.53199957940521</v>
      </c>
      <c r="V161" s="2">
        <v>-796.56122361725284</v>
      </c>
      <c r="W161" s="2">
        <v>952.4638671875</v>
      </c>
      <c r="X161" s="4">
        <f t="shared" si="8"/>
        <v>0.69914493004710176</v>
      </c>
      <c r="Y161" s="4">
        <f t="shared" si="9"/>
        <v>2.3637085688886952</v>
      </c>
      <c r="Z161" s="4">
        <f t="shared" si="10"/>
        <v>-0.62769814193246454</v>
      </c>
      <c r="AA161" s="4">
        <f t="shared" si="11"/>
        <v>0.52495429719180209</v>
      </c>
    </row>
    <row r="162" spans="1:27" x14ac:dyDescent="0.3">
      <c r="A162" t="s">
        <v>19</v>
      </c>
      <c r="B162">
        <v>303200</v>
      </c>
      <c r="C162">
        <v>2014</v>
      </c>
      <c r="D162" t="s">
        <v>74</v>
      </c>
      <c r="E162" t="s">
        <v>75</v>
      </c>
      <c r="F162">
        <v>8</v>
      </c>
      <c r="G162" t="s">
        <v>66</v>
      </c>
      <c r="H162">
        <v>4</v>
      </c>
      <c r="I162" t="s">
        <v>23</v>
      </c>
      <c r="J162" t="s">
        <v>94</v>
      </c>
      <c r="K162" t="s">
        <v>25</v>
      </c>
      <c r="L162" t="s">
        <v>84</v>
      </c>
      <c r="M162">
        <v>4</v>
      </c>
      <c r="N162">
        <v>0</v>
      </c>
      <c r="O162" t="s">
        <v>27</v>
      </c>
      <c r="S162" s="3">
        <v>2400</v>
      </c>
      <c r="T162" s="2">
        <v>2073.146240234375</v>
      </c>
      <c r="U162" s="2">
        <v>3680.7934733228772</v>
      </c>
      <c r="V162" s="2">
        <v>1249.0322958263459</v>
      </c>
      <c r="W162" s="2">
        <v>3284.5166015625</v>
      </c>
      <c r="X162" s="4">
        <f t="shared" si="8"/>
        <v>1.1576607348879899</v>
      </c>
      <c r="Y162" s="4">
        <f t="shared" si="9"/>
        <v>0.6520333230849199</v>
      </c>
      <c r="Z162" s="4">
        <f t="shared" si="10"/>
        <v>1.9214875452137021</v>
      </c>
      <c r="AA162" s="4">
        <f t="shared" si="11"/>
        <v>0.73070113235484313</v>
      </c>
    </row>
    <row r="163" spans="1:27" x14ac:dyDescent="0.3">
      <c r="A163" t="s">
        <v>19</v>
      </c>
      <c r="B163">
        <v>160784</v>
      </c>
      <c r="C163">
        <v>2003</v>
      </c>
      <c r="D163" t="s">
        <v>34</v>
      </c>
      <c r="E163" t="s">
        <v>173</v>
      </c>
      <c r="F163">
        <v>4</v>
      </c>
      <c r="G163" t="s">
        <v>22</v>
      </c>
      <c r="H163">
        <v>4</v>
      </c>
      <c r="I163" t="s">
        <v>23</v>
      </c>
      <c r="J163" t="s">
        <v>62</v>
      </c>
      <c r="K163" t="s">
        <v>25</v>
      </c>
      <c r="L163" t="s">
        <v>96</v>
      </c>
      <c r="M163" t="s">
        <v>23</v>
      </c>
      <c r="N163">
        <v>0</v>
      </c>
      <c r="O163" t="s">
        <v>27</v>
      </c>
      <c r="S163" s="3">
        <v>2300</v>
      </c>
      <c r="T163" s="2">
        <v>1970.767578125</v>
      </c>
      <c r="U163" s="2">
        <v>2830.6737869917529</v>
      </c>
      <c r="V163" s="2">
        <v>184.85046531786969</v>
      </c>
      <c r="W163" s="2">
        <v>1975.237915039062</v>
      </c>
      <c r="X163" s="4">
        <f t="shared" si="8"/>
        <v>1.1670579653985549</v>
      </c>
      <c r="Y163" s="4">
        <f t="shared" si="9"/>
        <v>0.8125273956220449</v>
      </c>
      <c r="Z163" s="4">
        <f t="shared" si="10"/>
        <v>12.442489641802684</v>
      </c>
      <c r="AA163" s="4">
        <f t="shared" si="11"/>
        <v>1.1644166925352462</v>
      </c>
    </row>
    <row r="164" spans="1:27" x14ac:dyDescent="0.3">
      <c r="A164" t="s">
        <v>19</v>
      </c>
      <c r="B164">
        <v>181212</v>
      </c>
      <c r="C164">
        <v>2019</v>
      </c>
      <c r="D164" t="s">
        <v>40</v>
      </c>
      <c r="E164" t="s">
        <v>150</v>
      </c>
      <c r="F164">
        <v>6</v>
      </c>
      <c r="G164" t="s">
        <v>22</v>
      </c>
      <c r="H164">
        <v>4</v>
      </c>
      <c r="I164" t="s">
        <v>23</v>
      </c>
      <c r="J164" t="s">
        <v>24</v>
      </c>
      <c r="K164" t="s">
        <v>25</v>
      </c>
      <c r="L164" t="s">
        <v>26</v>
      </c>
      <c r="M164" t="s">
        <v>33</v>
      </c>
      <c r="N164">
        <v>0</v>
      </c>
      <c r="O164" t="s">
        <v>27</v>
      </c>
      <c r="S164" s="3">
        <v>5500</v>
      </c>
      <c r="T164" s="2">
        <v>7594.99951171875</v>
      </c>
      <c r="U164" s="2">
        <v>8219.5571013112276</v>
      </c>
      <c r="V164" s="2">
        <v>6079.6726540820946</v>
      </c>
      <c r="W164" s="2">
        <v>8062.1923828125</v>
      </c>
      <c r="X164" s="4">
        <f t="shared" si="8"/>
        <v>0.72416067855089949</v>
      </c>
      <c r="Y164" s="4">
        <f t="shared" si="9"/>
        <v>0.6691358101426913</v>
      </c>
      <c r="Z164" s="4">
        <f t="shared" si="10"/>
        <v>0.90465396953684951</v>
      </c>
      <c r="AA164" s="4">
        <f t="shared" si="11"/>
        <v>0.68219657121123201</v>
      </c>
    </row>
    <row r="165" spans="1:27" x14ac:dyDescent="0.3">
      <c r="A165" t="s">
        <v>19</v>
      </c>
      <c r="B165">
        <v>203907</v>
      </c>
      <c r="C165">
        <v>2008</v>
      </c>
      <c r="D165" t="s">
        <v>44</v>
      </c>
      <c r="E165" t="s">
        <v>176</v>
      </c>
      <c r="F165">
        <v>6</v>
      </c>
      <c r="G165" t="s">
        <v>36</v>
      </c>
      <c r="H165">
        <v>4</v>
      </c>
      <c r="I165" t="s">
        <v>23</v>
      </c>
      <c r="J165" t="s">
        <v>31</v>
      </c>
      <c r="K165" t="s">
        <v>25</v>
      </c>
      <c r="L165" t="s">
        <v>53</v>
      </c>
      <c r="M165" t="s">
        <v>23</v>
      </c>
      <c r="N165">
        <v>0</v>
      </c>
      <c r="O165" t="s">
        <v>27</v>
      </c>
      <c r="S165" s="3">
        <v>700</v>
      </c>
      <c r="T165" s="2">
        <v>1244.227905273438</v>
      </c>
      <c r="U165" s="2">
        <v>1474.465611889631</v>
      </c>
      <c r="V165" s="2">
        <v>744.66479390461973</v>
      </c>
      <c r="W165" s="2">
        <v>1503.153686523438</v>
      </c>
      <c r="X165" s="4">
        <f t="shared" si="8"/>
        <v>0.56259789467281263</v>
      </c>
      <c r="Y165" s="4">
        <f t="shared" si="9"/>
        <v>0.47474827107218931</v>
      </c>
      <c r="Z165" s="4">
        <f t="shared" si="10"/>
        <v>0.94002026915973602</v>
      </c>
      <c r="AA165" s="4">
        <f t="shared" si="11"/>
        <v>0.46568757824024753</v>
      </c>
    </row>
    <row r="166" spans="1:27" x14ac:dyDescent="0.3">
      <c r="A166" t="s">
        <v>19</v>
      </c>
      <c r="B166">
        <v>181647</v>
      </c>
      <c r="C166">
        <v>2013</v>
      </c>
      <c r="D166" t="s">
        <v>44</v>
      </c>
      <c r="E166" t="s">
        <v>117</v>
      </c>
      <c r="F166">
        <v>4</v>
      </c>
      <c r="G166" t="s">
        <v>59</v>
      </c>
      <c r="H166">
        <v>4</v>
      </c>
      <c r="I166" t="s">
        <v>23</v>
      </c>
      <c r="J166" t="s">
        <v>62</v>
      </c>
      <c r="K166" t="s">
        <v>25</v>
      </c>
      <c r="L166" t="s">
        <v>96</v>
      </c>
      <c r="M166" t="s">
        <v>33</v>
      </c>
      <c r="N166">
        <v>0</v>
      </c>
      <c r="O166" t="s">
        <v>27</v>
      </c>
      <c r="S166" s="3">
        <v>1400</v>
      </c>
      <c r="T166" s="2">
        <v>2653.688232421875</v>
      </c>
      <c r="U166" s="2">
        <v>2315.7311086883092</v>
      </c>
      <c r="V166" s="2">
        <v>1557.619100952405</v>
      </c>
      <c r="W166" s="2">
        <v>2117.554931640625</v>
      </c>
      <c r="X166" s="4">
        <f t="shared" si="8"/>
        <v>0.52756762565220294</v>
      </c>
      <c r="Y166" s="4">
        <f t="shared" si="9"/>
        <v>0.60456069132870816</v>
      </c>
      <c r="Z166" s="4">
        <f t="shared" si="10"/>
        <v>0.89880767329058242</v>
      </c>
      <c r="AA166" s="4">
        <f t="shared" si="11"/>
        <v>0.66113987367275395</v>
      </c>
    </row>
    <row r="167" spans="1:27" x14ac:dyDescent="0.3">
      <c r="A167" t="s">
        <v>158</v>
      </c>
      <c r="B167">
        <v>48532</v>
      </c>
      <c r="C167">
        <v>2023</v>
      </c>
      <c r="D167" t="s">
        <v>239</v>
      </c>
      <c r="E167" t="s">
        <v>240</v>
      </c>
      <c r="F167">
        <v>6</v>
      </c>
      <c r="G167" t="s">
        <v>22</v>
      </c>
      <c r="H167">
        <v>4</v>
      </c>
      <c r="I167" t="s">
        <v>23</v>
      </c>
      <c r="J167" t="s">
        <v>24</v>
      </c>
      <c r="K167" t="s">
        <v>25</v>
      </c>
      <c r="L167" t="s">
        <v>218</v>
      </c>
      <c r="M167" t="s">
        <v>78</v>
      </c>
      <c r="N167">
        <v>0</v>
      </c>
      <c r="O167" t="s">
        <v>27</v>
      </c>
      <c r="S167" s="3">
        <v>36900</v>
      </c>
      <c r="T167" s="2">
        <v>36633.08203125</v>
      </c>
      <c r="U167" s="2">
        <v>35759.005933501263</v>
      </c>
      <c r="V167" s="2">
        <v>39357.36045924676</v>
      </c>
      <c r="W167" s="2">
        <v>39672.14453125</v>
      </c>
      <c r="X167" s="4">
        <f t="shared" si="8"/>
        <v>1.0072862547716379</v>
      </c>
      <c r="Y167" s="4">
        <f t="shared" si="9"/>
        <v>1.0319078798952233</v>
      </c>
      <c r="Z167" s="4">
        <f t="shared" si="10"/>
        <v>0.93756287437539731</v>
      </c>
      <c r="AA167" s="4">
        <f t="shared" si="11"/>
        <v>0.93012365315753565</v>
      </c>
    </row>
    <row r="168" spans="1:27" x14ac:dyDescent="0.3">
      <c r="A168" t="s">
        <v>67</v>
      </c>
      <c r="B168">
        <v>53</v>
      </c>
      <c r="C168">
        <v>2024</v>
      </c>
      <c r="D168" t="s">
        <v>40</v>
      </c>
      <c r="E168" t="s">
        <v>63</v>
      </c>
      <c r="F168">
        <v>4</v>
      </c>
      <c r="G168" t="s">
        <v>47</v>
      </c>
      <c r="H168">
        <v>4</v>
      </c>
      <c r="I168" t="s">
        <v>23</v>
      </c>
      <c r="J168" t="s">
        <v>24</v>
      </c>
      <c r="K168" t="s">
        <v>27</v>
      </c>
      <c r="L168" t="s">
        <v>107</v>
      </c>
      <c r="M168" t="s">
        <v>23</v>
      </c>
      <c r="N168">
        <v>3.9</v>
      </c>
      <c r="O168" t="s">
        <v>27</v>
      </c>
      <c r="S168" s="3">
        <v>20800</v>
      </c>
      <c r="T168" s="2">
        <v>29970.166015625</v>
      </c>
      <c r="U168" s="2">
        <v>33222.118898231129</v>
      </c>
      <c r="V168" s="2">
        <v>26888.69945242169</v>
      </c>
      <c r="W168" s="2">
        <v>34337.75</v>
      </c>
      <c r="X168" s="4">
        <f t="shared" si="8"/>
        <v>0.69402351622463099</v>
      </c>
      <c r="Y168" s="4">
        <f t="shared" si="9"/>
        <v>0.62608890371250436</v>
      </c>
      <c r="Z168" s="4">
        <f t="shared" si="10"/>
        <v>0.77355916885473164</v>
      </c>
      <c r="AA168" s="4">
        <f t="shared" si="11"/>
        <v>0.60574731891285827</v>
      </c>
    </row>
    <row r="169" spans="1:27" x14ac:dyDescent="0.3">
      <c r="A169" t="s">
        <v>184</v>
      </c>
      <c r="B169">
        <v>134302</v>
      </c>
      <c r="C169">
        <v>2014</v>
      </c>
      <c r="D169" t="s">
        <v>34</v>
      </c>
      <c r="E169" t="s">
        <v>241</v>
      </c>
      <c r="F169">
        <v>4</v>
      </c>
      <c r="G169" t="s">
        <v>47</v>
      </c>
      <c r="H169">
        <v>4</v>
      </c>
      <c r="I169" t="s">
        <v>23</v>
      </c>
      <c r="J169" t="s">
        <v>62</v>
      </c>
      <c r="K169" t="s">
        <v>27</v>
      </c>
      <c r="L169" t="s">
        <v>242</v>
      </c>
      <c r="M169" t="s">
        <v>33</v>
      </c>
      <c r="N169">
        <v>0</v>
      </c>
      <c r="S169" s="3">
        <v>3999</v>
      </c>
      <c r="T169" s="2">
        <v>6489.98291015625</v>
      </c>
      <c r="U169" s="2">
        <v>5812.1093125859361</v>
      </c>
      <c r="V169" s="2">
        <v>5468.6406474998439</v>
      </c>
      <c r="W169" s="2">
        <v>6304.154296875</v>
      </c>
      <c r="X169" s="4">
        <f t="shared" si="8"/>
        <v>0.61618035907951596</v>
      </c>
      <c r="Y169" s="4">
        <f t="shared" si="9"/>
        <v>0.68804624705531503</v>
      </c>
      <c r="Z169" s="4">
        <f t="shared" si="10"/>
        <v>0.73126033648385091</v>
      </c>
      <c r="AA169" s="4">
        <f t="shared" si="11"/>
        <v>0.6343436108444116</v>
      </c>
    </row>
    <row r="170" spans="1:27" x14ac:dyDescent="0.3">
      <c r="A170" t="s">
        <v>184</v>
      </c>
      <c r="B170">
        <v>28205</v>
      </c>
      <c r="C170">
        <v>2022</v>
      </c>
      <c r="D170" t="s">
        <v>44</v>
      </c>
      <c r="E170" t="s">
        <v>243</v>
      </c>
      <c r="F170">
        <v>6</v>
      </c>
      <c r="G170" t="s">
        <v>47</v>
      </c>
      <c r="H170">
        <v>4</v>
      </c>
      <c r="I170" t="s">
        <v>109</v>
      </c>
      <c r="J170" t="s">
        <v>165</v>
      </c>
      <c r="K170" t="s">
        <v>25</v>
      </c>
      <c r="L170" t="s">
        <v>53</v>
      </c>
      <c r="M170">
        <v>4</v>
      </c>
      <c r="S170" s="3">
        <v>54000</v>
      </c>
      <c r="T170" s="2">
        <v>48036.171875</v>
      </c>
      <c r="U170" s="2">
        <v>54493.692115262253</v>
      </c>
      <c r="V170" s="2">
        <v>58850.276933560097</v>
      </c>
      <c r="W170" s="2">
        <v>58443.43359375</v>
      </c>
      <c r="X170" s="4">
        <f t="shared" si="8"/>
        <v>1.1241528600680151</v>
      </c>
      <c r="Y170" s="4">
        <f t="shared" si="9"/>
        <v>0.99094038050829769</v>
      </c>
      <c r="Z170" s="4">
        <f t="shared" si="10"/>
        <v>0.91758276789358373</v>
      </c>
      <c r="AA170" s="4">
        <f t="shared" si="11"/>
        <v>0.92397035354498436</v>
      </c>
    </row>
    <row r="171" spans="1:27" x14ac:dyDescent="0.3">
      <c r="A171" t="s">
        <v>70</v>
      </c>
      <c r="B171">
        <v>123774</v>
      </c>
      <c r="C171">
        <v>2018</v>
      </c>
      <c r="D171" t="s">
        <v>44</v>
      </c>
      <c r="E171" t="s">
        <v>244</v>
      </c>
      <c r="F171">
        <v>4</v>
      </c>
      <c r="G171" t="s">
        <v>30</v>
      </c>
      <c r="H171">
        <v>4</v>
      </c>
      <c r="I171" t="s">
        <v>23</v>
      </c>
      <c r="J171" t="s">
        <v>37</v>
      </c>
      <c r="K171" t="s">
        <v>27</v>
      </c>
      <c r="L171" t="s">
        <v>96</v>
      </c>
      <c r="M171" t="s">
        <v>33</v>
      </c>
      <c r="N171">
        <v>2.9</v>
      </c>
      <c r="O171" t="s">
        <v>27</v>
      </c>
      <c r="S171" s="3">
        <v>4200</v>
      </c>
      <c r="T171" s="2">
        <v>5573.224609375</v>
      </c>
      <c r="U171" s="2">
        <v>6191.1013316278086</v>
      </c>
      <c r="V171" s="2">
        <v>6990.8752070007749</v>
      </c>
      <c r="W171" s="2">
        <v>5959.44091796875</v>
      </c>
      <c r="X171" s="4">
        <f t="shared" si="8"/>
        <v>0.75360321795302665</v>
      </c>
      <c r="Y171" s="4">
        <f t="shared" si="9"/>
        <v>0.67839303138908669</v>
      </c>
      <c r="Z171" s="4">
        <f t="shared" si="10"/>
        <v>0.60078314597778149</v>
      </c>
      <c r="AA171" s="4">
        <f t="shared" si="11"/>
        <v>0.70476409747368585</v>
      </c>
    </row>
    <row r="172" spans="1:27" x14ac:dyDescent="0.3">
      <c r="A172" t="s">
        <v>70</v>
      </c>
      <c r="B172">
        <v>131843</v>
      </c>
      <c r="C172">
        <v>2013</v>
      </c>
      <c r="D172" t="s">
        <v>90</v>
      </c>
      <c r="E172" t="s">
        <v>245</v>
      </c>
      <c r="F172">
        <v>6</v>
      </c>
      <c r="G172" t="s">
        <v>47</v>
      </c>
      <c r="H172">
        <v>4</v>
      </c>
      <c r="I172" t="s">
        <v>23</v>
      </c>
      <c r="J172" t="s">
        <v>106</v>
      </c>
      <c r="L172" t="s">
        <v>26</v>
      </c>
      <c r="M172" t="s">
        <v>33</v>
      </c>
      <c r="N172">
        <v>0</v>
      </c>
      <c r="O172" t="s">
        <v>39</v>
      </c>
      <c r="S172" s="3">
        <v>1400</v>
      </c>
      <c r="T172" s="2">
        <v>3142.5302734375</v>
      </c>
      <c r="U172" s="2">
        <v>2058.8433233852629</v>
      </c>
      <c r="V172" s="2">
        <v>1067.268192278045</v>
      </c>
      <c r="W172" s="2">
        <v>1959.202026367188</v>
      </c>
      <c r="X172" s="4">
        <f t="shared" si="8"/>
        <v>0.44550087928622906</v>
      </c>
      <c r="Y172" s="4">
        <f t="shared" si="9"/>
        <v>0.67999346239617853</v>
      </c>
      <c r="Z172" s="4">
        <f t="shared" si="10"/>
        <v>1.3117602586953809</v>
      </c>
      <c r="AA172" s="4">
        <f t="shared" si="11"/>
        <v>0.71457663944739924</v>
      </c>
    </row>
    <row r="173" spans="1:27" x14ac:dyDescent="0.3">
      <c r="A173" t="s">
        <v>70</v>
      </c>
      <c r="B173">
        <v>40910</v>
      </c>
      <c r="C173">
        <v>2022</v>
      </c>
      <c r="D173" t="s">
        <v>100</v>
      </c>
      <c r="E173" t="s">
        <v>101</v>
      </c>
      <c r="F173">
        <v>4</v>
      </c>
      <c r="G173" t="s">
        <v>246</v>
      </c>
      <c r="H173">
        <v>4</v>
      </c>
      <c r="I173" t="s">
        <v>23</v>
      </c>
      <c r="J173" t="s">
        <v>31</v>
      </c>
      <c r="K173" t="s">
        <v>27</v>
      </c>
      <c r="L173" t="s">
        <v>102</v>
      </c>
      <c r="M173" t="s">
        <v>33</v>
      </c>
      <c r="N173">
        <v>3.6</v>
      </c>
      <c r="O173" t="s">
        <v>27</v>
      </c>
      <c r="S173" s="3">
        <v>17900</v>
      </c>
      <c r="T173" s="2">
        <v>19815.0390625</v>
      </c>
      <c r="U173" s="2">
        <v>21349.993435822042</v>
      </c>
      <c r="V173" s="2">
        <v>21532.717009529151</v>
      </c>
      <c r="W173" s="2">
        <v>19626.978515625</v>
      </c>
      <c r="X173" s="4">
        <f t="shared" si="8"/>
        <v>0.90335426256493156</v>
      </c>
      <c r="Y173" s="4">
        <f t="shared" si="9"/>
        <v>0.83840775191839279</v>
      </c>
      <c r="Z173" s="4">
        <f t="shared" si="10"/>
        <v>0.83129314299159196</v>
      </c>
      <c r="AA173" s="4">
        <f t="shared" si="11"/>
        <v>0.91200996555582126</v>
      </c>
    </row>
    <row r="174" spans="1:27" x14ac:dyDescent="0.3">
      <c r="A174" t="s">
        <v>70</v>
      </c>
      <c r="B174">
        <v>83292</v>
      </c>
      <c r="C174">
        <v>2015</v>
      </c>
      <c r="D174" t="s">
        <v>125</v>
      </c>
      <c r="E174" t="s">
        <v>230</v>
      </c>
      <c r="F174">
        <v>4</v>
      </c>
      <c r="G174" t="s">
        <v>66</v>
      </c>
      <c r="H174">
        <v>4</v>
      </c>
      <c r="I174" t="s">
        <v>23</v>
      </c>
      <c r="J174" t="s">
        <v>31</v>
      </c>
      <c r="K174" t="s">
        <v>27</v>
      </c>
      <c r="L174" t="s">
        <v>127</v>
      </c>
      <c r="M174" t="s">
        <v>33</v>
      </c>
      <c r="N174">
        <v>0</v>
      </c>
      <c r="O174" t="s">
        <v>199</v>
      </c>
      <c r="S174" s="3">
        <v>4900</v>
      </c>
      <c r="T174" s="2">
        <v>5016.482421875</v>
      </c>
      <c r="U174" s="2">
        <v>4567.7848955961799</v>
      </c>
      <c r="V174" s="2">
        <v>2830.1203191476502</v>
      </c>
      <c r="W174" s="2">
        <v>5858.546875</v>
      </c>
      <c r="X174" s="4">
        <f t="shared" si="8"/>
        <v>0.97678005979507398</v>
      </c>
      <c r="Y174" s="4">
        <f t="shared" si="9"/>
        <v>1.072730023851191</v>
      </c>
      <c r="Z174" s="4">
        <f t="shared" si="10"/>
        <v>1.7313751527976511</v>
      </c>
      <c r="AA174" s="4">
        <f t="shared" si="11"/>
        <v>0.83638487572910303</v>
      </c>
    </row>
    <row r="175" spans="1:27" x14ac:dyDescent="0.3">
      <c r="A175" t="s">
        <v>70</v>
      </c>
      <c r="B175">
        <v>89588</v>
      </c>
      <c r="C175">
        <v>2014</v>
      </c>
      <c r="D175" t="s">
        <v>90</v>
      </c>
      <c r="E175" t="s">
        <v>91</v>
      </c>
      <c r="F175">
        <v>4</v>
      </c>
      <c r="G175" t="s">
        <v>30</v>
      </c>
      <c r="H175">
        <v>4</v>
      </c>
      <c r="I175" t="s">
        <v>23</v>
      </c>
      <c r="J175" t="s">
        <v>31</v>
      </c>
      <c r="L175" t="s">
        <v>32</v>
      </c>
      <c r="M175" t="s">
        <v>33</v>
      </c>
      <c r="N175">
        <v>1</v>
      </c>
      <c r="O175" t="s">
        <v>27</v>
      </c>
      <c r="S175" s="3">
        <v>2500</v>
      </c>
      <c r="T175" s="2">
        <v>4694.388671875</v>
      </c>
      <c r="U175" s="2">
        <v>3464.5381771652269</v>
      </c>
      <c r="V175" s="2">
        <v>4337.842129296575</v>
      </c>
      <c r="W175" s="2">
        <v>4098.8857421875</v>
      </c>
      <c r="X175" s="4">
        <f t="shared" si="8"/>
        <v>0.53255070569209328</v>
      </c>
      <c r="Y175" s="4">
        <f t="shared" si="9"/>
        <v>0.72159689752518863</v>
      </c>
      <c r="Z175" s="4">
        <f t="shared" si="10"/>
        <v>0.57632341737743242</v>
      </c>
      <c r="AA175" s="4">
        <f t="shared" si="11"/>
        <v>0.60992185614468875</v>
      </c>
    </row>
    <row r="176" spans="1:27" x14ac:dyDescent="0.3">
      <c r="A176" t="s">
        <v>70</v>
      </c>
      <c r="B176">
        <v>133529</v>
      </c>
      <c r="C176">
        <v>2016</v>
      </c>
      <c r="D176" t="s">
        <v>34</v>
      </c>
      <c r="E176" t="s">
        <v>116</v>
      </c>
      <c r="F176">
        <v>4</v>
      </c>
      <c r="G176" t="s">
        <v>30</v>
      </c>
      <c r="H176">
        <v>4</v>
      </c>
      <c r="I176" t="s">
        <v>23</v>
      </c>
      <c r="J176" t="s">
        <v>37</v>
      </c>
      <c r="L176" t="s">
        <v>128</v>
      </c>
      <c r="M176" t="s">
        <v>33</v>
      </c>
      <c r="N176">
        <v>1</v>
      </c>
      <c r="O176" t="s">
        <v>27</v>
      </c>
      <c r="S176" s="3">
        <v>4500</v>
      </c>
      <c r="T176" s="2">
        <v>6204.3720703125</v>
      </c>
      <c r="U176" s="2">
        <v>4580.9733801730381</v>
      </c>
      <c r="V176" s="2">
        <v>4405.3250409092598</v>
      </c>
      <c r="W176" s="2">
        <v>5578.17138671875</v>
      </c>
      <c r="X176" s="4">
        <f t="shared" si="8"/>
        <v>0.72529499343409709</v>
      </c>
      <c r="Y176" s="4">
        <f t="shared" si="9"/>
        <v>0.98232397932642446</v>
      </c>
      <c r="Z176" s="4">
        <f t="shared" si="10"/>
        <v>1.0214910269302624</v>
      </c>
      <c r="AA176" s="4">
        <f t="shared" si="11"/>
        <v>0.80671598056563776</v>
      </c>
    </row>
    <row r="177" spans="1:27" x14ac:dyDescent="0.3">
      <c r="A177" t="s">
        <v>19</v>
      </c>
      <c r="B177">
        <v>190097</v>
      </c>
      <c r="C177">
        <v>2012</v>
      </c>
      <c r="D177" t="s">
        <v>187</v>
      </c>
      <c r="E177" t="s">
        <v>247</v>
      </c>
      <c r="F177">
        <v>4</v>
      </c>
      <c r="G177" t="s">
        <v>59</v>
      </c>
      <c r="H177">
        <v>4</v>
      </c>
      <c r="I177" t="s">
        <v>23</v>
      </c>
      <c r="J177" t="s">
        <v>31</v>
      </c>
      <c r="K177" t="s">
        <v>25</v>
      </c>
      <c r="L177" t="s">
        <v>102</v>
      </c>
      <c r="M177" t="s">
        <v>23</v>
      </c>
      <c r="N177">
        <v>1.2</v>
      </c>
      <c r="O177" t="s">
        <v>27</v>
      </c>
      <c r="S177" s="3">
        <v>700</v>
      </c>
      <c r="T177" s="2">
        <v>683.05389404296875</v>
      </c>
      <c r="U177" s="2">
        <v>817.37192804738152</v>
      </c>
      <c r="V177" s="2">
        <v>826.28547840842657</v>
      </c>
      <c r="W177" s="2">
        <v>1330.058349609375</v>
      </c>
      <c r="X177" s="4">
        <f t="shared" si="8"/>
        <v>1.024809324864145</v>
      </c>
      <c r="Y177" s="4">
        <f t="shared" si="9"/>
        <v>0.85640327980461584</v>
      </c>
      <c r="Z177" s="4">
        <f t="shared" si="10"/>
        <v>0.84716483381545693</v>
      </c>
      <c r="AA177" s="4">
        <f t="shared" si="11"/>
        <v>0.52629270001995254</v>
      </c>
    </row>
    <row r="178" spans="1:27" x14ac:dyDescent="0.3">
      <c r="A178" t="s">
        <v>19</v>
      </c>
      <c r="B178">
        <v>1</v>
      </c>
      <c r="C178">
        <v>2020</v>
      </c>
      <c r="D178" t="s">
        <v>248</v>
      </c>
      <c r="E178" t="s">
        <v>249</v>
      </c>
      <c r="F178">
        <v>0</v>
      </c>
      <c r="G178" t="s">
        <v>47</v>
      </c>
      <c r="H178">
        <v>0</v>
      </c>
      <c r="I178" t="s">
        <v>250</v>
      </c>
      <c r="M178" t="s">
        <v>78</v>
      </c>
      <c r="N178">
        <v>0</v>
      </c>
      <c r="S178" s="3">
        <v>6500</v>
      </c>
      <c r="T178" s="2">
        <v>32958.65625</v>
      </c>
      <c r="U178" s="2">
        <v>28328.683743584279</v>
      </c>
      <c r="V178" s="2">
        <v>-6498.6953720938618</v>
      </c>
      <c r="W178" s="2">
        <v>9790.9931640625</v>
      </c>
      <c r="X178" s="4">
        <f t="shared" si="8"/>
        <v>0.19721677821740685</v>
      </c>
      <c r="Y178" s="4">
        <f t="shared" si="9"/>
        <v>0.22944941808219677</v>
      </c>
      <c r="Z178" s="4">
        <f t="shared" si="10"/>
        <v>-1.0002007522789482</v>
      </c>
      <c r="AA178" s="4">
        <f t="shared" si="11"/>
        <v>0.66387545074160847</v>
      </c>
    </row>
    <row r="179" spans="1:27" x14ac:dyDescent="0.3">
      <c r="A179" t="s">
        <v>19</v>
      </c>
      <c r="B179">
        <v>161900</v>
      </c>
      <c r="C179">
        <v>2008</v>
      </c>
      <c r="D179" t="s">
        <v>81</v>
      </c>
      <c r="E179" t="s">
        <v>105</v>
      </c>
      <c r="F179">
        <v>6</v>
      </c>
      <c r="G179" t="s">
        <v>66</v>
      </c>
      <c r="H179">
        <v>4</v>
      </c>
      <c r="I179" t="s">
        <v>23</v>
      </c>
      <c r="J179" t="s">
        <v>106</v>
      </c>
      <c r="K179" t="s">
        <v>25</v>
      </c>
      <c r="L179" t="s">
        <v>194</v>
      </c>
      <c r="M179" t="s">
        <v>33</v>
      </c>
      <c r="N179">
        <v>0</v>
      </c>
      <c r="O179" t="s">
        <v>27</v>
      </c>
      <c r="S179" s="3">
        <v>2100</v>
      </c>
      <c r="T179" s="2">
        <v>2035.9189453125</v>
      </c>
      <c r="U179" s="2">
        <v>1653.5844180608819</v>
      </c>
      <c r="V179" s="2">
        <v>1081.037112375863</v>
      </c>
      <c r="W179" s="2">
        <v>1560.936889648438</v>
      </c>
      <c r="X179" s="4">
        <f t="shared" si="8"/>
        <v>1.0314752484793366</v>
      </c>
      <c r="Y179" s="4">
        <f t="shared" si="9"/>
        <v>1.2699684255991108</v>
      </c>
      <c r="Z179" s="4">
        <f t="shared" si="10"/>
        <v>1.9425790067324316</v>
      </c>
      <c r="AA179" s="4">
        <f t="shared" si="11"/>
        <v>1.3453458713971278</v>
      </c>
    </row>
    <row r="180" spans="1:27" x14ac:dyDescent="0.3">
      <c r="A180" t="s">
        <v>19</v>
      </c>
      <c r="B180">
        <v>189602</v>
      </c>
      <c r="C180">
        <v>2011</v>
      </c>
      <c r="D180" t="s">
        <v>20</v>
      </c>
      <c r="E180" t="s">
        <v>154</v>
      </c>
      <c r="F180">
        <v>6</v>
      </c>
      <c r="G180" t="s">
        <v>36</v>
      </c>
      <c r="H180">
        <v>4</v>
      </c>
      <c r="I180" t="s">
        <v>23</v>
      </c>
      <c r="J180" t="s">
        <v>24</v>
      </c>
      <c r="K180" t="s">
        <v>25</v>
      </c>
      <c r="L180" t="s">
        <v>26</v>
      </c>
      <c r="M180" t="s">
        <v>23</v>
      </c>
      <c r="N180">
        <v>0</v>
      </c>
      <c r="O180" t="s">
        <v>27</v>
      </c>
      <c r="S180" s="3">
        <v>1900</v>
      </c>
      <c r="T180" s="2">
        <v>2514.220703125</v>
      </c>
      <c r="U180" s="2">
        <v>2759.4278476449249</v>
      </c>
      <c r="V180" s="2">
        <v>519.67720388561611</v>
      </c>
      <c r="W180" s="2">
        <v>2782.800048828125</v>
      </c>
      <c r="X180" s="4">
        <f t="shared" si="8"/>
        <v>0.75570135813392725</v>
      </c>
      <c r="Y180" s="4">
        <f t="shared" si="9"/>
        <v>0.68854853429908791</v>
      </c>
      <c r="Z180" s="4">
        <f t="shared" si="10"/>
        <v>3.656115730676154</v>
      </c>
      <c r="AA180" s="4">
        <f t="shared" si="11"/>
        <v>0.68276554788768096</v>
      </c>
    </row>
    <row r="181" spans="1:27" x14ac:dyDescent="0.3">
      <c r="A181" t="s">
        <v>19</v>
      </c>
      <c r="B181">
        <v>214088</v>
      </c>
      <c r="C181">
        <v>2003</v>
      </c>
      <c r="D181" t="s">
        <v>40</v>
      </c>
      <c r="E181" t="s">
        <v>251</v>
      </c>
      <c r="F181">
        <v>6</v>
      </c>
      <c r="G181" t="s">
        <v>47</v>
      </c>
      <c r="H181">
        <v>4</v>
      </c>
      <c r="I181" t="s">
        <v>23</v>
      </c>
      <c r="J181" t="s">
        <v>24</v>
      </c>
      <c r="K181" t="s">
        <v>25</v>
      </c>
      <c r="L181" t="s">
        <v>149</v>
      </c>
      <c r="M181">
        <v>4</v>
      </c>
      <c r="N181">
        <v>0</v>
      </c>
      <c r="O181" t="s">
        <v>27</v>
      </c>
      <c r="S181" s="3">
        <v>400</v>
      </c>
      <c r="T181" s="2">
        <v>1014.060241699219</v>
      </c>
      <c r="U181" s="2">
        <v>1650.246039376862</v>
      </c>
      <c r="V181" s="2">
        <v>363.52370120960398</v>
      </c>
      <c r="W181" s="2">
        <v>1517.908569335938</v>
      </c>
      <c r="X181" s="4">
        <f t="shared" si="8"/>
        <v>0.39445388306491186</v>
      </c>
      <c r="Y181" s="4">
        <f t="shared" si="9"/>
        <v>0.24238809877770787</v>
      </c>
      <c r="Z181" s="4">
        <f t="shared" si="10"/>
        <v>1.100340909462088</v>
      </c>
      <c r="AA181" s="4">
        <f t="shared" si="11"/>
        <v>0.26352048343398837</v>
      </c>
    </row>
    <row r="182" spans="1:27" x14ac:dyDescent="0.3">
      <c r="A182" t="s">
        <v>19</v>
      </c>
      <c r="B182">
        <v>202389</v>
      </c>
      <c r="C182">
        <v>2016</v>
      </c>
      <c r="D182" t="s">
        <v>40</v>
      </c>
      <c r="E182" t="s">
        <v>252</v>
      </c>
      <c r="F182">
        <v>8</v>
      </c>
      <c r="G182" t="s">
        <v>47</v>
      </c>
      <c r="H182">
        <v>2</v>
      </c>
      <c r="I182" t="s">
        <v>23</v>
      </c>
      <c r="J182" t="s">
        <v>253</v>
      </c>
      <c r="K182" t="s">
        <v>25</v>
      </c>
      <c r="L182" t="s">
        <v>80</v>
      </c>
      <c r="M182" t="s">
        <v>78</v>
      </c>
      <c r="N182">
        <v>0</v>
      </c>
      <c r="O182" t="s">
        <v>27</v>
      </c>
      <c r="S182" s="3">
        <v>5000</v>
      </c>
      <c r="T182" s="2">
        <v>8414.5087890625</v>
      </c>
      <c r="U182" s="2">
        <v>15174.444633389479</v>
      </c>
      <c r="V182" s="2">
        <v>5148.7304052632526</v>
      </c>
      <c r="W182" s="2">
        <v>9588.298828125</v>
      </c>
      <c r="X182" s="4">
        <f t="shared" si="8"/>
        <v>0.59421175083912103</v>
      </c>
      <c r="Y182" s="4">
        <f t="shared" si="9"/>
        <v>0.32950135051388446</v>
      </c>
      <c r="Z182" s="4">
        <f t="shared" si="10"/>
        <v>0.97111318838694405</v>
      </c>
      <c r="AA182" s="4">
        <f t="shared" si="11"/>
        <v>0.52146893725649079</v>
      </c>
    </row>
    <row r="183" spans="1:27" x14ac:dyDescent="0.3">
      <c r="A183" t="s">
        <v>19</v>
      </c>
      <c r="B183">
        <v>216084</v>
      </c>
      <c r="C183">
        <v>2010</v>
      </c>
      <c r="D183" t="s">
        <v>100</v>
      </c>
      <c r="E183" t="s">
        <v>155</v>
      </c>
      <c r="F183">
        <v>4</v>
      </c>
      <c r="G183" t="s">
        <v>36</v>
      </c>
      <c r="H183">
        <v>4</v>
      </c>
      <c r="I183" t="s">
        <v>23</v>
      </c>
      <c r="J183" t="s">
        <v>31</v>
      </c>
      <c r="K183" t="s">
        <v>25</v>
      </c>
      <c r="L183" t="s">
        <v>32</v>
      </c>
      <c r="M183" t="s">
        <v>33</v>
      </c>
      <c r="N183">
        <v>1</v>
      </c>
      <c r="O183" t="s">
        <v>27</v>
      </c>
      <c r="S183" s="3">
        <v>450</v>
      </c>
      <c r="T183" s="2">
        <v>0.58949494361877441</v>
      </c>
      <c r="U183" s="2">
        <v>583.87022574608454</v>
      </c>
      <c r="V183" s="2">
        <v>-457.8971327296058</v>
      </c>
      <c r="W183" s="2">
        <v>989.44329833984375</v>
      </c>
      <c r="X183" s="4">
        <f t="shared" si="8"/>
        <v>763.36532632078752</v>
      </c>
      <c r="Y183" s="4">
        <f t="shared" si="9"/>
        <v>0.77071921149083822</v>
      </c>
      <c r="Z183" s="4">
        <f t="shared" si="10"/>
        <v>-0.98275347853232975</v>
      </c>
      <c r="AA183" s="4">
        <f t="shared" si="11"/>
        <v>0.45480120058930212</v>
      </c>
    </row>
    <row r="184" spans="1:27" x14ac:dyDescent="0.3">
      <c r="A184" t="s">
        <v>19</v>
      </c>
      <c r="B184">
        <v>142429</v>
      </c>
      <c r="C184">
        <v>2009</v>
      </c>
      <c r="D184" t="s">
        <v>40</v>
      </c>
      <c r="E184" t="s">
        <v>41</v>
      </c>
      <c r="F184">
        <v>8</v>
      </c>
      <c r="G184" t="s">
        <v>59</v>
      </c>
      <c r="H184">
        <v>2</v>
      </c>
      <c r="I184" t="s">
        <v>23</v>
      </c>
      <c r="J184" t="s">
        <v>49</v>
      </c>
      <c r="K184" t="s">
        <v>25</v>
      </c>
      <c r="L184" t="s">
        <v>43</v>
      </c>
      <c r="M184">
        <v>4</v>
      </c>
      <c r="N184">
        <v>0</v>
      </c>
      <c r="O184" t="s">
        <v>27</v>
      </c>
      <c r="S184" s="3">
        <v>1500</v>
      </c>
      <c r="T184" s="2">
        <v>4016.906982421875</v>
      </c>
      <c r="U184" s="2">
        <v>11125.46406543627</v>
      </c>
      <c r="V184" s="2">
        <v>2421.5765399707429</v>
      </c>
      <c r="W184" s="2">
        <v>5867.828125</v>
      </c>
      <c r="X184" s="4">
        <f t="shared" si="8"/>
        <v>0.37342164171688624</v>
      </c>
      <c r="Y184" s="4">
        <f t="shared" si="9"/>
        <v>0.13482583658331015</v>
      </c>
      <c r="Z184" s="4">
        <f t="shared" si="10"/>
        <v>0.61943117437787976</v>
      </c>
      <c r="AA184" s="4">
        <f t="shared" si="11"/>
        <v>0.25563120937527462</v>
      </c>
    </row>
    <row r="185" spans="1:27" x14ac:dyDescent="0.3">
      <c r="A185" t="s">
        <v>19</v>
      </c>
      <c r="B185">
        <v>202600</v>
      </c>
      <c r="C185">
        <v>2013</v>
      </c>
      <c r="D185" t="s">
        <v>40</v>
      </c>
      <c r="E185" t="s">
        <v>169</v>
      </c>
      <c r="F185">
        <v>8</v>
      </c>
      <c r="G185" t="s">
        <v>36</v>
      </c>
      <c r="H185">
        <v>4</v>
      </c>
      <c r="I185" t="s">
        <v>23</v>
      </c>
      <c r="J185" t="s">
        <v>42</v>
      </c>
      <c r="K185" t="s">
        <v>25</v>
      </c>
      <c r="L185" t="s">
        <v>43</v>
      </c>
      <c r="M185">
        <v>4</v>
      </c>
      <c r="N185">
        <v>0</v>
      </c>
      <c r="O185" t="s">
        <v>27</v>
      </c>
      <c r="S185" s="3">
        <v>1500</v>
      </c>
      <c r="T185" s="2">
        <v>4553.6962890625</v>
      </c>
      <c r="U185" s="2">
        <v>12602.209075236709</v>
      </c>
      <c r="V185" s="2">
        <v>1651.0485038273489</v>
      </c>
      <c r="W185" s="2">
        <v>8989.3828125</v>
      </c>
      <c r="X185" s="4">
        <f t="shared" si="8"/>
        <v>0.3294027323699304</v>
      </c>
      <c r="Y185" s="4">
        <f t="shared" si="9"/>
        <v>0.11902675086921816</v>
      </c>
      <c r="Z185" s="4">
        <f t="shared" si="10"/>
        <v>0.90851358789448133</v>
      </c>
      <c r="AA185" s="4">
        <f t="shared" si="11"/>
        <v>0.16686351346771061</v>
      </c>
    </row>
    <row r="186" spans="1:27" x14ac:dyDescent="0.3">
      <c r="A186" t="s">
        <v>19</v>
      </c>
      <c r="B186">
        <v>151227</v>
      </c>
      <c r="C186">
        <v>2013</v>
      </c>
      <c r="D186" t="s">
        <v>40</v>
      </c>
      <c r="E186" t="s">
        <v>41</v>
      </c>
      <c r="F186">
        <v>8</v>
      </c>
      <c r="G186" t="s">
        <v>47</v>
      </c>
      <c r="H186">
        <v>4</v>
      </c>
      <c r="I186" t="s">
        <v>23</v>
      </c>
      <c r="J186" t="s">
        <v>42</v>
      </c>
      <c r="K186" t="s">
        <v>25</v>
      </c>
      <c r="L186" t="s">
        <v>43</v>
      </c>
      <c r="M186">
        <v>4</v>
      </c>
      <c r="N186">
        <v>0</v>
      </c>
      <c r="O186" t="s">
        <v>27</v>
      </c>
      <c r="S186" s="3">
        <v>3500</v>
      </c>
      <c r="T186" s="2">
        <v>6170.18994140625</v>
      </c>
      <c r="U186" s="2">
        <v>14956.97428879811</v>
      </c>
      <c r="V186" s="2">
        <v>3610.8748747766199</v>
      </c>
      <c r="W186" s="2">
        <v>12261.9833984375</v>
      </c>
      <c r="X186" s="4">
        <f t="shared" si="8"/>
        <v>0.56724347762984972</v>
      </c>
      <c r="Y186" s="4">
        <f t="shared" si="9"/>
        <v>0.23400454747196384</v>
      </c>
      <c r="Z186" s="4">
        <f t="shared" si="10"/>
        <v>0.96929417977035859</v>
      </c>
      <c r="AA186" s="4">
        <f t="shared" si="11"/>
        <v>0.28543506268700319</v>
      </c>
    </row>
    <row r="187" spans="1:27" x14ac:dyDescent="0.3">
      <c r="A187" t="s">
        <v>19</v>
      </c>
      <c r="B187">
        <v>239931</v>
      </c>
      <c r="C187">
        <v>2008</v>
      </c>
      <c r="D187" t="s">
        <v>40</v>
      </c>
      <c r="E187" t="s">
        <v>41</v>
      </c>
      <c r="F187">
        <v>8</v>
      </c>
      <c r="G187" t="s">
        <v>66</v>
      </c>
      <c r="H187">
        <v>2</v>
      </c>
      <c r="I187" t="s">
        <v>23</v>
      </c>
      <c r="J187" t="s">
        <v>49</v>
      </c>
      <c r="K187" t="s">
        <v>25</v>
      </c>
      <c r="L187" t="s">
        <v>43</v>
      </c>
      <c r="M187">
        <v>4</v>
      </c>
      <c r="N187">
        <v>0</v>
      </c>
      <c r="O187" t="s">
        <v>27</v>
      </c>
      <c r="S187" s="3">
        <v>500</v>
      </c>
      <c r="T187" s="2">
        <v>2036.771850585938</v>
      </c>
      <c r="U187" s="2">
        <v>9066.0724149254911</v>
      </c>
      <c r="V187" s="2">
        <v>-40.876250365603482</v>
      </c>
      <c r="W187" s="2">
        <v>6016.47509765625</v>
      </c>
      <c r="X187" s="4">
        <f t="shared" si="8"/>
        <v>0.24548650348646567</v>
      </c>
      <c r="Y187" s="4">
        <f t="shared" si="9"/>
        <v>5.51506735349752E-2</v>
      </c>
      <c r="Z187" s="4">
        <f t="shared" si="10"/>
        <v>-12.232041724177805</v>
      </c>
      <c r="AA187" s="4">
        <f t="shared" si="11"/>
        <v>8.3105139119544882E-2</v>
      </c>
    </row>
    <row r="188" spans="1:27" x14ac:dyDescent="0.3">
      <c r="A188" t="s">
        <v>19</v>
      </c>
      <c r="B188">
        <v>256390</v>
      </c>
      <c r="C188">
        <v>2008</v>
      </c>
      <c r="D188" t="s">
        <v>81</v>
      </c>
      <c r="E188" t="s">
        <v>254</v>
      </c>
      <c r="F188">
        <v>6</v>
      </c>
      <c r="G188" t="s">
        <v>36</v>
      </c>
      <c r="H188">
        <v>4</v>
      </c>
      <c r="I188" t="s">
        <v>23</v>
      </c>
      <c r="J188" t="s">
        <v>94</v>
      </c>
      <c r="K188" t="s">
        <v>25</v>
      </c>
      <c r="L188" t="s">
        <v>255</v>
      </c>
      <c r="M188">
        <v>4</v>
      </c>
      <c r="N188">
        <v>0</v>
      </c>
      <c r="O188" t="s">
        <v>27</v>
      </c>
      <c r="S188" s="3">
        <v>5100</v>
      </c>
      <c r="T188" s="2">
        <v>5198.06689453125</v>
      </c>
      <c r="U188" s="2">
        <v>6213.7673285542969</v>
      </c>
      <c r="V188" s="2">
        <v>6456.8291696976166</v>
      </c>
      <c r="W188" s="2">
        <v>5897.06787109375</v>
      </c>
      <c r="X188" s="4">
        <f t="shared" si="8"/>
        <v>0.98113396835380795</v>
      </c>
      <c r="Y188" s="4">
        <f t="shared" si="9"/>
        <v>0.82075812149641147</v>
      </c>
      <c r="Z188" s="4">
        <f t="shared" si="10"/>
        <v>0.7898613802475497</v>
      </c>
      <c r="AA188" s="4">
        <f t="shared" si="11"/>
        <v>0.86483657836111782</v>
      </c>
    </row>
    <row r="189" spans="1:27" x14ac:dyDescent="0.3">
      <c r="A189" t="s">
        <v>19</v>
      </c>
      <c r="B189">
        <v>90796</v>
      </c>
      <c r="C189">
        <v>2007</v>
      </c>
      <c r="D189" t="s">
        <v>44</v>
      </c>
      <c r="E189" t="s">
        <v>176</v>
      </c>
      <c r="F189">
        <v>6</v>
      </c>
      <c r="G189" t="s">
        <v>256</v>
      </c>
      <c r="H189">
        <v>4</v>
      </c>
      <c r="I189" t="s">
        <v>23</v>
      </c>
      <c r="J189" t="s">
        <v>31</v>
      </c>
      <c r="K189" t="s">
        <v>25</v>
      </c>
      <c r="L189" t="s">
        <v>53</v>
      </c>
      <c r="M189" t="s">
        <v>23</v>
      </c>
      <c r="N189">
        <v>0</v>
      </c>
      <c r="O189" t="s">
        <v>27</v>
      </c>
      <c r="S189" s="3">
        <v>3900</v>
      </c>
      <c r="T189" s="2">
        <v>3715.131103515625</v>
      </c>
      <c r="U189" s="2">
        <v>3886.203397162426</v>
      </c>
      <c r="V189" s="2">
        <v>2357.982048833268</v>
      </c>
      <c r="W189" s="2">
        <v>4294.56591796875</v>
      </c>
      <c r="X189" s="4">
        <f t="shared" si="8"/>
        <v>1.0497610693494595</v>
      </c>
      <c r="Y189" s="4">
        <f t="shared" si="9"/>
        <v>1.0035501494460244</v>
      </c>
      <c r="Z189" s="4">
        <f t="shared" si="10"/>
        <v>1.6539566117264226</v>
      </c>
      <c r="AA189" s="4">
        <f t="shared" si="11"/>
        <v>0.90812437729320672</v>
      </c>
    </row>
    <row r="190" spans="1:27" x14ac:dyDescent="0.3">
      <c r="A190" t="s">
        <v>19</v>
      </c>
      <c r="B190">
        <v>200081</v>
      </c>
      <c r="C190">
        <v>2010</v>
      </c>
      <c r="D190" t="s">
        <v>44</v>
      </c>
      <c r="E190" t="s">
        <v>176</v>
      </c>
      <c r="F190">
        <v>6</v>
      </c>
      <c r="G190" t="s">
        <v>99</v>
      </c>
      <c r="H190">
        <v>4</v>
      </c>
      <c r="I190" t="s">
        <v>23</v>
      </c>
      <c r="J190" t="s">
        <v>31</v>
      </c>
      <c r="K190" t="s">
        <v>25</v>
      </c>
      <c r="L190" t="s">
        <v>53</v>
      </c>
      <c r="M190" t="s">
        <v>23</v>
      </c>
      <c r="N190">
        <v>0</v>
      </c>
      <c r="O190" t="s">
        <v>27</v>
      </c>
      <c r="S190" s="3">
        <v>1100</v>
      </c>
      <c r="T190" s="2">
        <v>1737.343017578125</v>
      </c>
      <c r="U190" s="2">
        <v>1888.4609587284519</v>
      </c>
      <c r="V190" s="2">
        <v>982.74958873377545</v>
      </c>
      <c r="W190" s="2">
        <v>1970.069946289062</v>
      </c>
      <c r="X190" s="4">
        <f t="shared" si="8"/>
        <v>0.63315073009209888</v>
      </c>
      <c r="Y190" s="4">
        <f t="shared" si="9"/>
        <v>0.58248490386619245</v>
      </c>
      <c r="Z190" s="4">
        <f t="shared" si="10"/>
        <v>1.11930853251976</v>
      </c>
      <c r="AA190" s="4">
        <f t="shared" si="11"/>
        <v>0.55835580968687115</v>
      </c>
    </row>
    <row r="191" spans="1:27" x14ac:dyDescent="0.3">
      <c r="A191" t="s">
        <v>131</v>
      </c>
      <c r="B191">
        <v>145612</v>
      </c>
      <c r="C191">
        <v>2006</v>
      </c>
      <c r="D191" t="s">
        <v>40</v>
      </c>
      <c r="E191" t="s">
        <v>257</v>
      </c>
      <c r="F191">
        <v>5</v>
      </c>
      <c r="G191" t="s">
        <v>246</v>
      </c>
      <c r="H191">
        <v>4</v>
      </c>
      <c r="I191" t="s">
        <v>23</v>
      </c>
      <c r="J191" t="s">
        <v>42</v>
      </c>
      <c r="L191" t="s">
        <v>53</v>
      </c>
      <c r="M191">
        <v>4</v>
      </c>
      <c r="N191">
        <v>0</v>
      </c>
      <c r="O191" t="s">
        <v>27</v>
      </c>
      <c r="S191" s="3">
        <v>2450</v>
      </c>
      <c r="T191" s="2">
        <v>3897.730712890625</v>
      </c>
      <c r="U191" s="2">
        <v>4396.6987575877902</v>
      </c>
      <c r="V191" s="2">
        <v>6216.9314414260261</v>
      </c>
      <c r="W191" s="2">
        <v>3841.88818359375</v>
      </c>
      <c r="X191" s="4">
        <f t="shared" si="8"/>
        <v>0.62857087379005649</v>
      </c>
      <c r="Y191" s="4">
        <f t="shared" si="9"/>
        <v>0.55723626636275869</v>
      </c>
      <c r="Z191" s="4">
        <f t="shared" si="10"/>
        <v>0.39408509215247584</v>
      </c>
      <c r="AA191" s="4">
        <f t="shared" si="11"/>
        <v>0.63770726343946837</v>
      </c>
    </row>
    <row r="192" spans="1:27" x14ac:dyDescent="0.3">
      <c r="A192" t="s">
        <v>111</v>
      </c>
      <c r="B192">
        <v>63171</v>
      </c>
      <c r="C192">
        <v>2023</v>
      </c>
      <c r="D192" t="s">
        <v>141</v>
      </c>
      <c r="E192" t="s">
        <v>258</v>
      </c>
      <c r="F192">
        <v>6</v>
      </c>
      <c r="G192" t="s">
        <v>36</v>
      </c>
      <c r="H192">
        <v>4</v>
      </c>
      <c r="I192" t="s">
        <v>23</v>
      </c>
      <c r="J192" t="s">
        <v>106</v>
      </c>
      <c r="K192" t="s">
        <v>27</v>
      </c>
      <c r="L192" t="s">
        <v>26</v>
      </c>
      <c r="M192" t="s">
        <v>33</v>
      </c>
      <c r="N192">
        <v>0</v>
      </c>
      <c r="S192" s="3">
        <v>21000</v>
      </c>
      <c r="T192" s="2">
        <v>36139.15234375</v>
      </c>
      <c r="U192" s="2">
        <v>32213.466684558389</v>
      </c>
      <c r="V192" s="2">
        <v>23081.761441846371</v>
      </c>
      <c r="W192" s="2">
        <v>33585.2109375</v>
      </c>
      <c r="X192" s="4">
        <f t="shared" si="8"/>
        <v>0.58108723193757461</v>
      </c>
      <c r="Y192" s="4">
        <f t="shared" si="9"/>
        <v>0.6519012748809927</v>
      </c>
      <c r="Z192" s="4">
        <f t="shared" si="10"/>
        <v>0.9098092471369098</v>
      </c>
      <c r="AA192" s="4">
        <f t="shared" si="11"/>
        <v>0.62527521530472741</v>
      </c>
    </row>
    <row r="193" spans="1:27" x14ac:dyDescent="0.3">
      <c r="A193" t="s">
        <v>184</v>
      </c>
      <c r="B193">
        <v>110577</v>
      </c>
      <c r="C193">
        <v>2017</v>
      </c>
      <c r="D193" t="s">
        <v>44</v>
      </c>
      <c r="E193" t="s">
        <v>45</v>
      </c>
      <c r="F193">
        <v>6</v>
      </c>
      <c r="G193" t="s">
        <v>47</v>
      </c>
      <c r="H193">
        <v>4</v>
      </c>
      <c r="I193" t="s">
        <v>23</v>
      </c>
      <c r="J193" t="s">
        <v>46</v>
      </c>
      <c r="K193" t="s">
        <v>27</v>
      </c>
      <c r="L193" t="s">
        <v>38</v>
      </c>
      <c r="M193" t="s">
        <v>78</v>
      </c>
      <c r="N193">
        <v>0</v>
      </c>
      <c r="O193" t="s">
        <v>27</v>
      </c>
      <c r="S193" s="3">
        <v>13700</v>
      </c>
      <c r="T193" s="2">
        <v>13980.0107421875</v>
      </c>
      <c r="U193" s="2">
        <v>15122.65476730093</v>
      </c>
      <c r="V193" s="2">
        <v>15942.080256184139</v>
      </c>
      <c r="W193" s="2">
        <v>13750.400390625</v>
      </c>
      <c r="X193" s="4">
        <f t="shared" si="8"/>
        <v>0.97997063469039325</v>
      </c>
      <c r="Y193" s="4">
        <f t="shared" si="9"/>
        <v>0.90592559380664595</v>
      </c>
      <c r="Z193" s="4">
        <f t="shared" si="10"/>
        <v>0.85936087259914484</v>
      </c>
      <c r="AA193" s="4">
        <f t="shared" si="11"/>
        <v>0.99633462377871096</v>
      </c>
    </row>
    <row r="194" spans="1:27" x14ac:dyDescent="0.3">
      <c r="A194" t="s">
        <v>70</v>
      </c>
      <c r="B194">
        <v>179191</v>
      </c>
      <c r="C194">
        <v>2016</v>
      </c>
      <c r="D194" t="s">
        <v>141</v>
      </c>
      <c r="E194" t="s">
        <v>259</v>
      </c>
      <c r="F194">
        <v>4</v>
      </c>
      <c r="G194" t="s">
        <v>30</v>
      </c>
      <c r="H194">
        <v>4</v>
      </c>
      <c r="I194" t="s">
        <v>23</v>
      </c>
      <c r="J194" t="s">
        <v>31</v>
      </c>
      <c r="K194" t="s">
        <v>27</v>
      </c>
      <c r="L194" t="s">
        <v>60</v>
      </c>
      <c r="M194" t="s">
        <v>33</v>
      </c>
      <c r="N194">
        <v>0</v>
      </c>
      <c r="O194" t="s">
        <v>39</v>
      </c>
      <c r="S194" s="3">
        <v>550</v>
      </c>
      <c r="T194" s="2">
        <v>2695.744140625</v>
      </c>
      <c r="U194" s="2">
        <v>2096.3777742420102</v>
      </c>
      <c r="V194" s="2">
        <v>1337.6115579080181</v>
      </c>
      <c r="W194" s="2">
        <v>2083.82080078125</v>
      </c>
      <c r="X194" s="4">
        <f t="shared" ref="X194:X257" si="12">S194/T194</f>
        <v>0.20402529739802538</v>
      </c>
      <c r="Y194" s="4">
        <f t="shared" ref="Y194:Y257" si="13">S194/U194</f>
        <v>0.26235729397525415</v>
      </c>
      <c r="Z194" s="4">
        <f t="shared" ref="Z194:Z257" si="14">S194/V194</f>
        <v>0.41118065760450107</v>
      </c>
      <c r="AA194" s="4">
        <f t="shared" ref="AA194:AA257" si="15">S194/W194</f>
        <v>0.26393824257527243</v>
      </c>
    </row>
    <row r="195" spans="1:27" x14ac:dyDescent="0.3">
      <c r="A195" t="s">
        <v>70</v>
      </c>
      <c r="B195">
        <v>122991</v>
      </c>
      <c r="C195">
        <v>2017</v>
      </c>
      <c r="D195" t="s">
        <v>71</v>
      </c>
      <c r="E195" t="s">
        <v>212</v>
      </c>
      <c r="F195">
        <v>6</v>
      </c>
      <c r="G195" t="s">
        <v>30</v>
      </c>
      <c r="H195">
        <v>4</v>
      </c>
      <c r="I195" t="s">
        <v>23</v>
      </c>
      <c r="J195" t="s">
        <v>31</v>
      </c>
      <c r="K195" t="s">
        <v>27</v>
      </c>
      <c r="L195" t="s">
        <v>26</v>
      </c>
      <c r="M195" t="s">
        <v>33</v>
      </c>
      <c r="N195">
        <v>1</v>
      </c>
      <c r="O195" t="s">
        <v>27</v>
      </c>
      <c r="S195" s="3">
        <v>5000</v>
      </c>
      <c r="T195" s="2">
        <v>7846.37548828125</v>
      </c>
      <c r="U195" s="2">
        <v>6698.9105987514504</v>
      </c>
      <c r="V195" s="2">
        <v>5978.0078001474703</v>
      </c>
      <c r="W195" s="2">
        <v>6994.91259765625</v>
      </c>
      <c r="X195" s="4">
        <f t="shared" si="12"/>
        <v>0.63723690097008734</v>
      </c>
      <c r="Y195" s="4">
        <f t="shared" si="13"/>
        <v>0.74639001764434731</v>
      </c>
      <c r="Z195" s="4">
        <f t="shared" si="14"/>
        <v>0.83639904248312558</v>
      </c>
      <c r="AA195" s="4">
        <f t="shared" si="15"/>
        <v>0.71480521453196211</v>
      </c>
    </row>
    <row r="196" spans="1:27" x14ac:dyDescent="0.3">
      <c r="A196" t="s">
        <v>70</v>
      </c>
      <c r="B196">
        <v>103017</v>
      </c>
      <c r="C196">
        <v>2015</v>
      </c>
      <c r="D196" t="s">
        <v>20</v>
      </c>
      <c r="E196" t="s">
        <v>154</v>
      </c>
      <c r="F196">
        <v>6</v>
      </c>
      <c r="G196" t="s">
        <v>66</v>
      </c>
      <c r="H196">
        <v>4</v>
      </c>
      <c r="I196" t="s">
        <v>23</v>
      </c>
      <c r="J196" t="s">
        <v>24</v>
      </c>
      <c r="L196" t="s">
        <v>26</v>
      </c>
      <c r="M196" t="s">
        <v>33</v>
      </c>
      <c r="N196">
        <v>2</v>
      </c>
      <c r="O196" t="s">
        <v>27</v>
      </c>
      <c r="S196" s="3">
        <v>4400</v>
      </c>
      <c r="T196" s="2">
        <v>9182.4755859375</v>
      </c>
      <c r="U196" s="2">
        <v>9879.069619404765</v>
      </c>
      <c r="V196" s="2">
        <v>6793.8836538268151</v>
      </c>
      <c r="W196" s="2">
        <v>9891.2939453125</v>
      </c>
      <c r="X196" s="4">
        <f t="shared" si="12"/>
        <v>0.47917361269529307</v>
      </c>
      <c r="Y196" s="4">
        <f t="shared" si="13"/>
        <v>0.4453860707042076</v>
      </c>
      <c r="Z196" s="4">
        <f t="shared" si="14"/>
        <v>0.64764135275139667</v>
      </c>
      <c r="AA196" s="4">
        <f t="shared" si="15"/>
        <v>0.4448356326611006</v>
      </c>
    </row>
    <row r="197" spans="1:27" x14ac:dyDescent="0.3">
      <c r="A197" t="s">
        <v>70</v>
      </c>
      <c r="B197">
        <v>100557</v>
      </c>
      <c r="C197">
        <v>2019</v>
      </c>
      <c r="D197" t="s">
        <v>226</v>
      </c>
      <c r="E197" t="s">
        <v>260</v>
      </c>
      <c r="F197">
        <v>4</v>
      </c>
      <c r="G197" t="s">
        <v>47</v>
      </c>
      <c r="H197">
        <v>4</v>
      </c>
      <c r="I197" t="s">
        <v>23</v>
      </c>
      <c r="J197" t="s">
        <v>24</v>
      </c>
      <c r="K197" t="s">
        <v>27</v>
      </c>
      <c r="L197" t="s">
        <v>127</v>
      </c>
      <c r="M197" t="s">
        <v>23</v>
      </c>
      <c r="N197">
        <v>3</v>
      </c>
      <c r="O197" t="s">
        <v>27</v>
      </c>
      <c r="S197" s="3">
        <v>12600</v>
      </c>
      <c r="T197" s="2">
        <v>10313.7080078125</v>
      </c>
      <c r="U197" s="2">
        <v>12874.55629307679</v>
      </c>
      <c r="V197" s="2">
        <v>13518.43569812892</v>
      </c>
      <c r="W197" s="2">
        <v>13427.5400390625</v>
      </c>
      <c r="X197" s="4">
        <f t="shared" si="12"/>
        <v>1.2216750746148393</v>
      </c>
      <c r="Y197" s="4">
        <f t="shared" si="13"/>
        <v>0.97867450443908266</v>
      </c>
      <c r="Z197" s="4">
        <f t="shared" si="14"/>
        <v>0.93206050473310009</v>
      </c>
      <c r="AA197" s="4">
        <f t="shared" si="15"/>
        <v>0.93836994440864996</v>
      </c>
    </row>
    <row r="198" spans="1:27" x14ac:dyDescent="0.3">
      <c r="A198" t="s">
        <v>70</v>
      </c>
      <c r="B198">
        <v>105163</v>
      </c>
      <c r="C198">
        <v>2017</v>
      </c>
      <c r="D198" t="s">
        <v>50</v>
      </c>
      <c r="E198" t="s">
        <v>261</v>
      </c>
      <c r="F198">
        <v>4</v>
      </c>
      <c r="G198" t="s">
        <v>47</v>
      </c>
      <c r="H198">
        <v>4</v>
      </c>
      <c r="I198" t="s">
        <v>23</v>
      </c>
      <c r="J198" t="s">
        <v>31</v>
      </c>
      <c r="K198" t="s">
        <v>27</v>
      </c>
      <c r="L198" t="s">
        <v>127</v>
      </c>
      <c r="M198" t="s">
        <v>23</v>
      </c>
      <c r="N198">
        <v>1</v>
      </c>
      <c r="O198" t="s">
        <v>27</v>
      </c>
      <c r="S198" s="3">
        <v>5000</v>
      </c>
      <c r="T198" s="2">
        <v>6556.57861328125</v>
      </c>
      <c r="U198" s="2">
        <v>7356.0295349402259</v>
      </c>
      <c r="V198" s="2">
        <v>6939.7448884478044</v>
      </c>
      <c r="W198" s="2">
        <v>7595.95849609375</v>
      </c>
      <c r="X198" s="4">
        <f t="shared" si="12"/>
        <v>0.76259285443048208</v>
      </c>
      <c r="Y198" s="4">
        <f t="shared" si="13"/>
        <v>0.67971450851993209</v>
      </c>
      <c r="Z198" s="4">
        <f t="shared" si="14"/>
        <v>0.7204875799286532</v>
      </c>
      <c r="AA198" s="4">
        <f t="shared" si="15"/>
        <v>0.65824477616238541</v>
      </c>
    </row>
    <row r="199" spans="1:27" x14ac:dyDescent="0.3">
      <c r="A199" t="s">
        <v>70</v>
      </c>
      <c r="B199">
        <v>144699</v>
      </c>
      <c r="C199">
        <v>2016</v>
      </c>
      <c r="D199" t="s">
        <v>71</v>
      </c>
      <c r="E199" t="s">
        <v>212</v>
      </c>
      <c r="F199">
        <v>6</v>
      </c>
      <c r="G199" t="s">
        <v>47</v>
      </c>
      <c r="H199">
        <v>4</v>
      </c>
      <c r="I199" t="s">
        <v>23</v>
      </c>
      <c r="J199" t="s">
        <v>31</v>
      </c>
      <c r="K199" t="s">
        <v>27</v>
      </c>
      <c r="L199" t="s">
        <v>26</v>
      </c>
      <c r="M199" t="s">
        <v>33</v>
      </c>
      <c r="N199">
        <v>0</v>
      </c>
      <c r="O199" t="s">
        <v>27</v>
      </c>
      <c r="S199" s="3">
        <v>2500</v>
      </c>
      <c r="T199" s="2">
        <v>7756.09130859375</v>
      </c>
      <c r="U199" s="2">
        <v>6366.7550723459271</v>
      </c>
      <c r="V199" s="2">
        <v>5913.2282259963322</v>
      </c>
      <c r="W199" s="2">
        <v>6426.22265625</v>
      </c>
      <c r="X199" s="4">
        <f t="shared" si="12"/>
        <v>0.32232730386116004</v>
      </c>
      <c r="Y199" s="4">
        <f t="shared" si="13"/>
        <v>0.39266470464032427</v>
      </c>
      <c r="Z199" s="4">
        <f t="shared" si="14"/>
        <v>0.42278090823710257</v>
      </c>
      <c r="AA199" s="4">
        <f t="shared" si="15"/>
        <v>0.38903102704799003</v>
      </c>
    </row>
    <row r="200" spans="1:27" x14ac:dyDescent="0.3">
      <c r="A200" t="s">
        <v>70</v>
      </c>
      <c r="B200">
        <v>237297</v>
      </c>
      <c r="C200">
        <v>2007</v>
      </c>
      <c r="D200" t="s">
        <v>34</v>
      </c>
      <c r="E200" t="s">
        <v>262</v>
      </c>
      <c r="F200">
        <v>8</v>
      </c>
      <c r="G200" t="s">
        <v>22</v>
      </c>
      <c r="H200">
        <v>4</v>
      </c>
      <c r="I200" t="s">
        <v>23</v>
      </c>
      <c r="J200" t="s">
        <v>46</v>
      </c>
      <c r="L200" t="s">
        <v>263</v>
      </c>
      <c r="M200" t="s">
        <v>78</v>
      </c>
      <c r="N200">
        <v>0</v>
      </c>
      <c r="O200" t="s">
        <v>39</v>
      </c>
      <c r="S200" s="3">
        <v>1300</v>
      </c>
      <c r="T200" s="2">
        <v>2814.873046875</v>
      </c>
      <c r="U200" s="2">
        <v>2475.5553193895012</v>
      </c>
      <c r="V200" s="2">
        <v>911.79154665466376</v>
      </c>
      <c r="W200" s="2">
        <v>1364.414184570312</v>
      </c>
      <c r="X200" s="4">
        <f t="shared" si="12"/>
        <v>0.4618325510073098</v>
      </c>
      <c r="Y200" s="4">
        <f t="shared" si="13"/>
        <v>0.52513470000767104</v>
      </c>
      <c r="Z200" s="4">
        <f t="shared" si="14"/>
        <v>1.425764479578322</v>
      </c>
      <c r="AA200" s="4">
        <f t="shared" si="15"/>
        <v>0.95278986007419908</v>
      </c>
    </row>
    <row r="201" spans="1:27" x14ac:dyDescent="0.3">
      <c r="A201" t="s">
        <v>70</v>
      </c>
      <c r="B201">
        <v>77458</v>
      </c>
      <c r="C201">
        <v>2020</v>
      </c>
      <c r="D201" t="s">
        <v>125</v>
      </c>
      <c r="E201" t="s">
        <v>230</v>
      </c>
      <c r="F201">
        <v>4</v>
      </c>
      <c r="G201" t="s">
        <v>36</v>
      </c>
      <c r="H201">
        <v>4</v>
      </c>
      <c r="I201" t="s">
        <v>23</v>
      </c>
      <c r="J201" t="s">
        <v>31</v>
      </c>
      <c r="K201" t="s">
        <v>27</v>
      </c>
      <c r="L201" t="s">
        <v>102</v>
      </c>
      <c r="M201" t="s">
        <v>33</v>
      </c>
      <c r="N201">
        <v>1</v>
      </c>
      <c r="O201" t="s">
        <v>27</v>
      </c>
      <c r="S201" s="3">
        <v>5000</v>
      </c>
      <c r="T201" s="2">
        <v>9720.3193359375</v>
      </c>
      <c r="U201" s="2">
        <v>11184.68267172283</v>
      </c>
      <c r="V201" s="2">
        <v>8493.2677166765425</v>
      </c>
      <c r="W201" s="2">
        <v>11807.556640625</v>
      </c>
      <c r="X201" s="4">
        <f t="shared" si="12"/>
        <v>0.51438639279208032</v>
      </c>
      <c r="Y201" s="4">
        <f t="shared" si="13"/>
        <v>0.4470399515795852</v>
      </c>
      <c r="Z201" s="4">
        <f t="shared" si="14"/>
        <v>0.58870156538012963</v>
      </c>
      <c r="AA201" s="4">
        <f t="shared" si="15"/>
        <v>0.42345763413888982</v>
      </c>
    </row>
    <row r="202" spans="1:27" x14ac:dyDescent="0.3">
      <c r="A202" t="s">
        <v>135</v>
      </c>
      <c r="B202">
        <v>281145</v>
      </c>
      <c r="C202">
        <v>2009</v>
      </c>
      <c r="D202" t="s">
        <v>40</v>
      </c>
      <c r="E202" t="s">
        <v>146</v>
      </c>
      <c r="F202">
        <v>8</v>
      </c>
      <c r="G202" t="s">
        <v>59</v>
      </c>
      <c r="H202">
        <v>4</v>
      </c>
      <c r="I202" t="s">
        <v>23</v>
      </c>
      <c r="J202" t="s">
        <v>24</v>
      </c>
      <c r="L202" t="s">
        <v>43</v>
      </c>
      <c r="M202" t="s">
        <v>78</v>
      </c>
      <c r="N202">
        <v>0</v>
      </c>
      <c r="O202" t="s">
        <v>39</v>
      </c>
      <c r="S202" s="3">
        <v>1100</v>
      </c>
      <c r="T202" s="2">
        <v>1962.41796875</v>
      </c>
      <c r="U202" s="2">
        <v>10426.13770972867</v>
      </c>
      <c r="V202" s="2">
        <v>228.4916734835588</v>
      </c>
      <c r="W202" s="2">
        <v>3398.84228515625</v>
      </c>
      <c r="X202" s="4">
        <f t="shared" si="12"/>
        <v>0.56053298406183383</v>
      </c>
      <c r="Y202" s="4">
        <f t="shared" si="13"/>
        <v>0.10550407357209426</v>
      </c>
      <c r="Z202" s="4">
        <f t="shared" si="14"/>
        <v>4.8141798045833424</v>
      </c>
      <c r="AA202" s="4">
        <f t="shared" si="15"/>
        <v>0.32363961246569911</v>
      </c>
    </row>
    <row r="203" spans="1:27" x14ac:dyDescent="0.3">
      <c r="A203" t="s">
        <v>135</v>
      </c>
      <c r="B203">
        <v>181096</v>
      </c>
      <c r="C203">
        <v>2001</v>
      </c>
      <c r="D203" t="s">
        <v>40</v>
      </c>
      <c r="E203" t="s">
        <v>172</v>
      </c>
      <c r="F203">
        <v>6</v>
      </c>
      <c r="G203" t="s">
        <v>36</v>
      </c>
      <c r="H203">
        <v>4</v>
      </c>
      <c r="I203" t="s">
        <v>23</v>
      </c>
      <c r="J203" t="s">
        <v>31</v>
      </c>
      <c r="K203" t="s">
        <v>27</v>
      </c>
      <c r="L203" t="s">
        <v>143</v>
      </c>
      <c r="M203" t="s">
        <v>33</v>
      </c>
      <c r="N203">
        <v>1.3</v>
      </c>
      <c r="O203" t="s">
        <v>27</v>
      </c>
      <c r="S203" s="3">
        <v>500</v>
      </c>
      <c r="T203" s="2">
        <v>1302.983032226562</v>
      </c>
      <c r="U203" s="2">
        <v>1354.5838482782219</v>
      </c>
      <c r="V203" s="2">
        <v>551.13855124748079</v>
      </c>
      <c r="W203" s="2">
        <v>1219.633178710938</v>
      </c>
      <c r="X203" s="4">
        <f t="shared" si="12"/>
        <v>0.38373485120952844</v>
      </c>
      <c r="Y203" s="4">
        <f t="shared" si="13"/>
        <v>0.36911705438946263</v>
      </c>
      <c r="Z203" s="4">
        <f t="shared" si="14"/>
        <v>0.90721289386900872</v>
      </c>
      <c r="AA203" s="4">
        <f t="shared" si="15"/>
        <v>0.40995932935217705</v>
      </c>
    </row>
    <row r="204" spans="1:27" x14ac:dyDescent="0.3">
      <c r="A204" t="s">
        <v>135</v>
      </c>
      <c r="B204">
        <v>79580</v>
      </c>
      <c r="C204">
        <v>2022</v>
      </c>
      <c r="D204" t="s">
        <v>125</v>
      </c>
      <c r="E204" t="s">
        <v>264</v>
      </c>
      <c r="F204">
        <v>4</v>
      </c>
      <c r="G204" t="s">
        <v>66</v>
      </c>
      <c r="H204">
        <v>4</v>
      </c>
      <c r="I204" t="s">
        <v>23</v>
      </c>
      <c r="J204" t="s">
        <v>24</v>
      </c>
      <c r="K204" t="s">
        <v>27</v>
      </c>
      <c r="L204" t="s">
        <v>102</v>
      </c>
      <c r="M204" t="s">
        <v>23</v>
      </c>
      <c r="N204">
        <v>0</v>
      </c>
      <c r="O204" t="s">
        <v>27</v>
      </c>
      <c r="S204" s="3">
        <v>16000</v>
      </c>
      <c r="T204" s="2">
        <v>23419.796875</v>
      </c>
      <c r="U204" s="2">
        <v>23377.765751753879</v>
      </c>
      <c r="V204" s="2">
        <v>20110.539075086552</v>
      </c>
      <c r="W204" s="2">
        <v>20985.30859375</v>
      </c>
      <c r="X204" s="4">
        <f t="shared" si="12"/>
        <v>0.68318269733071713</v>
      </c>
      <c r="Y204" s="4">
        <f t="shared" si="13"/>
        <v>0.6844109984633423</v>
      </c>
      <c r="Z204" s="4">
        <f t="shared" si="14"/>
        <v>0.79560274044673462</v>
      </c>
      <c r="AA204" s="4">
        <f t="shared" si="15"/>
        <v>0.76243815660472292</v>
      </c>
    </row>
    <row r="205" spans="1:27" x14ac:dyDescent="0.3">
      <c r="A205" t="s">
        <v>135</v>
      </c>
      <c r="B205">
        <v>26964</v>
      </c>
      <c r="C205">
        <v>2023</v>
      </c>
      <c r="D205" t="s">
        <v>28</v>
      </c>
      <c r="E205" t="s">
        <v>58</v>
      </c>
      <c r="F205">
        <v>4</v>
      </c>
      <c r="G205" t="s">
        <v>22</v>
      </c>
      <c r="H205">
        <v>4</v>
      </c>
      <c r="I205" t="s">
        <v>23</v>
      </c>
      <c r="J205" t="s">
        <v>24</v>
      </c>
      <c r="K205" t="s">
        <v>27</v>
      </c>
      <c r="L205" t="s">
        <v>107</v>
      </c>
      <c r="M205" t="s">
        <v>33</v>
      </c>
      <c r="N205">
        <v>4.4000000000000004</v>
      </c>
      <c r="O205" t="s">
        <v>27</v>
      </c>
      <c r="S205" s="3">
        <v>29000</v>
      </c>
      <c r="T205" s="2">
        <v>30964.912109375</v>
      </c>
      <c r="U205" s="2">
        <v>29694.761997442401</v>
      </c>
      <c r="V205" s="2">
        <v>24680.727143986511</v>
      </c>
      <c r="W205" s="2">
        <v>31677.333984375</v>
      </c>
      <c r="X205" s="4">
        <f t="shared" si="12"/>
        <v>0.93654391453027575</v>
      </c>
      <c r="Y205" s="4">
        <f t="shared" si="13"/>
        <v>0.97660321380914783</v>
      </c>
      <c r="Z205" s="4">
        <f t="shared" si="14"/>
        <v>1.1750058995756081</v>
      </c>
      <c r="AA205" s="4">
        <f t="shared" si="15"/>
        <v>0.91548108228755587</v>
      </c>
    </row>
    <row r="206" spans="1:27" x14ac:dyDescent="0.3">
      <c r="A206" t="s">
        <v>135</v>
      </c>
      <c r="B206">
        <v>110368</v>
      </c>
      <c r="C206">
        <v>2019</v>
      </c>
      <c r="D206" t="s">
        <v>44</v>
      </c>
      <c r="E206" t="s">
        <v>68</v>
      </c>
      <c r="F206">
        <v>6</v>
      </c>
      <c r="G206" t="s">
        <v>22</v>
      </c>
      <c r="H206">
        <v>4</v>
      </c>
      <c r="I206" t="s">
        <v>23</v>
      </c>
      <c r="J206" t="s">
        <v>62</v>
      </c>
      <c r="K206" t="s">
        <v>27</v>
      </c>
      <c r="L206" t="s">
        <v>38</v>
      </c>
      <c r="M206" t="s">
        <v>33</v>
      </c>
      <c r="N206">
        <v>4.5</v>
      </c>
      <c r="O206" t="s">
        <v>27</v>
      </c>
      <c r="S206" s="3">
        <v>13500</v>
      </c>
      <c r="T206" s="2">
        <v>14788.2080078125</v>
      </c>
      <c r="U206" s="2">
        <v>14843.138068195931</v>
      </c>
      <c r="V206" s="2">
        <v>12709.24669134215</v>
      </c>
      <c r="W206" s="2">
        <v>15464.4111328125</v>
      </c>
      <c r="X206" s="4">
        <f t="shared" si="12"/>
        <v>0.91288951256758433</v>
      </c>
      <c r="Y206" s="4">
        <f t="shared" si="13"/>
        <v>0.90951117869921028</v>
      </c>
      <c r="Z206" s="4">
        <f t="shared" si="14"/>
        <v>1.0622187394628613</v>
      </c>
      <c r="AA206" s="4">
        <f t="shared" si="15"/>
        <v>0.87297213479765823</v>
      </c>
    </row>
    <row r="207" spans="1:27" x14ac:dyDescent="0.3">
      <c r="A207" t="s">
        <v>135</v>
      </c>
      <c r="B207">
        <v>283344</v>
      </c>
      <c r="C207">
        <v>2008</v>
      </c>
      <c r="D207" t="s">
        <v>34</v>
      </c>
      <c r="E207" t="s">
        <v>262</v>
      </c>
      <c r="F207">
        <v>8</v>
      </c>
      <c r="G207" t="s">
        <v>47</v>
      </c>
      <c r="H207">
        <v>4</v>
      </c>
      <c r="I207" t="s">
        <v>23</v>
      </c>
      <c r="J207" t="s">
        <v>46</v>
      </c>
      <c r="L207" t="s">
        <v>263</v>
      </c>
      <c r="M207" t="s">
        <v>78</v>
      </c>
      <c r="N207">
        <v>0</v>
      </c>
      <c r="O207" t="s">
        <v>27</v>
      </c>
      <c r="S207" s="3">
        <v>3600</v>
      </c>
      <c r="T207" s="2">
        <v>5147.25732421875</v>
      </c>
      <c r="U207" s="2">
        <v>4729.5426014294744</v>
      </c>
      <c r="V207" s="2">
        <v>3740.4642703881182</v>
      </c>
      <c r="W207" s="2">
        <v>4105.2978515625</v>
      </c>
      <c r="X207" s="4">
        <f t="shared" si="12"/>
        <v>0.69940159841268623</v>
      </c>
      <c r="Y207" s="4">
        <f t="shared" si="13"/>
        <v>0.7611729723952424</v>
      </c>
      <c r="Z207" s="4">
        <f t="shared" si="14"/>
        <v>0.96244737010319226</v>
      </c>
      <c r="AA207" s="4">
        <f t="shared" si="15"/>
        <v>0.87691566608981109</v>
      </c>
    </row>
    <row r="208" spans="1:27" x14ac:dyDescent="0.3">
      <c r="A208" t="s">
        <v>135</v>
      </c>
      <c r="B208">
        <v>23184</v>
      </c>
      <c r="C208">
        <v>2019</v>
      </c>
      <c r="D208" t="s">
        <v>265</v>
      </c>
      <c r="E208" t="s">
        <v>266</v>
      </c>
      <c r="F208">
        <v>4</v>
      </c>
      <c r="G208" t="s">
        <v>47</v>
      </c>
      <c r="H208">
        <v>4</v>
      </c>
      <c r="I208" t="s">
        <v>23</v>
      </c>
      <c r="J208" t="s">
        <v>31</v>
      </c>
      <c r="K208" t="s">
        <v>27</v>
      </c>
      <c r="L208" t="s">
        <v>127</v>
      </c>
      <c r="M208" t="s">
        <v>78</v>
      </c>
      <c r="N208">
        <v>0</v>
      </c>
      <c r="O208" t="s">
        <v>27</v>
      </c>
      <c r="S208" s="3">
        <v>17000</v>
      </c>
      <c r="T208" s="2">
        <v>13882.2177734375</v>
      </c>
      <c r="U208" s="2">
        <v>19702.06002901779</v>
      </c>
      <c r="V208" s="2">
        <v>19233.220023420621</v>
      </c>
      <c r="W208" s="2">
        <v>18288.703125</v>
      </c>
      <c r="X208" s="4">
        <f t="shared" si="12"/>
        <v>1.2245881945843065</v>
      </c>
      <c r="Y208" s="4">
        <f t="shared" si="13"/>
        <v>0.8628539337999116</v>
      </c>
      <c r="Z208" s="4">
        <f t="shared" si="14"/>
        <v>0.88388735631884885</v>
      </c>
      <c r="AA208" s="4">
        <f t="shared" si="15"/>
        <v>0.92953556541478388</v>
      </c>
    </row>
    <row r="209" spans="1:27" x14ac:dyDescent="0.3">
      <c r="A209" t="s">
        <v>135</v>
      </c>
      <c r="B209">
        <v>115961</v>
      </c>
      <c r="C209">
        <v>2018</v>
      </c>
      <c r="D209" t="s">
        <v>34</v>
      </c>
      <c r="E209" t="s">
        <v>116</v>
      </c>
      <c r="F209">
        <v>4</v>
      </c>
      <c r="G209" t="s">
        <v>36</v>
      </c>
      <c r="H209">
        <v>4</v>
      </c>
      <c r="I209" t="s">
        <v>23</v>
      </c>
      <c r="J209" t="s">
        <v>37</v>
      </c>
      <c r="K209" t="s">
        <v>27</v>
      </c>
      <c r="L209" t="s">
        <v>128</v>
      </c>
      <c r="M209" t="s">
        <v>33</v>
      </c>
      <c r="N209">
        <v>3.8</v>
      </c>
      <c r="O209" t="s">
        <v>27</v>
      </c>
      <c r="S209" s="3">
        <v>13000</v>
      </c>
      <c r="T209" s="2">
        <v>10481.4482421875</v>
      </c>
      <c r="U209" s="2">
        <v>10044.483230514679</v>
      </c>
      <c r="V209" s="2">
        <v>13492.227061670599</v>
      </c>
      <c r="W209" s="2">
        <v>10065.1640625</v>
      </c>
      <c r="X209" s="4">
        <f t="shared" si="12"/>
        <v>1.2402866187589812</v>
      </c>
      <c r="Y209" s="4">
        <f t="shared" si="13"/>
        <v>1.2942427899632105</v>
      </c>
      <c r="Z209" s="4">
        <f t="shared" si="14"/>
        <v>0.96351773065923696</v>
      </c>
      <c r="AA209" s="4">
        <f t="shared" si="15"/>
        <v>1.2915835170967935</v>
      </c>
    </row>
    <row r="210" spans="1:27" x14ac:dyDescent="0.3">
      <c r="A210" t="s">
        <v>135</v>
      </c>
      <c r="B210">
        <v>158412</v>
      </c>
      <c r="C210">
        <v>2019</v>
      </c>
      <c r="D210" t="s">
        <v>44</v>
      </c>
      <c r="E210" t="s">
        <v>45</v>
      </c>
      <c r="F210">
        <v>8</v>
      </c>
      <c r="G210" t="s">
        <v>47</v>
      </c>
      <c r="H210">
        <v>4</v>
      </c>
      <c r="I210" t="s">
        <v>23</v>
      </c>
      <c r="J210" t="s">
        <v>156</v>
      </c>
      <c r="K210" t="s">
        <v>27</v>
      </c>
      <c r="L210" t="s">
        <v>48</v>
      </c>
      <c r="M210">
        <v>4</v>
      </c>
      <c r="N210">
        <v>0</v>
      </c>
      <c r="O210" t="s">
        <v>27</v>
      </c>
      <c r="S210" s="3">
        <v>8000</v>
      </c>
      <c r="T210" s="2">
        <v>8067.033203125</v>
      </c>
      <c r="U210" s="2">
        <v>17572.67530185881</v>
      </c>
      <c r="V210" s="2">
        <v>5227.2579706262313</v>
      </c>
      <c r="W210" s="2">
        <v>9019.0283203125</v>
      </c>
      <c r="X210" s="4">
        <f t="shared" si="12"/>
        <v>0.99169047635764873</v>
      </c>
      <c r="Y210" s="4">
        <f t="shared" si="13"/>
        <v>0.45525225172479983</v>
      </c>
      <c r="Z210" s="4">
        <f t="shared" si="14"/>
        <v>1.5304391030545583</v>
      </c>
      <c r="AA210" s="4">
        <f t="shared" si="15"/>
        <v>0.88701351363788694</v>
      </c>
    </row>
    <row r="211" spans="1:27" x14ac:dyDescent="0.3">
      <c r="A211" t="s">
        <v>135</v>
      </c>
      <c r="B211">
        <v>77582</v>
      </c>
      <c r="C211">
        <v>2015</v>
      </c>
      <c r="D211" t="s">
        <v>187</v>
      </c>
      <c r="E211" t="s">
        <v>188</v>
      </c>
      <c r="F211">
        <v>4</v>
      </c>
      <c r="G211" t="s">
        <v>30</v>
      </c>
      <c r="H211">
        <v>4</v>
      </c>
      <c r="I211" t="s">
        <v>23</v>
      </c>
      <c r="J211" t="s">
        <v>24</v>
      </c>
      <c r="K211" t="s">
        <v>27</v>
      </c>
      <c r="L211" t="s">
        <v>102</v>
      </c>
      <c r="M211" t="s">
        <v>23</v>
      </c>
      <c r="N211">
        <v>3.9</v>
      </c>
      <c r="O211" t="s">
        <v>27</v>
      </c>
      <c r="S211" s="3">
        <v>9000</v>
      </c>
      <c r="T211" s="2">
        <v>10699.0517578125</v>
      </c>
      <c r="U211" s="2">
        <v>10067.942798070389</v>
      </c>
      <c r="V211" s="2">
        <v>10943.6866440842</v>
      </c>
      <c r="W211" s="2">
        <v>10431.6640625</v>
      </c>
      <c r="X211" s="4">
        <f t="shared" si="12"/>
        <v>0.84119604276408477</v>
      </c>
      <c r="Y211" s="4">
        <f t="shared" si="13"/>
        <v>0.89392641381762017</v>
      </c>
      <c r="Z211" s="4">
        <f t="shared" si="14"/>
        <v>0.82239196832861672</v>
      </c>
      <c r="AA211" s="4">
        <f t="shared" si="15"/>
        <v>0.86275784439353442</v>
      </c>
    </row>
    <row r="212" spans="1:27" x14ac:dyDescent="0.3">
      <c r="A212" t="s">
        <v>135</v>
      </c>
      <c r="B212">
        <v>113421</v>
      </c>
      <c r="C212">
        <v>2020</v>
      </c>
      <c r="D212" t="s">
        <v>20</v>
      </c>
      <c r="E212" t="s">
        <v>21</v>
      </c>
      <c r="F212">
        <v>4</v>
      </c>
      <c r="G212" t="s">
        <v>47</v>
      </c>
      <c r="H212">
        <v>4</v>
      </c>
      <c r="I212" t="s">
        <v>23</v>
      </c>
      <c r="J212" t="s">
        <v>24</v>
      </c>
      <c r="K212" t="s">
        <v>27</v>
      </c>
      <c r="L212" t="s">
        <v>127</v>
      </c>
      <c r="M212" t="s">
        <v>33</v>
      </c>
      <c r="N212">
        <v>4.0999999999999899</v>
      </c>
      <c r="O212" t="s">
        <v>27</v>
      </c>
      <c r="S212" s="3">
        <v>12500</v>
      </c>
      <c r="T212" s="2">
        <v>13990.5029296875</v>
      </c>
      <c r="U212" s="2">
        <v>13506.86302197172</v>
      </c>
      <c r="V212" s="2">
        <v>13223.943492191131</v>
      </c>
      <c r="W212" s="2">
        <v>15371.279296875</v>
      </c>
      <c r="X212" s="4">
        <f t="shared" si="12"/>
        <v>0.89346323451141352</v>
      </c>
      <c r="Y212" s="4">
        <f t="shared" si="13"/>
        <v>0.9254554502896899</v>
      </c>
      <c r="Z212" s="4">
        <f t="shared" si="14"/>
        <v>0.94525509787465245</v>
      </c>
      <c r="AA212" s="4">
        <f t="shared" si="15"/>
        <v>0.8132049231934303</v>
      </c>
    </row>
    <row r="213" spans="1:27" x14ac:dyDescent="0.3">
      <c r="A213" t="s">
        <v>135</v>
      </c>
      <c r="B213">
        <v>212618</v>
      </c>
      <c r="C213">
        <v>2019</v>
      </c>
      <c r="D213" t="s">
        <v>44</v>
      </c>
      <c r="E213" t="s">
        <v>267</v>
      </c>
      <c r="F213">
        <v>8</v>
      </c>
      <c r="G213" t="s">
        <v>47</v>
      </c>
      <c r="H213">
        <v>4</v>
      </c>
      <c r="I213" t="s">
        <v>23</v>
      </c>
      <c r="J213" t="s">
        <v>46</v>
      </c>
      <c r="K213" t="s">
        <v>27</v>
      </c>
      <c r="L213" t="s">
        <v>140</v>
      </c>
      <c r="M213">
        <v>4</v>
      </c>
      <c r="N213">
        <v>2.9</v>
      </c>
      <c r="O213" t="s">
        <v>27</v>
      </c>
      <c r="S213" s="3">
        <v>16250</v>
      </c>
      <c r="T213" s="2">
        <v>8205.9580078125</v>
      </c>
      <c r="U213" s="2">
        <v>22120.218150250032</v>
      </c>
      <c r="V213" s="2">
        <v>14392.62511901272</v>
      </c>
      <c r="W213" s="2">
        <v>13633.8232421875</v>
      </c>
      <c r="X213" s="4">
        <f t="shared" si="12"/>
        <v>1.9802684810876625</v>
      </c>
      <c r="Y213" s="4">
        <f t="shared" si="13"/>
        <v>0.73462204981989843</v>
      </c>
      <c r="Z213" s="4">
        <f t="shared" si="14"/>
        <v>1.1290504592198181</v>
      </c>
      <c r="AA213" s="4">
        <f t="shared" si="15"/>
        <v>1.1918887102567968</v>
      </c>
    </row>
    <row r="214" spans="1:27" x14ac:dyDescent="0.3">
      <c r="A214" t="s">
        <v>135</v>
      </c>
      <c r="B214">
        <v>100678</v>
      </c>
      <c r="C214">
        <v>2020</v>
      </c>
      <c r="D214" t="s">
        <v>20</v>
      </c>
      <c r="E214" t="s">
        <v>151</v>
      </c>
      <c r="F214">
        <v>8</v>
      </c>
      <c r="G214" t="s">
        <v>30</v>
      </c>
      <c r="H214">
        <v>4</v>
      </c>
      <c r="I214" t="s">
        <v>23</v>
      </c>
      <c r="J214" t="s">
        <v>42</v>
      </c>
      <c r="K214" t="s">
        <v>27</v>
      </c>
      <c r="L214" t="s">
        <v>166</v>
      </c>
      <c r="M214">
        <v>4</v>
      </c>
      <c r="N214">
        <v>4.7</v>
      </c>
      <c r="O214" t="s">
        <v>27</v>
      </c>
      <c r="S214" s="3">
        <v>28500</v>
      </c>
      <c r="T214" s="2">
        <v>40265.2734375</v>
      </c>
      <c r="U214" s="2">
        <v>33115.999007729741</v>
      </c>
      <c r="V214" s="2">
        <v>32887.728084275688</v>
      </c>
      <c r="W214" s="2">
        <v>32944.64453125</v>
      </c>
      <c r="X214" s="4">
        <f t="shared" si="12"/>
        <v>0.70780594708335642</v>
      </c>
      <c r="Y214" s="4">
        <f t="shared" si="13"/>
        <v>0.86061121071261348</v>
      </c>
      <c r="Z214" s="4">
        <f t="shared" si="14"/>
        <v>0.8665846399291548</v>
      </c>
      <c r="AA214" s="4">
        <f t="shared" si="15"/>
        <v>0.86508749465989887</v>
      </c>
    </row>
    <row r="215" spans="1:27" x14ac:dyDescent="0.3">
      <c r="A215" t="s">
        <v>135</v>
      </c>
      <c r="B215">
        <v>80905</v>
      </c>
      <c r="C215">
        <v>2015</v>
      </c>
      <c r="D215" t="s">
        <v>141</v>
      </c>
      <c r="E215" t="s">
        <v>259</v>
      </c>
      <c r="F215">
        <v>4</v>
      </c>
      <c r="G215" t="s">
        <v>22</v>
      </c>
      <c r="H215">
        <v>4</v>
      </c>
      <c r="I215" t="s">
        <v>23</v>
      </c>
      <c r="J215" t="s">
        <v>31</v>
      </c>
      <c r="K215" t="s">
        <v>27</v>
      </c>
      <c r="L215" t="s">
        <v>60</v>
      </c>
      <c r="M215" t="s">
        <v>33</v>
      </c>
      <c r="N215">
        <v>3.8</v>
      </c>
      <c r="O215" t="s">
        <v>27</v>
      </c>
      <c r="S215" s="3">
        <v>7500</v>
      </c>
      <c r="T215" s="2">
        <v>8164.66552734375</v>
      </c>
      <c r="U215" s="2">
        <v>9807.7312466935109</v>
      </c>
      <c r="V215" s="2">
        <v>8686.9607001178483</v>
      </c>
      <c r="W215" s="2">
        <v>8487.72265625</v>
      </c>
      <c r="X215" s="4">
        <f t="shared" si="12"/>
        <v>0.91859243650364342</v>
      </c>
      <c r="Y215" s="4">
        <f t="shared" si="13"/>
        <v>0.76470284629062213</v>
      </c>
      <c r="Z215" s="4">
        <f t="shared" si="14"/>
        <v>0.86336294809049319</v>
      </c>
      <c r="AA215" s="4">
        <f t="shared" si="15"/>
        <v>0.88362924941678167</v>
      </c>
    </row>
    <row r="216" spans="1:27" x14ac:dyDescent="0.3">
      <c r="A216" t="s">
        <v>135</v>
      </c>
      <c r="B216">
        <v>136621</v>
      </c>
      <c r="C216">
        <v>2017</v>
      </c>
      <c r="D216" t="s">
        <v>40</v>
      </c>
      <c r="E216" t="s">
        <v>41</v>
      </c>
      <c r="F216">
        <v>8</v>
      </c>
      <c r="G216" t="s">
        <v>66</v>
      </c>
      <c r="H216">
        <v>4</v>
      </c>
      <c r="I216" t="s">
        <v>23</v>
      </c>
      <c r="J216" t="s">
        <v>42</v>
      </c>
      <c r="K216" t="s">
        <v>27</v>
      </c>
      <c r="L216" t="s">
        <v>43</v>
      </c>
      <c r="M216">
        <v>4</v>
      </c>
      <c r="N216">
        <v>4.3</v>
      </c>
      <c r="O216" t="s">
        <v>27</v>
      </c>
      <c r="S216" s="3">
        <v>18500</v>
      </c>
      <c r="T216" s="2">
        <v>15261.966796875</v>
      </c>
      <c r="U216" s="2">
        <v>23883.153631776189</v>
      </c>
      <c r="V216" s="2">
        <v>17936.030734349919</v>
      </c>
      <c r="W216" s="2">
        <v>20483.705078125</v>
      </c>
      <c r="X216" s="4">
        <f t="shared" si="12"/>
        <v>1.2121635596657183</v>
      </c>
      <c r="Y216" s="4">
        <f t="shared" si="13"/>
        <v>0.77460457212761125</v>
      </c>
      <c r="Z216" s="4">
        <f t="shared" si="14"/>
        <v>1.0314433708328792</v>
      </c>
      <c r="AA216" s="4">
        <f t="shared" si="15"/>
        <v>0.90315692055909147</v>
      </c>
    </row>
    <row r="217" spans="1:27" x14ac:dyDescent="0.3">
      <c r="A217" t="s">
        <v>135</v>
      </c>
      <c r="B217">
        <v>131505</v>
      </c>
      <c r="C217">
        <v>2018</v>
      </c>
      <c r="D217" t="s">
        <v>90</v>
      </c>
      <c r="E217" t="s">
        <v>268</v>
      </c>
      <c r="F217">
        <v>6</v>
      </c>
      <c r="G217" t="s">
        <v>47</v>
      </c>
      <c r="H217">
        <v>4</v>
      </c>
      <c r="I217" t="s">
        <v>23</v>
      </c>
      <c r="J217" t="s">
        <v>24</v>
      </c>
      <c r="K217" t="s">
        <v>27</v>
      </c>
      <c r="L217" t="s">
        <v>26</v>
      </c>
      <c r="M217" t="s">
        <v>33</v>
      </c>
      <c r="N217">
        <v>4.7</v>
      </c>
      <c r="O217" t="s">
        <v>27</v>
      </c>
      <c r="S217" s="3">
        <v>9800</v>
      </c>
      <c r="T217" s="2">
        <v>8870.4892578125</v>
      </c>
      <c r="U217" s="2">
        <v>9259.7569472985269</v>
      </c>
      <c r="V217" s="2">
        <v>9619.0753605889804</v>
      </c>
      <c r="W217" s="2">
        <v>9925.763671875</v>
      </c>
      <c r="X217" s="4">
        <f t="shared" si="12"/>
        <v>1.1047868629533431</v>
      </c>
      <c r="Y217" s="4">
        <f t="shared" si="13"/>
        <v>1.0583431137314123</v>
      </c>
      <c r="Z217" s="4">
        <f t="shared" si="14"/>
        <v>1.018808942921094</v>
      </c>
      <c r="AA217" s="4">
        <f t="shared" si="15"/>
        <v>0.9873295722090023</v>
      </c>
    </row>
    <row r="218" spans="1:27" x14ac:dyDescent="0.3">
      <c r="A218" t="s">
        <v>135</v>
      </c>
      <c r="B218">
        <v>102637</v>
      </c>
      <c r="C218">
        <v>2019</v>
      </c>
      <c r="D218" t="s">
        <v>81</v>
      </c>
      <c r="E218" t="s">
        <v>82</v>
      </c>
      <c r="F218">
        <v>6</v>
      </c>
      <c r="G218" t="s">
        <v>36</v>
      </c>
      <c r="H218">
        <v>2</v>
      </c>
      <c r="I218" t="s">
        <v>23</v>
      </c>
      <c r="J218" t="s">
        <v>83</v>
      </c>
      <c r="K218" t="s">
        <v>27</v>
      </c>
      <c r="L218" t="s">
        <v>26</v>
      </c>
      <c r="M218" t="s">
        <v>78</v>
      </c>
      <c r="N218">
        <v>4.4000000000000004</v>
      </c>
      <c r="O218" t="s">
        <v>27</v>
      </c>
      <c r="S218" s="3">
        <v>12500</v>
      </c>
      <c r="T218" s="2">
        <v>16389.013671875</v>
      </c>
      <c r="U218" s="2">
        <v>15085.88922107645</v>
      </c>
      <c r="V218" s="2">
        <v>14175.26658650659</v>
      </c>
      <c r="W218" s="2">
        <v>16397.61328125</v>
      </c>
      <c r="X218" s="4">
        <f t="shared" si="12"/>
        <v>0.76270605725658203</v>
      </c>
      <c r="Y218" s="4">
        <f t="shared" si="13"/>
        <v>0.82858887645391754</v>
      </c>
      <c r="Z218" s="4">
        <f t="shared" si="14"/>
        <v>0.88181763099247301</v>
      </c>
      <c r="AA218" s="4">
        <f t="shared" si="15"/>
        <v>0.76230606159575909</v>
      </c>
    </row>
    <row r="219" spans="1:27" x14ac:dyDescent="0.3">
      <c r="A219" t="s">
        <v>135</v>
      </c>
      <c r="B219">
        <v>138945</v>
      </c>
      <c r="C219">
        <v>2019</v>
      </c>
      <c r="D219" t="s">
        <v>28</v>
      </c>
      <c r="E219" t="s">
        <v>220</v>
      </c>
      <c r="F219">
        <v>6</v>
      </c>
      <c r="G219" t="s">
        <v>59</v>
      </c>
      <c r="H219">
        <v>4</v>
      </c>
      <c r="I219" t="s">
        <v>23</v>
      </c>
      <c r="J219" t="s">
        <v>24</v>
      </c>
      <c r="K219" t="s">
        <v>27</v>
      </c>
      <c r="L219" t="s">
        <v>53</v>
      </c>
      <c r="M219" t="s">
        <v>33</v>
      </c>
      <c r="N219">
        <v>4.3</v>
      </c>
      <c r="O219" t="s">
        <v>27</v>
      </c>
      <c r="S219" s="3">
        <v>9750</v>
      </c>
      <c r="T219" s="2">
        <v>15652.884765625</v>
      </c>
      <c r="U219" s="2">
        <v>14529.480129481681</v>
      </c>
      <c r="V219" s="2">
        <v>11609.83131702235</v>
      </c>
      <c r="W219" s="2">
        <v>17001.701171875</v>
      </c>
      <c r="X219" s="4">
        <f t="shared" si="12"/>
        <v>0.62288837782871742</v>
      </c>
      <c r="Y219" s="4">
        <f t="shared" si="13"/>
        <v>0.67104947411135063</v>
      </c>
      <c r="Z219" s="4">
        <f t="shared" si="14"/>
        <v>0.83980548328075511</v>
      </c>
      <c r="AA219" s="4">
        <f t="shared" si="15"/>
        <v>0.57347202503058348</v>
      </c>
    </row>
    <row r="220" spans="1:27" x14ac:dyDescent="0.3">
      <c r="A220" t="s">
        <v>135</v>
      </c>
      <c r="B220">
        <v>85741</v>
      </c>
      <c r="C220">
        <v>2022</v>
      </c>
      <c r="D220" t="s">
        <v>44</v>
      </c>
      <c r="E220" t="s">
        <v>176</v>
      </c>
      <c r="F220">
        <v>4</v>
      </c>
      <c r="G220" t="s">
        <v>47</v>
      </c>
      <c r="H220">
        <v>4</v>
      </c>
      <c r="I220" t="s">
        <v>23</v>
      </c>
      <c r="J220" t="s">
        <v>62</v>
      </c>
      <c r="K220" t="s">
        <v>27</v>
      </c>
      <c r="L220" t="s">
        <v>96</v>
      </c>
      <c r="M220" t="s">
        <v>23</v>
      </c>
      <c r="N220">
        <v>4.4000000000000004</v>
      </c>
      <c r="O220" t="s">
        <v>27</v>
      </c>
      <c r="S220" s="3">
        <v>15000</v>
      </c>
      <c r="T220" s="2">
        <v>20437.47265625</v>
      </c>
      <c r="U220" s="2">
        <v>22251.62135392343</v>
      </c>
      <c r="V220" s="2">
        <v>16909.879128593278</v>
      </c>
      <c r="W220" s="2">
        <v>20108.236328125</v>
      </c>
      <c r="X220" s="4">
        <f t="shared" si="12"/>
        <v>0.73394593608974634</v>
      </c>
      <c r="Y220" s="4">
        <f t="shared" si="13"/>
        <v>0.6741081812159806</v>
      </c>
      <c r="Z220" s="4">
        <f t="shared" si="14"/>
        <v>0.88705542398799153</v>
      </c>
      <c r="AA220" s="4">
        <f t="shared" si="15"/>
        <v>0.74596298527781824</v>
      </c>
    </row>
    <row r="221" spans="1:27" x14ac:dyDescent="0.3">
      <c r="A221" t="s">
        <v>135</v>
      </c>
      <c r="B221">
        <v>70528</v>
      </c>
      <c r="C221">
        <v>2018</v>
      </c>
      <c r="D221" t="s">
        <v>141</v>
      </c>
      <c r="E221" t="s">
        <v>215</v>
      </c>
      <c r="F221">
        <v>6</v>
      </c>
      <c r="G221" t="s">
        <v>66</v>
      </c>
      <c r="H221">
        <v>4</v>
      </c>
      <c r="I221" t="s">
        <v>23</v>
      </c>
      <c r="J221" t="s">
        <v>31</v>
      </c>
      <c r="K221" t="s">
        <v>27</v>
      </c>
      <c r="L221" t="s">
        <v>26</v>
      </c>
      <c r="M221" t="s">
        <v>78</v>
      </c>
      <c r="N221">
        <v>4.5</v>
      </c>
      <c r="O221" t="s">
        <v>27</v>
      </c>
      <c r="S221" s="3">
        <v>13000</v>
      </c>
      <c r="T221" s="2">
        <v>19071.60546875</v>
      </c>
      <c r="U221" s="2">
        <v>17141.554151671571</v>
      </c>
      <c r="V221" s="2">
        <v>16460.321171328771</v>
      </c>
      <c r="W221" s="2">
        <v>18481.322265625</v>
      </c>
      <c r="X221" s="4">
        <f t="shared" si="12"/>
        <v>0.68164161749787144</v>
      </c>
      <c r="Y221" s="4">
        <f t="shared" si="13"/>
        <v>0.75839097697756275</v>
      </c>
      <c r="Z221" s="4">
        <f t="shared" si="14"/>
        <v>0.78977802830748567</v>
      </c>
      <c r="AA221" s="4">
        <f t="shared" si="15"/>
        <v>0.70341287344898573</v>
      </c>
    </row>
    <row r="222" spans="1:27" x14ac:dyDescent="0.3">
      <c r="A222" t="s">
        <v>135</v>
      </c>
      <c r="B222">
        <v>70260</v>
      </c>
      <c r="C222">
        <v>2020</v>
      </c>
      <c r="D222" t="s">
        <v>71</v>
      </c>
      <c r="E222" t="s">
        <v>269</v>
      </c>
      <c r="F222">
        <v>4</v>
      </c>
      <c r="G222" t="s">
        <v>22</v>
      </c>
      <c r="H222">
        <v>4</v>
      </c>
      <c r="I222" t="s">
        <v>23</v>
      </c>
      <c r="J222" t="s">
        <v>24</v>
      </c>
      <c r="K222" t="s">
        <v>27</v>
      </c>
      <c r="L222" t="s">
        <v>102</v>
      </c>
      <c r="M222" t="s">
        <v>33</v>
      </c>
      <c r="N222">
        <v>0</v>
      </c>
      <c r="O222" t="s">
        <v>27</v>
      </c>
      <c r="S222" s="3">
        <v>12400</v>
      </c>
      <c r="T222" s="2">
        <v>20642.638671875</v>
      </c>
      <c r="U222" s="2">
        <v>15741.36576296641</v>
      </c>
      <c r="V222" s="2">
        <v>17411.698520446309</v>
      </c>
      <c r="W222" s="2">
        <v>17395.18359375</v>
      </c>
      <c r="X222" s="4">
        <f t="shared" si="12"/>
        <v>0.60069839893553156</v>
      </c>
      <c r="Y222" s="4">
        <f t="shared" si="13"/>
        <v>0.7877334271193035</v>
      </c>
      <c r="Z222" s="4">
        <f t="shared" si="14"/>
        <v>0.71216486923655709</v>
      </c>
      <c r="AA222" s="4">
        <f t="shared" si="15"/>
        <v>0.71284099608211415</v>
      </c>
    </row>
    <row r="223" spans="1:27" x14ac:dyDescent="0.3">
      <c r="A223" t="s">
        <v>135</v>
      </c>
      <c r="B223">
        <v>99503</v>
      </c>
      <c r="C223">
        <v>2019</v>
      </c>
      <c r="D223" t="s">
        <v>44</v>
      </c>
      <c r="E223" t="s">
        <v>176</v>
      </c>
      <c r="F223">
        <v>4</v>
      </c>
      <c r="G223" t="s">
        <v>36</v>
      </c>
      <c r="H223">
        <v>4</v>
      </c>
      <c r="I223" t="s">
        <v>23</v>
      </c>
      <c r="J223" t="s">
        <v>62</v>
      </c>
      <c r="K223" t="s">
        <v>27</v>
      </c>
      <c r="L223" t="s">
        <v>96</v>
      </c>
      <c r="M223" t="s">
        <v>23</v>
      </c>
      <c r="N223">
        <v>4.5</v>
      </c>
      <c r="O223" t="s">
        <v>27</v>
      </c>
      <c r="S223" s="3">
        <v>10250</v>
      </c>
      <c r="T223" s="2">
        <v>13548.20703125</v>
      </c>
      <c r="U223" s="2">
        <v>13425.34618798924</v>
      </c>
      <c r="V223" s="2">
        <v>11436.69399707089</v>
      </c>
      <c r="W223" s="2">
        <v>13254.7451171875</v>
      </c>
      <c r="X223" s="4">
        <f t="shared" si="12"/>
        <v>0.7565576741156651</v>
      </c>
      <c r="Y223" s="4">
        <f t="shared" si="13"/>
        <v>0.76348124334923961</v>
      </c>
      <c r="Z223" s="4">
        <f t="shared" si="14"/>
        <v>0.89623802146189968</v>
      </c>
      <c r="AA223" s="4">
        <f t="shared" si="15"/>
        <v>0.77330796702448612</v>
      </c>
    </row>
    <row r="224" spans="1:27" x14ac:dyDescent="0.3">
      <c r="A224" t="s">
        <v>135</v>
      </c>
      <c r="B224">
        <v>108739</v>
      </c>
      <c r="C224">
        <v>2019</v>
      </c>
      <c r="D224" t="s">
        <v>44</v>
      </c>
      <c r="E224" t="s">
        <v>117</v>
      </c>
      <c r="F224">
        <v>4</v>
      </c>
      <c r="G224" t="s">
        <v>56</v>
      </c>
      <c r="H224">
        <v>4</v>
      </c>
      <c r="I224" t="s">
        <v>23</v>
      </c>
      <c r="J224" t="s">
        <v>62</v>
      </c>
      <c r="K224" t="s">
        <v>27</v>
      </c>
      <c r="L224" t="s">
        <v>200</v>
      </c>
      <c r="M224" t="s">
        <v>33</v>
      </c>
      <c r="N224">
        <v>4</v>
      </c>
      <c r="O224" t="s">
        <v>27</v>
      </c>
      <c r="S224" s="3">
        <v>6750</v>
      </c>
      <c r="T224" s="2">
        <v>10406.6806640625</v>
      </c>
      <c r="U224" s="2">
        <v>9756.9822621791573</v>
      </c>
      <c r="V224" s="2">
        <v>8423.6818524145965</v>
      </c>
      <c r="W224" s="2">
        <v>10006.3896484375</v>
      </c>
      <c r="X224" s="4">
        <f t="shared" si="12"/>
        <v>0.64862180534758274</v>
      </c>
      <c r="Y224" s="4">
        <f t="shared" si="13"/>
        <v>0.69181226516777861</v>
      </c>
      <c r="Z224" s="4">
        <f t="shared" si="14"/>
        <v>0.80131231428987959</v>
      </c>
      <c r="AA224" s="4">
        <f t="shared" si="15"/>
        <v>0.67456897414083949</v>
      </c>
    </row>
    <row r="225" spans="1:27" x14ac:dyDescent="0.3">
      <c r="A225" t="s">
        <v>135</v>
      </c>
      <c r="B225">
        <v>118124</v>
      </c>
      <c r="C225">
        <v>2015</v>
      </c>
      <c r="D225" t="s">
        <v>44</v>
      </c>
      <c r="E225" t="s">
        <v>203</v>
      </c>
      <c r="F225">
        <v>4</v>
      </c>
      <c r="G225" t="s">
        <v>22</v>
      </c>
      <c r="H225">
        <v>4</v>
      </c>
      <c r="I225" t="s">
        <v>23</v>
      </c>
      <c r="J225" t="s">
        <v>37</v>
      </c>
      <c r="K225" t="s">
        <v>27</v>
      </c>
      <c r="L225" t="s">
        <v>118</v>
      </c>
      <c r="M225" t="s">
        <v>33</v>
      </c>
      <c r="N225">
        <v>0</v>
      </c>
      <c r="O225" t="s">
        <v>27</v>
      </c>
      <c r="S225" s="3">
        <v>2200</v>
      </c>
      <c r="T225" s="2">
        <v>4357.58203125</v>
      </c>
      <c r="U225" s="2">
        <v>4281.2125848363539</v>
      </c>
      <c r="V225" s="2">
        <v>4530.6526439841073</v>
      </c>
      <c r="W225" s="2">
        <v>3831.451171875</v>
      </c>
      <c r="X225" s="4">
        <f t="shared" si="12"/>
        <v>0.50486714517888631</v>
      </c>
      <c r="Y225" s="4">
        <f t="shared" si="13"/>
        <v>0.51387310403416775</v>
      </c>
      <c r="Z225" s="4">
        <f t="shared" si="14"/>
        <v>0.48558125569860333</v>
      </c>
      <c r="AA225" s="4">
        <f t="shared" si="15"/>
        <v>0.57419497242956763</v>
      </c>
    </row>
    <row r="226" spans="1:27" x14ac:dyDescent="0.3">
      <c r="A226" t="s">
        <v>135</v>
      </c>
      <c r="B226">
        <v>104876</v>
      </c>
      <c r="C226">
        <v>2016</v>
      </c>
      <c r="D226" t="s">
        <v>44</v>
      </c>
      <c r="E226" t="s">
        <v>45</v>
      </c>
      <c r="F226">
        <v>6</v>
      </c>
      <c r="G226" t="s">
        <v>66</v>
      </c>
      <c r="H226">
        <v>4</v>
      </c>
      <c r="I226" t="s">
        <v>23</v>
      </c>
      <c r="J226" t="s">
        <v>46</v>
      </c>
      <c r="K226" t="s">
        <v>27</v>
      </c>
      <c r="L226" t="s">
        <v>38</v>
      </c>
      <c r="M226">
        <v>4</v>
      </c>
      <c r="N226">
        <v>0</v>
      </c>
      <c r="O226" t="s">
        <v>27</v>
      </c>
      <c r="S226" s="3">
        <v>20000</v>
      </c>
      <c r="T226" s="2">
        <v>15350.611328125</v>
      </c>
      <c r="U226" s="2">
        <v>15065.084063912111</v>
      </c>
      <c r="V226" s="2">
        <v>23653.25999573234</v>
      </c>
      <c r="W226" s="2">
        <v>14614.6591796875</v>
      </c>
      <c r="X226" s="4">
        <f t="shared" si="12"/>
        <v>1.3028797076867231</v>
      </c>
      <c r="Y226" s="4">
        <f t="shared" si="13"/>
        <v>1.3275730766022946</v>
      </c>
      <c r="Z226" s="4">
        <f t="shared" si="14"/>
        <v>0.84554940856391536</v>
      </c>
      <c r="AA226" s="4">
        <f t="shared" si="15"/>
        <v>1.3684889776832725</v>
      </c>
    </row>
    <row r="227" spans="1:27" x14ac:dyDescent="0.3">
      <c r="A227" t="s">
        <v>70</v>
      </c>
      <c r="B227">
        <v>93533</v>
      </c>
      <c r="C227">
        <v>2014</v>
      </c>
      <c r="D227" t="s">
        <v>71</v>
      </c>
      <c r="E227" t="s">
        <v>170</v>
      </c>
      <c r="F227">
        <v>6</v>
      </c>
      <c r="G227" t="s">
        <v>66</v>
      </c>
      <c r="H227">
        <v>4</v>
      </c>
      <c r="I227" t="s">
        <v>23</v>
      </c>
      <c r="J227" t="s">
        <v>24</v>
      </c>
      <c r="K227" t="s">
        <v>27</v>
      </c>
      <c r="L227" t="s">
        <v>26</v>
      </c>
      <c r="M227" t="s">
        <v>33</v>
      </c>
      <c r="N227">
        <v>1</v>
      </c>
      <c r="O227" t="s">
        <v>27</v>
      </c>
      <c r="S227" s="3">
        <v>4500</v>
      </c>
      <c r="T227" s="2">
        <v>7782.14111328125</v>
      </c>
      <c r="U227" s="2">
        <v>6125.9308346291409</v>
      </c>
      <c r="V227" s="2">
        <v>6112.2936110132314</v>
      </c>
      <c r="W227" s="2">
        <v>7331.193359375</v>
      </c>
      <c r="X227" s="4">
        <f t="shared" si="12"/>
        <v>0.5782470318252334</v>
      </c>
      <c r="Y227" s="4">
        <f t="shared" si="13"/>
        <v>0.73458224088363</v>
      </c>
      <c r="Z227" s="4">
        <f t="shared" si="14"/>
        <v>0.73622117757756689</v>
      </c>
      <c r="AA227" s="4">
        <f t="shared" si="15"/>
        <v>0.61381548397512664</v>
      </c>
    </row>
    <row r="228" spans="1:27" x14ac:dyDescent="0.3">
      <c r="A228" t="s">
        <v>70</v>
      </c>
      <c r="B228">
        <v>154004</v>
      </c>
      <c r="C228">
        <v>2016</v>
      </c>
      <c r="D228" t="s">
        <v>20</v>
      </c>
      <c r="E228" t="s">
        <v>154</v>
      </c>
      <c r="F228">
        <v>6</v>
      </c>
      <c r="G228" t="s">
        <v>22</v>
      </c>
      <c r="H228">
        <v>4</v>
      </c>
      <c r="I228" t="s">
        <v>23</v>
      </c>
      <c r="J228" t="s">
        <v>24</v>
      </c>
      <c r="L228" t="s">
        <v>26</v>
      </c>
      <c r="M228" t="s">
        <v>33</v>
      </c>
      <c r="N228">
        <v>0</v>
      </c>
      <c r="O228" t="s">
        <v>27</v>
      </c>
      <c r="S228" s="3">
        <v>3300</v>
      </c>
      <c r="T228" s="2">
        <v>7207.05712890625</v>
      </c>
      <c r="U228" s="2">
        <v>7997.0588781749884</v>
      </c>
      <c r="V228" s="2">
        <v>4817.6353780235477</v>
      </c>
      <c r="W228" s="2">
        <v>7715.55908203125</v>
      </c>
      <c r="X228" s="4">
        <f t="shared" si="12"/>
        <v>0.45788453469645402</v>
      </c>
      <c r="Y228" s="4">
        <f t="shared" si="13"/>
        <v>0.41265170736783346</v>
      </c>
      <c r="Z228" s="4">
        <f t="shared" si="14"/>
        <v>0.68498334578276798</v>
      </c>
      <c r="AA228" s="4">
        <f t="shared" si="15"/>
        <v>0.42770717778383205</v>
      </c>
    </row>
    <row r="229" spans="1:27" x14ac:dyDescent="0.3">
      <c r="A229" t="s">
        <v>70</v>
      </c>
      <c r="B229">
        <v>129973</v>
      </c>
      <c r="C229">
        <v>2009</v>
      </c>
      <c r="D229" t="s">
        <v>141</v>
      </c>
      <c r="E229" t="s">
        <v>142</v>
      </c>
      <c r="F229">
        <v>6</v>
      </c>
      <c r="G229" t="s">
        <v>47</v>
      </c>
      <c r="H229">
        <v>4</v>
      </c>
      <c r="I229" t="s">
        <v>23</v>
      </c>
      <c r="J229" t="s">
        <v>106</v>
      </c>
      <c r="L229" t="s">
        <v>143</v>
      </c>
      <c r="M229" t="s">
        <v>33</v>
      </c>
      <c r="N229">
        <v>0</v>
      </c>
      <c r="O229" t="s">
        <v>27</v>
      </c>
      <c r="S229" s="3">
        <v>3500</v>
      </c>
      <c r="T229" s="2">
        <v>4121.32373046875</v>
      </c>
      <c r="U229" s="2">
        <v>4102.4474696491052</v>
      </c>
      <c r="V229" s="2">
        <v>2766.6624145301771</v>
      </c>
      <c r="W229" s="2">
        <v>3834.235595703125</v>
      </c>
      <c r="X229" s="4">
        <f t="shared" si="12"/>
        <v>0.84924170700900459</v>
      </c>
      <c r="Y229" s="4">
        <f t="shared" si="13"/>
        <v>0.85314925441308953</v>
      </c>
      <c r="Z229" s="4">
        <f t="shared" si="14"/>
        <v>1.2650621852591855</v>
      </c>
      <c r="AA229" s="4">
        <f t="shared" si="15"/>
        <v>0.91282862323909109</v>
      </c>
    </row>
    <row r="230" spans="1:27" x14ac:dyDescent="0.3">
      <c r="A230" t="s">
        <v>70</v>
      </c>
      <c r="B230">
        <v>132039</v>
      </c>
      <c r="C230">
        <v>2019</v>
      </c>
      <c r="D230" t="s">
        <v>85</v>
      </c>
      <c r="E230" t="s">
        <v>270</v>
      </c>
      <c r="F230">
        <v>6</v>
      </c>
      <c r="G230" t="s">
        <v>47</v>
      </c>
      <c r="H230">
        <v>4</v>
      </c>
      <c r="I230" t="s">
        <v>23</v>
      </c>
      <c r="J230" t="s">
        <v>24</v>
      </c>
      <c r="K230" t="s">
        <v>27</v>
      </c>
      <c r="L230" t="s">
        <v>194</v>
      </c>
      <c r="M230" t="s">
        <v>33</v>
      </c>
      <c r="N230">
        <v>0</v>
      </c>
      <c r="O230" t="s">
        <v>27</v>
      </c>
      <c r="S230" s="3">
        <v>7700</v>
      </c>
      <c r="T230" s="2">
        <v>9938.50390625</v>
      </c>
      <c r="U230" s="2">
        <v>9732.8088498730849</v>
      </c>
      <c r="V230" s="2">
        <v>6874.6677699606626</v>
      </c>
      <c r="W230" s="2">
        <v>10169.0859375</v>
      </c>
      <c r="X230" s="4">
        <f t="shared" si="12"/>
        <v>0.77476449902663136</v>
      </c>
      <c r="Y230" s="4">
        <f t="shared" si="13"/>
        <v>0.79113852113723648</v>
      </c>
      <c r="Z230" s="4">
        <f t="shared" si="14"/>
        <v>1.1200541259092816</v>
      </c>
      <c r="AA230" s="4">
        <f t="shared" si="15"/>
        <v>0.75719686580729129</v>
      </c>
    </row>
    <row r="231" spans="1:27" x14ac:dyDescent="0.3">
      <c r="A231" t="s">
        <v>70</v>
      </c>
      <c r="B231">
        <v>90167</v>
      </c>
      <c r="C231">
        <v>2021</v>
      </c>
      <c r="D231" t="s">
        <v>119</v>
      </c>
      <c r="E231" t="s">
        <v>120</v>
      </c>
      <c r="F231">
        <v>3</v>
      </c>
      <c r="G231" t="s">
        <v>47</v>
      </c>
      <c r="H231">
        <v>4</v>
      </c>
      <c r="I231" t="s">
        <v>23</v>
      </c>
      <c r="J231" t="s">
        <v>31</v>
      </c>
      <c r="L231" t="s">
        <v>121</v>
      </c>
      <c r="M231" t="s">
        <v>33</v>
      </c>
      <c r="N231">
        <v>0</v>
      </c>
      <c r="O231" t="s">
        <v>27</v>
      </c>
      <c r="S231" s="3">
        <v>4800</v>
      </c>
      <c r="T231" s="2">
        <v>7583.74853515625</v>
      </c>
      <c r="U231" s="2">
        <v>8594.4589380494108</v>
      </c>
      <c r="V231" s="2">
        <v>12046.900580554409</v>
      </c>
      <c r="W231" s="2">
        <v>9190</v>
      </c>
      <c r="X231" s="4">
        <f t="shared" si="12"/>
        <v>0.63293237872385555</v>
      </c>
      <c r="Y231" s="4">
        <f t="shared" si="13"/>
        <v>0.55849938135714716</v>
      </c>
      <c r="Z231" s="4">
        <f t="shared" si="14"/>
        <v>0.39844273370595873</v>
      </c>
      <c r="AA231" s="4">
        <f t="shared" si="15"/>
        <v>0.52230685527747556</v>
      </c>
    </row>
    <row r="232" spans="1:27" x14ac:dyDescent="0.3">
      <c r="A232" t="s">
        <v>70</v>
      </c>
      <c r="B232">
        <v>144117</v>
      </c>
      <c r="C232">
        <v>2012</v>
      </c>
      <c r="D232" t="s">
        <v>20</v>
      </c>
      <c r="E232" t="s">
        <v>154</v>
      </c>
      <c r="F232">
        <v>6</v>
      </c>
      <c r="G232" t="s">
        <v>47</v>
      </c>
      <c r="H232">
        <v>4</v>
      </c>
      <c r="I232" t="s">
        <v>23</v>
      </c>
      <c r="J232" t="s">
        <v>24</v>
      </c>
      <c r="L232" t="s">
        <v>26</v>
      </c>
      <c r="M232" t="s">
        <v>33</v>
      </c>
      <c r="N232">
        <v>0</v>
      </c>
      <c r="O232" t="s">
        <v>27</v>
      </c>
      <c r="S232" s="3">
        <v>1000</v>
      </c>
      <c r="T232" s="2">
        <v>4769.16064453125</v>
      </c>
      <c r="U232" s="2">
        <v>5003.7155697114231</v>
      </c>
      <c r="V232" s="2">
        <v>3299.8310353213528</v>
      </c>
      <c r="W232" s="2">
        <v>4795.78662109375</v>
      </c>
      <c r="X232" s="4">
        <f t="shared" si="12"/>
        <v>0.20968050240595068</v>
      </c>
      <c r="Y232" s="4">
        <f t="shared" si="13"/>
        <v>0.19985148757319804</v>
      </c>
      <c r="Z232" s="4">
        <f t="shared" si="14"/>
        <v>0.30304581940590647</v>
      </c>
      <c r="AA232" s="4">
        <f t="shared" si="15"/>
        <v>0.20851636634574355</v>
      </c>
    </row>
    <row r="233" spans="1:27" x14ac:dyDescent="0.3">
      <c r="A233" t="s">
        <v>70</v>
      </c>
      <c r="B233">
        <v>87017</v>
      </c>
      <c r="C233">
        <v>2020</v>
      </c>
      <c r="D233" t="s">
        <v>71</v>
      </c>
      <c r="E233" t="s">
        <v>269</v>
      </c>
      <c r="F233">
        <v>4</v>
      </c>
      <c r="G233" t="s">
        <v>59</v>
      </c>
      <c r="H233">
        <v>4</v>
      </c>
      <c r="I233" t="s">
        <v>23</v>
      </c>
      <c r="J233" t="s">
        <v>24</v>
      </c>
      <c r="K233" t="s">
        <v>27</v>
      </c>
      <c r="L233" t="s">
        <v>127</v>
      </c>
      <c r="M233" t="s">
        <v>23</v>
      </c>
      <c r="N233">
        <v>0</v>
      </c>
      <c r="O233" t="s">
        <v>27</v>
      </c>
      <c r="S233" s="3">
        <v>15200</v>
      </c>
      <c r="T233" s="2">
        <v>18159.015625</v>
      </c>
      <c r="U233" s="2">
        <v>15844.258678117279</v>
      </c>
      <c r="V233" s="2">
        <v>17183.49137443873</v>
      </c>
      <c r="W233" s="2">
        <v>17568.384765625</v>
      </c>
      <c r="X233" s="4">
        <f t="shared" si="12"/>
        <v>0.8370497781319024</v>
      </c>
      <c r="Y233" s="4">
        <f t="shared" si="13"/>
        <v>0.95933803586487298</v>
      </c>
      <c r="Z233" s="4">
        <f t="shared" si="14"/>
        <v>0.88456994383636911</v>
      </c>
      <c r="AA233" s="4">
        <f t="shared" si="15"/>
        <v>0.86519052279301878</v>
      </c>
    </row>
    <row r="234" spans="1:27" x14ac:dyDescent="0.3">
      <c r="A234" t="s">
        <v>70</v>
      </c>
      <c r="B234">
        <v>165307</v>
      </c>
      <c r="C234">
        <v>2005</v>
      </c>
      <c r="D234" t="s">
        <v>125</v>
      </c>
      <c r="E234" t="s">
        <v>264</v>
      </c>
      <c r="F234">
        <v>6</v>
      </c>
      <c r="G234" t="s">
        <v>66</v>
      </c>
      <c r="H234">
        <v>4</v>
      </c>
      <c r="I234" t="s">
        <v>23</v>
      </c>
      <c r="J234" t="s">
        <v>24</v>
      </c>
      <c r="K234" t="s">
        <v>27</v>
      </c>
      <c r="L234" t="s">
        <v>271</v>
      </c>
      <c r="M234" t="s">
        <v>33</v>
      </c>
      <c r="N234">
        <v>0</v>
      </c>
      <c r="S234" s="3">
        <v>700</v>
      </c>
      <c r="T234" s="2">
        <v>2418.829833984375</v>
      </c>
      <c r="U234" s="2">
        <v>1765.40776346287</v>
      </c>
      <c r="V234" s="2">
        <v>1506.5059061589379</v>
      </c>
      <c r="W234" s="2">
        <v>1781.644897460938</v>
      </c>
      <c r="X234" s="4">
        <f t="shared" si="12"/>
        <v>0.28939613285939064</v>
      </c>
      <c r="Y234" s="4">
        <f t="shared" si="13"/>
        <v>0.39650896211475872</v>
      </c>
      <c r="Z234" s="4">
        <f t="shared" si="14"/>
        <v>0.46465134795571739</v>
      </c>
      <c r="AA234" s="4">
        <f t="shared" si="15"/>
        <v>0.39289535249004204</v>
      </c>
    </row>
    <row r="235" spans="1:27" x14ac:dyDescent="0.3">
      <c r="A235" t="s">
        <v>135</v>
      </c>
      <c r="B235">
        <v>1</v>
      </c>
      <c r="C235">
        <v>2012</v>
      </c>
      <c r="D235" t="s">
        <v>81</v>
      </c>
      <c r="E235" t="s">
        <v>105</v>
      </c>
      <c r="F235">
        <v>6</v>
      </c>
      <c r="G235" t="s">
        <v>22</v>
      </c>
      <c r="H235">
        <v>4</v>
      </c>
      <c r="I235" t="s">
        <v>23</v>
      </c>
      <c r="J235" t="s">
        <v>106</v>
      </c>
      <c r="L235" t="s">
        <v>26</v>
      </c>
      <c r="M235" t="s">
        <v>33</v>
      </c>
      <c r="N235">
        <v>1.7</v>
      </c>
      <c r="O235" t="s">
        <v>123</v>
      </c>
      <c r="S235" s="3">
        <v>700</v>
      </c>
      <c r="T235" s="2">
        <v>5384.74267578125</v>
      </c>
      <c r="U235" s="2">
        <v>21737.81615682894</v>
      </c>
      <c r="V235" s="2">
        <v>14842.55565383537</v>
      </c>
      <c r="W235" s="2">
        <v>10698.2548828125</v>
      </c>
      <c r="X235" s="4">
        <f t="shared" si="12"/>
        <v>0.12999692690021439</v>
      </c>
      <c r="Y235" s="4">
        <f t="shared" si="13"/>
        <v>3.220194682620383E-2</v>
      </c>
      <c r="Z235" s="4">
        <f t="shared" si="14"/>
        <v>4.7161689423688799E-2</v>
      </c>
      <c r="AA235" s="4">
        <f t="shared" si="15"/>
        <v>6.5431232258692892E-2</v>
      </c>
    </row>
    <row r="236" spans="1:27" x14ac:dyDescent="0.3">
      <c r="A236" t="s">
        <v>135</v>
      </c>
      <c r="B236">
        <v>256793</v>
      </c>
      <c r="C236">
        <v>2004</v>
      </c>
      <c r="D236" t="s">
        <v>34</v>
      </c>
      <c r="E236" t="s">
        <v>35</v>
      </c>
      <c r="F236">
        <v>6</v>
      </c>
      <c r="G236" t="s">
        <v>272</v>
      </c>
      <c r="H236">
        <v>4</v>
      </c>
      <c r="I236" t="s">
        <v>23</v>
      </c>
      <c r="J236" t="s">
        <v>37</v>
      </c>
      <c r="L236" t="s">
        <v>168</v>
      </c>
      <c r="M236" t="s">
        <v>33</v>
      </c>
      <c r="N236">
        <v>2.7</v>
      </c>
      <c r="O236" t="s">
        <v>27</v>
      </c>
      <c r="S236" s="3">
        <v>900</v>
      </c>
      <c r="T236" s="2">
        <v>1264.975463867188</v>
      </c>
      <c r="U236" s="2">
        <v>1621.984394992794</v>
      </c>
      <c r="V236" s="2">
        <v>-1558.575325201575</v>
      </c>
      <c r="W236" s="2">
        <v>1257.930297851562</v>
      </c>
      <c r="X236" s="4">
        <f t="shared" si="12"/>
        <v>0.71147625049468355</v>
      </c>
      <c r="Y236" s="4">
        <f t="shared" si="13"/>
        <v>0.55487586858318594</v>
      </c>
      <c r="Z236" s="4">
        <f t="shared" si="14"/>
        <v>-0.57745043530931073</v>
      </c>
      <c r="AA236" s="4">
        <f t="shared" si="15"/>
        <v>0.71546094528220161</v>
      </c>
    </row>
    <row r="237" spans="1:27" x14ac:dyDescent="0.3">
      <c r="A237" t="s">
        <v>135</v>
      </c>
      <c r="B237">
        <v>164085</v>
      </c>
      <c r="C237">
        <v>2010</v>
      </c>
      <c r="D237" t="s">
        <v>81</v>
      </c>
      <c r="E237" t="s">
        <v>207</v>
      </c>
      <c r="F237">
        <v>6</v>
      </c>
      <c r="G237" t="s">
        <v>30</v>
      </c>
      <c r="H237">
        <v>4</v>
      </c>
      <c r="I237" t="s">
        <v>23</v>
      </c>
      <c r="J237" t="s">
        <v>31</v>
      </c>
      <c r="L237" t="s">
        <v>53</v>
      </c>
      <c r="M237" t="s">
        <v>78</v>
      </c>
      <c r="N237">
        <v>1.8</v>
      </c>
      <c r="O237" t="s">
        <v>27</v>
      </c>
      <c r="S237" s="3">
        <v>1600</v>
      </c>
      <c r="T237" s="2">
        <v>2369.827880859375</v>
      </c>
      <c r="U237" s="2">
        <v>6461.0453884731114</v>
      </c>
      <c r="V237" s="2">
        <v>1836.505619047359</v>
      </c>
      <c r="W237" s="2">
        <v>2518.084228515625</v>
      </c>
      <c r="X237" s="4">
        <f t="shared" si="12"/>
        <v>0.67515451772800861</v>
      </c>
      <c r="Y237" s="4">
        <f t="shared" si="13"/>
        <v>0.24763794460483052</v>
      </c>
      <c r="Z237" s="4">
        <f t="shared" si="14"/>
        <v>0.87121976835004711</v>
      </c>
      <c r="AA237" s="4">
        <f t="shared" si="15"/>
        <v>0.6354036858183959</v>
      </c>
    </row>
    <row r="238" spans="1:27" x14ac:dyDescent="0.3">
      <c r="A238" t="s">
        <v>135</v>
      </c>
      <c r="B238">
        <v>190364</v>
      </c>
      <c r="C238">
        <v>2020</v>
      </c>
      <c r="D238" t="s">
        <v>40</v>
      </c>
      <c r="E238" t="s">
        <v>41</v>
      </c>
      <c r="F238">
        <v>8</v>
      </c>
      <c r="G238" t="s">
        <v>36</v>
      </c>
      <c r="H238">
        <v>4</v>
      </c>
      <c r="I238" t="s">
        <v>23</v>
      </c>
      <c r="J238" t="s">
        <v>42</v>
      </c>
      <c r="K238" t="s">
        <v>27</v>
      </c>
      <c r="L238" t="s">
        <v>43</v>
      </c>
      <c r="M238">
        <v>4</v>
      </c>
      <c r="N238">
        <v>0</v>
      </c>
      <c r="O238" t="s">
        <v>27</v>
      </c>
      <c r="S238" s="3">
        <v>14250</v>
      </c>
      <c r="T238" s="2">
        <v>14515.6845703125</v>
      </c>
      <c r="U238" s="2">
        <v>20716.31944659042</v>
      </c>
      <c r="V238" s="2">
        <v>18630.666826567831</v>
      </c>
      <c r="W238" s="2">
        <v>21134.7734375</v>
      </c>
      <c r="X238" s="4">
        <f t="shared" si="12"/>
        <v>0.98169672473760705</v>
      </c>
      <c r="Y238" s="4">
        <f t="shared" si="13"/>
        <v>0.68786349992036477</v>
      </c>
      <c r="Z238" s="4">
        <f t="shared" si="14"/>
        <v>0.76486795307182009</v>
      </c>
      <c r="AA238" s="4">
        <f t="shared" si="15"/>
        <v>0.67424427530014774</v>
      </c>
    </row>
    <row r="239" spans="1:27" x14ac:dyDescent="0.3">
      <c r="A239" t="s">
        <v>135</v>
      </c>
      <c r="B239">
        <v>204895</v>
      </c>
      <c r="C239">
        <v>2012</v>
      </c>
      <c r="D239" t="s">
        <v>71</v>
      </c>
      <c r="E239" t="s">
        <v>170</v>
      </c>
      <c r="F239">
        <v>6</v>
      </c>
      <c r="G239" t="s">
        <v>47</v>
      </c>
      <c r="H239">
        <v>4</v>
      </c>
      <c r="I239" t="s">
        <v>23</v>
      </c>
      <c r="J239" t="s">
        <v>24</v>
      </c>
      <c r="K239" t="s">
        <v>27</v>
      </c>
      <c r="L239" t="s">
        <v>26</v>
      </c>
      <c r="M239" t="s">
        <v>33</v>
      </c>
      <c r="N239">
        <v>1.3</v>
      </c>
      <c r="O239" t="s">
        <v>27</v>
      </c>
      <c r="S239" s="3">
        <v>600</v>
      </c>
      <c r="T239" s="2">
        <v>2164.875732421875</v>
      </c>
      <c r="U239" s="2">
        <v>2327.7333887482819</v>
      </c>
      <c r="V239" s="2">
        <v>1645.581024427034</v>
      </c>
      <c r="W239" s="2">
        <v>2241.046630859375</v>
      </c>
      <c r="X239" s="4">
        <f t="shared" si="12"/>
        <v>0.27715216675682908</v>
      </c>
      <c r="Y239" s="4">
        <f t="shared" si="13"/>
        <v>0.25776147856977932</v>
      </c>
      <c r="Z239" s="4">
        <f t="shared" si="14"/>
        <v>0.36461285776488023</v>
      </c>
      <c r="AA239" s="4">
        <f t="shared" si="15"/>
        <v>0.2677320461510958</v>
      </c>
    </row>
    <row r="240" spans="1:27" x14ac:dyDescent="0.3">
      <c r="A240" t="s">
        <v>135</v>
      </c>
      <c r="B240">
        <v>98177</v>
      </c>
      <c r="C240">
        <v>2017</v>
      </c>
      <c r="D240" t="s">
        <v>90</v>
      </c>
      <c r="E240" t="s">
        <v>273</v>
      </c>
      <c r="F240">
        <v>4</v>
      </c>
      <c r="G240" t="s">
        <v>36</v>
      </c>
      <c r="H240">
        <v>4</v>
      </c>
      <c r="I240" t="s">
        <v>23</v>
      </c>
      <c r="J240" t="s">
        <v>31</v>
      </c>
      <c r="K240" t="s">
        <v>27</v>
      </c>
      <c r="L240" t="s">
        <v>127</v>
      </c>
      <c r="M240" t="s">
        <v>33</v>
      </c>
      <c r="N240">
        <v>3.9</v>
      </c>
      <c r="O240" t="s">
        <v>39</v>
      </c>
      <c r="S240" s="3">
        <v>8000</v>
      </c>
      <c r="T240" s="2">
        <v>4239.8642578125</v>
      </c>
      <c r="U240" s="2">
        <v>7072.9789281734948</v>
      </c>
      <c r="V240" s="2">
        <v>8458.9668963057084</v>
      </c>
      <c r="W240" s="2">
        <v>6255.64404296875</v>
      </c>
      <c r="X240" s="4">
        <f t="shared" si="12"/>
        <v>1.8868528597959149</v>
      </c>
      <c r="Y240" s="4">
        <f t="shared" si="13"/>
        <v>1.1310651539104608</v>
      </c>
      <c r="Z240" s="4">
        <f t="shared" si="14"/>
        <v>0.94574196802848898</v>
      </c>
      <c r="AA240" s="4">
        <f t="shared" si="15"/>
        <v>1.2788451428901042</v>
      </c>
    </row>
    <row r="241" spans="1:27" x14ac:dyDescent="0.3">
      <c r="A241" t="s">
        <v>135</v>
      </c>
      <c r="B241">
        <v>134587</v>
      </c>
      <c r="C241">
        <v>2017</v>
      </c>
      <c r="D241" t="s">
        <v>28</v>
      </c>
      <c r="E241" t="s">
        <v>274</v>
      </c>
      <c r="F241">
        <v>6</v>
      </c>
      <c r="G241" t="s">
        <v>36</v>
      </c>
      <c r="H241">
        <v>4</v>
      </c>
      <c r="I241" t="s">
        <v>23</v>
      </c>
      <c r="J241" t="s">
        <v>42</v>
      </c>
      <c r="K241" t="s">
        <v>27</v>
      </c>
      <c r="L241" t="s">
        <v>53</v>
      </c>
      <c r="M241" t="s">
        <v>33</v>
      </c>
      <c r="N241">
        <v>4.5</v>
      </c>
      <c r="O241" t="s">
        <v>27</v>
      </c>
      <c r="S241" s="3">
        <v>12250</v>
      </c>
      <c r="T241" s="2">
        <v>13715.6689453125</v>
      </c>
      <c r="U241" s="2">
        <v>13339.71655236729</v>
      </c>
      <c r="V241" s="2">
        <v>11229.54078458402</v>
      </c>
      <c r="W241" s="2">
        <v>14797.7099609375</v>
      </c>
      <c r="X241" s="4">
        <f t="shared" si="12"/>
        <v>0.89313908412659593</v>
      </c>
      <c r="Y241" s="4">
        <f t="shared" si="13"/>
        <v>0.91831036678407485</v>
      </c>
      <c r="Z241" s="4">
        <f t="shared" si="14"/>
        <v>1.0908727467125701</v>
      </c>
      <c r="AA241" s="4">
        <f t="shared" si="15"/>
        <v>0.82783079492280498</v>
      </c>
    </row>
    <row r="242" spans="1:27" x14ac:dyDescent="0.3">
      <c r="A242" t="s">
        <v>135</v>
      </c>
      <c r="B242">
        <v>67146</v>
      </c>
      <c r="C242">
        <v>2019</v>
      </c>
      <c r="D242" t="s">
        <v>44</v>
      </c>
      <c r="E242" t="s">
        <v>182</v>
      </c>
      <c r="F242">
        <v>8</v>
      </c>
      <c r="G242" t="s">
        <v>66</v>
      </c>
      <c r="H242">
        <v>2</v>
      </c>
      <c r="I242" t="s">
        <v>23</v>
      </c>
      <c r="J242" t="s">
        <v>183</v>
      </c>
      <c r="K242" t="s">
        <v>27</v>
      </c>
      <c r="L242" t="s">
        <v>48</v>
      </c>
      <c r="M242" t="s">
        <v>78</v>
      </c>
      <c r="N242">
        <v>0</v>
      </c>
      <c r="O242" t="s">
        <v>27</v>
      </c>
      <c r="S242" s="3">
        <v>26000</v>
      </c>
      <c r="T242" s="2">
        <v>39805.96875</v>
      </c>
      <c r="U242" s="2">
        <v>37971.263649899607</v>
      </c>
      <c r="V242" s="2">
        <v>18955.603677719278</v>
      </c>
      <c r="W242" s="2">
        <v>30514.5625</v>
      </c>
      <c r="X242" s="4">
        <f t="shared" si="12"/>
        <v>0.65316837691583629</v>
      </c>
      <c r="Y242" s="4">
        <f t="shared" si="13"/>
        <v>0.68472833139617517</v>
      </c>
      <c r="Z242" s="4">
        <f t="shared" si="14"/>
        <v>1.371626060665154</v>
      </c>
      <c r="AA242" s="4">
        <f t="shared" si="15"/>
        <v>0.85205219638983842</v>
      </c>
    </row>
    <row r="243" spans="1:27" x14ac:dyDescent="0.3">
      <c r="A243" t="s">
        <v>135</v>
      </c>
      <c r="B243">
        <v>87593</v>
      </c>
      <c r="C243">
        <v>2018</v>
      </c>
      <c r="D243" t="s">
        <v>28</v>
      </c>
      <c r="E243" t="s">
        <v>220</v>
      </c>
      <c r="F243">
        <v>6</v>
      </c>
      <c r="G243" t="s">
        <v>47</v>
      </c>
      <c r="H243">
        <v>4</v>
      </c>
      <c r="I243" t="s">
        <v>23</v>
      </c>
      <c r="J243" t="s">
        <v>24</v>
      </c>
      <c r="K243" t="s">
        <v>27</v>
      </c>
      <c r="L243" t="s">
        <v>53</v>
      </c>
      <c r="M243" t="s">
        <v>33</v>
      </c>
      <c r="N243">
        <v>0</v>
      </c>
      <c r="O243" t="s">
        <v>27</v>
      </c>
      <c r="S243" s="3">
        <v>19000</v>
      </c>
      <c r="T243" s="2">
        <v>17937.701171875</v>
      </c>
      <c r="U243" s="2">
        <v>17661.010594065869</v>
      </c>
      <c r="V243" s="2">
        <v>17045.77557193899</v>
      </c>
      <c r="W243" s="2">
        <v>18667.5234375</v>
      </c>
      <c r="X243" s="4">
        <f t="shared" si="12"/>
        <v>1.0592215701413628</v>
      </c>
      <c r="Y243" s="4">
        <f t="shared" si="13"/>
        <v>1.0758161260819374</v>
      </c>
      <c r="Z243" s="4">
        <f t="shared" si="14"/>
        <v>1.11464567392745</v>
      </c>
      <c r="AA243" s="4">
        <f t="shared" si="15"/>
        <v>1.0178104269488748</v>
      </c>
    </row>
    <row r="244" spans="1:27" x14ac:dyDescent="0.3">
      <c r="A244" t="s">
        <v>135</v>
      </c>
      <c r="B244">
        <v>95694</v>
      </c>
      <c r="C244">
        <v>2019</v>
      </c>
      <c r="D244" t="s">
        <v>100</v>
      </c>
      <c r="E244" t="s">
        <v>101</v>
      </c>
      <c r="F244">
        <v>4</v>
      </c>
      <c r="G244" t="s">
        <v>30</v>
      </c>
      <c r="H244">
        <v>4</v>
      </c>
      <c r="I244" t="s">
        <v>23</v>
      </c>
      <c r="J244" t="s">
        <v>31</v>
      </c>
      <c r="K244" t="s">
        <v>27</v>
      </c>
      <c r="L244" t="s">
        <v>102</v>
      </c>
      <c r="M244" t="s">
        <v>33</v>
      </c>
      <c r="N244">
        <v>4.5999999999999899</v>
      </c>
      <c r="O244" t="s">
        <v>27</v>
      </c>
      <c r="S244" s="3">
        <v>11300</v>
      </c>
      <c r="T244" s="2">
        <v>11128.6748046875</v>
      </c>
      <c r="U244" s="2">
        <v>12794.61656537582</v>
      </c>
      <c r="V244" s="2">
        <v>13583.01624534286</v>
      </c>
      <c r="W244" s="2">
        <v>13074.5966796875</v>
      </c>
      <c r="X244" s="4">
        <f t="shared" si="12"/>
        <v>1.0153949323094908</v>
      </c>
      <c r="Y244" s="4">
        <f t="shared" si="13"/>
        <v>0.88318395023884655</v>
      </c>
      <c r="Z244" s="4">
        <f t="shared" si="14"/>
        <v>0.83192126077846473</v>
      </c>
      <c r="AA244" s="4">
        <f t="shared" si="15"/>
        <v>0.86427140177528483</v>
      </c>
    </row>
    <row r="245" spans="1:27" x14ac:dyDescent="0.3">
      <c r="A245" t="s">
        <v>135</v>
      </c>
      <c r="B245">
        <v>103387</v>
      </c>
      <c r="C245">
        <v>2015</v>
      </c>
      <c r="D245" t="s">
        <v>54</v>
      </c>
      <c r="E245" t="s">
        <v>275</v>
      </c>
      <c r="F245">
        <v>4</v>
      </c>
      <c r="G245" t="s">
        <v>36</v>
      </c>
      <c r="H245">
        <v>4</v>
      </c>
      <c r="I245" t="s">
        <v>23</v>
      </c>
      <c r="J245" t="s">
        <v>24</v>
      </c>
      <c r="L245" t="s">
        <v>60</v>
      </c>
      <c r="M245" t="s">
        <v>33</v>
      </c>
      <c r="N245">
        <v>4.4000000000000004</v>
      </c>
      <c r="O245" t="s">
        <v>27</v>
      </c>
      <c r="S245" s="3">
        <v>7000</v>
      </c>
      <c r="T245" s="2">
        <v>10083.2529296875</v>
      </c>
      <c r="U245" s="2">
        <v>10073.83139746652</v>
      </c>
      <c r="V245" s="2">
        <v>7575.9985511887171</v>
      </c>
      <c r="W245" s="2">
        <v>10012.8408203125</v>
      </c>
      <c r="X245" s="4">
        <f t="shared" si="12"/>
        <v>0.69422041168781268</v>
      </c>
      <c r="Y245" s="4">
        <f t="shared" si="13"/>
        <v>0.69486968004650529</v>
      </c>
      <c r="Z245" s="4">
        <f t="shared" si="14"/>
        <v>0.92397060964348521</v>
      </c>
      <c r="AA245" s="4">
        <f t="shared" si="15"/>
        <v>0.69910229530459378</v>
      </c>
    </row>
    <row r="246" spans="1:27" x14ac:dyDescent="0.3">
      <c r="A246" t="s">
        <v>135</v>
      </c>
      <c r="B246">
        <v>123130</v>
      </c>
      <c r="C246">
        <v>2019</v>
      </c>
      <c r="D246" t="s">
        <v>34</v>
      </c>
      <c r="E246" t="s">
        <v>116</v>
      </c>
      <c r="F246">
        <v>4</v>
      </c>
      <c r="G246" t="s">
        <v>47</v>
      </c>
      <c r="H246">
        <v>4</v>
      </c>
      <c r="I246" t="s">
        <v>23</v>
      </c>
      <c r="J246" t="s">
        <v>37</v>
      </c>
      <c r="K246" t="s">
        <v>27</v>
      </c>
      <c r="L246" t="s">
        <v>128</v>
      </c>
      <c r="M246" t="s">
        <v>33</v>
      </c>
      <c r="N246">
        <v>3.8</v>
      </c>
      <c r="O246" t="s">
        <v>27</v>
      </c>
      <c r="S246" s="3">
        <v>12300</v>
      </c>
      <c r="T246" s="2">
        <v>10754.46484375</v>
      </c>
      <c r="U246" s="2">
        <v>10221.14432761542</v>
      </c>
      <c r="V246" s="2">
        <v>13309.32871292134</v>
      </c>
      <c r="W246" s="2">
        <v>10442.36328125</v>
      </c>
      <c r="X246" s="4">
        <f t="shared" si="12"/>
        <v>1.1437110240913748</v>
      </c>
      <c r="Y246" s="4">
        <f t="shared" si="13"/>
        <v>1.2033877622457538</v>
      </c>
      <c r="Z246" s="4">
        <f t="shared" si="14"/>
        <v>0.92416381511853152</v>
      </c>
      <c r="AA246" s="4">
        <f t="shared" si="15"/>
        <v>1.1778942820429852</v>
      </c>
    </row>
    <row r="247" spans="1:27" x14ac:dyDescent="0.3">
      <c r="A247" t="s">
        <v>135</v>
      </c>
      <c r="B247">
        <v>231094</v>
      </c>
      <c r="C247">
        <v>2008</v>
      </c>
      <c r="D247" t="s">
        <v>40</v>
      </c>
      <c r="E247" t="s">
        <v>214</v>
      </c>
      <c r="F247">
        <v>8</v>
      </c>
      <c r="G247" t="s">
        <v>47</v>
      </c>
      <c r="H247">
        <v>4</v>
      </c>
      <c r="I247" t="s">
        <v>23</v>
      </c>
      <c r="J247" t="s">
        <v>24</v>
      </c>
      <c r="L247" t="s">
        <v>43</v>
      </c>
      <c r="M247" t="s">
        <v>78</v>
      </c>
      <c r="N247">
        <v>1.7</v>
      </c>
      <c r="O247" t="s">
        <v>27</v>
      </c>
      <c r="S247" s="3">
        <v>1300</v>
      </c>
      <c r="T247" s="2">
        <v>2623.67431640625</v>
      </c>
      <c r="U247" s="2">
        <v>11781.89605137437</v>
      </c>
      <c r="V247" s="2">
        <v>3774.0499804296392</v>
      </c>
      <c r="W247" s="2">
        <v>4205.71240234375</v>
      </c>
      <c r="X247" s="4">
        <f t="shared" si="12"/>
        <v>0.4954883279036939</v>
      </c>
      <c r="Y247" s="4">
        <f t="shared" si="13"/>
        <v>0.11033877691089913</v>
      </c>
      <c r="Z247" s="4">
        <f t="shared" si="14"/>
        <v>0.34445754739369072</v>
      </c>
      <c r="AA247" s="4">
        <f t="shared" si="15"/>
        <v>0.30910339928986558</v>
      </c>
    </row>
    <row r="248" spans="1:27" x14ac:dyDescent="0.3">
      <c r="A248" t="s">
        <v>135</v>
      </c>
      <c r="B248">
        <v>23913</v>
      </c>
      <c r="C248">
        <v>2023</v>
      </c>
      <c r="D248" t="s">
        <v>44</v>
      </c>
      <c r="E248" t="s">
        <v>276</v>
      </c>
      <c r="F248">
        <v>6</v>
      </c>
      <c r="G248" t="s">
        <v>47</v>
      </c>
      <c r="H248">
        <v>3</v>
      </c>
      <c r="I248" t="s">
        <v>23</v>
      </c>
      <c r="J248" t="s">
        <v>197</v>
      </c>
      <c r="L248" t="s">
        <v>38</v>
      </c>
      <c r="M248" t="s">
        <v>78</v>
      </c>
      <c r="N248">
        <v>3.3</v>
      </c>
      <c r="O248" t="s">
        <v>27</v>
      </c>
      <c r="S248" s="3">
        <v>25800</v>
      </c>
      <c r="T248" s="2">
        <v>41913.8671875</v>
      </c>
      <c r="U248" s="2">
        <v>46148.453673557837</v>
      </c>
      <c r="V248" s="2">
        <v>34498.931030231302</v>
      </c>
      <c r="W248" s="2">
        <v>45403.20703125</v>
      </c>
      <c r="X248" s="4">
        <f t="shared" si="12"/>
        <v>0.61554806872352619</v>
      </c>
      <c r="Y248" s="4">
        <f t="shared" si="13"/>
        <v>0.55906531955550431</v>
      </c>
      <c r="Z248" s="4">
        <f t="shared" si="14"/>
        <v>0.74784925878983155</v>
      </c>
      <c r="AA248" s="4">
        <f t="shared" si="15"/>
        <v>0.5682417980351574</v>
      </c>
    </row>
    <row r="249" spans="1:27" x14ac:dyDescent="0.3">
      <c r="A249" t="s">
        <v>135</v>
      </c>
      <c r="B249">
        <v>137252</v>
      </c>
      <c r="C249">
        <v>2014</v>
      </c>
      <c r="D249" t="s">
        <v>40</v>
      </c>
      <c r="E249" t="s">
        <v>41</v>
      </c>
      <c r="F249">
        <v>8</v>
      </c>
      <c r="G249" t="s">
        <v>66</v>
      </c>
      <c r="H249">
        <v>4</v>
      </c>
      <c r="I249" t="s">
        <v>23</v>
      </c>
      <c r="J249" t="s">
        <v>42</v>
      </c>
      <c r="K249" t="s">
        <v>27</v>
      </c>
      <c r="L249" t="s">
        <v>43</v>
      </c>
      <c r="M249">
        <v>4</v>
      </c>
      <c r="N249">
        <v>4.5999999999999899</v>
      </c>
      <c r="O249" t="s">
        <v>27</v>
      </c>
      <c r="S249" s="3">
        <v>13750</v>
      </c>
      <c r="T249" s="2">
        <v>11591.9638671875</v>
      </c>
      <c r="U249" s="2">
        <v>20868.866038031851</v>
      </c>
      <c r="V249" s="2">
        <v>13829.25449243675</v>
      </c>
      <c r="W249" s="2">
        <v>15145.1259765625</v>
      </c>
      <c r="X249" s="4">
        <f t="shared" si="12"/>
        <v>1.1861665682827989</v>
      </c>
      <c r="Y249" s="4">
        <f t="shared" si="13"/>
        <v>0.65887624056533389</v>
      </c>
      <c r="Z249" s="4">
        <f t="shared" si="14"/>
        <v>0.99426906978390661</v>
      </c>
      <c r="AA249" s="4">
        <f t="shared" si="15"/>
        <v>0.90788284107233597</v>
      </c>
    </row>
    <row r="250" spans="1:27" x14ac:dyDescent="0.3">
      <c r="A250" t="s">
        <v>135</v>
      </c>
      <c r="B250">
        <v>102169</v>
      </c>
      <c r="C250">
        <v>2020</v>
      </c>
      <c r="D250" t="s">
        <v>54</v>
      </c>
      <c r="E250" t="s">
        <v>277</v>
      </c>
      <c r="F250">
        <v>4</v>
      </c>
      <c r="G250" t="s">
        <v>36</v>
      </c>
      <c r="H250">
        <v>4</v>
      </c>
      <c r="I250" t="s">
        <v>23</v>
      </c>
      <c r="J250" t="s">
        <v>24</v>
      </c>
      <c r="K250" t="s">
        <v>27</v>
      </c>
      <c r="L250" t="s">
        <v>127</v>
      </c>
      <c r="M250">
        <v>4</v>
      </c>
      <c r="N250">
        <v>4.5999999999999899</v>
      </c>
      <c r="O250" t="s">
        <v>27</v>
      </c>
      <c r="S250" s="3">
        <v>19000</v>
      </c>
      <c r="T250" s="2">
        <v>20164.6953125</v>
      </c>
      <c r="U250" s="2">
        <v>21177.663358766891</v>
      </c>
      <c r="V250" s="2">
        <v>26367.981638537189</v>
      </c>
      <c r="W250" s="2">
        <v>19127.12890625</v>
      </c>
      <c r="X250" s="4">
        <f t="shared" si="12"/>
        <v>0.94224086729552459</v>
      </c>
      <c r="Y250" s="4">
        <f t="shared" si="13"/>
        <v>0.89717168878003684</v>
      </c>
      <c r="Z250" s="4">
        <f t="shared" si="14"/>
        <v>0.72057089012195097</v>
      </c>
      <c r="AA250" s="4">
        <f t="shared" si="15"/>
        <v>0.99335347678822516</v>
      </c>
    </row>
    <row r="251" spans="1:27" x14ac:dyDescent="0.3">
      <c r="A251" t="s">
        <v>70</v>
      </c>
      <c r="B251">
        <v>167298</v>
      </c>
      <c r="C251">
        <v>2019</v>
      </c>
      <c r="D251" t="s">
        <v>81</v>
      </c>
      <c r="E251" t="s">
        <v>207</v>
      </c>
      <c r="F251">
        <v>6</v>
      </c>
      <c r="G251" t="s">
        <v>22</v>
      </c>
      <c r="H251">
        <v>4</v>
      </c>
      <c r="I251" t="s">
        <v>23</v>
      </c>
      <c r="J251" t="s">
        <v>31</v>
      </c>
      <c r="L251" t="s">
        <v>26</v>
      </c>
      <c r="M251" t="s">
        <v>78</v>
      </c>
      <c r="N251">
        <v>0</v>
      </c>
      <c r="O251" t="s">
        <v>199</v>
      </c>
      <c r="S251" s="3">
        <v>4000</v>
      </c>
      <c r="T251" s="2">
        <v>8412.3818359375</v>
      </c>
      <c r="U251" s="2">
        <v>5031.2606242083193</v>
      </c>
      <c r="V251" s="2">
        <v>4406.3194551251181</v>
      </c>
      <c r="W251" s="2">
        <v>5720.57275390625</v>
      </c>
      <c r="X251" s="4">
        <f t="shared" si="12"/>
        <v>0.47548959117762496</v>
      </c>
      <c r="Y251" s="4">
        <f t="shared" si="13"/>
        <v>0.79502937708169497</v>
      </c>
      <c r="Z251" s="4">
        <f t="shared" si="14"/>
        <v>0.90778710911381699</v>
      </c>
      <c r="AA251" s="4">
        <f t="shared" si="15"/>
        <v>0.69923068407243494</v>
      </c>
    </row>
    <row r="252" spans="1:27" x14ac:dyDescent="0.3">
      <c r="A252" t="s">
        <v>70</v>
      </c>
      <c r="B252">
        <v>94247</v>
      </c>
      <c r="C252">
        <v>2019</v>
      </c>
      <c r="D252" t="s">
        <v>81</v>
      </c>
      <c r="E252" t="s">
        <v>207</v>
      </c>
      <c r="F252">
        <v>6</v>
      </c>
      <c r="G252" t="s">
        <v>59</v>
      </c>
      <c r="H252">
        <v>4</v>
      </c>
      <c r="I252" t="s">
        <v>23</v>
      </c>
      <c r="J252" t="s">
        <v>31</v>
      </c>
      <c r="L252" t="s">
        <v>26</v>
      </c>
      <c r="M252" t="s">
        <v>78</v>
      </c>
      <c r="N252">
        <v>1</v>
      </c>
      <c r="O252" t="s">
        <v>27</v>
      </c>
      <c r="S252" s="3">
        <v>6500</v>
      </c>
      <c r="T252" s="2">
        <v>12882.833984375</v>
      </c>
      <c r="U252" s="2">
        <v>12660.292398190009</v>
      </c>
      <c r="V252" s="2">
        <v>11267.802409224931</v>
      </c>
      <c r="W252" s="2">
        <v>13954.171875</v>
      </c>
      <c r="X252" s="4">
        <f t="shared" si="12"/>
        <v>0.50454736961475655</v>
      </c>
      <c r="Y252" s="4">
        <f t="shared" si="13"/>
        <v>0.51341626208643321</v>
      </c>
      <c r="Z252" s="4">
        <f t="shared" si="14"/>
        <v>0.57686492573551529</v>
      </c>
      <c r="AA252" s="4">
        <f t="shared" si="15"/>
        <v>0.4658105158963437</v>
      </c>
    </row>
    <row r="253" spans="1:27" x14ac:dyDescent="0.3">
      <c r="A253" t="s">
        <v>70</v>
      </c>
      <c r="B253">
        <v>101945</v>
      </c>
      <c r="C253">
        <v>2014</v>
      </c>
      <c r="D253" t="s">
        <v>81</v>
      </c>
      <c r="E253" t="s">
        <v>278</v>
      </c>
      <c r="F253">
        <v>6</v>
      </c>
      <c r="G253" t="s">
        <v>22</v>
      </c>
      <c r="H253">
        <v>4</v>
      </c>
      <c r="I253" t="s">
        <v>23</v>
      </c>
      <c r="J253" t="s">
        <v>24</v>
      </c>
      <c r="L253" t="s">
        <v>26</v>
      </c>
      <c r="M253" t="s">
        <v>78</v>
      </c>
      <c r="N253">
        <v>1</v>
      </c>
      <c r="O253" t="s">
        <v>27</v>
      </c>
      <c r="S253" s="3">
        <v>5600</v>
      </c>
      <c r="T253" s="2">
        <v>8607.255859375</v>
      </c>
      <c r="U253" s="2">
        <v>12352.88161701273</v>
      </c>
      <c r="V253" s="2">
        <v>6506.9018980088167</v>
      </c>
      <c r="W253" s="2">
        <v>7802.150390625</v>
      </c>
      <c r="X253" s="4">
        <f t="shared" si="12"/>
        <v>0.65061386480111372</v>
      </c>
      <c r="Y253" s="4">
        <f t="shared" si="13"/>
        <v>0.45333551908143643</v>
      </c>
      <c r="Z253" s="4">
        <f t="shared" si="14"/>
        <v>0.86062462409547946</v>
      </c>
      <c r="AA253" s="4">
        <f t="shared" si="15"/>
        <v>0.71775084042585413</v>
      </c>
    </row>
    <row r="254" spans="1:27" x14ac:dyDescent="0.3">
      <c r="A254" t="s">
        <v>70</v>
      </c>
      <c r="B254">
        <v>100372</v>
      </c>
      <c r="C254">
        <v>2020</v>
      </c>
      <c r="D254" t="s">
        <v>54</v>
      </c>
      <c r="E254" t="s">
        <v>279</v>
      </c>
      <c r="F254">
        <v>6</v>
      </c>
      <c r="G254" t="s">
        <v>56</v>
      </c>
      <c r="H254">
        <v>4</v>
      </c>
      <c r="I254" t="s">
        <v>23</v>
      </c>
      <c r="J254" t="s">
        <v>42</v>
      </c>
      <c r="K254" t="s">
        <v>27</v>
      </c>
      <c r="L254" t="s">
        <v>26</v>
      </c>
      <c r="M254">
        <v>4</v>
      </c>
      <c r="N254">
        <v>3</v>
      </c>
      <c r="O254" t="s">
        <v>27</v>
      </c>
      <c r="S254" s="3">
        <v>21800</v>
      </c>
      <c r="T254" s="2">
        <v>23638.427734375</v>
      </c>
      <c r="U254" s="2">
        <v>21446.377997252981</v>
      </c>
      <c r="V254" s="2">
        <v>31258.452353539309</v>
      </c>
      <c r="W254" s="2">
        <v>20282.966796875</v>
      </c>
      <c r="X254" s="4">
        <f t="shared" si="12"/>
        <v>0.92222715677060207</v>
      </c>
      <c r="Y254" s="4">
        <f t="shared" si="13"/>
        <v>1.0164886584947963</v>
      </c>
      <c r="Z254" s="4">
        <f t="shared" si="14"/>
        <v>0.69741136744192156</v>
      </c>
      <c r="AA254" s="4">
        <f t="shared" si="15"/>
        <v>1.0747934569098012</v>
      </c>
    </row>
    <row r="255" spans="1:27" x14ac:dyDescent="0.3">
      <c r="A255" t="s">
        <v>70</v>
      </c>
      <c r="B255">
        <v>127277</v>
      </c>
      <c r="C255">
        <v>2020</v>
      </c>
      <c r="D255" t="s">
        <v>44</v>
      </c>
      <c r="E255" t="s">
        <v>176</v>
      </c>
      <c r="F255">
        <v>4</v>
      </c>
      <c r="G255" t="s">
        <v>22</v>
      </c>
      <c r="H255">
        <v>4</v>
      </c>
      <c r="I255" t="s">
        <v>23</v>
      </c>
      <c r="J255" t="s">
        <v>62</v>
      </c>
      <c r="L255" t="s">
        <v>96</v>
      </c>
      <c r="M255" t="s">
        <v>33</v>
      </c>
      <c r="N255">
        <v>1</v>
      </c>
      <c r="O255" t="s">
        <v>199</v>
      </c>
      <c r="S255" s="3">
        <v>2800</v>
      </c>
      <c r="T255" s="2">
        <v>8474.025390625</v>
      </c>
      <c r="U255" s="2">
        <v>6309.8964774608312</v>
      </c>
      <c r="V255" s="2">
        <v>4583.826891518298</v>
      </c>
      <c r="W255" s="2">
        <v>7106.8955078125</v>
      </c>
      <c r="X255" s="4">
        <f t="shared" si="12"/>
        <v>0.33042147868682353</v>
      </c>
      <c r="Y255" s="4">
        <f t="shared" si="13"/>
        <v>0.44374737525436386</v>
      </c>
      <c r="Z255" s="4">
        <f t="shared" si="14"/>
        <v>0.61084331198915709</v>
      </c>
      <c r="AA255" s="4">
        <f t="shared" si="15"/>
        <v>0.39398356102492338</v>
      </c>
    </row>
    <row r="256" spans="1:27" x14ac:dyDescent="0.3">
      <c r="A256" t="s">
        <v>70</v>
      </c>
      <c r="B256">
        <v>157785</v>
      </c>
      <c r="C256">
        <v>2019</v>
      </c>
      <c r="D256" t="s">
        <v>44</v>
      </c>
      <c r="E256" t="s">
        <v>280</v>
      </c>
      <c r="F256">
        <v>6</v>
      </c>
      <c r="G256" t="s">
        <v>47</v>
      </c>
      <c r="H256">
        <v>3</v>
      </c>
      <c r="I256" t="s">
        <v>23</v>
      </c>
      <c r="J256" t="s">
        <v>281</v>
      </c>
      <c r="L256" t="s">
        <v>198</v>
      </c>
      <c r="M256" t="s">
        <v>78</v>
      </c>
      <c r="N256">
        <v>1</v>
      </c>
      <c r="O256" t="s">
        <v>27</v>
      </c>
      <c r="S256" s="3">
        <v>9600</v>
      </c>
      <c r="T256" s="2">
        <v>9793.8193359375</v>
      </c>
      <c r="U256" s="2">
        <v>10442.01649450211</v>
      </c>
      <c r="V256" s="2">
        <v>10194.805667763439</v>
      </c>
      <c r="W256" s="2">
        <v>11331.904296875</v>
      </c>
      <c r="X256" s="4">
        <f t="shared" si="12"/>
        <v>0.98021003560620135</v>
      </c>
      <c r="Y256" s="4">
        <f t="shared" si="13"/>
        <v>0.91936265423968211</v>
      </c>
      <c r="Z256" s="4">
        <f t="shared" si="14"/>
        <v>0.94165600727003074</v>
      </c>
      <c r="AA256" s="4">
        <f t="shared" si="15"/>
        <v>0.84716564387570703</v>
      </c>
    </row>
    <row r="257" spans="1:27" x14ac:dyDescent="0.3">
      <c r="A257" t="s">
        <v>70</v>
      </c>
      <c r="B257">
        <v>106503</v>
      </c>
      <c r="C257">
        <v>2019</v>
      </c>
      <c r="D257" t="s">
        <v>44</v>
      </c>
      <c r="E257" t="s">
        <v>176</v>
      </c>
      <c r="F257">
        <v>4</v>
      </c>
      <c r="G257" t="s">
        <v>36</v>
      </c>
      <c r="H257">
        <v>4</v>
      </c>
      <c r="I257" t="s">
        <v>23</v>
      </c>
      <c r="J257" t="s">
        <v>62</v>
      </c>
      <c r="L257" t="s">
        <v>96</v>
      </c>
      <c r="M257" t="s">
        <v>23</v>
      </c>
      <c r="N257">
        <v>2</v>
      </c>
      <c r="O257" t="s">
        <v>27</v>
      </c>
      <c r="S257" s="3">
        <v>8000</v>
      </c>
      <c r="T257" s="2">
        <v>11617.814453125</v>
      </c>
      <c r="U257" s="2">
        <v>11739.63898183633</v>
      </c>
      <c r="V257" s="2">
        <v>8020.6426234468554</v>
      </c>
      <c r="W257" s="2">
        <v>11772.5615234375</v>
      </c>
      <c r="X257" s="4">
        <f t="shared" si="12"/>
        <v>0.68859767319214948</v>
      </c>
      <c r="Y257" s="4">
        <f t="shared" si="13"/>
        <v>0.68145196052260792</v>
      </c>
      <c r="Z257" s="4">
        <f t="shared" si="14"/>
        <v>0.99742631302552853</v>
      </c>
      <c r="AA257" s="4">
        <f t="shared" si="15"/>
        <v>0.67954624692961973</v>
      </c>
    </row>
    <row r="258" spans="1:27" x14ac:dyDescent="0.3">
      <c r="A258" t="s">
        <v>70</v>
      </c>
      <c r="B258">
        <v>97491</v>
      </c>
      <c r="C258">
        <v>2019</v>
      </c>
      <c r="D258" t="s">
        <v>54</v>
      </c>
      <c r="E258" t="s">
        <v>124</v>
      </c>
      <c r="F258">
        <v>4</v>
      </c>
      <c r="G258" t="s">
        <v>30</v>
      </c>
      <c r="H258">
        <v>4</v>
      </c>
      <c r="I258" t="s">
        <v>23</v>
      </c>
      <c r="J258" t="s">
        <v>24</v>
      </c>
      <c r="L258" t="s">
        <v>60</v>
      </c>
      <c r="M258" t="s">
        <v>33</v>
      </c>
      <c r="N258">
        <v>0</v>
      </c>
      <c r="O258" t="s">
        <v>27</v>
      </c>
      <c r="S258" s="3">
        <v>8500</v>
      </c>
      <c r="T258" s="2">
        <v>13662.9453125</v>
      </c>
      <c r="U258" s="2">
        <v>12873.535124504309</v>
      </c>
      <c r="V258" s="2">
        <v>10755.347199873069</v>
      </c>
      <c r="W258" s="2">
        <v>13312.3759765625</v>
      </c>
      <c r="X258" s="4">
        <f t="shared" ref="X258:X321" si="16">S258/T258</f>
        <v>0.62212061935309748</v>
      </c>
      <c r="Y258" s="4">
        <f t="shared" ref="Y258:Y321" si="17">S258/U258</f>
        <v>0.66026929804390377</v>
      </c>
      <c r="Z258" s="4">
        <f t="shared" ref="Z258:Z321" si="18">S258/V258</f>
        <v>0.79030456590934728</v>
      </c>
      <c r="AA258" s="4">
        <f t="shared" ref="AA258:AA321" si="19">S258/W258</f>
        <v>0.63850360108255122</v>
      </c>
    </row>
    <row r="259" spans="1:27" x14ac:dyDescent="0.3">
      <c r="A259" t="s">
        <v>70</v>
      </c>
      <c r="B259">
        <v>245437</v>
      </c>
      <c r="C259">
        <v>2007</v>
      </c>
      <c r="D259" t="s">
        <v>282</v>
      </c>
      <c r="E259" t="s">
        <v>283</v>
      </c>
      <c r="F259">
        <v>6</v>
      </c>
      <c r="G259" t="s">
        <v>66</v>
      </c>
      <c r="H259">
        <v>4</v>
      </c>
      <c r="I259" t="s">
        <v>23</v>
      </c>
      <c r="J259" t="s">
        <v>37</v>
      </c>
      <c r="K259" t="s">
        <v>27</v>
      </c>
      <c r="L259" t="s">
        <v>128</v>
      </c>
      <c r="M259" t="s">
        <v>78</v>
      </c>
      <c r="N259">
        <v>0</v>
      </c>
      <c r="O259" t="s">
        <v>27</v>
      </c>
      <c r="S259" s="3">
        <v>2350</v>
      </c>
      <c r="T259" s="2">
        <v>2337.18115234375</v>
      </c>
      <c r="U259" s="2">
        <v>2525.52777690217</v>
      </c>
      <c r="V259" s="2">
        <v>1461.994770010275</v>
      </c>
      <c r="W259" s="2">
        <v>2249.57421875</v>
      </c>
      <c r="X259" s="4">
        <f t="shared" si="16"/>
        <v>1.0054847471465338</v>
      </c>
      <c r="Y259" s="4">
        <f t="shared" si="17"/>
        <v>0.93049857597786012</v>
      </c>
      <c r="Z259" s="4">
        <f t="shared" si="18"/>
        <v>1.6073928910043118</v>
      </c>
      <c r="AA259" s="4">
        <f t="shared" si="19"/>
        <v>1.0446421284583367</v>
      </c>
    </row>
    <row r="260" spans="1:27" x14ac:dyDescent="0.3">
      <c r="A260" t="s">
        <v>70</v>
      </c>
      <c r="B260">
        <v>152752</v>
      </c>
      <c r="C260">
        <v>2008</v>
      </c>
      <c r="D260" t="s">
        <v>40</v>
      </c>
      <c r="E260" t="s">
        <v>214</v>
      </c>
      <c r="F260">
        <v>8</v>
      </c>
      <c r="G260" t="s">
        <v>47</v>
      </c>
      <c r="H260">
        <v>4</v>
      </c>
      <c r="I260" t="s">
        <v>23</v>
      </c>
      <c r="J260" t="s">
        <v>24</v>
      </c>
      <c r="L260" t="s">
        <v>43</v>
      </c>
      <c r="M260">
        <v>4</v>
      </c>
      <c r="N260">
        <v>0</v>
      </c>
      <c r="O260" t="s">
        <v>27</v>
      </c>
      <c r="S260" s="3">
        <v>4100</v>
      </c>
      <c r="T260" s="2">
        <v>5210.16748046875</v>
      </c>
      <c r="U260" s="2">
        <v>11366.8176115266</v>
      </c>
      <c r="V260" s="2">
        <v>4042.3115503681029</v>
      </c>
      <c r="W260" s="2">
        <v>6066.68505859375</v>
      </c>
      <c r="X260" s="4">
        <f t="shared" si="16"/>
        <v>0.78692288018947332</v>
      </c>
      <c r="Y260" s="4">
        <f t="shared" si="17"/>
        <v>0.36069902237565304</v>
      </c>
      <c r="Z260" s="4">
        <f t="shared" si="18"/>
        <v>1.0142711537478213</v>
      </c>
      <c r="AA260" s="4">
        <f t="shared" si="19"/>
        <v>0.67582212697726141</v>
      </c>
    </row>
    <row r="261" spans="1:27" x14ac:dyDescent="0.3">
      <c r="A261" t="s">
        <v>135</v>
      </c>
      <c r="B261">
        <v>71604</v>
      </c>
      <c r="C261">
        <v>2021</v>
      </c>
      <c r="D261" t="s">
        <v>71</v>
      </c>
      <c r="E261" t="s">
        <v>170</v>
      </c>
      <c r="F261">
        <v>6</v>
      </c>
      <c r="G261" t="s">
        <v>30</v>
      </c>
      <c r="H261">
        <v>4</v>
      </c>
      <c r="I261" t="s">
        <v>23</v>
      </c>
      <c r="J261" t="s">
        <v>24</v>
      </c>
      <c r="K261" t="s">
        <v>27</v>
      </c>
      <c r="L261" t="s">
        <v>26</v>
      </c>
      <c r="M261" t="s">
        <v>33</v>
      </c>
      <c r="N261">
        <v>3.7</v>
      </c>
      <c r="O261" t="s">
        <v>27</v>
      </c>
      <c r="S261" s="3">
        <v>18750</v>
      </c>
      <c r="T261" s="2">
        <v>26221.908203125</v>
      </c>
      <c r="U261" s="2">
        <v>28287.954457409371</v>
      </c>
      <c r="V261" s="2">
        <v>22577.468383916741</v>
      </c>
      <c r="W261" s="2">
        <v>27155.40625</v>
      </c>
      <c r="X261" s="4">
        <f t="shared" si="16"/>
        <v>0.71505093583408497</v>
      </c>
      <c r="Y261" s="4">
        <f t="shared" si="17"/>
        <v>0.66282629336915078</v>
      </c>
      <c r="Z261" s="4">
        <f t="shared" si="18"/>
        <v>0.83047397879900153</v>
      </c>
      <c r="AA261" s="4">
        <f t="shared" si="19"/>
        <v>0.69047024476019392</v>
      </c>
    </row>
    <row r="262" spans="1:27" x14ac:dyDescent="0.3">
      <c r="A262" t="s">
        <v>135</v>
      </c>
      <c r="B262">
        <v>19647</v>
      </c>
      <c r="C262">
        <v>2023</v>
      </c>
      <c r="D262" t="s">
        <v>44</v>
      </c>
      <c r="E262" t="s">
        <v>276</v>
      </c>
      <c r="F262">
        <v>6</v>
      </c>
      <c r="G262" t="s">
        <v>47</v>
      </c>
      <c r="H262">
        <v>3</v>
      </c>
      <c r="I262" t="s">
        <v>23</v>
      </c>
      <c r="J262" t="s">
        <v>197</v>
      </c>
      <c r="L262" t="s">
        <v>38</v>
      </c>
      <c r="M262" t="s">
        <v>78</v>
      </c>
      <c r="N262">
        <v>3.5</v>
      </c>
      <c r="O262" t="s">
        <v>27</v>
      </c>
      <c r="S262" s="3">
        <v>25800</v>
      </c>
      <c r="T262" s="2">
        <v>38320.390625</v>
      </c>
      <c r="U262" s="2">
        <v>48347.325710654797</v>
      </c>
      <c r="V262" s="2">
        <v>34845.757208889467</v>
      </c>
      <c r="W262" s="2">
        <v>45403.20703125</v>
      </c>
      <c r="X262" s="4">
        <f t="shared" si="16"/>
        <v>0.67327079863241868</v>
      </c>
      <c r="Y262" s="4">
        <f t="shared" si="17"/>
        <v>0.53363861642329036</v>
      </c>
      <c r="Z262" s="4">
        <f t="shared" si="18"/>
        <v>0.74040577868166368</v>
      </c>
      <c r="AA262" s="4">
        <f t="shared" si="19"/>
        <v>0.5682417980351574</v>
      </c>
    </row>
    <row r="263" spans="1:27" x14ac:dyDescent="0.3">
      <c r="A263" t="s">
        <v>135</v>
      </c>
      <c r="B263">
        <v>91247</v>
      </c>
      <c r="C263">
        <v>2019</v>
      </c>
      <c r="D263" t="s">
        <v>44</v>
      </c>
      <c r="E263" t="s">
        <v>284</v>
      </c>
      <c r="F263">
        <v>4</v>
      </c>
      <c r="G263" t="s">
        <v>36</v>
      </c>
      <c r="H263">
        <v>4</v>
      </c>
      <c r="I263" t="s">
        <v>23</v>
      </c>
      <c r="J263" t="s">
        <v>285</v>
      </c>
      <c r="K263" t="s">
        <v>27</v>
      </c>
      <c r="L263" t="s">
        <v>69</v>
      </c>
      <c r="M263">
        <v>4</v>
      </c>
      <c r="N263">
        <v>4.5</v>
      </c>
      <c r="O263" t="s">
        <v>27</v>
      </c>
      <c r="S263" s="3">
        <v>17000</v>
      </c>
      <c r="T263" s="2">
        <v>18057.498046875</v>
      </c>
      <c r="U263" s="2">
        <v>17342.964267495579</v>
      </c>
      <c r="V263" s="2">
        <v>22156.39152185397</v>
      </c>
      <c r="W263" s="2">
        <v>17902.89453125</v>
      </c>
      <c r="X263" s="4">
        <f t="shared" si="16"/>
        <v>0.94143717783438952</v>
      </c>
      <c r="Y263" s="4">
        <f t="shared" si="17"/>
        <v>0.98022458778062715</v>
      </c>
      <c r="Z263" s="4">
        <f t="shared" si="18"/>
        <v>0.76727295522071093</v>
      </c>
      <c r="AA263" s="4">
        <f t="shared" si="19"/>
        <v>0.94956712001659993</v>
      </c>
    </row>
    <row r="264" spans="1:27" x14ac:dyDescent="0.3">
      <c r="A264" t="s">
        <v>135</v>
      </c>
      <c r="B264">
        <v>18378</v>
      </c>
      <c r="C264">
        <v>2023</v>
      </c>
      <c r="D264" t="s">
        <v>40</v>
      </c>
      <c r="E264" t="s">
        <v>229</v>
      </c>
      <c r="F264">
        <v>4</v>
      </c>
      <c r="G264" t="s">
        <v>22</v>
      </c>
      <c r="H264">
        <v>4</v>
      </c>
      <c r="I264" t="s">
        <v>23</v>
      </c>
      <c r="J264" t="s">
        <v>31</v>
      </c>
      <c r="K264" t="s">
        <v>27</v>
      </c>
      <c r="L264" t="s">
        <v>107</v>
      </c>
      <c r="M264" t="s">
        <v>33</v>
      </c>
      <c r="N264">
        <v>4.5</v>
      </c>
      <c r="O264" t="s">
        <v>27</v>
      </c>
      <c r="S264" s="3">
        <v>16750</v>
      </c>
      <c r="T264" s="2">
        <v>27166.166015625</v>
      </c>
      <c r="U264" s="2">
        <v>26995.551527608601</v>
      </c>
      <c r="V264" s="2">
        <v>21434.661818285349</v>
      </c>
      <c r="W264" s="2">
        <v>26445.740234375</v>
      </c>
      <c r="X264" s="4">
        <f t="shared" si="16"/>
        <v>0.61657577997447277</v>
      </c>
      <c r="Y264" s="4">
        <f t="shared" si="17"/>
        <v>0.62047259834160529</v>
      </c>
      <c r="Z264" s="4">
        <f t="shared" si="18"/>
        <v>0.78144456590917677</v>
      </c>
      <c r="AA264" s="4">
        <f t="shared" si="19"/>
        <v>0.63337232580950131</v>
      </c>
    </row>
    <row r="265" spans="1:27" x14ac:dyDescent="0.3">
      <c r="A265" t="s">
        <v>135</v>
      </c>
      <c r="B265">
        <v>85103</v>
      </c>
      <c r="C265">
        <v>2016</v>
      </c>
      <c r="D265" t="s">
        <v>44</v>
      </c>
      <c r="E265" t="s">
        <v>210</v>
      </c>
      <c r="F265">
        <v>4</v>
      </c>
      <c r="G265" t="s">
        <v>22</v>
      </c>
      <c r="H265">
        <v>4</v>
      </c>
      <c r="I265" t="s">
        <v>23</v>
      </c>
      <c r="J265" t="s">
        <v>37</v>
      </c>
      <c r="K265" t="s">
        <v>27</v>
      </c>
      <c r="L265" t="s">
        <v>96</v>
      </c>
      <c r="M265" t="s">
        <v>33</v>
      </c>
      <c r="N265">
        <v>4.3</v>
      </c>
      <c r="O265" t="s">
        <v>27</v>
      </c>
      <c r="S265" s="3">
        <v>8250</v>
      </c>
      <c r="T265" s="2">
        <v>8956.6337890625</v>
      </c>
      <c r="U265" s="2">
        <v>9323.4881397725112</v>
      </c>
      <c r="V265" s="2">
        <v>9171.6843707978514</v>
      </c>
      <c r="W265" s="2">
        <v>8904.2119140625</v>
      </c>
      <c r="X265" s="4">
        <f t="shared" si="16"/>
        <v>0.92110498143561326</v>
      </c>
      <c r="Y265" s="4">
        <f t="shared" si="17"/>
        <v>0.88486196113735782</v>
      </c>
      <c r="Z265" s="4">
        <f t="shared" si="18"/>
        <v>0.89950762220596636</v>
      </c>
      <c r="AA265" s="4">
        <f t="shared" si="19"/>
        <v>0.92652781398550299</v>
      </c>
    </row>
    <row r="266" spans="1:27" x14ac:dyDescent="0.3">
      <c r="A266" t="s">
        <v>135</v>
      </c>
      <c r="B266">
        <v>45421</v>
      </c>
      <c r="C266">
        <v>2022</v>
      </c>
      <c r="D266" t="s">
        <v>34</v>
      </c>
      <c r="E266" t="s">
        <v>116</v>
      </c>
      <c r="F266">
        <v>4</v>
      </c>
      <c r="G266" t="s">
        <v>36</v>
      </c>
      <c r="H266">
        <v>4</v>
      </c>
      <c r="I266" t="s">
        <v>23</v>
      </c>
      <c r="J266" t="s">
        <v>37</v>
      </c>
      <c r="K266" t="s">
        <v>27</v>
      </c>
      <c r="L266" t="s">
        <v>128</v>
      </c>
      <c r="M266" t="s">
        <v>33</v>
      </c>
      <c r="N266">
        <v>3.9</v>
      </c>
      <c r="O266" t="s">
        <v>27</v>
      </c>
      <c r="S266" s="3">
        <v>19000</v>
      </c>
      <c r="T266" s="2">
        <v>20989.818359375</v>
      </c>
      <c r="U266" s="2">
        <v>18791.12756765871</v>
      </c>
      <c r="V266" s="2">
        <v>20972.685252330379</v>
      </c>
      <c r="W266" s="2">
        <v>19585.517578125</v>
      </c>
      <c r="X266" s="4">
        <f t="shared" si="16"/>
        <v>0.90520078233615309</v>
      </c>
      <c r="Y266" s="4">
        <f t="shared" si="17"/>
        <v>1.0111154815797632</v>
      </c>
      <c r="Z266" s="4">
        <f t="shared" si="18"/>
        <v>0.90594026331887167</v>
      </c>
      <c r="AA266" s="4">
        <f t="shared" si="19"/>
        <v>0.97010456446762672</v>
      </c>
    </row>
    <row r="267" spans="1:27" x14ac:dyDescent="0.3">
      <c r="A267" t="s">
        <v>135</v>
      </c>
      <c r="B267">
        <v>127037</v>
      </c>
      <c r="C267">
        <v>2017</v>
      </c>
      <c r="D267" t="s">
        <v>74</v>
      </c>
      <c r="E267" t="s">
        <v>286</v>
      </c>
      <c r="F267">
        <v>8</v>
      </c>
      <c r="G267" t="s">
        <v>47</v>
      </c>
      <c r="H267">
        <v>4</v>
      </c>
      <c r="I267" t="s">
        <v>23</v>
      </c>
      <c r="J267" t="s">
        <v>287</v>
      </c>
      <c r="L267" t="s">
        <v>288</v>
      </c>
      <c r="M267" t="s">
        <v>78</v>
      </c>
      <c r="N267">
        <v>0</v>
      </c>
      <c r="O267" t="s">
        <v>27</v>
      </c>
      <c r="S267" s="3">
        <v>12500</v>
      </c>
      <c r="T267" s="2">
        <v>14741.98828125</v>
      </c>
      <c r="U267" s="2">
        <v>17721.258939583611</v>
      </c>
      <c r="V267" s="2">
        <v>21130.77567994862</v>
      </c>
      <c r="W267" s="2">
        <v>18674.64453125</v>
      </c>
      <c r="X267" s="4">
        <f t="shared" si="16"/>
        <v>0.8479181886135716</v>
      </c>
      <c r="Y267" s="4">
        <f t="shared" si="17"/>
        <v>0.70536749350685279</v>
      </c>
      <c r="Z267" s="4">
        <f t="shared" si="18"/>
        <v>0.59155424246264088</v>
      </c>
      <c r="AA267" s="4">
        <f t="shared" si="19"/>
        <v>0.66935678369045259</v>
      </c>
    </row>
    <row r="268" spans="1:27" x14ac:dyDescent="0.3">
      <c r="A268" t="s">
        <v>135</v>
      </c>
      <c r="B268">
        <v>135586</v>
      </c>
      <c r="C268">
        <v>2019</v>
      </c>
      <c r="D268" t="s">
        <v>34</v>
      </c>
      <c r="E268" t="s">
        <v>88</v>
      </c>
      <c r="F268">
        <v>4</v>
      </c>
      <c r="G268" t="s">
        <v>36</v>
      </c>
      <c r="H268">
        <v>4</v>
      </c>
      <c r="I268" t="s">
        <v>23</v>
      </c>
      <c r="J268" t="s">
        <v>37</v>
      </c>
      <c r="L268" t="s">
        <v>89</v>
      </c>
      <c r="M268" t="s">
        <v>33</v>
      </c>
      <c r="N268">
        <v>4.3</v>
      </c>
      <c r="O268" t="s">
        <v>27</v>
      </c>
      <c r="S268" s="3">
        <v>8000</v>
      </c>
      <c r="T268" s="2">
        <v>8897.337890625</v>
      </c>
      <c r="U268" s="2">
        <v>7973.4046171929567</v>
      </c>
      <c r="V268" s="2">
        <v>6812.0568734353328</v>
      </c>
      <c r="W268" s="2">
        <v>9434.2998046875</v>
      </c>
      <c r="X268" s="4">
        <f t="shared" si="16"/>
        <v>0.89914535092901071</v>
      </c>
      <c r="Y268" s="4">
        <f t="shared" si="17"/>
        <v>1.0033355115015354</v>
      </c>
      <c r="Z268" s="4">
        <f t="shared" si="18"/>
        <v>1.174388315986796</v>
      </c>
      <c r="AA268" s="4">
        <f t="shared" si="19"/>
        <v>0.84796966024178522</v>
      </c>
    </row>
    <row r="269" spans="1:27" x14ac:dyDescent="0.3">
      <c r="A269" t="s">
        <v>135</v>
      </c>
      <c r="B269">
        <v>91708</v>
      </c>
      <c r="C269">
        <v>2019</v>
      </c>
      <c r="D269" t="s">
        <v>100</v>
      </c>
      <c r="E269" t="s">
        <v>101</v>
      </c>
      <c r="F269">
        <v>4</v>
      </c>
      <c r="G269" t="s">
        <v>59</v>
      </c>
      <c r="H269">
        <v>4</v>
      </c>
      <c r="I269" t="s">
        <v>23</v>
      </c>
      <c r="J269" t="s">
        <v>31</v>
      </c>
      <c r="K269" t="s">
        <v>27</v>
      </c>
      <c r="L269" t="s">
        <v>102</v>
      </c>
      <c r="M269" t="s">
        <v>33</v>
      </c>
      <c r="N269">
        <v>3.8</v>
      </c>
      <c r="O269" t="s">
        <v>27</v>
      </c>
      <c r="S269" s="3">
        <v>10000</v>
      </c>
      <c r="T269" s="2">
        <v>9760.55078125</v>
      </c>
      <c r="U269" s="2">
        <v>12414.586207893821</v>
      </c>
      <c r="V269" s="2">
        <v>13712.741992044401</v>
      </c>
      <c r="W269" s="2">
        <v>11655.5009765625</v>
      </c>
      <c r="X269" s="4">
        <f t="shared" si="16"/>
        <v>1.0245323470075052</v>
      </c>
      <c r="Y269" s="4">
        <f t="shared" si="17"/>
        <v>0.80550409272936496</v>
      </c>
      <c r="Z269" s="4">
        <f t="shared" si="18"/>
        <v>0.7292487531524775</v>
      </c>
      <c r="AA269" s="4">
        <f t="shared" si="19"/>
        <v>0.85796397942126479</v>
      </c>
    </row>
    <row r="270" spans="1:27" x14ac:dyDescent="0.3">
      <c r="A270" t="s">
        <v>135</v>
      </c>
      <c r="B270">
        <v>15379</v>
      </c>
      <c r="C270">
        <v>2024</v>
      </c>
      <c r="D270" t="s">
        <v>28</v>
      </c>
      <c r="E270" t="s">
        <v>274</v>
      </c>
      <c r="F270">
        <v>6</v>
      </c>
      <c r="G270" t="s">
        <v>47</v>
      </c>
      <c r="H270">
        <v>4</v>
      </c>
      <c r="I270" t="s">
        <v>23</v>
      </c>
      <c r="J270" t="s">
        <v>42</v>
      </c>
      <c r="K270" t="s">
        <v>27</v>
      </c>
      <c r="L270" t="s">
        <v>53</v>
      </c>
      <c r="M270" t="s">
        <v>23</v>
      </c>
      <c r="N270">
        <v>4.7</v>
      </c>
      <c r="O270" t="s">
        <v>27</v>
      </c>
      <c r="S270" s="3">
        <v>32000</v>
      </c>
      <c r="T270" s="2">
        <v>46451.26171875</v>
      </c>
      <c r="U270" s="2">
        <v>48469.9202235142</v>
      </c>
      <c r="V270" s="2">
        <v>40955.279415791512</v>
      </c>
      <c r="W270" s="2">
        <v>50244.7265625</v>
      </c>
      <c r="X270" s="4">
        <f t="shared" si="16"/>
        <v>0.68889409708075244</v>
      </c>
      <c r="Y270" s="4">
        <f t="shared" si="17"/>
        <v>0.66020327354440023</v>
      </c>
      <c r="Z270" s="4">
        <f t="shared" si="18"/>
        <v>0.7813400483763141</v>
      </c>
      <c r="AA270" s="4">
        <f t="shared" si="19"/>
        <v>0.63688275744111833</v>
      </c>
    </row>
    <row r="271" spans="1:27" x14ac:dyDescent="0.3">
      <c r="A271" t="s">
        <v>135</v>
      </c>
      <c r="B271">
        <v>121456</v>
      </c>
      <c r="C271">
        <v>2015</v>
      </c>
      <c r="D271" t="s">
        <v>28</v>
      </c>
      <c r="E271" t="s">
        <v>289</v>
      </c>
      <c r="F271">
        <v>4</v>
      </c>
      <c r="G271" t="s">
        <v>47</v>
      </c>
      <c r="H271">
        <v>4</v>
      </c>
      <c r="I271" t="s">
        <v>23</v>
      </c>
      <c r="J271" t="s">
        <v>31</v>
      </c>
      <c r="K271" t="s">
        <v>27</v>
      </c>
      <c r="L271" t="s">
        <v>32</v>
      </c>
      <c r="M271" t="s">
        <v>33</v>
      </c>
      <c r="N271">
        <v>3.4</v>
      </c>
      <c r="O271" t="s">
        <v>27</v>
      </c>
      <c r="S271" s="3">
        <v>6500</v>
      </c>
      <c r="T271" s="2">
        <v>9020.7822265625</v>
      </c>
      <c r="U271" s="2">
        <v>8275.1259524727939</v>
      </c>
      <c r="V271" s="2">
        <v>8429.72506010492</v>
      </c>
      <c r="W271" s="2">
        <v>10263.2041015625</v>
      </c>
      <c r="X271" s="4">
        <f t="shared" si="16"/>
        <v>0.72055835477994012</v>
      </c>
      <c r="Y271" s="4">
        <f t="shared" si="17"/>
        <v>0.78548653365906218</v>
      </c>
      <c r="Z271" s="4">
        <f t="shared" si="18"/>
        <v>0.77108090164913379</v>
      </c>
      <c r="AA271" s="4">
        <f t="shared" si="19"/>
        <v>0.6333304819506046</v>
      </c>
    </row>
    <row r="272" spans="1:27" x14ac:dyDescent="0.3">
      <c r="A272" t="s">
        <v>135</v>
      </c>
      <c r="B272">
        <v>82945</v>
      </c>
      <c r="C272">
        <v>2021</v>
      </c>
      <c r="D272" t="s">
        <v>34</v>
      </c>
      <c r="E272" t="s">
        <v>290</v>
      </c>
      <c r="F272">
        <v>4</v>
      </c>
      <c r="G272" t="s">
        <v>47</v>
      </c>
      <c r="H272">
        <v>4</v>
      </c>
      <c r="I272" t="s">
        <v>23</v>
      </c>
      <c r="J272" t="s">
        <v>291</v>
      </c>
      <c r="L272" t="s">
        <v>128</v>
      </c>
      <c r="M272" t="s">
        <v>33</v>
      </c>
      <c r="N272">
        <v>4.0999999999999899</v>
      </c>
      <c r="O272" t="s">
        <v>27</v>
      </c>
      <c r="S272" s="3">
        <v>26000</v>
      </c>
      <c r="T272" s="2">
        <v>22671.857421875</v>
      </c>
      <c r="U272" s="2">
        <v>23143.75260990471</v>
      </c>
      <c r="V272" s="2">
        <v>21434.20004630541</v>
      </c>
      <c r="W272" s="2">
        <v>24189.193359375</v>
      </c>
      <c r="X272" s="4">
        <f t="shared" si="16"/>
        <v>1.1467962027193164</v>
      </c>
      <c r="Y272" s="4">
        <f t="shared" si="17"/>
        <v>1.1234133218686808</v>
      </c>
      <c r="Z272" s="4">
        <f t="shared" si="18"/>
        <v>1.2130147121810404</v>
      </c>
      <c r="AA272" s="4">
        <f t="shared" si="19"/>
        <v>1.074860149890992</v>
      </c>
    </row>
    <row r="273" spans="1:27" x14ac:dyDescent="0.3">
      <c r="A273" t="s">
        <v>135</v>
      </c>
      <c r="B273">
        <v>115012</v>
      </c>
      <c r="C273">
        <v>2018</v>
      </c>
      <c r="D273" t="s">
        <v>28</v>
      </c>
      <c r="E273" t="s">
        <v>220</v>
      </c>
      <c r="F273">
        <v>6</v>
      </c>
      <c r="G273" t="s">
        <v>59</v>
      </c>
      <c r="H273">
        <v>4</v>
      </c>
      <c r="I273" t="s">
        <v>23</v>
      </c>
      <c r="J273" t="s">
        <v>24</v>
      </c>
      <c r="K273" t="s">
        <v>27</v>
      </c>
      <c r="L273" t="s">
        <v>53</v>
      </c>
      <c r="M273" t="s">
        <v>33</v>
      </c>
      <c r="N273">
        <v>0</v>
      </c>
      <c r="O273" t="s">
        <v>27</v>
      </c>
      <c r="S273" s="3">
        <v>14900</v>
      </c>
      <c r="T273" s="2">
        <v>15529.4697265625</v>
      </c>
      <c r="U273" s="2">
        <v>14207.524322878649</v>
      </c>
      <c r="V273" s="2">
        <v>12395.9984530247</v>
      </c>
      <c r="W273" s="2">
        <v>15030.9072265625</v>
      </c>
      <c r="X273" s="4">
        <f t="shared" si="16"/>
        <v>0.95946611586577113</v>
      </c>
      <c r="Y273" s="4">
        <f t="shared" si="17"/>
        <v>1.0487400662764479</v>
      </c>
      <c r="Z273" s="4">
        <f t="shared" si="18"/>
        <v>1.2020007953747613</v>
      </c>
      <c r="AA273" s="4">
        <f t="shared" si="19"/>
        <v>0.99129079671710285</v>
      </c>
    </row>
    <row r="274" spans="1:27" x14ac:dyDescent="0.3">
      <c r="A274" t="s">
        <v>135</v>
      </c>
      <c r="B274">
        <v>176485</v>
      </c>
      <c r="C274">
        <v>2014</v>
      </c>
      <c r="D274" t="s">
        <v>90</v>
      </c>
      <c r="E274" t="s">
        <v>231</v>
      </c>
      <c r="F274">
        <v>4</v>
      </c>
      <c r="G274" t="s">
        <v>36</v>
      </c>
      <c r="H274">
        <v>4</v>
      </c>
      <c r="I274" t="s">
        <v>23</v>
      </c>
      <c r="J274" t="s">
        <v>31</v>
      </c>
      <c r="L274" t="s">
        <v>32</v>
      </c>
      <c r="M274" t="s">
        <v>33</v>
      </c>
      <c r="N274">
        <v>0</v>
      </c>
      <c r="O274" t="s">
        <v>27</v>
      </c>
      <c r="S274" s="3">
        <v>2000</v>
      </c>
      <c r="T274" s="2">
        <v>3168.559326171875</v>
      </c>
      <c r="U274" s="2">
        <v>2595.5527926510622</v>
      </c>
      <c r="V274" s="2">
        <v>2451.5950237834259</v>
      </c>
      <c r="W274" s="2">
        <v>3298.511962890625</v>
      </c>
      <c r="X274" s="4">
        <f t="shared" si="16"/>
        <v>0.63120168951241284</v>
      </c>
      <c r="Y274" s="4">
        <f t="shared" si="17"/>
        <v>0.77054876543552298</v>
      </c>
      <c r="Z274" s="4">
        <f t="shared" si="18"/>
        <v>0.81579542322348919</v>
      </c>
      <c r="AA274" s="4">
        <f t="shared" si="19"/>
        <v>0.60633401439821233</v>
      </c>
    </row>
    <row r="275" spans="1:27" x14ac:dyDescent="0.3">
      <c r="A275" t="s">
        <v>135</v>
      </c>
      <c r="B275">
        <v>111307</v>
      </c>
      <c r="C275">
        <v>2018</v>
      </c>
      <c r="D275" t="s">
        <v>40</v>
      </c>
      <c r="E275" t="s">
        <v>41</v>
      </c>
      <c r="F275">
        <v>8</v>
      </c>
      <c r="G275" t="s">
        <v>59</v>
      </c>
      <c r="H275">
        <v>4</v>
      </c>
      <c r="I275" t="s">
        <v>23</v>
      </c>
      <c r="J275" t="s">
        <v>42</v>
      </c>
      <c r="L275" t="s">
        <v>43</v>
      </c>
      <c r="M275" t="s">
        <v>78</v>
      </c>
      <c r="N275">
        <v>4.5</v>
      </c>
      <c r="O275" t="s">
        <v>27</v>
      </c>
      <c r="S275" s="3">
        <v>14250</v>
      </c>
      <c r="T275" s="2">
        <v>22713.232421875</v>
      </c>
      <c r="U275" s="2">
        <v>31272.974349848751</v>
      </c>
      <c r="V275" s="2">
        <v>19464.24666676679</v>
      </c>
      <c r="W275" s="2">
        <v>24767.568359375</v>
      </c>
      <c r="X275" s="4">
        <f t="shared" si="16"/>
        <v>0.627387583384032</v>
      </c>
      <c r="Y275" s="4">
        <f t="shared" si="17"/>
        <v>0.45566500456867859</v>
      </c>
      <c r="Z275" s="4">
        <f t="shared" si="18"/>
        <v>0.73211156044022074</v>
      </c>
      <c r="AA275" s="4">
        <f t="shared" si="19"/>
        <v>0.57534917409872022</v>
      </c>
    </row>
    <row r="276" spans="1:27" x14ac:dyDescent="0.3">
      <c r="A276" t="s">
        <v>135</v>
      </c>
      <c r="B276">
        <v>91651</v>
      </c>
      <c r="C276">
        <v>2014</v>
      </c>
      <c r="D276" t="s">
        <v>44</v>
      </c>
      <c r="E276" t="s">
        <v>45</v>
      </c>
      <c r="F276">
        <v>6</v>
      </c>
      <c r="G276" t="s">
        <v>66</v>
      </c>
      <c r="H276">
        <v>4</v>
      </c>
      <c r="I276" t="s">
        <v>23</v>
      </c>
      <c r="J276" t="s">
        <v>46</v>
      </c>
      <c r="K276" t="s">
        <v>27</v>
      </c>
      <c r="L276" t="s">
        <v>38</v>
      </c>
      <c r="M276">
        <v>4</v>
      </c>
      <c r="N276">
        <v>3.2</v>
      </c>
      <c r="O276" t="s">
        <v>27</v>
      </c>
      <c r="S276" s="3">
        <v>16000</v>
      </c>
      <c r="T276" s="2">
        <v>14497.9599609375</v>
      </c>
      <c r="U276" s="2">
        <v>13736.874745802481</v>
      </c>
      <c r="V276" s="2">
        <v>15773.20675663781</v>
      </c>
      <c r="W276" s="2">
        <v>13507.765625</v>
      </c>
      <c r="X276" s="4">
        <f t="shared" si="16"/>
        <v>1.1036035444372527</v>
      </c>
      <c r="Y276" s="4">
        <f t="shared" si="17"/>
        <v>1.1647481902598735</v>
      </c>
      <c r="Z276" s="4">
        <f t="shared" si="18"/>
        <v>1.0143783852491979</v>
      </c>
      <c r="AA276" s="4">
        <f t="shared" si="19"/>
        <v>1.1845038212972399</v>
      </c>
    </row>
    <row r="277" spans="1:27" x14ac:dyDescent="0.3">
      <c r="A277" t="s">
        <v>135</v>
      </c>
      <c r="B277">
        <v>41259</v>
      </c>
      <c r="C277">
        <v>2018</v>
      </c>
      <c r="D277" t="s">
        <v>28</v>
      </c>
      <c r="E277" t="s">
        <v>220</v>
      </c>
      <c r="F277">
        <v>6</v>
      </c>
      <c r="G277" t="s">
        <v>30</v>
      </c>
      <c r="H277">
        <v>4</v>
      </c>
      <c r="I277" t="s">
        <v>23</v>
      </c>
      <c r="J277" t="s">
        <v>24</v>
      </c>
      <c r="K277" t="s">
        <v>27</v>
      </c>
      <c r="L277" t="s">
        <v>53</v>
      </c>
      <c r="M277" t="s">
        <v>33</v>
      </c>
      <c r="N277">
        <v>0</v>
      </c>
      <c r="O277" t="s">
        <v>27</v>
      </c>
      <c r="S277" s="3">
        <v>28000</v>
      </c>
      <c r="T277" s="2">
        <v>27762.650390625</v>
      </c>
      <c r="U277" s="2">
        <v>23860.638071869871</v>
      </c>
      <c r="V277" s="2">
        <v>21767.195262242731</v>
      </c>
      <c r="W277" s="2">
        <v>27196.98046875</v>
      </c>
      <c r="X277" s="4">
        <f t="shared" si="16"/>
        <v>1.0085492417343247</v>
      </c>
      <c r="Y277" s="4">
        <f t="shared" si="17"/>
        <v>1.1734807726290508</v>
      </c>
      <c r="Z277" s="4">
        <f t="shared" si="18"/>
        <v>1.2863393589604382</v>
      </c>
      <c r="AA277" s="4">
        <f t="shared" si="19"/>
        <v>1.0295260546358331</v>
      </c>
    </row>
    <row r="278" spans="1:27" x14ac:dyDescent="0.3">
      <c r="A278" t="s">
        <v>135</v>
      </c>
      <c r="B278">
        <v>103652</v>
      </c>
      <c r="C278">
        <v>2020</v>
      </c>
      <c r="D278" t="s">
        <v>44</v>
      </c>
      <c r="E278" t="s">
        <v>210</v>
      </c>
      <c r="F278">
        <v>4</v>
      </c>
      <c r="G278" t="s">
        <v>47</v>
      </c>
      <c r="H278">
        <v>4</v>
      </c>
      <c r="I278" t="s">
        <v>23</v>
      </c>
      <c r="J278" t="s">
        <v>37</v>
      </c>
      <c r="K278" t="s">
        <v>27</v>
      </c>
      <c r="L278" t="s">
        <v>96</v>
      </c>
      <c r="M278" t="s">
        <v>23</v>
      </c>
      <c r="N278">
        <v>3.9</v>
      </c>
      <c r="O278" t="s">
        <v>27</v>
      </c>
      <c r="S278" s="3">
        <v>10000</v>
      </c>
      <c r="T278" s="2">
        <v>13868.2880859375</v>
      </c>
      <c r="U278" s="2">
        <v>12979.50342391027</v>
      </c>
      <c r="V278" s="2">
        <v>11148.064053949331</v>
      </c>
      <c r="W278" s="2">
        <v>14443.810546875</v>
      </c>
      <c r="X278" s="4">
        <f t="shared" si="16"/>
        <v>0.72106953201671953</v>
      </c>
      <c r="Y278" s="4">
        <f t="shared" si="17"/>
        <v>0.77044549960042696</v>
      </c>
      <c r="Z278" s="4">
        <f t="shared" si="18"/>
        <v>0.89701673327373688</v>
      </c>
      <c r="AA278" s="4">
        <f t="shared" si="19"/>
        <v>0.69233807571392969</v>
      </c>
    </row>
    <row r="279" spans="1:27" x14ac:dyDescent="0.3">
      <c r="A279" t="s">
        <v>135</v>
      </c>
      <c r="B279">
        <v>54662</v>
      </c>
      <c r="C279">
        <v>2022</v>
      </c>
      <c r="D279" t="s">
        <v>85</v>
      </c>
      <c r="E279" t="s">
        <v>292</v>
      </c>
      <c r="F279">
        <v>4</v>
      </c>
      <c r="G279" t="s">
        <v>66</v>
      </c>
      <c r="H279">
        <v>4</v>
      </c>
      <c r="I279" t="s">
        <v>23</v>
      </c>
      <c r="J279" t="s">
        <v>24</v>
      </c>
      <c r="K279" t="s">
        <v>27</v>
      </c>
      <c r="L279" t="s">
        <v>60</v>
      </c>
      <c r="M279" t="s">
        <v>33</v>
      </c>
      <c r="N279">
        <v>4.5</v>
      </c>
      <c r="O279" t="s">
        <v>27</v>
      </c>
      <c r="S279" s="3">
        <v>14000</v>
      </c>
      <c r="T279" s="2">
        <v>24266.455078125</v>
      </c>
      <c r="U279" s="2">
        <v>21085.737520839612</v>
      </c>
      <c r="V279" s="2">
        <v>17969.720352881959</v>
      </c>
      <c r="W279" s="2">
        <v>21569.13671875</v>
      </c>
      <c r="X279" s="4">
        <f t="shared" si="16"/>
        <v>0.57692810733695921</v>
      </c>
      <c r="Y279" s="4">
        <f t="shared" si="17"/>
        <v>0.6639559079289219</v>
      </c>
      <c r="Z279" s="4">
        <f t="shared" si="18"/>
        <v>0.7790883622601672</v>
      </c>
      <c r="AA279" s="4">
        <f t="shared" si="19"/>
        <v>0.64907558343908278</v>
      </c>
    </row>
    <row r="280" spans="1:27" x14ac:dyDescent="0.3">
      <c r="A280" t="s">
        <v>135</v>
      </c>
      <c r="B280">
        <v>60372</v>
      </c>
      <c r="C280">
        <v>2022</v>
      </c>
      <c r="D280" t="s">
        <v>28</v>
      </c>
      <c r="E280" t="s">
        <v>293</v>
      </c>
      <c r="F280">
        <v>4</v>
      </c>
      <c r="G280" t="s">
        <v>47</v>
      </c>
      <c r="H280">
        <v>4</v>
      </c>
      <c r="I280" t="s">
        <v>23</v>
      </c>
      <c r="J280" t="s">
        <v>24</v>
      </c>
      <c r="K280" t="s">
        <v>27</v>
      </c>
      <c r="L280" t="s">
        <v>127</v>
      </c>
      <c r="M280" t="s">
        <v>23</v>
      </c>
      <c r="N280">
        <v>3.8</v>
      </c>
      <c r="O280" t="s">
        <v>27</v>
      </c>
      <c r="S280" s="3">
        <v>26000</v>
      </c>
      <c r="T280" s="2">
        <v>28685.4921875</v>
      </c>
      <c r="U280" s="2">
        <v>27011.92211822233</v>
      </c>
      <c r="V280" s="2">
        <v>30320.000977443011</v>
      </c>
      <c r="W280" s="2">
        <v>29937.814453125</v>
      </c>
      <c r="X280" s="4">
        <f t="shared" si="16"/>
        <v>0.90638151962160751</v>
      </c>
      <c r="Y280" s="4">
        <f t="shared" si="17"/>
        <v>0.96253794477144283</v>
      </c>
      <c r="Z280" s="4">
        <f t="shared" si="18"/>
        <v>0.85751976127385565</v>
      </c>
      <c r="AA280" s="4">
        <f t="shared" si="19"/>
        <v>0.86846686957424313</v>
      </c>
    </row>
    <row r="281" spans="1:27" x14ac:dyDescent="0.3">
      <c r="A281" t="s">
        <v>135</v>
      </c>
      <c r="B281">
        <v>109110</v>
      </c>
      <c r="C281">
        <v>2018</v>
      </c>
      <c r="D281" t="s">
        <v>44</v>
      </c>
      <c r="E281" t="s">
        <v>68</v>
      </c>
      <c r="F281">
        <v>4</v>
      </c>
      <c r="G281" t="s">
        <v>47</v>
      </c>
      <c r="H281">
        <v>4</v>
      </c>
      <c r="I281" t="s">
        <v>23</v>
      </c>
      <c r="J281" t="s">
        <v>62</v>
      </c>
      <c r="L281" t="s">
        <v>69</v>
      </c>
      <c r="M281" t="s">
        <v>33</v>
      </c>
      <c r="N281">
        <v>4.2</v>
      </c>
      <c r="O281" t="s">
        <v>27</v>
      </c>
      <c r="S281" s="3">
        <v>12250</v>
      </c>
      <c r="T281" s="2">
        <v>14416.5185546875</v>
      </c>
      <c r="U281" s="2">
        <v>12430.627231076091</v>
      </c>
      <c r="V281" s="2">
        <v>13714.2650799108</v>
      </c>
      <c r="W281" s="2">
        <v>12349.87890625</v>
      </c>
      <c r="X281" s="4">
        <f t="shared" si="16"/>
        <v>0.84971971239317967</v>
      </c>
      <c r="Y281" s="4">
        <f t="shared" si="17"/>
        <v>0.98546917804561551</v>
      </c>
      <c r="Z281" s="4">
        <f t="shared" si="18"/>
        <v>0.89323051061221548</v>
      </c>
      <c r="AA281" s="4">
        <f t="shared" si="19"/>
        <v>0.99191255987138027</v>
      </c>
    </row>
    <row r="282" spans="1:27" x14ac:dyDescent="0.3">
      <c r="A282" t="s">
        <v>135</v>
      </c>
      <c r="B282">
        <v>78923</v>
      </c>
      <c r="C282">
        <v>2015</v>
      </c>
      <c r="D282" t="s">
        <v>20</v>
      </c>
      <c r="E282" t="s">
        <v>151</v>
      </c>
      <c r="F282">
        <v>8</v>
      </c>
      <c r="G282" t="s">
        <v>47</v>
      </c>
      <c r="H282">
        <v>4</v>
      </c>
      <c r="I282" t="s">
        <v>23</v>
      </c>
      <c r="J282" t="s">
        <v>42</v>
      </c>
      <c r="K282" t="s">
        <v>27</v>
      </c>
      <c r="L282" t="s">
        <v>43</v>
      </c>
      <c r="M282" t="s">
        <v>78</v>
      </c>
      <c r="N282">
        <v>0</v>
      </c>
      <c r="O282" t="s">
        <v>27</v>
      </c>
      <c r="S282" s="3">
        <v>22500</v>
      </c>
      <c r="T282" s="2">
        <v>20983.90625</v>
      </c>
      <c r="U282" s="2">
        <v>19070.85813328376</v>
      </c>
      <c r="V282" s="2">
        <v>20770.93482269756</v>
      </c>
      <c r="W282" s="2">
        <v>22874.29296875</v>
      </c>
      <c r="X282" s="4">
        <f t="shared" si="16"/>
        <v>1.0722503108781283</v>
      </c>
      <c r="Y282" s="4">
        <f t="shared" si="17"/>
        <v>1.1798105697578163</v>
      </c>
      <c r="Z282" s="4">
        <f t="shared" si="18"/>
        <v>1.0832444563550887</v>
      </c>
      <c r="AA282" s="4">
        <f t="shared" si="19"/>
        <v>0.9836369600904673</v>
      </c>
    </row>
    <row r="283" spans="1:27" x14ac:dyDescent="0.3">
      <c r="A283" t="s">
        <v>135</v>
      </c>
      <c r="B283">
        <v>3644</v>
      </c>
      <c r="C283">
        <v>2024</v>
      </c>
      <c r="D283" t="s">
        <v>265</v>
      </c>
      <c r="E283" t="s">
        <v>294</v>
      </c>
      <c r="F283">
        <v>4</v>
      </c>
      <c r="G283" t="s">
        <v>47</v>
      </c>
      <c r="H283">
        <v>4</v>
      </c>
      <c r="I283" t="s">
        <v>23</v>
      </c>
      <c r="J283" t="s">
        <v>24</v>
      </c>
      <c r="K283" t="s">
        <v>27</v>
      </c>
      <c r="L283" t="s">
        <v>181</v>
      </c>
      <c r="M283" t="s">
        <v>23</v>
      </c>
      <c r="N283">
        <v>0</v>
      </c>
      <c r="O283" t="s">
        <v>27</v>
      </c>
      <c r="S283" s="3">
        <v>25900</v>
      </c>
      <c r="T283" s="2">
        <v>30958.845703125</v>
      </c>
      <c r="U283" s="2">
        <v>39357.901999969457</v>
      </c>
      <c r="V283" s="2">
        <v>44600.048400966327</v>
      </c>
      <c r="W283" s="2">
        <v>35979.75390625</v>
      </c>
      <c r="X283" s="4">
        <f t="shared" si="16"/>
        <v>0.83659449865682955</v>
      </c>
      <c r="Y283" s="4">
        <f t="shared" si="17"/>
        <v>0.65806353194385458</v>
      </c>
      <c r="Z283" s="4">
        <f t="shared" si="18"/>
        <v>0.58071685858167899</v>
      </c>
      <c r="AA283" s="4">
        <f t="shared" si="19"/>
        <v>0.71984928155667405</v>
      </c>
    </row>
    <row r="284" spans="1:27" x14ac:dyDescent="0.3">
      <c r="A284" t="s">
        <v>135</v>
      </c>
      <c r="B284">
        <v>77762</v>
      </c>
      <c r="C284">
        <v>2021</v>
      </c>
      <c r="D284" t="s">
        <v>34</v>
      </c>
      <c r="E284" t="s">
        <v>173</v>
      </c>
      <c r="F284">
        <v>4</v>
      </c>
      <c r="G284" t="s">
        <v>22</v>
      </c>
      <c r="H284">
        <v>4</v>
      </c>
      <c r="I284" t="s">
        <v>23</v>
      </c>
      <c r="J284" t="s">
        <v>62</v>
      </c>
      <c r="L284" t="s">
        <v>128</v>
      </c>
      <c r="M284" t="s">
        <v>33</v>
      </c>
      <c r="N284">
        <v>4.4000000000000004</v>
      </c>
      <c r="O284" t="s">
        <v>27</v>
      </c>
      <c r="S284" s="3">
        <v>19250</v>
      </c>
      <c r="T284" s="2">
        <v>19473.82421875</v>
      </c>
      <c r="U284" s="2">
        <v>17760.583469582049</v>
      </c>
      <c r="V284" s="2">
        <v>17155.269555044059</v>
      </c>
      <c r="W284" s="2">
        <v>18133.83984375</v>
      </c>
      <c r="X284" s="4">
        <f t="shared" si="16"/>
        <v>0.98850640653649857</v>
      </c>
      <c r="Y284" s="4">
        <f t="shared" si="17"/>
        <v>1.0838607882994848</v>
      </c>
      <c r="Z284" s="4">
        <f t="shared" si="18"/>
        <v>1.122104198843092</v>
      </c>
      <c r="AA284" s="4">
        <f t="shared" si="19"/>
        <v>1.0615512305097752</v>
      </c>
    </row>
    <row r="285" spans="1:27" x14ac:dyDescent="0.3">
      <c r="A285" t="s">
        <v>135</v>
      </c>
      <c r="B285">
        <v>141702</v>
      </c>
      <c r="C285">
        <v>2002</v>
      </c>
      <c r="D285" t="s">
        <v>34</v>
      </c>
      <c r="E285" t="s">
        <v>116</v>
      </c>
      <c r="F285">
        <v>4</v>
      </c>
      <c r="G285" t="s">
        <v>30</v>
      </c>
      <c r="H285">
        <v>4</v>
      </c>
      <c r="I285" t="s">
        <v>23</v>
      </c>
      <c r="J285" t="s">
        <v>37</v>
      </c>
      <c r="L285" t="s">
        <v>295</v>
      </c>
      <c r="M285" t="s">
        <v>33</v>
      </c>
      <c r="N285">
        <v>0</v>
      </c>
      <c r="O285" t="s">
        <v>27</v>
      </c>
      <c r="S285" s="3">
        <v>2100</v>
      </c>
      <c r="T285" s="2">
        <v>2891.461181640625</v>
      </c>
      <c r="U285" s="2">
        <v>2831.8380805049092</v>
      </c>
      <c r="V285" s="2">
        <v>2190.2823820077788</v>
      </c>
      <c r="W285" s="2">
        <v>2359.546630859375</v>
      </c>
      <c r="X285" s="4">
        <f t="shared" si="16"/>
        <v>0.72627639386410603</v>
      </c>
      <c r="Y285" s="4">
        <f t="shared" si="17"/>
        <v>0.74156782284161371</v>
      </c>
      <c r="Z285" s="4">
        <f t="shared" si="18"/>
        <v>0.95878048294164742</v>
      </c>
      <c r="AA285" s="4">
        <f t="shared" si="19"/>
        <v>0.8900014827149888</v>
      </c>
    </row>
    <row r="286" spans="1:27" x14ac:dyDescent="0.3">
      <c r="A286" t="s">
        <v>296</v>
      </c>
      <c r="B286">
        <v>111803</v>
      </c>
      <c r="C286">
        <v>2019</v>
      </c>
      <c r="D286" t="s">
        <v>125</v>
      </c>
      <c r="E286" t="s">
        <v>297</v>
      </c>
      <c r="F286">
        <v>4</v>
      </c>
      <c r="G286" t="s">
        <v>36</v>
      </c>
      <c r="H286">
        <v>4</v>
      </c>
      <c r="I286" t="s">
        <v>23</v>
      </c>
      <c r="J286" t="s">
        <v>24</v>
      </c>
      <c r="K286" t="s">
        <v>27</v>
      </c>
      <c r="L286" t="s">
        <v>127</v>
      </c>
      <c r="M286" t="s">
        <v>33</v>
      </c>
      <c r="N286">
        <v>2.1</v>
      </c>
      <c r="O286" t="s">
        <v>27</v>
      </c>
      <c r="S286" s="3">
        <v>6500</v>
      </c>
      <c r="T286" s="2">
        <v>8445.7421875</v>
      </c>
      <c r="U286" s="2">
        <v>8629.8858059795512</v>
      </c>
      <c r="V286" s="2">
        <v>6180.0942069393304</v>
      </c>
      <c r="W286" s="2">
        <v>8321.638671875</v>
      </c>
      <c r="X286" s="4">
        <f t="shared" si="16"/>
        <v>0.76961856704793008</v>
      </c>
      <c r="Y286" s="4">
        <f t="shared" si="17"/>
        <v>0.75319652497559386</v>
      </c>
      <c r="Z286" s="4">
        <f t="shared" si="18"/>
        <v>1.0517639023530521</v>
      </c>
      <c r="AA286" s="4">
        <f t="shared" si="19"/>
        <v>0.78109615861697157</v>
      </c>
    </row>
    <row r="287" spans="1:27" x14ac:dyDescent="0.3">
      <c r="A287" t="s">
        <v>296</v>
      </c>
      <c r="B287">
        <v>126767</v>
      </c>
      <c r="C287">
        <v>2015</v>
      </c>
      <c r="D287" t="s">
        <v>100</v>
      </c>
      <c r="E287" t="s">
        <v>101</v>
      </c>
      <c r="F287">
        <v>4</v>
      </c>
      <c r="G287" t="s">
        <v>298</v>
      </c>
      <c r="H287">
        <v>4</v>
      </c>
      <c r="I287" t="s">
        <v>23</v>
      </c>
      <c r="J287" t="s">
        <v>31</v>
      </c>
      <c r="K287" t="s">
        <v>27</v>
      </c>
      <c r="L287" t="s">
        <v>102</v>
      </c>
      <c r="M287" t="s">
        <v>33</v>
      </c>
      <c r="N287">
        <v>2.1</v>
      </c>
      <c r="O287" t="s">
        <v>27</v>
      </c>
      <c r="S287" s="3">
        <v>2400</v>
      </c>
      <c r="T287" s="2">
        <v>3506.357666015625</v>
      </c>
      <c r="U287" s="2">
        <v>3799.3944222820951</v>
      </c>
      <c r="V287" s="2">
        <v>6058.0632505624999</v>
      </c>
      <c r="W287" s="2">
        <v>3857.656005859375</v>
      </c>
      <c r="X287" s="4">
        <f t="shared" si="16"/>
        <v>0.68447096063853319</v>
      </c>
      <c r="Y287" s="4">
        <f t="shared" si="17"/>
        <v>0.63167961344704171</v>
      </c>
      <c r="Z287" s="4">
        <f t="shared" si="18"/>
        <v>0.39616621694683635</v>
      </c>
      <c r="AA287" s="4">
        <f t="shared" si="19"/>
        <v>0.62213945368758949</v>
      </c>
    </row>
    <row r="288" spans="1:27" x14ac:dyDescent="0.3">
      <c r="A288" t="s">
        <v>296</v>
      </c>
      <c r="B288">
        <v>89911</v>
      </c>
      <c r="C288">
        <v>2015</v>
      </c>
      <c r="D288" t="s">
        <v>100</v>
      </c>
      <c r="E288" t="s">
        <v>192</v>
      </c>
      <c r="F288">
        <v>4</v>
      </c>
      <c r="G288" t="s">
        <v>47</v>
      </c>
      <c r="H288">
        <v>4</v>
      </c>
      <c r="I288" t="s">
        <v>23</v>
      </c>
      <c r="J288" t="s">
        <v>31</v>
      </c>
      <c r="K288" t="s">
        <v>27</v>
      </c>
      <c r="L288" t="s">
        <v>32</v>
      </c>
      <c r="M288" t="s">
        <v>33</v>
      </c>
      <c r="N288">
        <v>1.3</v>
      </c>
      <c r="O288" t="s">
        <v>27</v>
      </c>
      <c r="S288" s="3">
        <v>1500</v>
      </c>
      <c r="T288" s="2">
        <v>2276.180419921875</v>
      </c>
      <c r="U288" s="2">
        <v>2920.5619594495611</v>
      </c>
      <c r="V288" s="2">
        <v>4629.0543366593174</v>
      </c>
      <c r="W288" s="2">
        <v>2838.741455078125</v>
      </c>
      <c r="X288" s="4">
        <f t="shared" si="16"/>
        <v>0.65899872737306309</v>
      </c>
      <c r="Y288" s="4">
        <f t="shared" si="17"/>
        <v>0.51359978689947239</v>
      </c>
      <c r="Z288" s="4">
        <f t="shared" si="18"/>
        <v>0.32404026630685778</v>
      </c>
      <c r="AA288" s="4">
        <f t="shared" si="19"/>
        <v>0.52840317575124807</v>
      </c>
    </row>
    <row r="289" spans="1:27" x14ac:dyDescent="0.3">
      <c r="A289" t="s">
        <v>296</v>
      </c>
      <c r="B289">
        <v>134238</v>
      </c>
      <c r="C289">
        <v>2018</v>
      </c>
      <c r="D289" t="s">
        <v>239</v>
      </c>
      <c r="E289" t="s">
        <v>299</v>
      </c>
      <c r="F289">
        <v>4</v>
      </c>
      <c r="G289" t="s">
        <v>36</v>
      </c>
      <c r="H289">
        <v>4</v>
      </c>
      <c r="I289" t="s">
        <v>23</v>
      </c>
      <c r="J289" t="s">
        <v>24</v>
      </c>
      <c r="K289" t="s">
        <v>27</v>
      </c>
      <c r="L289" t="s">
        <v>127</v>
      </c>
      <c r="M289" t="s">
        <v>33</v>
      </c>
      <c r="N289">
        <v>2.9</v>
      </c>
      <c r="O289" t="s">
        <v>199</v>
      </c>
      <c r="S289" s="3">
        <v>4400</v>
      </c>
      <c r="T289" s="2">
        <v>5384.24072265625</v>
      </c>
      <c r="U289" s="2">
        <v>5242.9442414173718</v>
      </c>
      <c r="V289" s="2">
        <v>5304.2834285734407</v>
      </c>
      <c r="W289" s="2">
        <v>5358.69775390625</v>
      </c>
      <c r="X289" s="4">
        <f t="shared" si="16"/>
        <v>0.81719971796307678</v>
      </c>
      <c r="Y289" s="4">
        <f t="shared" si="17"/>
        <v>0.83922311537124206</v>
      </c>
      <c r="Z289" s="4">
        <f t="shared" si="18"/>
        <v>0.82951826750015067</v>
      </c>
      <c r="AA289" s="4">
        <f t="shared" si="19"/>
        <v>0.82109501264418161</v>
      </c>
    </row>
    <row r="290" spans="1:27" x14ac:dyDescent="0.3">
      <c r="A290" t="s">
        <v>296</v>
      </c>
      <c r="B290">
        <v>97245</v>
      </c>
      <c r="C290">
        <v>2021</v>
      </c>
      <c r="D290" t="s">
        <v>40</v>
      </c>
      <c r="E290" t="s">
        <v>63</v>
      </c>
      <c r="F290">
        <v>4</v>
      </c>
      <c r="G290" t="s">
        <v>36</v>
      </c>
      <c r="H290">
        <v>4</v>
      </c>
      <c r="I290" t="s">
        <v>23</v>
      </c>
      <c r="J290" t="s">
        <v>24</v>
      </c>
      <c r="K290" t="s">
        <v>27</v>
      </c>
      <c r="L290" t="s">
        <v>107</v>
      </c>
      <c r="M290" t="s">
        <v>33</v>
      </c>
      <c r="N290">
        <v>2.7</v>
      </c>
      <c r="O290" t="s">
        <v>27</v>
      </c>
      <c r="S290" s="3">
        <v>10000</v>
      </c>
      <c r="T290" s="2">
        <v>11146.5625</v>
      </c>
      <c r="U290" s="2">
        <v>14697.43582321073</v>
      </c>
      <c r="V290" s="2">
        <v>11429.56686028418</v>
      </c>
      <c r="W290" s="2">
        <v>12385.2021484375</v>
      </c>
      <c r="X290" s="4">
        <f t="shared" si="16"/>
        <v>0.89713757043931708</v>
      </c>
      <c r="Y290" s="4">
        <f t="shared" si="17"/>
        <v>0.6803907919915958</v>
      </c>
      <c r="Z290" s="4">
        <f t="shared" si="18"/>
        <v>0.87492379389706498</v>
      </c>
      <c r="AA290" s="4">
        <f t="shared" si="19"/>
        <v>0.80741516207400665</v>
      </c>
    </row>
    <row r="291" spans="1:27" x14ac:dyDescent="0.3">
      <c r="A291" t="s">
        <v>296</v>
      </c>
      <c r="B291">
        <v>10204</v>
      </c>
      <c r="C291">
        <v>2025</v>
      </c>
      <c r="D291" t="s">
        <v>100</v>
      </c>
      <c r="E291" t="s">
        <v>300</v>
      </c>
      <c r="F291">
        <v>4</v>
      </c>
      <c r="G291" t="s">
        <v>36</v>
      </c>
      <c r="H291">
        <v>4</v>
      </c>
      <c r="I291" t="s">
        <v>23</v>
      </c>
      <c r="J291" t="s">
        <v>24</v>
      </c>
      <c r="K291" t="s">
        <v>27</v>
      </c>
      <c r="L291" t="s">
        <v>127</v>
      </c>
      <c r="M291" t="s">
        <v>33</v>
      </c>
      <c r="N291">
        <v>4.2</v>
      </c>
      <c r="O291" t="s">
        <v>27</v>
      </c>
      <c r="S291" s="3">
        <v>19000</v>
      </c>
      <c r="T291" s="2">
        <v>21276.64453125</v>
      </c>
      <c r="U291" s="2">
        <v>23119.624003294459</v>
      </c>
      <c r="V291" s="2">
        <v>29635.578005829459</v>
      </c>
      <c r="W291" s="2">
        <v>21957.16796875</v>
      </c>
      <c r="X291" s="4">
        <f t="shared" si="16"/>
        <v>0.89299795238360136</v>
      </c>
      <c r="Y291" s="4">
        <f t="shared" si="17"/>
        <v>0.82181267296096905</v>
      </c>
      <c r="Z291" s="4">
        <f t="shared" si="18"/>
        <v>0.64112128996649265</v>
      </c>
      <c r="AA291" s="4">
        <f t="shared" si="19"/>
        <v>0.86532106631607875</v>
      </c>
    </row>
    <row r="292" spans="1:27" x14ac:dyDescent="0.3">
      <c r="A292" t="s">
        <v>296</v>
      </c>
      <c r="B292">
        <v>135621</v>
      </c>
      <c r="C292">
        <v>2014</v>
      </c>
      <c r="D292" t="s">
        <v>54</v>
      </c>
      <c r="E292" t="s">
        <v>275</v>
      </c>
      <c r="F292">
        <v>6</v>
      </c>
      <c r="G292" t="s">
        <v>22</v>
      </c>
      <c r="H292">
        <v>4</v>
      </c>
      <c r="I292" t="s">
        <v>23</v>
      </c>
      <c r="J292" t="s">
        <v>24</v>
      </c>
      <c r="K292" t="s">
        <v>27</v>
      </c>
      <c r="L292" t="s">
        <v>301</v>
      </c>
      <c r="M292">
        <v>4</v>
      </c>
      <c r="N292">
        <v>1.8</v>
      </c>
      <c r="O292" t="s">
        <v>27</v>
      </c>
      <c r="S292" s="3">
        <v>3300</v>
      </c>
      <c r="T292" s="2">
        <v>4270.25244140625</v>
      </c>
      <c r="U292" s="2">
        <v>4548.899668168815</v>
      </c>
      <c r="V292" s="2">
        <v>5466.9976595227254</v>
      </c>
      <c r="W292" s="2">
        <v>4591.3662109375</v>
      </c>
      <c r="X292" s="4">
        <f t="shared" si="16"/>
        <v>0.77278803660452144</v>
      </c>
      <c r="Y292" s="4">
        <f t="shared" si="17"/>
        <v>0.72545016173734023</v>
      </c>
      <c r="Z292" s="4">
        <f t="shared" si="18"/>
        <v>0.60362198879889284</v>
      </c>
      <c r="AA292" s="4">
        <f t="shared" si="19"/>
        <v>0.71874031571229879</v>
      </c>
    </row>
    <row r="293" spans="1:27" x14ac:dyDescent="0.3">
      <c r="A293" t="s">
        <v>296</v>
      </c>
      <c r="B293">
        <v>246072</v>
      </c>
      <c r="C293">
        <v>2017</v>
      </c>
      <c r="D293" t="s">
        <v>54</v>
      </c>
      <c r="E293" t="s">
        <v>275</v>
      </c>
      <c r="F293">
        <v>4</v>
      </c>
      <c r="G293" t="s">
        <v>66</v>
      </c>
      <c r="H293">
        <v>4</v>
      </c>
      <c r="I293" t="s">
        <v>23</v>
      </c>
      <c r="J293" t="s">
        <v>24</v>
      </c>
      <c r="L293" t="s">
        <v>60</v>
      </c>
      <c r="M293" t="s">
        <v>33</v>
      </c>
      <c r="N293">
        <v>1</v>
      </c>
      <c r="O293" t="s">
        <v>199</v>
      </c>
      <c r="S293" s="3">
        <v>700</v>
      </c>
      <c r="T293" s="2">
        <v>2128.4638671875</v>
      </c>
      <c r="U293" s="2">
        <v>3300.7604986683109</v>
      </c>
      <c r="V293" s="2">
        <v>1700.182100902497</v>
      </c>
      <c r="W293" s="2">
        <v>2968.996337890625</v>
      </c>
      <c r="X293" s="4">
        <f t="shared" si="16"/>
        <v>0.32887567921223998</v>
      </c>
      <c r="Y293" s="4">
        <f t="shared" si="17"/>
        <v>0.21207233917226481</v>
      </c>
      <c r="Z293" s="4">
        <f t="shared" si="18"/>
        <v>0.41172060312152642</v>
      </c>
      <c r="AA293" s="4">
        <f t="shared" si="19"/>
        <v>0.23576991021057545</v>
      </c>
    </row>
    <row r="294" spans="1:27" x14ac:dyDescent="0.3">
      <c r="A294" t="s">
        <v>296</v>
      </c>
      <c r="B294">
        <v>135897</v>
      </c>
      <c r="C294">
        <v>2019</v>
      </c>
      <c r="D294" t="s">
        <v>28</v>
      </c>
      <c r="E294" t="s">
        <v>216</v>
      </c>
      <c r="F294">
        <v>6</v>
      </c>
      <c r="G294" t="s">
        <v>66</v>
      </c>
      <c r="H294">
        <v>4</v>
      </c>
      <c r="I294" t="s">
        <v>23</v>
      </c>
      <c r="J294" t="s">
        <v>106</v>
      </c>
      <c r="K294" t="s">
        <v>27</v>
      </c>
      <c r="L294" t="s">
        <v>53</v>
      </c>
      <c r="M294" t="s">
        <v>33</v>
      </c>
      <c r="N294">
        <v>2.6</v>
      </c>
      <c r="O294" t="s">
        <v>27</v>
      </c>
      <c r="S294" s="3">
        <v>8500</v>
      </c>
      <c r="T294" s="2">
        <v>12428</v>
      </c>
      <c r="U294" s="2">
        <v>13686.758755682869</v>
      </c>
      <c r="V294" s="2">
        <v>11574.89544321826</v>
      </c>
      <c r="W294" s="2">
        <v>12309.052734375</v>
      </c>
      <c r="X294" s="4">
        <f t="shared" si="16"/>
        <v>0.68393949147087219</v>
      </c>
      <c r="Y294" s="4">
        <f t="shared" si="17"/>
        <v>0.62103819843180341</v>
      </c>
      <c r="Z294" s="4">
        <f t="shared" si="18"/>
        <v>0.73434788605197776</v>
      </c>
      <c r="AA294" s="4">
        <f t="shared" si="19"/>
        <v>0.69054867043199752</v>
      </c>
    </row>
    <row r="295" spans="1:27" x14ac:dyDescent="0.3">
      <c r="A295" t="s">
        <v>296</v>
      </c>
      <c r="B295">
        <v>96938</v>
      </c>
      <c r="C295">
        <v>2018</v>
      </c>
      <c r="D295" t="s">
        <v>81</v>
      </c>
      <c r="E295" t="s">
        <v>105</v>
      </c>
      <c r="F295">
        <v>6</v>
      </c>
      <c r="G295" t="s">
        <v>30</v>
      </c>
      <c r="H295">
        <v>4</v>
      </c>
      <c r="I295" t="s">
        <v>23</v>
      </c>
      <c r="J295" t="s">
        <v>106</v>
      </c>
      <c r="K295" t="s">
        <v>27</v>
      </c>
      <c r="L295" t="s">
        <v>26</v>
      </c>
      <c r="M295" t="s">
        <v>33</v>
      </c>
      <c r="N295">
        <v>1.8</v>
      </c>
      <c r="O295" t="s">
        <v>27</v>
      </c>
      <c r="S295" s="3">
        <v>6000</v>
      </c>
      <c r="T295" s="2">
        <v>9226.7265625</v>
      </c>
      <c r="U295" s="2">
        <v>9009.2994338547724</v>
      </c>
      <c r="V295" s="2">
        <v>7999.3441429252234</v>
      </c>
      <c r="W295" s="2">
        <v>7884.2314453125</v>
      </c>
      <c r="X295" s="4">
        <f t="shared" si="16"/>
        <v>0.65028479595197719</v>
      </c>
      <c r="Y295" s="4">
        <f t="shared" si="17"/>
        <v>0.66597853074495983</v>
      </c>
      <c r="Z295" s="4">
        <f t="shared" si="18"/>
        <v>0.75006149164197633</v>
      </c>
      <c r="AA295" s="4">
        <f t="shared" si="19"/>
        <v>0.76101266707070692</v>
      </c>
    </row>
    <row r="296" spans="1:27" x14ac:dyDescent="0.3">
      <c r="A296" t="s">
        <v>296</v>
      </c>
      <c r="B296">
        <v>140062</v>
      </c>
      <c r="C296">
        <v>2017</v>
      </c>
      <c r="D296" t="s">
        <v>34</v>
      </c>
      <c r="E296" t="s">
        <v>61</v>
      </c>
      <c r="F296">
        <v>6</v>
      </c>
      <c r="G296" t="s">
        <v>47</v>
      </c>
      <c r="H296">
        <v>4</v>
      </c>
      <c r="I296" t="s">
        <v>23</v>
      </c>
      <c r="J296" t="s">
        <v>62</v>
      </c>
      <c r="K296" t="s">
        <v>27</v>
      </c>
      <c r="L296" t="s">
        <v>38</v>
      </c>
      <c r="M296" t="s">
        <v>33</v>
      </c>
      <c r="N296">
        <v>2</v>
      </c>
      <c r="O296" t="s">
        <v>27</v>
      </c>
      <c r="S296" s="3">
        <v>8000</v>
      </c>
      <c r="T296" s="2">
        <v>9938.2578125</v>
      </c>
      <c r="U296" s="2">
        <v>8409.7102081584198</v>
      </c>
      <c r="V296" s="2">
        <v>7808.8288741393189</v>
      </c>
      <c r="W296" s="2">
        <v>9140.5419921875</v>
      </c>
      <c r="X296" s="4">
        <f t="shared" si="16"/>
        <v>0.80497006124532955</v>
      </c>
      <c r="Y296" s="4">
        <f t="shared" si="17"/>
        <v>0.95128129293195474</v>
      </c>
      <c r="Z296" s="4">
        <f t="shared" si="18"/>
        <v>1.0244814080244204</v>
      </c>
      <c r="AA296" s="4">
        <f t="shared" si="19"/>
        <v>0.87522162327328823</v>
      </c>
    </row>
    <row r="297" spans="1:27" x14ac:dyDescent="0.3">
      <c r="A297" t="s">
        <v>296</v>
      </c>
      <c r="B297">
        <v>187191</v>
      </c>
      <c r="C297">
        <v>2014</v>
      </c>
      <c r="D297" t="s">
        <v>40</v>
      </c>
      <c r="E297" t="s">
        <v>41</v>
      </c>
      <c r="F297">
        <v>8</v>
      </c>
      <c r="G297" t="s">
        <v>47</v>
      </c>
      <c r="H297">
        <v>4</v>
      </c>
      <c r="I297" t="s">
        <v>23</v>
      </c>
      <c r="J297" t="s">
        <v>42</v>
      </c>
      <c r="K297" t="s">
        <v>27</v>
      </c>
      <c r="L297" t="s">
        <v>43</v>
      </c>
      <c r="M297">
        <v>4</v>
      </c>
      <c r="N297">
        <v>1.3</v>
      </c>
      <c r="O297" t="s">
        <v>27</v>
      </c>
      <c r="S297" s="3">
        <v>6800</v>
      </c>
      <c r="T297" s="2">
        <v>6557.70263671875</v>
      </c>
      <c r="U297" s="2">
        <v>12387.541947960721</v>
      </c>
      <c r="V297" s="2">
        <v>2078.5269906810322</v>
      </c>
      <c r="W297" s="2">
        <v>8689.03515625</v>
      </c>
      <c r="X297" s="4">
        <f t="shared" si="16"/>
        <v>1.0369485133291263</v>
      </c>
      <c r="Y297" s="4">
        <f t="shared" si="17"/>
        <v>0.54893860529928939</v>
      </c>
      <c r="Z297" s="4">
        <f t="shared" si="18"/>
        <v>3.2715476058225113</v>
      </c>
      <c r="AA297" s="4">
        <f t="shared" si="19"/>
        <v>0.78259552156475942</v>
      </c>
    </row>
    <row r="298" spans="1:27" x14ac:dyDescent="0.3">
      <c r="A298" t="s">
        <v>296</v>
      </c>
      <c r="B298">
        <v>132403</v>
      </c>
      <c r="C298">
        <v>2017</v>
      </c>
      <c r="D298" t="s">
        <v>34</v>
      </c>
      <c r="E298" t="s">
        <v>35</v>
      </c>
      <c r="F298">
        <v>6</v>
      </c>
      <c r="G298" t="s">
        <v>148</v>
      </c>
      <c r="H298">
        <v>4</v>
      </c>
      <c r="I298" t="s">
        <v>23</v>
      </c>
      <c r="J298" t="s">
        <v>37</v>
      </c>
      <c r="K298" t="s">
        <v>27</v>
      </c>
      <c r="L298" t="s">
        <v>38</v>
      </c>
      <c r="M298" t="s">
        <v>33</v>
      </c>
      <c r="N298">
        <v>2.8</v>
      </c>
      <c r="O298" t="s">
        <v>27</v>
      </c>
      <c r="S298" s="3">
        <v>7250</v>
      </c>
      <c r="T298" s="2">
        <v>6569.23046875</v>
      </c>
      <c r="U298" s="2">
        <v>7395.7719045487629</v>
      </c>
      <c r="V298" s="2">
        <v>6521.7755027961184</v>
      </c>
      <c r="W298" s="2">
        <v>7691.2080078125</v>
      </c>
      <c r="X298" s="4">
        <f t="shared" si="16"/>
        <v>1.1036300270615316</v>
      </c>
      <c r="Y298" s="4">
        <f t="shared" si="17"/>
        <v>0.98028983229470534</v>
      </c>
      <c r="Z298" s="4">
        <f t="shared" si="18"/>
        <v>1.1116604668301855</v>
      </c>
      <c r="AA298" s="4">
        <f t="shared" si="19"/>
        <v>0.94263475810765562</v>
      </c>
    </row>
    <row r="299" spans="1:27" x14ac:dyDescent="0.3">
      <c r="A299" t="s">
        <v>296</v>
      </c>
      <c r="B299">
        <v>174892</v>
      </c>
      <c r="C299">
        <v>2019</v>
      </c>
      <c r="D299" t="s">
        <v>40</v>
      </c>
      <c r="E299" t="s">
        <v>172</v>
      </c>
      <c r="F299">
        <v>4</v>
      </c>
      <c r="G299" t="s">
        <v>36</v>
      </c>
      <c r="H299">
        <v>4</v>
      </c>
      <c r="I299" t="s">
        <v>23</v>
      </c>
      <c r="J299" t="s">
        <v>31</v>
      </c>
      <c r="K299" t="s">
        <v>27</v>
      </c>
      <c r="L299" t="s">
        <v>102</v>
      </c>
      <c r="M299" t="s">
        <v>33</v>
      </c>
      <c r="N299">
        <v>1.1000000000000001</v>
      </c>
      <c r="O299" t="s">
        <v>39</v>
      </c>
      <c r="S299" s="3">
        <v>1000</v>
      </c>
      <c r="T299" s="2">
        <v>4134.845703125</v>
      </c>
      <c r="U299" s="2">
        <v>3386.0834950015542</v>
      </c>
      <c r="V299" s="2">
        <v>3941.9286504851061</v>
      </c>
      <c r="W299" s="2">
        <v>3924.6171875</v>
      </c>
      <c r="X299" s="4">
        <f t="shared" si="16"/>
        <v>0.24184699304359245</v>
      </c>
      <c r="Y299" s="4">
        <f t="shared" si="17"/>
        <v>0.29532644468932123</v>
      </c>
      <c r="Z299" s="4">
        <f t="shared" si="18"/>
        <v>0.25368292748701499</v>
      </c>
      <c r="AA299" s="4">
        <f t="shared" si="19"/>
        <v>0.25480192136573832</v>
      </c>
    </row>
    <row r="300" spans="1:27" x14ac:dyDescent="0.3">
      <c r="A300" t="s">
        <v>296</v>
      </c>
      <c r="B300">
        <v>19045</v>
      </c>
      <c r="C300">
        <v>2023</v>
      </c>
      <c r="D300" t="s">
        <v>100</v>
      </c>
      <c r="E300" t="s">
        <v>138</v>
      </c>
      <c r="F300">
        <v>3</v>
      </c>
      <c r="G300" t="s">
        <v>30</v>
      </c>
      <c r="H300">
        <v>4</v>
      </c>
      <c r="I300" t="s">
        <v>23</v>
      </c>
      <c r="J300" t="s">
        <v>24</v>
      </c>
      <c r="L300" t="s">
        <v>107</v>
      </c>
      <c r="M300" t="s">
        <v>23</v>
      </c>
      <c r="N300">
        <v>3.6</v>
      </c>
      <c r="O300" t="s">
        <v>27</v>
      </c>
      <c r="S300" s="3">
        <v>20400</v>
      </c>
      <c r="T300" s="2">
        <v>22499.587890625</v>
      </c>
      <c r="U300" s="2">
        <v>25399.041992867958</v>
      </c>
      <c r="V300" s="2">
        <v>24568.281632609829</v>
      </c>
      <c r="W300" s="2">
        <v>23703.22265625</v>
      </c>
      <c r="X300" s="4">
        <f t="shared" si="16"/>
        <v>0.90668327345231758</v>
      </c>
      <c r="Y300" s="4">
        <f t="shared" si="17"/>
        <v>0.80317989968788239</v>
      </c>
      <c r="Z300" s="4">
        <f t="shared" si="18"/>
        <v>0.83033890220970075</v>
      </c>
      <c r="AA300" s="4">
        <f t="shared" si="19"/>
        <v>0.86064246604125727</v>
      </c>
    </row>
    <row r="301" spans="1:27" x14ac:dyDescent="0.3">
      <c r="A301" t="s">
        <v>70</v>
      </c>
      <c r="B301">
        <v>74736</v>
      </c>
      <c r="C301">
        <v>2019</v>
      </c>
      <c r="D301" t="s">
        <v>119</v>
      </c>
      <c r="E301" t="s">
        <v>120</v>
      </c>
      <c r="F301">
        <v>3</v>
      </c>
      <c r="G301" t="s">
        <v>22</v>
      </c>
      <c r="H301">
        <v>4</v>
      </c>
      <c r="I301" t="s">
        <v>23</v>
      </c>
      <c r="J301" t="s">
        <v>31</v>
      </c>
      <c r="L301" t="s">
        <v>121</v>
      </c>
      <c r="M301" t="s">
        <v>33</v>
      </c>
      <c r="N301">
        <v>0</v>
      </c>
      <c r="O301" t="s">
        <v>27</v>
      </c>
      <c r="S301" s="3">
        <v>2800</v>
      </c>
      <c r="T301" s="2">
        <v>8119.99072265625</v>
      </c>
      <c r="U301" s="2">
        <v>7510.5422467550188</v>
      </c>
      <c r="V301" s="2">
        <v>9398.9938759753804</v>
      </c>
      <c r="W301" s="2">
        <v>8259.1689453125</v>
      </c>
      <c r="X301" s="4">
        <f t="shared" si="16"/>
        <v>0.34482798018321514</v>
      </c>
      <c r="Y301" s="4">
        <f t="shared" si="17"/>
        <v>0.37280930031513493</v>
      </c>
      <c r="Z301" s="4">
        <f t="shared" si="18"/>
        <v>0.2979042264467302</v>
      </c>
      <c r="AA301" s="4">
        <f t="shared" si="19"/>
        <v>0.33901716002421078</v>
      </c>
    </row>
    <row r="302" spans="1:27" x14ac:dyDescent="0.3">
      <c r="A302" t="s">
        <v>70</v>
      </c>
      <c r="B302">
        <v>91945</v>
      </c>
      <c r="C302">
        <v>2016</v>
      </c>
      <c r="D302" t="s">
        <v>90</v>
      </c>
      <c r="E302" t="s">
        <v>195</v>
      </c>
      <c r="F302">
        <v>4</v>
      </c>
      <c r="G302" t="s">
        <v>47</v>
      </c>
      <c r="H302">
        <v>4</v>
      </c>
      <c r="I302" t="s">
        <v>23</v>
      </c>
      <c r="J302" t="s">
        <v>24</v>
      </c>
      <c r="K302" t="s">
        <v>27</v>
      </c>
      <c r="L302" t="s">
        <v>127</v>
      </c>
      <c r="M302" t="s">
        <v>33</v>
      </c>
      <c r="N302">
        <v>0</v>
      </c>
      <c r="O302" t="s">
        <v>27</v>
      </c>
      <c r="S302" s="3">
        <v>6500</v>
      </c>
      <c r="T302" s="2">
        <v>6211.18359375</v>
      </c>
      <c r="U302" s="2">
        <v>5765.6488213664352</v>
      </c>
      <c r="V302" s="2">
        <v>6224.5480340118993</v>
      </c>
      <c r="W302" s="2">
        <v>6012.3515625</v>
      </c>
      <c r="X302" s="4">
        <f t="shared" si="16"/>
        <v>1.0464994154319671</v>
      </c>
      <c r="Y302" s="4">
        <f t="shared" si="17"/>
        <v>1.1273666158632822</v>
      </c>
      <c r="Z302" s="4">
        <f t="shared" si="18"/>
        <v>1.0442525247589043</v>
      </c>
      <c r="AA302" s="4">
        <f t="shared" si="19"/>
        <v>1.0811077716315762</v>
      </c>
    </row>
    <row r="303" spans="1:27" x14ac:dyDescent="0.3">
      <c r="A303" t="s">
        <v>70</v>
      </c>
      <c r="B303">
        <v>107033</v>
      </c>
      <c r="C303">
        <v>2021</v>
      </c>
      <c r="D303" t="s">
        <v>44</v>
      </c>
      <c r="E303" t="s">
        <v>302</v>
      </c>
      <c r="F303">
        <v>3</v>
      </c>
      <c r="G303" t="s">
        <v>47</v>
      </c>
      <c r="H303">
        <v>4</v>
      </c>
      <c r="I303" t="s">
        <v>23</v>
      </c>
      <c r="J303" t="s">
        <v>62</v>
      </c>
      <c r="L303" t="s">
        <v>303</v>
      </c>
      <c r="M303" t="s">
        <v>33</v>
      </c>
      <c r="N303">
        <v>0</v>
      </c>
      <c r="O303" t="s">
        <v>27</v>
      </c>
      <c r="S303" s="3">
        <v>5400</v>
      </c>
      <c r="T303" s="2">
        <v>10238.681640625</v>
      </c>
      <c r="U303" s="2">
        <v>10440.3495812694</v>
      </c>
      <c r="V303" s="2">
        <v>8393.6587400107819</v>
      </c>
      <c r="W303" s="2">
        <v>9656.9833984375</v>
      </c>
      <c r="X303" s="4">
        <f t="shared" si="16"/>
        <v>0.52741165215782293</v>
      </c>
      <c r="Y303" s="4">
        <f t="shared" si="17"/>
        <v>0.5172240601682454</v>
      </c>
      <c r="Z303" s="4">
        <f t="shared" si="18"/>
        <v>0.64334281000243088</v>
      </c>
      <c r="AA303" s="4">
        <f t="shared" si="19"/>
        <v>0.55918083082484327</v>
      </c>
    </row>
    <row r="304" spans="1:27" x14ac:dyDescent="0.3">
      <c r="A304" t="s">
        <v>70</v>
      </c>
      <c r="B304">
        <v>51117</v>
      </c>
      <c r="C304">
        <v>2022</v>
      </c>
      <c r="D304" t="s">
        <v>40</v>
      </c>
      <c r="E304" t="s">
        <v>229</v>
      </c>
      <c r="F304">
        <v>4</v>
      </c>
      <c r="G304" t="s">
        <v>47</v>
      </c>
      <c r="H304">
        <v>4</v>
      </c>
      <c r="I304" t="s">
        <v>23</v>
      </c>
      <c r="J304" t="s">
        <v>31</v>
      </c>
      <c r="K304" t="s">
        <v>27</v>
      </c>
      <c r="L304" t="s">
        <v>107</v>
      </c>
      <c r="M304" t="s">
        <v>33</v>
      </c>
      <c r="N304">
        <v>0</v>
      </c>
      <c r="S304" s="3">
        <v>15000</v>
      </c>
      <c r="T304" s="2">
        <v>21788.630859375</v>
      </c>
      <c r="U304" s="2">
        <v>21380.522743258349</v>
      </c>
      <c r="V304" s="2">
        <v>18733.288704942061</v>
      </c>
      <c r="W304" s="2">
        <v>19027.7421875</v>
      </c>
      <c r="X304" s="4">
        <f t="shared" si="16"/>
        <v>0.68843242592023379</v>
      </c>
      <c r="Y304" s="4">
        <f t="shared" si="17"/>
        <v>0.70157311774473619</v>
      </c>
      <c r="Z304" s="4">
        <f t="shared" si="18"/>
        <v>0.80071365131114558</v>
      </c>
      <c r="AA304" s="4">
        <f t="shared" si="19"/>
        <v>0.78832264239180372</v>
      </c>
    </row>
    <row r="305" spans="1:27" x14ac:dyDescent="0.3">
      <c r="A305" t="s">
        <v>70</v>
      </c>
      <c r="B305">
        <v>97648</v>
      </c>
      <c r="C305">
        <v>2017</v>
      </c>
      <c r="D305" t="s">
        <v>44</v>
      </c>
      <c r="E305" t="s">
        <v>176</v>
      </c>
      <c r="F305">
        <v>4</v>
      </c>
      <c r="G305" t="s">
        <v>171</v>
      </c>
      <c r="H305">
        <v>4</v>
      </c>
      <c r="I305" t="s">
        <v>23</v>
      </c>
      <c r="J305" t="s">
        <v>62</v>
      </c>
      <c r="L305" t="s">
        <v>96</v>
      </c>
      <c r="M305" t="s">
        <v>33</v>
      </c>
      <c r="N305">
        <v>0</v>
      </c>
      <c r="S305" s="3">
        <v>7900</v>
      </c>
      <c r="T305" s="2">
        <v>11860.59765625</v>
      </c>
      <c r="U305" s="2">
        <v>9627.6348981148549</v>
      </c>
      <c r="V305" s="2">
        <v>7670.060059882343</v>
      </c>
      <c r="W305" s="2">
        <v>9305.0947265625</v>
      </c>
      <c r="X305" s="4">
        <f t="shared" si="16"/>
        <v>0.66607098807007048</v>
      </c>
      <c r="Y305" s="4">
        <f t="shared" si="17"/>
        <v>0.82055458932565717</v>
      </c>
      <c r="Z305" s="4">
        <f t="shared" si="18"/>
        <v>1.0299788969476706</v>
      </c>
      <c r="AA305" s="4">
        <f t="shared" si="19"/>
        <v>0.84899726785676988</v>
      </c>
    </row>
    <row r="306" spans="1:27" x14ac:dyDescent="0.3">
      <c r="A306" t="s">
        <v>135</v>
      </c>
      <c r="B306">
        <v>176604</v>
      </c>
      <c r="C306">
        <v>2013</v>
      </c>
      <c r="D306" t="s">
        <v>239</v>
      </c>
      <c r="E306" t="s">
        <v>304</v>
      </c>
      <c r="F306">
        <v>4</v>
      </c>
      <c r="G306" t="s">
        <v>59</v>
      </c>
      <c r="H306">
        <v>4</v>
      </c>
      <c r="I306" t="s">
        <v>23</v>
      </c>
      <c r="J306" t="s">
        <v>24</v>
      </c>
      <c r="K306" t="s">
        <v>27</v>
      </c>
      <c r="L306" t="s">
        <v>127</v>
      </c>
      <c r="M306" t="s">
        <v>23</v>
      </c>
      <c r="N306">
        <v>2.7</v>
      </c>
      <c r="O306" t="s">
        <v>27</v>
      </c>
      <c r="S306" s="3">
        <v>2000</v>
      </c>
      <c r="T306" s="2">
        <v>3819.82275390625</v>
      </c>
      <c r="U306" s="2">
        <v>3545.793215979676</v>
      </c>
      <c r="V306" s="2">
        <v>2884.5794726718691</v>
      </c>
      <c r="W306" s="2">
        <v>3792.197998046875</v>
      </c>
      <c r="X306" s="4">
        <f t="shared" si="16"/>
        <v>0.52358450348376717</v>
      </c>
      <c r="Y306" s="4">
        <f t="shared" si="17"/>
        <v>0.5640486847869991</v>
      </c>
      <c r="Z306" s="4">
        <f t="shared" si="18"/>
        <v>0.69334196507592871</v>
      </c>
      <c r="AA306" s="4">
        <f t="shared" si="19"/>
        <v>0.52739862238999002</v>
      </c>
    </row>
    <row r="307" spans="1:27" x14ac:dyDescent="0.3">
      <c r="A307" t="s">
        <v>135</v>
      </c>
      <c r="B307">
        <v>243582</v>
      </c>
      <c r="C307">
        <v>2007</v>
      </c>
      <c r="D307" t="s">
        <v>54</v>
      </c>
      <c r="E307" t="s">
        <v>55</v>
      </c>
      <c r="F307">
        <v>6</v>
      </c>
      <c r="G307" t="s">
        <v>30</v>
      </c>
      <c r="H307">
        <v>4</v>
      </c>
      <c r="I307" t="s">
        <v>23</v>
      </c>
      <c r="J307" t="s">
        <v>24</v>
      </c>
      <c r="L307" t="s">
        <v>57</v>
      </c>
      <c r="M307" t="s">
        <v>78</v>
      </c>
      <c r="N307">
        <v>1.7</v>
      </c>
      <c r="O307" t="s">
        <v>27</v>
      </c>
      <c r="S307" s="3">
        <v>1000</v>
      </c>
      <c r="T307" s="2">
        <v>1743.790649414062</v>
      </c>
      <c r="U307" s="2">
        <v>5472.5293266912158</v>
      </c>
      <c r="V307" s="2">
        <v>30.214310070476131</v>
      </c>
      <c r="W307" s="2">
        <v>1371.916870117188</v>
      </c>
      <c r="X307" s="4">
        <f t="shared" si="16"/>
        <v>0.57346333422306972</v>
      </c>
      <c r="Y307" s="4">
        <f t="shared" si="17"/>
        <v>0.18273086178317788</v>
      </c>
      <c r="Z307" s="4">
        <f t="shared" si="18"/>
        <v>33.096900034038789</v>
      </c>
      <c r="AA307" s="4">
        <f t="shared" si="19"/>
        <v>0.72890713845845545</v>
      </c>
    </row>
    <row r="308" spans="1:27" x14ac:dyDescent="0.3">
      <c r="A308" t="s">
        <v>135</v>
      </c>
      <c r="B308">
        <v>28128</v>
      </c>
      <c r="C308">
        <v>2022</v>
      </c>
      <c r="D308" t="s">
        <v>20</v>
      </c>
      <c r="E308" t="s">
        <v>305</v>
      </c>
      <c r="F308">
        <v>8</v>
      </c>
      <c r="G308" t="s">
        <v>22</v>
      </c>
      <c r="H308">
        <v>4</v>
      </c>
      <c r="I308" t="s">
        <v>23</v>
      </c>
      <c r="J308" t="s">
        <v>42</v>
      </c>
      <c r="K308" t="s">
        <v>27</v>
      </c>
      <c r="L308" t="s">
        <v>166</v>
      </c>
      <c r="M308">
        <v>4</v>
      </c>
      <c r="N308">
        <v>4.5</v>
      </c>
      <c r="O308" t="s">
        <v>27</v>
      </c>
      <c r="S308" s="3">
        <v>43000</v>
      </c>
      <c r="T308" s="2">
        <v>56624.64453125</v>
      </c>
      <c r="U308" s="2">
        <v>53933.014383504968</v>
      </c>
      <c r="V308" s="2">
        <v>63594.60293364658</v>
      </c>
      <c r="W308" s="2">
        <v>93241.7734375</v>
      </c>
      <c r="X308" s="4">
        <f t="shared" si="16"/>
        <v>0.75938666557578416</v>
      </c>
      <c r="Y308" s="4">
        <f t="shared" si="17"/>
        <v>0.79728530829441724</v>
      </c>
      <c r="Z308" s="4">
        <f t="shared" si="18"/>
        <v>0.67615800738413911</v>
      </c>
      <c r="AA308" s="4">
        <f t="shared" si="19"/>
        <v>0.46116668972220826</v>
      </c>
    </row>
    <row r="309" spans="1:27" x14ac:dyDescent="0.3">
      <c r="A309" t="s">
        <v>135</v>
      </c>
      <c r="B309">
        <v>29407</v>
      </c>
      <c r="C309">
        <v>2018</v>
      </c>
      <c r="D309" t="s">
        <v>40</v>
      </c>
      <c r="E309" t="s">
        <v>79</v>
      </c>
      <c r="F309">
        <v>8</v>
      </c>
      <c r="G309" t="s">
        <v>47</v>
      </c>
      <c r="H309">
        <v>4</v>
      </c>
      <c r="I309" t="s">
        <v>23</v>
      </c>
      <c r="J309" t="s">
        <v>42</v>
      </c>
      <c r="L309" t="s">
        <v>130</v>
      </c>
      <c r="M309">
        <v>4</v>
      </c>
      <c r="N309">
        <v>2.2000000000000002</v>
      </c>
      <c r="O309" t="s">
        <v>27</v>
      </c>
      <c r="S309" s="3">
        <v>29000</v>
      </c>
      <c r="T309" s="2">
        <v>46431.29296875</v>
      </c>
      <c r="U309" s="2">
        <v>42132.643515622003</v>
      </c>
      <c r="V309" s="2">
        <v>37378.287743346496</v>
      </c>
      <c r="W309" s="2">
        <v>51035.87890625</v>
      </c>
      <c r="X309" s="4">
        <f t="shared" si="16"/>
        <v>0.62457877318898025</v>
      </c>
      <c r="Y309" s="4">
        <f t="shared" si="17"/>
        <v>0.68830240830360756</v>
      </c>
      <c r="Z309" s="4">
        <f t="shared" si="18"/>
        <v>0.77585148359724243</v>
      </c>
      <c r="AA309" s="4">
        <f t="shared" si="19"/>
        <v>0.56822769826833686</v>
      </c>
    </row>
    <row r="310" spans="1:27" x14ac:dyDescent="0.3">
      <c r="A310" t="s">
        <v>135</v>
      </c>
      <c r="B310">
        <v>1</v>
      </c>
      <c r="C310">
        <v>2016</v>
      </c>
      <c r="D310" t="s">
        <v>100</v>
      </c>
      <c r="E310" t="s">
        <v>155</v>
      </c>
      <c r="F310">
        <v>4</v>
      </c>
      <c r="G310" t="s">
        <v>59</v>
      </c>
      <c r="H310">
        <v>4</v>
      </c>
      <c r="I310" t="s">
        <v>23</v>
      </c>
      <c r="J310" t="s">
        <v>31</v>
      </c>
      <c r="L310" t="s">
        <v>87</v>
      </c>
      <c r="M310" t="s">
        <v>33</v>
      </c>
      <c r="N310">
        <v>1.5</v>
      </c>
      <c r="O310" t="s">
        <v>123</v>
      </c>
      <c r="S310" s="3">
        <v>700</v>
      </c>
      <c r="T310" s="2">
        <v>1386.810791015625</v>
      </c>
      <c r="U310" s="2">
        <v>3301.0489542111068</v>
      </c>
      <c r="V310" s="2">
        <v>-922.49978190940783</v>
      </c>
      <c r="W310" s="2">
        <v>3941.310546875</v>
      </c>
      <c r="X310" s="4">
        <f t="shared" si="16"/>
        <v>0.50475523015461821</v>
      </c>
      <c r="Y310" s="4">
        <f t="shared" si="17"/>
        <v>0.21205380765620541</v>
      </c>
      <c r="Z310" s="4">
        <f t="shared" si="18"/>
        <v>-0.75880776746757217</v>
      </c>
      <c r="AA310" s="4">
        <f t="shared" si="19"/>
        <v>0.17760589826016587</v>
      </c>
    </row>
    <row r="311" spans="1:27" x14ac:dyDescent="0.3">
      <c r="A311" t="s">
        <v>135</v>
      </c>
      <c r="B311">
        <v>164947</v>
      </c>
      <c r="C311">
        <v>2014</v>
      </c>
      <c r="D311" t="s">
        <v>125</v>
      </c>
      <c r="E311" t="s">
        <v>306</v>
      </c>
      <c r="F311">
        <v>4</v>
      </c>
      <c r="G311" t="s">
        <v>30</v>
      </c>
      <c r="H311">
        <v>4</v>
      </c>
      <c r="I311" t="s">
        <v>23</v>
      </c>
      <c r="J311" t="s">
        <v>24</v>
      </c>
      <c r="K311" t="s">
        <v>27</v>
      </c>
      <c r="L311" t="s">
        <v>60</v>
      </c>
      <c r="M311" t="s">
        <v>33</v>
      </c>
      <c r="N311">
        <v>0</v>
      </c>
      <c r="O311" t="s">
        <v>27</v>
      </c>
      <c r="S311" s="3">
        <v>2600</v>
      </c>
      <c r="T311" s="2">
        <v>4099.02099609375</v>
      </c>
      <c r="U311" s="2">
        <v>4428.7862885577651</v>
      </c>
      <c r="V311" s="2">
        <v>3824.9263457256561</v>
      </c>
      <c r="W311" s="2">
        <v>4449.6650390625</v>
      </c>
      <c r="X311" s="4">
        <f t="shared" si="16"/>
        <v>0.63429780000583691</v>
      </c>
      <c r="Y311" s="4">
        <f t="shared" si="17"/>
        <v>0.58706829153562301</v>
      </c>
      <c r="Z311" s="4">
        <f t="shared" si="18"/>
        <v>0.67975165140251459</v>
      </c>
      <c r="AA311" s="4">
        <f t="shared" si="19"/>
        <v>0.58431364544864572</v>
      </c>
    </row>
    <row r="312" spans="1:27" x14ac:dyDescent="0.3">
      <c r="A312" t="s">
        <v>135</v>
      </c>
      <c r="B312">
        <v>142361</v>
      </c>
      <c r="C312">
        <v>2013</v>
      </c>
      <c r="D312" t="s">
        <v>40</v>
      </c>
      <c r="E312" t="s">
        <v>63</v>
      </c>
      <c r="F312">
        <v>4</v>
      </c>
      <c r="G312" t="s">
        <v>36</v>
      </c>
      <c r="H312">
        <v>4</v>
      </c>
      <c r="I312" t="s">
        <v>23</v>
      </c>
      <c r="J312" t="s">
        <v>24</v>
      </c>
      <c r="K312" t="s">
        <v>27</v>
      </c>
      <c r="L312" t="s">
        <v>60</v>
      </c>
      <c r="M312" t="s">
        <v>33</v>
      </c>
      <c r="N312">
        <v>0</v>
      </c>
      <c r="O312" t="s">
        <v>27</v>
      </c>
      <c r="S312" s="3">
        <v>1000</v>
      </c>
      <c r="T312" s="2">
        <v>5121.962890625</v>
      </c>
      <c r="U312" s="2">
        <v>4579.8666414580566</v>
      </c>
      <c r="V312" s="2">
        <v>4249.4639812112246</v>
      </c>
      <c r="W312" s="2">
        <v>4828.90380859375</v>
      </c>
      <c r="X312" s="4">
        <f t="shared" si="16"/>
        <v>0.19523765036063673</v>
      </c>
      <c r="Y312" s="4">
        <f t="shared" si="17"/>
        <v>0.21834696909026979</v>
      </c>
      <c r="Z312" s="4">
        <f t="shared" si="18"/>
        <v>0.23532379717099522</v>
      </c>
      <c r="AA312" s="4">
        <f t="shared" si="19"/>
        <v>0.2070863367003401</v>
      </c>
    </row>
    <row r="313" spans="1:27" x14ac:dyDescent="0.3">
      <c r="A313" t="s">
        <v>135</v>
      </c>
      <c r="B313">
        <v>46738</v>
      </c>
      <c r="C313">
        <v>2011</v>
      </c>
      <c r="D313" t="s">
        <v>100</v>
      </c>
      <c r="E313" t="s">
        <v>192</v>
      </c>
      <c r="F313">
        <v>4</v>
      </c>
      <c r="G313" t="s">
        <v>22</v>
      </c>
      <c r="H313">
        <v>4</v>
      </c>
      <c r="I313" t="s">
        <v>23</v>
      </c>
      <c r="J313" t="s">
        <v>31</v>
      </c>
      <c r="K313" t="s">
        <v>27</v>
      </c>
      <c r="L313" t="s">
        <v>127</v>
      </c>
      <c r="M313" t="s">
        <v>33</v>
      </c>
      <c r="N313">
        <v>2.7</v>
      </c>
      <c r="O313" t="s">
        <v>27</v>
      </c>
      <c r="S313" s="3">
        <v>4500</v>
      </c>
      <c r="T313" s="2">
        <v>2980.194091796875</v>
      </c>
      <c r="U313" s="2">
        <v>4777.3072531613407</v>
      </c>
      <c r="V313" s="2">
        <v>5032.2060799814844</v>
      </c>
      <c r="W313" s="2">
        <v>4959.62841796875</v>
      </c>
      <c r="X313" s="4">
        <f t="shared" si="16"/>
        <v>1.5099687676002254</v>
      </c>
      <c r="Y313" s="4">
        <f t="shared" si="17"/>
        <v>0.94195323045679447</v>
      </c>
      <c r="Z313" s="4">
        <f t="shared" si="18"/>
        <v>0.89424000696262373</v>
      </c>
      <c r="AA313" s="4">
        <f t="shared" si="19"/>
        <v>0.90732603751048879</v>
      </c>
    </row>
    <row r="314" spans="1:27" x14ac:dyDescent="0.3">
      <c r="A314" t="s">
        <v>135</v>
      </c>
      <c r="B314">
        <v>142412</v>
      </c>
      <c r="C314">
        <v>2022</v>
      </c>
      <c r="D314" t="s">
        <v>54</v>
      </c>
      <c r="E314" t="s">
        <v>219</v>
      </c>
      <c r="F314">
        <v>6</v>
      </c>
      <c r="G314" t="s">
        <v>36</v>
      </c>
      <c r="H314">
        <v>4</v>
      </c>
      <c r="I314" t="s">
        <v>23</v>
      </c>
      <c r="J314" t="s">
        <v>24</v>
      </c>
      <c r="K314" t="s">
        <v>27</v>
      </c>
      <c r="L314" t="s">
        <v>26</v>
      </c>
      <c r="M314">
        <v>4</v>
      </c>
      <c r="N314">
        <v>4.5999999999999899</v>
      </c>
      <c r="O314" t="s">
        <v>27</v>
      </c>
      <c r="S314" s="3">
        <v>18250</v>
      </c>
      <c r="T314" s="2">
        <v>20657.060546875</v>
      </c>
      <c r="U314" s="2">
        <v>19411.18489410061</v>
      </c>
      <c r="V314" s="2">
        <v>20056.907959437191</v>
      </c>
      <c r="W314" s="2">
        <v>19134.51953125</v>
      </c>
      <c r="X314" s="4">
        <f t="shared" si="16"/>
        <v>0.88347516620707489</v>
      </c>
      <c r="Y314" s="4">
        <f t="shared" si="17"/>
        <v>0.94017959746220781</v>
      </c>
      <c r="Z314" s="4">
        <f t="shared" si="18"/>
        <v>0.90991094125318539</v>
      </c>
      <c r="AA314" s="4">
        <f t="shared" si="19"/>
        <v>0.95377362207577643</v>
      </c>
    </row>
    <row r="315" spans="1:27" x14ac:dyDescent="0.3">
      <c r="A315" t="s">
        <v>135</v>
      </c>
      <c r="B315">
        <v>70088</v>
      </c>
      <c r="C315">
        <v>2020</v>
      </c>
      <c r="D315" t="s">
        <v>85</v>
      </c>
      <c r="E315" t="s">
        <v>228</v>
      </c>
      <c r="F315">
        <v>4</v>
      </c>
      <c r="G315" t="s">
        <v>30</v>
      </c>
      <c r="H315">
        <v>4</v>
      </c>
      <c r="I315" t="s">
        <v>23</v>
      </c>
      <c r="J315" t="s">
        <v>31</v>
      </c>
      <c r="K315" t="s">
        <v>27</v>
      </c>
      <c r="L315" t="s">
        <v>60</v>
      </c>
      <c r="M315" t="s">
        <v>33</v>
      </c>
      <c r="N315">
        <v>4.5999999999999899</v>
      </c>
      <c r="O315" t="s">
        <v>27</v>
      </c>
      <c r="S315" s="3">
        <v>11250</v>
      </c>
      <c r="T315" s="2">
        <v>16064.2880859375</v>
      </c>
      <c r="U315" s="2">
        <v>15258.916381202491</v>
      </c>
      <c r="V315" s="2">
        <v>14437.12913977441</v>
      </c>
      <c r="W315" s="2">
        <v>15909.9482421875</v>
      </c>
      <c r="X315" s="4">
        <f t="shared" si="16"/>
        <v>0.70031114605371936</v>
      </c>
      <c r="Y315" s="4">
        <f t="shared" si="17"/>
        <v>0.73727384821761732</v>
      </c>
      <c r="Z315" s="4">
        <f t="shared" si="18"/>
        <v>0.77924079580379713</v>
      </c>
      <c r="AA315" s="4">
        <f t="shared" si="19"/>
        <v>0.7071047516150315</v>
      </c>
    </row>
    <row r="316" spans="1:27" x14ac:dyDescent="0.3">
      <c r="A316" t="s">
        <v>296</v>
      </c>
      <c r="B316">
        <v>165609</v>
      </c>
      <c r="C316">
        <v>2016</v>
      </c>
      <c r="D316" t="s">
        <v>44</v>
      </c>
      <c r="E316" t="s">
        <v>307</v>
      </c>
      <c r="F316">
        <v>4</v>
      </c>
      <c r="G316" t="s">
        <v>47</v>
      </c>
      <c r="H316">
        <v>4</v>
      </c>
      <c r="I316" t="s">
        <v>23</v>
      </c>
      <c r="J316" t="s">
        <v>37</v>
      </c>
      <c r="K316" t="s">
        <v>27</v>
      </c>
      <c r="L316" t="s">
        <v>96</v>
      </c>
      <c r="M316" t="s">
        <v>33</v>
      </c>
      <c r="N316">
        <v>0</v>
      </c>
      <c r="O316" t="s">
        <v>27</v>
      </c>
      <c r="S316" s="3">
        <v>1100</v>
      </c>
      <c r="T316" s="2">
        <v>4350.64697265625</v>
      </c>
      <c r="U316" s="2">
        <v>4268.9473940516946</v>
      </c>
      <c r="V316" s="2">
        <v>3664.6300627875062</v>
      </c>
      <c r="W316" s="2">
        <v>3834.59228515625</v>
      </c>
      <c r="X316" s="4">
        <f t="shared" si="16"/>
        <v>0.25283595909148299</v>
      </c>
      <c r="Y316" s="4">
        <f t="shared" si="17"/>
        <v>0.25767476112090959</v>
      </c>
      <c r="Z316" s="4">
        <f t="shared" si="18"/>
        <v>0.30016672383113163</v>
      </c>
      <c r="AA316" s="4">
        <f t="shared" si="19"/>
        <v>0.2868623097840447</v>
      </c>
    </row>
    <row r="317" spans="1:27" x14ac:dyDescent="0.3">
      <c r="A317" t="s">
        <v>296</v>
      </c>
      <c r="B317">
        <v>186027</v>
      </c>
      <c r="C317">
        <v>2020</v>
      </c>
      <c r="D317" t="s">
        <v>40</v>
      </c>
      <c r="E317" t="s">
        <v>41</v>
      </c>
      <c r="F317">
        <v>8</v>
      </c>
      <c r="G317" t="s">
        <v>47</v>
      </c>
      <c r="H317">
        <v>4</v>
      </c>
      <c r="I317" t="s">
        <v>23</v>
      </c>
      <c r="J317" t="s">
        <v>42</v>
      </c>
      <c r="L317" t="s">
        <v>43</v>
      </c>
      <c r="M317" t="s">
        <v>78</v>
      </c>
      <c r="N317">
        <v>2.8</v>
      </c>
      <c r="O317" t="s">
        <v>27</v>
      </c>
      <c r="S317" s="3">
        <v>8700</v>
      </c>
      <c r="T317" s="2">
        <v>14937.9345703125</v>
      </c>
      <c r="U317" s="2">
        <v>21671.74500080552</v>
      </c>
      <c r="V317" s="2">
        <v>11832.895964266239</v>
      </c>
      <c r="W317" s="2">
        <v>21619.2265625</v>
      </c>
      <c r="X317" s="4">
        <f t="shared" si="16"/>
        <v>0.58240983444192429</v>
      </c>
      <c r="Y317" s="4">
        <f t="shared" si="17"/>
        <v>0.40144436913947762</v>
      </c>
      <c r="Z317" s="4">
        <f t="shared" si="18"/>
        <v>0.73523844258183579</v>
      </c>
      <c r="AA317" s="4">
        <f t="shared" si="19"/>
        <v>0.40241957661384309</v>
      </c>
    </row>
    <row r="318" spans="1:27" x14ac:dyDescent="0.3">
      <c r="A318" t="s">
        <v>296</v>
      </c>
      <c r="B318">
        <v>30961</v>
      </c>
      <c r="C318">
        <v>2023</v>
      </c>
      <c r="D318" t="s">
        <v>40</v>
      </c>
      <c r="E318" t="s">
        <v>63</v>
      </c>
      <c r="F318">
        <v>4</v>
      </c>
      <c r="G318" t="s">
        <v>47</v>
      </c>
      <c r="H318">
        <v>4</v>
      </c>
      <c r="I318" t="s">
        <v>23</v>
      </c>
      <c r="J318" t="s">
        <v>24</v>
      </c>
      <c r="K318" t="s">
        <v>27</v>
      </c>
      <c r="L318" t="s">
        <v>107</v>
      </c>
      <c r="M318" t="s">
        <v>33</v>
      </c>
      <c r="N318">
        <v>2.2000000000000002</v>
      </c>
      <c r="O318" t="s">
        <v>27</v>
      </c>
      <c r="S318" s="3">
        <v>16000</v>
      </c>
      <c r="T318" s="2">
        <v>18495.251953125</v>
      </c>
      <c r="U318" s="2">
        <v>20523.027277385889</v>
      </c>
      <c r="V318" s="2">
        <v>14405.36396724449</v>
      </c>
      <c r="W318" s="2">
        <v>18892.833984375</v>
      </c>
      <c r="X318" s="4">
        <f t="shared" si="16"/>
        <v>0.86508689043820264</v>
      </c>
      <c r="Y318" s="4">
        <f t="shared" si="17"/>
        <v>0.77961208079814981</v>
      </c>
      <c r="Z318" s="4">
        <f t="shared" si="18"/>
        <v>1.1106973788639745</v>
      </c>
      <c r="AA318" s="4">
        <f t="shared" si="19"/>
        <v>0.84688194546315976</v>
      </c>
    </row>
    <row r="319" spans="1:27" x14ac:dyDescent="0.3">
      <c r="A319" t="s">
        <v>296</v>
      </c>
      <c r="B319">
        <v>214864</v>
      </c>
      <c r="C319">
        <v>2014</v>
      </c>
      <c r="D319" t="s">
        <v>50</v>
      </c>
      <c r="E319" t="s">
        <v>51</v>
      </c>
      <c r="F319">
        <v>6</v>
      </c>
      <c r="G319" t="s">
        <v>22</v>
      </c>
      <c r="H319">
        <v>4</v>
      </c>
      <c r="I319" t="s">
        <v>23</v>
      </c>
      <c r="J319" t="s">
        <v>31</v>
      </c>
      <c r="K319" t="s">
        <v>27</v>
      </c>
      <c r="L319" t="s">
        <v>53</v>
      </c>
      <c r="M319" t="s">
        <v>78</v>
      </c>
      <c r="N319">
        <v>2.9</v>
      </c>
      <c r="O319" t="s">
        <v>123</v>
      </c>
      <c r="S319" s="3">
        <v>1600</v>
      </c>
      <c r="T319" s="2">
        <v>1182.387939453125</v>
      </c>
      <c r="U319" s="2">
        <v>1863.449223361084</v>
      </c>
      <c r="V319" s="2">
        <v>1854.5116992962469</v>
      </c>
      <c r="W319" s="2">
        <v>2178.503173828125</v>
      </c>
      <c r="X319" s="4">
        <f t="shared" si="16"/>
        <v>1.3531937755894465</v>
      </c>
      <c r="Y319" s="4">
        <f t="shared" si="17"/>
        <v>0.85862280546292358</v>
      </c>
      <c r="Z319" s="4">
        <f t="shared" si="18"/>
        <v>0.8627608014590421</v>
      </c>
      <c r="AA319" s="4">
        <f t="shared" si="19"/>
        <v>0.73444923983674371</v>
      </c>
    </row>
    <row r="320" spans="1:27" x14ac:dyDescent="0.3">
      <c r="A320" t="s">
        <v>296</v>
      </c>
      <c r="B320">
        <v>78592</v>
      </c>
      <c r="C320">
        <v>2016</v>
      </c>
      <c r="D320" t="s">
        <v>85</v>
      </c>
      <c r="E320" t="s">
        <v>228</v>
      </c>
      <c r="F320">
        <v>4</v>
      </c>
      <c r="G320" t="s">
        <v>256</v>
      </c>
      <c r="H320">
        <v>4</v>
      </c>
      <c r="I320" t="s">
        <v>23</v>
      </c>
      <c r="J320" t="s">
        <v>31</v>
      </c>
      <c r="K320" t="s">
        <v>27</v>
      </c>
      <c r="L320" t="s">
        <v>60</v>
      </c>
      <c r="M320" t="s">
        <v>33</v>
      </c>
      <c r="N320">
        <v>2.2999999999999901</v>
      </c>
      <c r="O320" t="s">
        <v>27</v>
      </c>
      <c r="S320" s="3">
        <v>6750</v>
      </c>
      <c r="T320" s="2">
        <v>6934.69921875</v>
      </c>
      <c r="U320" s="2">
        <v>6683.9507697605322</v>
      </c>
      <c r="V320" s="2">
        <v>6754.2929899449919</v>
      </c>
      <c r="W320" s="2">
        <v>6936.61572265625</v>
      </c>
      <c r="X320" s="4">
        <f t="shared" si="16"/>
        <v>0.97336593658588522</v>
      </c>
      <c r="Y320" s="4">
        <f t="shared" si="17"/>
        <v>1.0098817649193779</v>
      </c>
      <c r="Z320" s="4">
        <f t="shared" si="18"/>
        <v>0.99936440572664187</v>
      </c>
      <c r="AA320" s="4">
        <f t="shared" si="19"/>
        <v>0.97309700722692061</v>
      </c>
    </row>
    <row r="321" spans="1:27" x14ac:dyDescent="0.3">
      <c r="A321" t="s">
        <v>296</v>
      </c>
      <c r="B321">
        <v>175077</v>
      </c>
      <c r="C321">
        <v>2014</v>
      </c>
      <c r="D321" t="s">
        <v>74</v>
      </c>
      <c r="E321" t="s">
        <v>75</v>
      </c>
      <c r="F321">
        <v>8</v>
      </c>
      <c r="G321" t="s">
        <v>59</v>
      </c>
      <c r="H321">
        <v>4</v>
      </c>
      <c r="I321" t="s">
        <v>23</v>
      </c>
      <c r="J321" t="s">
        <v>42</v>
      </c>
      <c r="K321" t="s">
        <v>27</v>
      </c>
      <c r="L321" t="s">
        <v>84</v>
      </c>
      <c r="M321" t="s">
        <v>78</v>
      </c>
      <c r="N321">
        <v>2</v>
      </c>
      <c r="O321" t="s">
        <v>27</v>
      </c>
      <c r="S321" s="3">
        <v>5200</v>
      </c>
      <c r="T321" s="2">
        <v>6264.1923828125</v>
      </c>
      <c r="U321" s="2">
        <v>6100.1579395743647</v>
      </c>
      <c r="V321" s="2">
        <v>6623.0917171277561</v>
      </c>
      <c r="W321" s="2">
        <v>5951.943359375</v>
      </c>
      <c r="X321" s="4">
        <f t="shared" si="16"/>
        <v>0.83011499044435499</v>
      </c>
      <c r="Y321" s="4">
        <f t="shared" si="17"/>
        <v>0.85243694532322667</v>
      </c>
      <c r="Z321" s="4">
        <f t="shared" si="18"/>
        <v>0.78513181186249525</v>
      </c>
      <c r="AA321" s="4">
        <f t="shared" si="19"/>
        <v>0.87366422797175947</v>
      </c>
    </row>
    <row r="322" spans="1:27" x14ac:dyDescent="0.3">
      <c r="A322" t="s">
        <v>296</v>
      </c>
      <c r="B322">
        <v>158305</v>
      </c>
      <c r="C322">
        <v>2016</v>
      </c>
      <c r="D322" t="s">
        <v>20</v>
      </c>
      <c r="E322" t="s">
        <v>151</v>
      </c>
      <c r="F322">
        <v>6</v>
      </c>
      <c r="G322" t="s">
        <v>47</v>
      </c>
      <c r="H322">
        <v>4</v>
      </c>
      <c r="I322" t="s">
        <v>23</v>
      </c>
      <c r="J322" t="s">
        <v>152</v>
      </c>
      <c r="L322" t="s">
        <v>308</v>
      </c>
      <c r="M322" t="s">
        <v>78</v>
      </c>
      <c r="N322">
        <v>1.5</v>
      </c>
      <c r="O322" t="s">
        <v>27</v>
      </c>
      <c r="S322" s="3">
        <v>7800</v>
      </c>
      <c r="T322" s="2">
        <v>7095.1865234375</v>
      </c>
      <c r="U322" s="2">
        <v>9036.4794017483837</v>
      </c>
      <c r="V322" s="2">
        <v>5301.5043290265476</v>
      </c>
      <c r="W322" s="2">
        <v>8581.41015625</v>
      </c>
      <c r="X322" s="4">
        <f t="shared" ref="X322:X385" si="20">S322/T322</f>
        <v>1.0993368495999778</v>
      </c>
      <c r="Y322" s="4">
        <f t="shared" ref="Y322:Y385" si="21">S322/U322</f>
        <v>0.86316801635057683</v>
      </c>
      <c r="Z322" s="4">
        <f t="shared" ref="Z322:Z385" si="22">S322/V322</f>
        <v>1.4712805113246454</v>
      </c>
      <c r="AA322" s="4">
        <f t="shared" ref="AA322:AA385" si="23">S322/W322</f>
        <v>0.90894152102951464</v>
      </c>
    </row>
    <row r="323" spans="1:27" x14ac:dyDescent="0.3">
      <c r="A323" t="s">
        <v>296</v>
      </c>
      <c r="B323">
        <v>67424</v>
      </c>
      <c r="C323">
        <v>2020</v>
      </c>
      <c r="D323" t="s">
        <v>44</v>
      </c>
      <c r="E323" t="s">
        <v>284</v>
      </c>
      <c r="F323">
        <v>4</v>
      </c>
      <c r="G323" t="s">
        <v>66</v>
      </c>
      <c r="H323">
        <v>4</v>
      </c>
      <c r="I323" t="s">
        <v>23</v>
      </c>
      <c r="J323" t="s">
        <v>285</v>
      </c>
      <c r="K323" t="s">
        <v>27</v>
      </c>
      <c r="L323" t="s">
        <v>69</v>
      </c>
      <c r="M323">
        <v>4</v>
      </c>
      <c r="N323">
        <v>2.2000000000000002</v>
      </c>
      <c r="O323" t="s">
        <v>27</v>
      </c>
      <c r="S323" s="3">
        <v>20750</v>
      </c>
      <c r="T323" s="2">
        <v>17647.51953125</v>
      </c>
      <c r="U323" s="2">
        <v>16641.753542855371</v>
      </c>
      <c r="V323" s="2">
        <v>19711.63413588257</v>
      </c>
      <c r="W323" s="2">
        <v>18458.15234375</v>
      </c>
      <c r="X323" s="4">
        <f t="shared" si="20"/>
        <v>1.1758026369233459</v>
      </c>
      <c r="Y323" s="4">
        <f t="shared" si="21"/>
        <v>1.2468637963280245</v>
      </c>
      <c r="Z323" s="4">
        <f t="shared" si="22"/>
        <v>1.0526778174229205</v>
      </c>
      <c r="AA323" s="4">
        <f t="shared" si="23"/>
        <v>1.1241645216470448</v>
      </c>
    </row>
    <row r="324" spans="1:27" x14ac:dyDescent="0.3">
      <c r="A324" t="s">
        <v>296</v>
      </c>
      <c r="B324">
        <v>74147</v>
      </c>
      <c r="C324">
        <v>2017</v>
      </c>
      <c r="D324" t="s">
        <v>40</v>
      </c>
      <c r="E324" t="s">
        <v>257</v>
      </c>
      <c r="F324">
        <v>4</v>
      </c>
      <c r="G324" t="s">
        <v>47</v>
      </c>
      <c r="H324">
        <v>4</v>
      </c>
      <c r="I324" t="s">
        <v>23</v>
      </c>
      <c r="J324" t="s">
        <v>42</v>
      </c>
      <c r="K324" t="s">
        <v>27</v>
      </c>
      <c r="L324" t="s">
        <v>309</v>
      </c>
      <c r="M324">
        <v>4</v>
      </c>
      <c r="N324">
        <v>1.4</v>
      </c>
      <c r="O324" t="s">
        <v>27</v>
      </c>
      <c r="S324" s="3">
        <v>14400</v>
      </c>
      <c r="T324" s="2">
        <v>11670.6123046875</v>
      </c>
      <c r="U324" s="2">
        <v>12653.220909256501</v>
      </c>
      <c r="V324" s="2">
        <v>20358.267424802008</v>
      </c>
      <c r="W324" s="2">
        <v>13734.5400390625</v>
      </c>
      <c r="X324" s="4">
        <f t="shared" si="20"/>
        <v>1.2338684230146384</v>
      </c>
      <c r="Y324" s="4">
        <f t="shared" si="21"/>
        <v>1.1380501536542083</v>
      </c>
      <c r="Z324" s="4">
        <f t="shared" si="22"/>
        <v>0.70732934682137105</v>
      </c>
      <c r="AA324" s="4">
        <f t="shared" si="23"/>
        <v>1.0484515651084683</v>
      </c>
    </row>
    <row r="325" spans="1:27" x14ac:dyDescent="0.3">
      <c r="A325" t="s">
        <v>296</v>
      </c>
      <c r="B325">
        <v>93477</v>
      </c>
      <c r="C325">
        <v>2018</v>
      </c>
      <c r="D325" t="s">
        <v>85</v>
      </c>
      <c r="E325" t="s">
        <v>292</v>
      </c>
      <c r="F325">
        <v>4</v>
      </c>
      <c r="G325" t="s">
        <v>47</v>
      </c>
      <c r="H325">
        <v>4</v>
      </c>
      <c r="I325" t="s">
        <v>23</v>
      </c>
      <c r="J325" t="s">
        <v>24</v>
      </c>
      <c r="K325" t="s">
        <v>27</v>
      </c>
      <c r="L325" t="s">
        <v>60</v>
      </c>
      <c r="M325" t="s">
        <v>23</v>
      </c>
      <c r="N325">
        <v>3.3</v>
      </c>
      <c r="O325" t="s">
        <v>27</v>
      </c>
      <c r="S325" s="3">
        <v>6500</v>
      </c>
      <c r="T325" s="2">
        <v>12336.42578125</v>
      </c>
      <c r="U325" s="2">
        <v>10996.135514613599</v>
      </c>
      <c r="V325" s="2">
        <v>8617.8745950976827</v>
      </c>
      <c r="W325" s="2">
        <v>11771.279296875</v>
      </c>
      <c r="X325" s="4">
        <f t="shared" si="20"/>
        <v>0.52689491391252719</v>
      </c>
      <c r="Y325" s="4">
        <f t="shared" si="21"/>
        <v>0.59111676018921888</v>
      </c>
      <c r="Z325" s="4">
        <f t="shared" si="22"/>
        <v>0.7542462968418634</v>
      </c>
      <c r="AA325" s="4">
        <f t="shared" si="23"/>
        <v>0.55219146840952094</v>
      </c>
    </row>
    <row r="326" spans="1:27" x14ac:dyDescent="0.3">
      <c r="A326" t="s">
        <v>70</v>
      </c>
      <c r="B326">
        <v>211822</v>
      </c>
      <c r="C326">
        <v>2016</v>
      </c>
      <c r="D326" t="s">
        <v>44</v>
      </c>
      <c r="E326" t="s">
        <v>196</v>
      </c>
      <c r="F326">
        <v>6</v>
      </c>
      <c r="G326" t="s">
        <v>47</v>
      </c>
      <c r="H326">
        <v>3</v>
      </c>
      <c r="I326" t="s">
        <v>23</v>
      </c>
      <c r="J326" t="s">
        <v>197</v>
      </c>
      <c r="L326" t="s">
        <v>198</v>
      </c>
      <c r="M326" t="s">
        <v>78</v>
      </c>
      <c r="N326">
        <v>1</v>
      </c>
      <c r="O326" t="s">
        <v>27</v>
      </c>
      <c r="S326" s="3">
        <v>2800</v>
      </c>
      <c r="T326" s="2">
        <v>5542.63232421875</v>
      </c>
      <c r="U326" s="2">
        <v>5891.2686175919898</v>
      </c>
      <c r="V326" s="2">
        <v>4386.0588278110072</v>
      </c>
      <c r="W326" s="2">
        <v>6220.50634765625</v>
      </c>
      <c r="X326" s="4">
        <f t="shared" si="20"/>
        <v>0.50517512911063756</v>
      </c>
      <c r="Y326" s="4">
        <f t="shared" si="21"/>
        <v>0.47527963529601852</v>
      </c>
      <c r="Z326" s="4">
        <f t="shared" si="22"/>
        <v>0.63838633039890691</v>
      </c>
      <c r="AA326" s="4">
        <f t="shared" si="23"/>
        <v>0.45012412873028873</v>
      </c>
    </row>
    <row r="327" spans="1:27" x14ac:dyDescent="0.3">
      <c r="A327" t="s">
        <v>70</v>
      </c>
      <c r="B327">
        <v>110928</v>
      </c>
      <c r="C327">
        <v>2020</v>
      </c>
      <c r="D327" t="s">
        <v>141</v>
      </c>
      <c r="E327" t="s">
        <v>258</v>
      </c>
      <c r="F327">
        <v>6</v>
      </c>
      <c r="G327" t="s">
        <v>47</v>
      </c>
      <c r="H327">
        <v>4</v>
      </c>
      <c r="I327" t="s">
        <v>23</v>
      </c>
      <c r="J327" t="s">
        <v>106</v>
      </c>
      <c r="K327" t="s">
        <v>27</v>
      </c>
      <c r="L327" t="s">
        <v>26</v>
      </c>
      <c r="M327" t="s">
        <v>33</v>
      </c>
      <c r="N327">
        <v>2</v>
      </c>
      <c r="O327" t="s">
        <v>27</v>
      </c>
      <c r="S327" s="3">
        <v>10400</v>
      </c>
      <c r="T327" s="2">
        <v>12289.40625</v>
      </c>
      <c r="U327" s="2">
        <v>13719.601947466521</v>
      </c>
      <c r="V327" s="2">
        <v>12881.51036091085</v>
      </c>
      <c r="W327" s="2">
        <v>13873.4912109375</v>
      </c>
      <c r="X327" s="4">
        <f t="shared" si="20"/>
        <v>0.84625732020210498</v>
      </c>
      <c r="Y327" s="4">
        <f t="shared" si="21"/>
        <v>0.75803948538904053</v>
      </c>
      <c r="Z327" s="4">
        <f t="shared" si="22"/>
        <v>0.80735874199651048</v>
      </c>
      <c r="AA327" s="4">
        <f t="shared" si="23"/>
        <v>0.74963106559658976</v>
      </c>
    </row>
    <row r="328" spans="1:27" x14ac:dyDescent="0.3">
      <c r="A328" t="s">
        <v>70</v>
      </c>
      <c r="B328">
        <v>133496</v>
      </c>
      <c r="C328">
        <v>2015</v>
      </c>
      <c r="D328" t="s">
        <v>40</v>
      </c>
      <c r="E328" t="s">
        <v>41</v>
      </c>
      <c r="F328">
        <v>8</v>
      </c>
      <c r="G328" t="s">
        <v>30</v>
      </c>
      <c r="H328">
        <v>4</v>
      </c>
      <c r="I328" t="s">
        <v>23</v>
      </c>
      <c r="J328" t="s">
        <v>42</v>
      </c>
      <c r="K328" t="s">
        <v>27</v>
      </c>
      <c r="L328" t="s">
        <v>43</v>
      </c>
      <c r="M328" t="s">
        <v>78</v>
      </c>
      <c r="N328">
        <v>0</v>
      </c>
      <c r="O328" t="s">
        <v>27</v>
      </c>
      <c r="S328" s="3">
        <v>9000</v>
      </c>
      <c r="T328" s="2">
        <v>13730.6494140625</v>
      </c>
      <c r="U328" s="2">
        <v>20096.885665502199</v>
      </c>
      <c r="V328" s="2">
        <v>11493.694974137659</v>
      </c>
      <c r="W328" s="2">
        <v>15086.8154296875</v>
      </c>
      <c r="X328" s="4">
        <f t="shared" si="20"/>
        <v>0.65546790458304782</v>
      </c>
      <c r="Y328" s="4">
        <f t="shared" si="21"/>
        <v>0.44783058180249141</v>
      </c>
      <c r="Z328" s="4">
        <f t="shared" si="22"/>
        <v>0.78303800651150002</v>
      </c>
      <c r="AA328" s="4">
        <f t="shared" si="23"/>
        <v>0.59654736560838417</v>
      </c>
    </row>
    <row r="329" spans="1:27" x14ac:dyDescent="0.3">
      <c r="A329" t="s">
        <v>70</v>
      </c>
      <c r="B329">
        <v>43030</v>
      </c>
      <c r="C329">
        <v>2023</v>
      </c>
      <c r="D329" t="s">
        <v>85</v>
      </c>
      <c r="E329" t="s">
        <v>86</v>
      </c>
      <c r="F329">
        <v>4</v>
      </c>
      <c r="G329" t="s">
        <v>36</v>
      </c>
      <c r="H329">
        <v>4</v>
      </c>
      <c r="I329" t="s">
        <v>23</v>
      </c>
      <c r="J329" t="s">
        <v>31</v>
      </c>
      <c r="L329" t="s">
        <v>127</v>
      </c>
      <c r="M329" t="s">
        <v>33</v>
      </c>
      <c r="N329">
        <v>0</v>
      </c>
      <c r="O329" t="s">
        <v>27</v>
      </c>
      <c r="S329" s="3">
        <v>13600</v>
      </c>
      <c r="T329" s="2">
        <v>21836.59765625</v>
      </c>
      <c r="U329" s="2">
        <v>22130.30063262576</v>
      </c>
      <c r="V329" s="2">
        <v>18257.562096583551</v>
      </c>
      <c r="W329" s="2">
        <v>20497.0703125</v>
      </c>
      <c r="X329" s="4">
        <f t="shared" si="20"/>
        <v>0.6228076467813406</v>
      </c>
      <c r="Y329" s="4">
        <f t="shared" si="21"/>
        <v>0.6145420356355259</v>
      </c>
      <c r="Z329" s="4">
        <f t="shared" si="22"/>
        <v>0.74489682291946857</v>
      </c>
      <c r="AA329" s="4">
        <f t="shared" si="23"/>
        <v>0.66350945733479438</v>
      </c>
    </row>
    <row r="330" spans="1:27" x14ac:dyDescent="0.3">
      <c r="A330" t="s">
        <v>135</v>
      </c>
      <c r="B330">
        <v>128671</v>
      </c>
      <c r="C330">
        <v>2010</v>
      </c>
      <c r="D330" t="s">
        <v>44</v>
      </c>
      <c r="E330" t="s">
        <v>117</v>
      </c>
      <c r="F330">
        <v>4</v>
      </c>
      <c r="G330" t="s">
        <v>30</v>
      </c>
      <c r="H330">
        <v>4</v>
      </c>
      <c r="I330" t="s">
        <v>23</v>
      </c>
      <c r="J330" t="s">
        <v>24</v>
      </c>
      <c r="L330" t="s">
        <v>102</v>
      </c>
      <c r="M330" t="s">
        <v>33</v>
      </c>
      <c r="N330">
        <v>2.9</v>
      </c>
      <c r="O330" t="s">
        <v>27</v>
      </c>
      <c r="S330" s="3">
        <v>1400</v>
      </c>
      <c r="T330" s="2">
        <v>4292.53515625</v>
      </c>
      <c r="U330" s="2">
        <v>4309.1994270521564</v>
      </c>
      <c r="V330" s="2">
        <v>3703.4456278081361</v>
      </c>
      <c r="W330" s="2">
        <v>3900.235107421875</v>
      </c>
      <c r="X330" s="4">
        <f t="shared" si="20"/>
        <v>0.32614759088497564</v>
      </c>
      <c r="Y330" s="4">
        <f t="shared" si="21"/>
        <v>0.32488633299520187</v>
      </c>
      <c r="Z330" s="4">
        <f t="shared" si="22"/>
        <v>0.37802634106135974</v>
      </c>
      <c r="AA330" s="4">
        <f t="shared" si="23"/>
        <v>0.35895271988498789</v>
      </c>
    </row>
    <row r="331" spans="1:27" x14ac:dyDescent="0.3">
      <c r="A331" t="s">
        <v>135</v>
      </c>
      <c r="B331">
        <v>250134</v>
      </c>
      <c r="C331">
        <v>2010</v>
      </c>
      <c r="D331" t="s">
        <v>28</v>
      </c>
      <c r="E331" t="s">
        <v>310</v>
      </c>
      <c r="F331">
        <v>4</v>
      </c>
      <c r="G331" t="s">
        <v>47</v>
      </c>
      <c r="H331">
        <v>4</v>
      </c>
      <c r="I331" t="s">
        <v>23</v>
      </c>
      <c r="J331" t="s">
        <v>31</v>
      </c>
      <c r="L331" t="s">
        <v>60</v>
      </c>
      <c r="M331" t="s">
        <v>33</v>
      </c>
      <c r="N331">
        <v>1.3</v>
      </c>
      <c r="O331" t="s">
        <v>27</v>
      </c>
      <c r="S331" s="3">
        <v>1000</v>
      </c>
      <c r="T331" s="2">
        <v>2455.445556640625</v>
      </c>
      <c r="U331" s="2">
        <v>2994.175491726679</v>
      </c>
      <c r="V331" s="2">
        <v>1543.765988746371</v>
      </c>
      <c r="W331" s="2">
        <v>2344.320556640625</v>
      </c>
      <c r="X331" s="4">
        <f t="shared" si="20"/>
        <v>0.40725806251152746</v>
      </c>
      <c r="Y331" s="4">
        <f t="shared" si="21"/>
        <v>0.33398175984111095</v>
      </c>
      <c r="Z331" s="4">
        <f t="shared" si="22"/>
        <v>0.64776657038030672</v>
      </c>
      <c r="AA331" s="4">
        <f t="shared" si="23"/>
        <v>0.42656282527888784</v>
      </c>
    </row>
    <row r="332" spans="1:27" x14ac:dyDescent="0.3">
      <c r="A332" t="s">
        <v>135</v>
      </c>
      <c r="B332">
        <v>235058</v>
      </c>
      <c r="C332">
        <v>2016</v>
      </c>
      <c r="D332" t="s">
        <v>90</v>
      </c>
      <c r="E332" t="s">
        <v>91</v>
      </c>
      <c r="F332">
        <v>4</v>
      </c>
      <c r="G332" t="s">
        <v>59</v>
      </c>
      <c r="H332">
        <v>4</v>
      </c>
      <c r="I332" t="s">
        <v>23</v>
      </c>
      <c r="J332" t="s">
        <v>31</v>
      </c>
      <c r="L332" t="s">
        <v>32</v>
      </c>
      <c r="M332" t="s">
        <v>33</v>
      </c>
      <c r="N332">
        <v>1.5</v>
      </c>
      <c r="O332" t="s">
        <v>27</v>
      </c>
      <c r="S332" s="3">
        <v>1200</v>
      </c>
      <c r="T332" s="2">
        <v>2079.449951171875</v>
      </c>
      <c r="U332" s="2">
        <v>1775.4547092158209</v>
      </c>
      <c r="V332" s="2">
        <v>1691.519244310779</v>
      </c>
      <c r="W332" s="2">
        <v>2277.185791015625</v>
      </c>
      <c r="X332" s="4">
        <f t="shared" si="20"/>
        <v>0.57707568259757314</v>
      </c>
      <c r="Y332" s="4">
        <f t="shared" si="21"/>
        <v>0.67588319418748422</v>
      </c>
      <c r="Z332" s="4">
        <f t="shared" si="22"/>
        <v>0.70942142930744378</v>
      </c>
      <c r="AA332" s="4">
        <f t="shared" si="23"/>
        <v>0.52696622503726409</v>
      </c>
    </row>
    <row r="333" spans="1:27" x14ac:dyDescent="0.3">
      <c r="A333" t="s">
        <v>135</v>
      </c>
      <c r="B333">
        <v>210282</v>
      </c>
      <c r="C333">
        <v>2005</v>
      </c>
      <c r="D333" t="s">
        <v>44</v>
      </c>
      <c r="E333" t="s">
        <v>45</v>
      </c>
      <c r="F333">
        <v>8</v>
      </c>
      <c r="G333" t="s">
        <v>171</v>
      </c>
      <c r="H333">
        <v>4</v>
      </c>
      <c r="I333" t="s">
        <v>23</v>
      </c>
      <c r="J333" t="s">
        <v>42</v>
      </c>
      <c r="L333" t="s">
        <v>311</v>
      </c>
      <c r="M333">
        <v>4</v>
      </c>
      <c r="N333">
        <v>1.1000000000000001</v>
      </c>
      <c r="O333" t="s">
        <v>312</v>
      </c>
      <c r="S333" s="3">
        <v>500</v>
      </c>
      <c r="T333" s="2">
        <v>1309.96875</v>
      </c>
      <c r="U333" s="2">
        <v>6972.2954425220178</v>
      </c>
      <c r="V333" s="2">
        <v>-4213.9072495830023</v>
      </c>
      <c r="W333" s="2">
        <v>918.12872314453125</v>
      </c>
      <c r="X333" s="4">
        <f t="shared" si="20"/>
        <v>0.38168849447744457</v>
      </c>
      <c r="Y333" s="4">
        <f t="shared" si="21"/>
        <v>7.171239430713798E-2</v>
      </c>
      <c r="Z333" s="4">
        <f t="shared" si="22"/>
        <v>-0.1186547236058598</v>
      </c>
      <c r="AA333" s="4">
        <f t="shared" si="23"/>
        <v>0.5445859468240275</v>
      </c>
    </row>
    <row r="334" spans="1:27" x14ac:dyDescent="0.3">
      <c r="A334" t="s">
        <v>135</v>
      </c>
      <c r="B334">
        <v>21531</v>
      </c>
      <c r="C334">
        <v>2023</v>
      </c>
      <c r="D334" t="s">
        <v>44</v>
      </c>
      <c r="E334" t="s">
        <v>276</v>
      </c>
      <c r="F334">
        <v>6</v>
      </c>
      <c r="G334" t="s">
        <v>47</v>
      </c>
      <c r="H334">
        <v>3</v>
      </c>
      <c r="I334" t="s">
        <v>23</v>
      </c>
      <c r="J334" t="s">
        <v>197</v>
      </c>
      <c r="L334" t="s">
        <v>38</v>
      </c>
      <c r="M334" t="s">
        <v>78</v>
      </c>
      <c r="N334">
        <v>3.6</v>
      </c>
      <c r="O334" t="s">
        <v>27</v>
      </c>
      <c r="S334" s="3">
        <v>25800</v>
      </c>
      <c r="T334" s="2">
        <v>41913.8671875</v>
      </c>
      <c r="U334" s="2">
        <v>44849.463788913679</v>
      </c>
      <c r="V334" s="2">
        <v>36595.154463733212</v>
      </c>
      <c r="W334" s="2">
        <v>43349.90234375</v>
      </c>
      <c r="X334" s="4">
        <f t="shared" si="20"/>
        <v>0.61554806872352619</v>
      </c>
      <c r="Y334" s="4">
        <f t="shared" si="21"/>
        <v>0.57525771370264389</v>
      </c>
      <c r="Z334" s="4">
        <f t="shared" si="22"/>
        <v>0.70501137044163864</v>
      </c>
      <c r="AA334" s="4">
        <f t="shared" si="23"/>
        <v>0.59515705007625541</v>
      </c>
    </row>
    <row r="335" spans="1:27" x14ac:dyDescent="0.3">
      <c r="A335" t="s">
        <v>135</v>
      </c>
      <c r="B335">
        <v>145415</v>
      </c>
      <c r="C335">
        <v>2017</v>
      </c>
      <c r="D335" t="s">
        <v>28</v>
      </c>
      <c r="E335" t="s">
        <v>137</v>
      </c>
      <c r="F335">
        <v>4</v>
      </c>
      <c r="G335" t="s">
        <v>30</v>
      </c>
      <c r="H335">
        <v>4</v>
      </c>
      <c r="I335" t="s">
        <v>23</v>
      </c>
      <c r="J335" t="s">
        <v>31</v>
      </c>
      <c r="K335" t="s">
        <v>27</v>
      </c>
      <c r="L335" t="s">
        <v>60</v>
      </c>
      <c r="M335" t="s">
        <v>33</v>
      </c>
      <c r="N335">
        <v>0</v>
      </c>
      <c r="O335" t="s">
        <v>27</v>
      </c>
      <c r="S335" s="3">
        <v>7600</v>
      </c>
      <c r="T335" s="2">
        <v>9660.4794921875</v>
      </c>
      <c r="U335" s="2">
        <v>9121.8778607977329</v>
      </c>
      <c r="V335" s="2">
        <v>9664.0933522671312</v>
      </c>
      <c r="W335" s="2">
        <v>10400.3115234375</v>
      </c>
      <c r="X335" s="4">
        <f t="shared" si="20"/>
        <v>0.78671043255629036</v>
      </c>
      <c r="Y335" s="4">
        <f t="shared" si="21"/>
        <v>0.8331617804993674</v>
      </c>
      <c r="Z335" s="4">
        <f t="shared" si="22"/>
        <v>0.7864162444392252</v>
      </c>
      <c r="AA335" s="4">
        <f t="shared" si="23"/>
        <v>0.73074734183424306</v>
      </c>
    </row>
    <row r="336" spans="1:27" x14ac:dyDescent="0.3">
      <c r="A336" t="s">
        <v>135</v>
      </c>
      <c r="B336">
        <v>156069</v>
      </c>
      <c r="C336">
        <v>2016</v>
      </c>
      <c r="D336" t="s">
        <v>28</v>
      </c>
      <c r="E336" t="s">
        <v>137</v>
      </c>
      <c r="F336">
        <v>4</v>
      </c>
      <c r="G336" t="s">
        <v>59</v>
      </c>
      <c r="H336">
        <v>4</v>
      </c>
      <c r="I336" t="s">
        <v>23</v>
      </c>
      <c r="J336" t="s">
        <v>31</v>
      </c>
      <c r="K336" t="s">
        <v>27</v>
      </c>
      <c r="L336" t="s">
        <v>60</v>
      </c>
      <c r="M336" t="s">
        <v>33</v>
      </c>
      <c r="N336">
        <v>3.6</v>
      </c>
      <c r="O336" t="s">
        <v>27</v>
      </c>
      <c r="S336" s="3">
        <v>7000</v>
      </c>
      <c r="T336" s="2">
        <v>7750.30224609375</v>
      </c>
      <c r="U336" s="2">
        <v>8097.6978014731494</v>
      </c>
      <c r="V336" s="2">
        <v>7429.967979515739</v>
      </c>
      <c r="W336" s="2">
        <v>9978.8203125</v>
      </c>
      <c r="X336" s="4">
        <f t="shared" si="20"/>
        <v>0.90319058247413364</v>
      </c>
      <c r="Y336" s="4">
        <f t="shared" si="21"/>
        <v>0.86444322468128487</v>
      </c>
      <c r="Z336" s="4">
        <f t="shared" si="22"/>
        <v>0.94213057435763503</v>
      </c>
      <c r="AA336" s="4">
        <f t="shared" si="23"/>
        <v>0.70148572484379024</v>
      </c>
    </row>
    <row r="337" spans="1:27" x14ac:dyDescent="0.3">
      <c r="A337" t="s">
        <v>135</v>
      </c>
      <c r="B337">
        <v>148859</v>
      </c>
      <c r="C337">
        <v>2014</v>
      </c>
      <c r="D337" t="s">
        <v>28</v>
      </c>
      <c r="E337" t="s">
        <v>137</v>
      </c>
      <c r="F337">
        <v>4</v>
      </c>
      <c r="G337" t="s">
        <v>30</v>
      </c>
      <c r="H337">
        <v>4</v>
      </c>
      <c r="I337" t="s">
        <v>23</v>
      </c>
      <c r="J337" t="s">
        <v>31</v>
      </c>
      <c r="K337" t="s">
        <v>27</v>
      </c>
      <c r="L337" t="s">
        <v>60</v>
      </c>
      <c r="M337" t="s">
        <v>33</v>
      </c>
      <c r="N337">
        <v>3.6</v>
      </c>
      <c r="O337" t="s">
        <v>27</v>
      </c>
      <c r="S337" s="3">
        <v>5000</v>
      </c>
      <c r="T337" s="2">
        <v>7312.60693359375</v>
      </c>
      <c r="U337" s="2">
        <v>6971.7159015901443</v>
      </c>
      <c r="V337" s="2">
        <v>6507.4245316777506</v>
      </c>
      <c r="W337" s="2">
        <v>9295.7080078125</v>
      </c>
      <c r="X337" s="4">
        <f t="shared" si="20"/>
        <v>0.68375068500266989</v>
      </c>
      <c r="Y337" s="4">
        <f t="shared" si="21"/>
        <v>0.71718355575269133</v>
      </c>
      <c r="Z337" s="4">
        <f t="shared" si="22"/>
        <v>0.76835312890073504</v>
      </c>
      <c r="AA337" s="4">
        <f t="shared" si="23"/>
        <v>0.53788264388229401</v>
      </c>
    </row>
    <row r="338" spans="1:27" x14ac:dyDescent="0.3">
      <c r="A338" t="s">
        <v>135</v>
      </c>
      <c r="B338">
        <v>177270</v>
      </c>
      <c r="C338">
        <v>2018</v>
      </c>
      <c r="D338" t="s">
        <v>44</v>
      </c>
      <c r="E338" t="s">
        <v>267</v>
      </c>
      <c r="F338">
        <v>8</v>
      </c>
      <c r="G338" t="s">
        <v>47</v>
      </c>
      <c r="H338">
        <v>4</v>
      </c>
      <c r="I338" t="s">
        <v>23</v>
      </c>
      <c r="J338" t="s">
        <v>46</v>
      </c>
      <c r="K338" t="s">
        <v>27</v>
      </c>
      <c r="L338" t="s">
        <v>313</v>
      </c>
      <c r="M338">
        <v>4</v>
      </c>
      <c r="N338">
        <v>3.7</v>
      </c>
      <c r="O338" t="s">
        <v>27</v>
      </c>
      <c r="S338" s="3">
        <v>14250</v>
      </c>
      <c r="T338" s="2">
        <v>14288.7421875</v>
      </c>
      <c r="U338" s="2">
        <v>24809.63469209168</v>
      </c>
      <c r="V338" s="2">
        <v>20766.868932676662</v>
      </c>
      <c r="W338" s="2">
        <v>16714.865234375</v>
      </c>
      <c r="X338" s="4">
        <f t="shared" si="20"/>
        <v>0.99728862156013343</v>
      </c>
      <c r="Y338" s="4">
        <f t="shared" si="21"/>
        <v>0.5743736325364891</v>
      </c>
      <c r="Z338" s="4">
        <f t="shared" si="22"/>
        <v>0.68618914320673685</v>
      </c>
      <c r="AA338" s="4">
        <f t="shared" si="23"/>
        <v>0.8525345433652749</v>
      </c>
    </row>
    <row r="339" spans="1:27" x14ac:dyDescent="0.3">
      <c r="A339" t="s">
        <v>135</v>
      </c>
      <c r="B339">
        <v>130364</v>
      </c>
      <c r="C339">
        <v>2015</v>
      </c>
      <c r="D339" t="s">
        <v>20</v>
      </c>
      <c r="E339" t="s">
        <v>151</v>
      </c>
      <c r="F339">
        <v>8</v>
      </c>
      <c r="G339" t="s">
        <v>47</v>
      </c>
      <c r="H339">
        <v>4</v>
      </c>
      <c r="I339" t="s">
        <v>23</v>
      </c>
      <c r="J339" t="s">
        <v>42</v>
      </c>
      <c r="K339" t="s">
        <v>27</v>
      </c>
      <c r="L339" t="s">
        <v>43</v>
      </c>
      <c r="M339">
        <v>4</v>
      </c>
      <c r="N339">
        <v>0</v>
      </c>
      <c r="O339" t="s">
        <v>27</v>
      </c>
      <c r="S339" s="3">
        <v>18250</v>
      </c>
      <c r="T339" s="2">
        <v>13472.3505859375</v>
      </c>
      <c r="U339" s="2">
        <v>14715.90255116281</v>
      </c>
      <c r="V339" s="2">
        <v>17931.482436246919</v>
      </c>
      <c r="W339" s="2">
        <v>16413.484375</v>
      </c>
      <c r="X339" s="4">
        <f t="shared" si="20"/>
        <v>1.3546262683402428</v>
      </c>
      <c r="Y339" s="4">
        <f t="shared" si="21"/>
        <v>1.2401549912790049</v>
      </c>
      <c r="Z339" s="4">
        <f t="shared" si="22"/>
        <v>1.0177630357604581</v>
      </c>
      <c r="AA339" s="4">
        <f t="shared" si="23"/>
        <v>1.1118906615463848</v>
      </c>
    </row>
    <row r="340" spans="1:27" x14ac:dyDescent="0.3">
      <c r="A340" t="s">
        <v>135</v>
      </c>
      <c r="B340">
        <v>118187</v>
      </c>
      <c r="C340">
        <v>2021</v>
      </c>
      <c r="D340" t="s">
        <v>141</v>
      </c>
      <c r="E340" t="s">
        <v>314</v>
      </c>
      <c r="F340">
        <v>6</v>
      </c>
      <c r="G340" t="s">
        <v>22</v>
      </c>
      <c r="H340">
        <v>4</v>
      </c>
      <c r="I340" t="s">
        <v>23</v>
      </c>
      <c r="J340" t="s">
        <v>106</v>
      </c>
      <c r="K340" t="s">
        <v>27</v>
      </c>
      <c r="L340" t="s">
        <v>26</v>
      </c>
      <c r="M340" t="s">
        <v>33</v>
      </c>
      <c r="N340">
        <v>3</v>
      </c>
      <c r="O340" t="s">
        <v>27</v>
      </c>
      <c r="S340" s="3">
        <v>10000</v>
      </c>
      <c r="T340" s="2">
        <v>17163.875</v>
      </c>
      <c r="U340" s="2">
        <v>16616.193227049182</v>
      </c>
      <c r="V340" s="2">
        <v>12222.30152238381</v>
      </c>
      <c r="W340" s="2">
        <v>16714.865234375</v>
      </c>
      <c r="X340" s="4">
        <f t="shared" si="20"/>
        <v>0.58261901814129968</v>
      </c>
      <c r="Y340" s="4">
        <f t="shared" si="21"/>
        <v>0.60182256328851502</v>
      </c>
      <c r="Z340" s="4">
        <f t="shared" si="22"/>
        <v>0.818176509693047</v>
      </c>
      <c r="AA340" s="4">
        <f t="shared" si="23"/>
        <v>0.59826985499317542</v>
      </c>
    </row>
    <row r="341" spans="1:27" x14ac:dyDescent="0.3">
      <c r="A341" t="s">
        <v>135</v>
      </c>
      <c r="B341">
        <v>191731</v>
      </c>
      <c r="C341">
        <v>2006</v>
      </c>
      <c r="D341" t="s">
        <v>28</v>
      </c>
      <c r="E341" t="s">
        <v>58</v>
      </c>
      <c r="F341">
        <v>4</v>
      </c>
      <c r="G341" t="s">
        <v>30</v>
      </c>
      <c r="H341">
        <v>4</v>
      </c>
      <c r="I341" t="s">
        <v>23</v>
      </c>
      <c r="J341" t="s">
        <v>24</v>
      </c>
      <c r="L341" t="s">
        <v>60</v>
      </c>
      <c r="M341">
        <v>4</v>
      </c>
      <c r="N341">
        <v>0</v>
      </c>
      <c r="O341" t="s">
        <v>27</v>
      </c>
      <c r="S341" s="3">
        <v>2200</v>
      </c>
      <c r="T341" s="2">
        <v>3168.43896484375</v>
      </c>
      <c r="U341" s="2">
        <v>4390.0107881397953</v>
      </c>
      <c r="V341" s="2">
        <v>1496.2755079206649</v>
      </c>
      <c r="W341" s="2">
        <v>3030.396240234375</v>
      </c>
      <c r="X341" s="4">
        <f t="shared" si="20"/>
        <v>0.6943482340706828</v>
      </c>
      <c r="Y341" s="4">
        <f t="shared" si="21"/>
        <v>0.50113772065061801</v>
      </c>
      <c r="Z341" s="4">
        <f t="shared" si="22"/>
        <v>1.4703174571488393</v>
      </c>
      <c r="AA341" s="4">
        <f t="shared" si="23"/>
        <v>0.72597766945151998</v>
      </c>
    </row>
    <row r="342" spans="1:27" x14ac:dyDescent="0.3">
      <c r="A342" t="s">
        <v>135</v>
      </c>
      <c r="B342">
        <v>122275</v>
      </c>
      <c r="C342">
        <v>2018</v>
      </c>
      <c r="D342" t="s">
        <v>28</v>
      </c>
      <c r="E342" t="s">
        <v>137</v>
      </c>
      <c r="F342">
        <v>4</v>
      </c>
      <c r="G342" t="s">
        <v>30</v>
      </c>
      <c r="H342">
        <v>4</v>
      </c>
      <c r="I342" t="s">
        <v>23</v>
      </c>
      <c r="J342" t="s">
        <v>31</v>
      </c>
      <c r="K342" t="s">
        <v>27</v>
      </c>
      <c r="L342" t="s">
        <v>127</v>
      </c>
      <c r="M342" t="s">
        <v>33</v>
      </c>
      <c r="N342">
        <v>2</v>
      </c>
      <c r="O342" t="s">
        <v>27</v>
      </c>
      <c r="S342" s="3">
        <v>12500</v>
      </c>
      <c r="T342" s="2">
        <v>10801.763671875</v>
      </c>
      <c r="U342" s="2">
        <v>9720.7985621387816</v>
      </c>
      <c r="V342" s="2">
        <v>10275.45899825892</v>
      </c>
      <c r="W342" s="2">
        <v>11576.53515625</v>
      </c>
      <c r="X342" s="4">
        <f t="shared" si="20"/>
        <v>1.1572184302223505</v>
      </c>
      <c r="Y342" s="4">
        <f t="shared" si="21"/>
        <v>1.2859025850701031</v>
      </c>
      <c r="Z342" s="4">
        <f t="shared" si="22"/>
        <v>1.2164906698686655</v>
      </c>
      <c r="AA342" s="4">
        <f t="shared" si="23"/>
        <v>1.0797704003215016</v>
      </c>
    </row>
    <row r="343" spans="1:27" x14ac:dyDescent="0.3">
      <c r="A343" t="s">
        <v>135</v>
      </c>
      <c r="B343">
        <v>167169</v>
      </c>
      <c r="C343">
        <v>2015</v>
      </c>
      <c r="D343" t="s">
        <v>40</v>
      </c>
      <c r="E343" t="s">
        <v>41</v>
      </c>
      <c r="F343">
        <v>8</v>
      </c>
      <c r="G343" t="s">
        <v>30</v>
      </c>
      <c r="H343">
        <v>4</v>
      </c>
      <c r="I343" t="s">
        <v>23</v>
      </c>
      <c r="J343" t="s">
        <v>42</v>
      </c>
      <c r="K343" t="s">
        <v>27</v>
      </c>
      <c r="L343" t="s">
        <v>43</v>
      </c>
      <c r="M343">
        <v>4</v>
      </c>
      <c r="N343">
        <v>4.5999999999999899</v>
      </c>
      <c r="O343" t="s">
        <v>27</v>
      </c>
      <c r="S343" s="3">
        <v>12000</v>
      </c>
      <c r="T343" s="2">
        <v>10595.3369140625</v>
      </c>
      <c r="U343" s="2">
        <v>20718.707297606761</v>
      </c>
      <c r="V343" s="2">
        <v>12274.74022439438</v>
      </c>
      <c r="W343" s="2">
        <v>11816.158203125</v>
      </c>
      <c r="X343" s="4">
        <f t="shared" si="20"/>
        <v>1.1325737064645092</v>
      </c>
      <c r="Y343" s="4">
        <f t="shared" si="21"/>
        <v>0.57918671409514688</v>
      </c>
      <c r="Z343" s="4">
        <f t="shared" si="22"/>
        <v>0.9776174306444082</v>
      </c>
      <c r="AA343" s="4">
        <f t="shared" si="23"/>
        <v>1.0155585084182759</v>
      </c>
    </row>
    <row r="344" spans="1:27" x14ac:dyDescent="0.3">
      <c r="A344" t="s">
        <v>135</v>
      </c>
      <c r="B344">
        <v>138952</v>
      </c>
      <c r="C344">
        <v>2018</v>
      </c>
      <c r="D344" t="s">
        <v>40</v>
      </c>
      <c r="E344" t="s">
        <v>252</v>
      </c>
      <c r="F344">
        <v>8</v>
      </c>
      <c r="G344" t="s">
        <v>47</v>
      </c>
      <c r="H344">
        <v>2</v>
      </c>
      <c r="I344" t="s">
        <v>23</v>
      </c>
      <c r="J344" t="s">
        <v>253</v>
      </c>
      <c r="L344" t="s">
        <v>80</v>
      </c>
      <c r="M344" t="s">
        <v>78</v>
      </c>
      <c r="N344">
        <v>0</v>
      </c>
      <c r="O344" t="s">
        <v>27</v>
      </c>
      <c r="S344" s="3">
        <v>10000</v>
      </c>
      <c r="T344" s="2">
        <v>16745.12890625</v>
      </c>
      <c r="U344" s="2">
        <v>22736.51826328045</v>
      </c>
      <c r="V344" s="2">
        <v>13587.728079632619</v>
      </c>
      <c r="W344" s="2">
        <v>18417.50390625</v>
      </c>
      <c r="X344" s="4">
        <f t="shared" si="20"/>
        <v>0.59718859472425867</v>
      </c>
      <c r="Y344" s="4">
        <f t="shared" si="21"/>
        <v>0.43982107920850977</v>
      </c>
      <c r="Z344" s="4">
        <f t="shared" si="22"/>
        <v>0.73595820739079554</v>
      </c>
      <c r="AA344" s="4">
        <f t="shared" si="23"/>
        <v>0.54296174177036494</v>
      </c>
    </row>
    <row r="345" spans="1:27" x14ac:dyDescent="0.3">
      <c r="A345" t="s">
        <v>135</v>
      </c>
      <c r="B345">
        <v>150612</v>
      </c>
      <c r="C345">
        <v>2019</v>
      </c>
      <c r="D345" t="s">
        <v>44</v>
      </c>
      <c r="E345" t="s">
        <v>315</v>
      </c>
      <c r="F345">
        <v>8</v>
      </c>
      <c r="G345" t="s">
        <v>47</v>
      </c>
      <c r="H345">
        <v>2</v>
      </c>
      <c r="I345" t="s">
        <v>23</v>
      </c>
      <c r="J345" t="s">
        <v>316</v>
      </c>
      <c r="K345" t="s">
        <v>27</v>
      </c>
      <c r="L345" t="s">
        <v>140</v>
      </c>
      <c r="M345" t="s">
        <v>78</v>
      </c>
      <c r="N345">
        <v>3.6</v>
      </c>
      <c r="O345" t="s">
        <v>27</v>
      </c>
      <c r="S345" s="3">
        <v>11000</v>
      </c>
      <c r="T345" s="2">
        <v>16355.08984375</v>
      </c>
      <c r="U345" s="2">
        <v>25623.03379474374</v>
      </c>
      <c r="V345" s="2">
        <v>13440.368135782261</v>
      </c>
      <c r="W345" s="2">
        <v>21397.583984375</v>
      </c>
      <c r="X345" s="4">
        <f t="shared" si="20"/>
        <v>0.67257349883672968</v>
      </c>
      <c r="Y345" s="4">
        <f t="shared" si="21"/>
        <v>0.42930123294988271</v>
      </c>
      <c r="Z345" s="4">
        <f t="shared" si="22"/>
        <v>0.81842996329205642</v>
      </c>
      <c r="AA345" s="4">
        <f t="shared" si="23"/>
        <v>0.51407672978558927</v>
      </c>
    </row>
    <row r="346" spans="1:27" x14ac:dyDescent="0.3">
      <c r="A346" t="s">
        <v>135</v>
      </c>
      <c r="B346">
        <v>81663</v>
      </c>
      <c r="C346">
        <v>2020</v>
      </c>
      <c r="D346" t="s">
        <v>125</v>
      </c>
      <c r="E346" t="s">
        <v>126</v>
      </c>
      <c r="F346">
        <v>4</v>
      </c>
      <c r="G346" t="s">
        <v>22</v>
      </c>
      <c r="H346">
        <v>4</v>
      </c>
      <c r="I346" t="s">
        <v>23</v>
      </c>
      <c r="J346" t="s">
        <v>31</v>
      </c>
      <c r="K346" t="s">
        <v>27</v>
      </c>
      <c r="L346" t="s">
        <v>127</v>
      </c>
      <c r="M346" t="s">
        <v>33</v>
      </c>
      <c r="N346">
        <v>4.4000000000000004</v>
      </c>
      <c r="O346" t="s">
        <v>27</v>
      </c>
      <c r="S346" s="3">
        <v>11250</v>
      </c>
      <c r="T346" s="2">
        <v>12913.49609375</v>
      </c>
      <c r="U346" s="2">
        <v>14308.17092403529</v>
      </c>
      <c r="V346" s="2">
        <v>11445.703052233761</v>
      </c>
      <c r="W346" s="2">
        <v>14278.9951171875</v>
      </c>
      <c r="X346" s="4">
        <f t="shared" si="20"/>
        <v>0.87118158539923862</v>
      </c>
      <c r="Y346" s="4">
        <f t="shared" si="21"/>
        <v>0.78626402072831802</v>
      </c>
      <c r="Z346" s="4">
        <f t="shared" si="22"/>
        <v>0.98290161370248308</v>
      </c>
      <c r="AA346" s="4">
        <f t="shared" si="23"/>
        <v>0.78787056845887382</v>
      </c>
    </row>
    <row r="347" spans="1:27" x14ac:dyDescent="0.3">
      <c r="A347" t="s">
        <v>135</v>
      </c>
      <c r="B347">
        <v>93139</v>
      </c>
      <c r="C347">
        <v>2021</v>
      </c>
      <c r="D347" t="s">
        <v>28</v>
      </c>
      <c r="E347" t="s">
        <v>137</v>
      </c>
      <c r="F347">
        <v>4</v>
      </c>
      <c r="G347" t="s">
        <v>30</v>
      </c>
      <c r="H347">
        <v>4</v>
      </c>
      <c r="I347" t="s">
        <v>23</v>
      </c>
      <c r="J347" t="s">
        <v>31</v>
      </c>
      <c r="K347" t="s">
        <v>27</v>
      </c>
      <c r="L347" t="s">
        <v>107</v>
      </c>
      <c r="M347" t="s">
        <v>33</v>
      </c>
      <c r="N347">
        <v>0</v>
      </c>
      <c r="O347" t="s">
        <v>27</v>
      </c>
      <c r="S347" s="3">
        <v>17500</v>
      </c>
      <c r="T347" s="2">
        <v>18515.345703125</v>
      </c>
      <c r="U347" s="2">
        <v>18820.254782757998</v>
      </c>
      <c r="V347" s="2">
        <v>18351.209728044319</v>
      </c>
      <c r="W347" s="2">
        <v>18674.64453125</v>
      </c>
      <c r="X347" s="4">
        <f t="shared" si="20"/>
        <v>0.94516193651444325</v>
      </c>
      <c r="Y347" s="4">
        <f t="shared" si="21"/>
        <v>0.92984926091608822</v>
      </c>
      <c r="Z347" s="4">
        <f t="shared" si="22"/>
        <v>0.95361560678239643</v>
      </c>
      <c r="AA347" s="4">
        <f t="shared" si="23"/>
        <v>0.93709949716663365</v>
      </c>
    </row>
    <row r="348" spans="1:27" x14ac:dyDescent="0.3">
      <c r="A348" t="s">
        <v>135</v>
      </c>
      <c r="B348">
        <v>97661</v>
      </c>
      <c r="C348">
        <v>2019</v>
      </c>
      <c r="D348" t="s">
        <v>40</v>
      </c>
      <c r="E348" t="s">
        <v>208</v>
      </c>
      <c r="F348">
        <v>6</v>
      </c>
      <c r="G348" t="s">
        <v>22</v>
      </c>
      <c r="H348">
        <v>2</v>
      </c>
      <c r="I348" t="s">
        <v>23</v>
      </c>
      <c r="J348" t="s">
        <v>83</v>
      </c>
      <c r="K348" t="s">
        <v>27</v>
      </c>
      <c r="L348" t="s">
        <v>26</v>
      </c>
      <c r="M348" t="s">
        <v>78</v>
      </c>
      <c r="N348">
        <v>4.4000000000000004</v>
      </c>
      <c r="O348" t="s">
        <v>27</v>
      </c>
      <c r="S348" s="3">
        <v>14000</v>
      </c>
      <c r="T348" s="2">
        <v>18358.923828125</v>
      </c>
      <c r="U348" s="2">
        <v>17700.5274359168</v>
      </c>
      <c r="V348" s="2">
        <v>17036.549559236861</v>
      </c>
      <c r="W348" s="2">
        <v>18683.904296875</v>
      </c>
      <c r="X348" s="4">
        <f t="shared" si="20"/>
        <v>0.76257193128894973</v>
      </c>
      <c r="Y348" s="4">
        <f t="shared" si="21"/>
        <v>0.79093688313445842</v>
      </c>
      <c r="Z348" s="4">
        <f t="shared" si="22"/>
        <v>0.82176264338746297</v>
      </c>
      <c r="AA348" s="4">
        <f t="shared" si="23"/>
        <v>0.74930805561563418</v>
      </c>
    </row>
    <row r="349" spans="1:27" x14ac:dyDescent="0.3">
      <c r="A349" t="s">
        <v>135</v>
      </c>
      <c r="B349">
        <v>117860</v>
      </c>
      <c r="C349">
        <v>2019</v>
      </c>
      <c r="D349" t="s">
        <v>54</v>
      </c>
      <c r="E349" t="s">
        <v>275</v>
      </c>
      <c r="F349">
        <v>4</v>
      </c>
      <c r="G349" t="s">
        <v>30</v>
      </c>
      <c r="H349">
        <v>4</v>
      </c>
      <c r="I349" t="s">
        <v>23</v>
      </c>
      <c r="J349" t="s">
        <v>24</v>
      </c>
      <c r="L349" t="s">
        <v>60</v>
      </c>
      <c r="M349" t="s">
        <v>33</v>
      </c>
      <c r="N349">
        <v>4.2</v>
      </c>
      <c r="O349" t="s">
        <v>27</v>
      </c>
      <c r="S349" s="3">
        <v>8000</v>
      </c>
      <c r="T349" s="2">
        <v>13670.7451171875</v>
      </c>
      <c r="U349" s="2">
        <v>12836.351023478641</v>
      </c>
      <c r="V349" s="2">
        <v>9076.0281416933158</v>
      </c>
      <c r="W349" s="2">
        <v>13179.294921875</v>
      </c>
      <c r="X349" s="4">
        <f t="shared" si="20"/>
        <v>0.58519121901717164</v>
      </c>
      <c r="Y349" s="4">
        <f t="shared" si="21"/>
        <v>0.62323007413613141</v>
      </c>
      <c r="Z349" s="4">
        <f t="shared" si="22"/>
        <v>0.88144283767143972</v>
      </c>
      <c r="AA349" s="4">
        <f t="shared" si="23"/>
        <v>0.60701274593389642</v>
      </c>
    </row>
    <row r="350" spans="1:27" x14ac:dyDescent="0.3">
      <c r="A350" t="s">
        <v>70</v>
      </c>
      <c r="B350">
        <v>119937</v>
      </c>
      <c r="C350">
        <v>2017</v>
      </c>
      <c r="D350" t="s">
        <v>100</v>
      </c>
      <c r="E350" t="s">
        <v>114</v>
      </c>
      <c r="F350">
        <v>8</v>
      </c>
      <c r="G350" t="s">
        <v>47</v>
      </c>
      <c r="H350">
        <v>4</v>
      </c>
      <c r="I350" t="s">
        <v>23</v>
      </c>
      <c r="J350" t="s">
        <v>42</v>
      </c>
      <c r="K350" t="s">
        <v>27</v>
      </c>
      <c r="L350" t="s">
        <v>115</v>
      </c>
      <c r="M350">
        <v>4</v>
      </c>
      <c r="N350">
        <v>1</v>
      </c>
      <c r="O350" t="s">
        <v>27</v>
      </c>
      <c r="S350" s="3">
        <v>15000</v>
      </c>
      <c r="T350" s="2">
        <v>10164.662109375</v>
      </c>
      <c r="U350" s="2">
        <v>11673.870826189041</v>
      </c>
      <c r="V350" s="2">
        <v>16124.391771911531</v>
      </c>
      <c r="W350" s="2">
        <v>11899.462890625</v>
      </c>
      <c r="X350" s="4">
        <f t="shared" si="20"/>
        <v>1.4757007993571478</v>
      </c>
      <c r="Y350" s="4">
        <f t="shared" si="21"/>
        <v>1.2849208478775656</v>
      </c>
      <c r="Z350" s="4">
        <f t="shared" si="22"/>
        <v>0.93026764743646295</v>
      </c>
      <c r="AA350" s="4">
        <f t="shared" si="23"/>
        <v>1.2605610974103512</v>
      </c>
    </row>
    <row r="351" spans="1:27" x14ac:dyDescent="0.3">
      <c r="A351" t="s">
        <v>70</v>
      </c>
      <c r="B351">
        <v>191922</v>
      </c>
      <c r="C351">
        <v>2015</v>
      </c>
      <c r="D351" t="s">
        <v>34</v>
      </c>
      <c r="E351" t="s">
        <v>173</v>
      </c>
      <c r="F351">
        <v>4</v>
      </c>
      <c r="G351" t="s">
        <v>36</v>
      </c>
      <c r="H351">
        <v>4</v>
      </c>
      <c r="I351" t="s">
        <v>23</v>
      </c>
      <c r="J351" t="s">
        <v>62</v>
      </c>
      <c r="L351" t="s">
        <v>128</v>
      </c>
      <c r="M351" t="s">
        <v>33</v>
      </c>
      <c r="N351">
        <v>1</v>
      </c>
      <c r="O351" t="s">
        <v>27</v>
      </c>
      <c r="S351" s="3">
        <v>3600</v>
      </c>
      <c r="T351" s="2">
        <v>5559.41943359375</v>
      </c>
      <c r="U351" s="2">
        <v>3131.8148855377858</v>
      </c>
      <c r="V351" s="2">
        <v>2916.34590670223</v>
      </c>
      <c r="W351" s="2">
        <v>4167.9072265625</v>
      </c>
      <c r="X351" s="4">
        <f t="shared" si="20"/>
        <v>0.64754963049673486</v>
      </c>
      <c r="Y351" s="4">
        <f t="shared" si="21"/>
        <v>1.1494932272734948</v>
      </c>
      <c r="Z351" s="4">
        <f t="shared" si="22"/>
        <v>1.2344214695954356</v>
      </c>
      <c r="AA351" s="4">
        <f t="shared" si="23"/>
        <v>0.86374283406713825</v>
      </c>
    </row>
    <row r="352" spans="1:27" x14ac:dyDescent="0.3">
      <c r="A352" t="s">
        <v>70</v>
      </c>
      <c r="B352">
        <v>222567</v>
      </c>
      <c r="C352">
        <v>2013</v>
      </c>
      <c r="D352" t="s">
        <v>85</v>
      </c>
      <c r="E352" t="s">
        <v>270</v>
      </c>
      <c r="F352">
        <v>6</v>
      </c>
      <c r="G352" t="s">
        <v>30</v>
      </c>
      <c r="H352">
        <v>4</v>
      </c>
      <c r="I352" t="s">
        <v>23</v>
      </c>
      <c r="J352" t="s">
        <v>24</v>
      </c>
      <c r="L352" t="s">
        <v>53</v>
      </c>
      <c r="M352" t="s">
        <v>33</v>
      </c>
      <c r="N352">
        <v>0</v>
      </c>
      <c r="O352" t="s">
        <v>39</v>
      </c>
      <c r="S352" s="3">
        <v>600</v>
      </c>
      <c r="T352" s="2">
        <v>1567.543823242188</v>
      </c>
      <c r="U352" s="2">
        <v>986.98414511210649</v>
      </c>
      <c r="V352" s="2">
        <v>683.09575415180007</v>
      </c>
      <c r="W352" s="2">
        <v>1033.964233398438</v>
      </c>
      <c r="X352" s="4">
        <f t="shared" si="20"/>
        <v>0.38276441851495152</v>
      </c>
      <c r="Y352" s="4">
        <f t="shared" si="21"/>
        <v>0.60791250089620141</v>
      </c>
      <c r="Z352" s="4">
        <f t="shared" si="22"/>
        <v>0.87835416389759291</v>
      </c>
      <c r="AA352" s="4">
        <f t="shared" si="23"/>
        <v>0.5802908656017215</v>
      </c>
    </row>
    <row r="353" spans="1:27" x14ac:dyDescent="0.3">
      <c r="A353" t="s">
        <v>70</v>
      </c>
      <c r="B353">
        <v>164932</v>
      </c>
      <c r="C353">
        <v>2013</v>
      </c>
      <c r="D353" t="s">
        <v>40</v>
      </c>
      <c r="E353" t="s">
        <v>41</v>
      </c>
      <c r="F353">
        <v>8</v>
      </c>
      <c r="G353" t="s">
        <v>47</v>
      </c>
      <c r="H353">
        <v>4</v>
      </c>
      <c r="I353" t="s">
        <v>23</v>
      </c>
      <c r="J353" t="s">
        <v>42</v>
      </c>
      <c r="K353" t="s">
        <v>27</v>
      </c>
      <c r="L353" t="s">
        <v>43</v>
      </c>
      <c r="M353" t="s">
        <v>78</v>
      </c>
      <c r="N353">
        <v>1</v>
      </c>
      <c r="O353" t="s">
        <v>27</v>
      </c>
      <c r="S353" s="3">
        <v>3600</v>
      </c>
      <c r="T353" s="2">
        <v>6678.28466796875</v>
      </c>
      <c r="U353" s="2">
        <v>12333.426427962981</v>
      </c>
      <c r="V353" s="2">
        <v>2709.9788107866611</v>
      </c>
      <c r="W353" s="2">
        <v>8019.1943359375</v>
      </c>
      <c r="X353" s="4">
        <f t="shared" si="20"/>
        <v>0.53906057902365023</v>
      </c>
      <c r="Y353" s="4">
        <f t="shared" si="21"/>
        <v>0.29188968864628684</v>
      </c>
      <c r="Z353" s="4">
        <f t="shared" si="22"/>
        <v>1.3284236709419071</v>
      </c>
      <c r="AA353" s="4">
        <f t="shared" si="23"/>
        <v>0.44892290287402481</v>
      </c>
    </row>
    <row r="354" spans="1:27" x14ac:dyDescent="0.3">
      <c r="A354" t="s">
        <v>70</v>
      </c>
      <c r="B354">
        <v>131424</v>
      </c>
      <c r="C354">
        <v>2014</v>
      </c>
      <c r="D354" t="s">
        <v>90</v>
      </c>
      <c r="E354" t="s">
        <v>195</v>
      </c>
      <c r="F354">
        <v>4</v>
      </c>
      <c r="G354" t="s">
        <v>36</v>
      </c>
      <c r="H354">
        <v>4</v>
      </c>
      <c r="I354" t="s">
        <v>23</v>
      </c>
      <c r="J354" t="s">
        <v>24</v>
      </c>
      <c r="K354" t="s">
        <v>27</v>
      </c>
      <c r="L354" t="s">
        <v>127</v>
      </c>
      <c r="M354" t="s">
        <v>33</v>
      </c>
      <c r="N354">
        <v>1</v>
      </c>
      <c r="O354" t="s">
        <v>27</v>
      </c>
      <c r="S354" s="3">
        <v>1000</v>
      </c>
      <c r="T354" s="2">
        <v>3090.9287109375</v>
      </c>
      <c r="U354" s="2">
        <v>1743.52622195255</v>
      </c>
      <c r="V354" s="2">
        <v>2559.0218477868771</v>
      </c>
      <c r="W354" s="2">
        <v>2180.524169921875</v>
      </c>
      <c r="X354" s="4">
        <f t="shared" si="20"/>
        <v>0.32352735812424904</v>
      </c>
      <c r="Y354" s="4">
        <f t="shared" si="21"/>
        <v>0.57355030707832677</v>
      </c>
      <c r="Z354" s="4">
        <f t="shared" si="22"/>
        <v>0.39077431123334549</v>
      </c>
      <c r="AA354" s="4">
        <f t="shared" si="23"/>
        <v>0.45860532700989437</v>
      </c>
    </row>
    <row r="355" spans="1:27" x14ac:dyDescent="0.3">
      <c r="A355" t="s">
        <v>70</v>
      </c>
      <c r="B355">
        <v>76403</v>
      </c>
      <c r="C355">
        <v>2021</v>
      </c>
      <c r="D355" t="s">
        <v>81</v>
      </c>
      <c r="E355" t="s">
        <v>207</v>
      </c>
      <c r="F355">
        <v>6</v>
      </c>
      <c r="G355" t="s">
        <v>36</v>
      </c>
      <c r="H355">
        <v>4</v>
      </c>
      <c r="I355" t="s">
        <v>23</v>
      </c>
      <c r="J355" t="s">
        <v>31</v>
      </c>
      <c r="L355" t="s">
        <v>26</v>
      </c>
      <c r="M355" t="s">
        <v>78</v>
      </c>
      <c r="N355">
        <v>2</v>
      </c>
      <c r="O355" t="s">
        <v>27</v>
      </c>
      <c r="S355" s="3">
        <v>14200</v>
      </c>
      <c r="T355" s="2">
        <v>21321.552734375</v>
      </c>
      <c r="U355" s="2">
        <v>20827.201027807951</v>
      </c>
      <c r="V355" s="2">
        <v>16681.21686667898</v>
      </c>
      <c r="W355" s="2">
        <v>21684.740234375</v>
      </c>
      <c r="X355" s="4">
        <f t="shared" si="20"/>
        <v>0.66599277158208547</v>
      </c>
      <c r="Y355" s="4">
        <f t="shared" si="21"/>
        <v>0.68180068848620223</v>
      </c>
      <c r="Z355" s="4">
        <f t="shared" si="22"/>
        <v>0.85125684256073342</v>
      </c>
      <c r="AA355" s="4">
        <f t="shared" si="23"/>
        <v>0.6548383723541189</v>
      </c>
    </row>
    <row r="356" spans="1:27" x14ac:dyDescent="0.3">
      <c r="A356" t="s">
        <v>70</v>
      </c>
      <c r="B356">
        <v>199363</v>
      </c>
      <c r="C356">
        <v>2016</v>
      </c>
      <c r="D356" t="s">
        <v>81</v>
      </c>
      <c r="E356" t="s">
        <v>207</v>
      </c>
      <c r="F356">
        <v>6</v>
      </c>
      <c r="G356" t="s">
        <v>22</v>
      </c>
      <c r="H356">
        <v>4</v>
      </c>
      <c r="I356" t="s">
        <v>23</v>
      </c>
      <c r="J356" t="s">
        <v>31</v>
      </c>
      <c r="L356" t="s">
        <v>26</v>
      </c>
      <c r="M356" t="s">
        <v>78</v>
      </c>
      <c r="N356">
        <v>0</v>
      </c>
      <c r="O356" t="s">
        <v>27</v>
      </c>
      <c r="S356" s="3">
        <v>4000</v>
      </c>
      <c r="T356" s="2">
        <v>6461.6435546875</v>
      </c>
      <c r="U356" s="2">
        <v>4998.609632144332</v>
      </c>
      <c r="V356" s="2">
        <v>4204.2656659022095</v>
      </c>
      <c r="W356" s="2">
        <v>5868.8759765625</v>
      </c>
      <c r="X356" s="4">
        <f t="shared" si="20"/>
        <v>0.61903755076342171</v>
      </c>
      <c r="Y356" s="4">
        <f t="shared" si="21"/>
        <v>0.8002225207340421</v>
      </c>
      <c r="Z356" s="4">
        <f t="shared" si="22"/>
        <v>0.95141466259878338</v>
      </c>
      <c r="AA356" s="4">
        <f t="shared" si="23"/>
        <v>0.6815615146706282</v>
      </c>
    </row>
    <row r="357" spans="1:27" x14ac:dyDescent="0.3">
      <c r="A357" t="s">
        <v>70</v>
      </c>
      <c r="B357">
        <v>26624</v>
      </c>
      <c r="C357">
        <v>2024</v>
      </c>
      <c r="D357" t="s">
        <v>40</v>
      </c>
      <c r="E357" t="s">
        <v>79</v>
      </c>
      <c r="F357">
        <v>8</v>
      </c>
      <c r="G357" t="s">
        <v>47</v>
      </c>
      <c r="H357">
        <v>4</v>
      </c>
      <c r="I357" t="s">
        <v>23</v>
      </c>
      <c r="J357" t="s">
        <v>42</v>
      </c>
      <c r="L357" t="s">
        <v>130</v>
      </c>
      <c r="M357">
        <v>4</v>
      </c>
      <c r="N357">
        <v>0</v>
      </c>
      <c r="O357" t="s">
        <v>27</v>
      </c>
      <c r="S357" s="3">
        <v>45000</v>
      </c>
      <c r="T357" s="2">
        <v>73853.9140625</v>
      </c>
      <c r="U357" s="2">
        <v>69253.756335249302</v>
      </c>
      <c r="V357" s="2">
        <v>58862.555775883389</v>
      </c>
      <c r="W357" s="2">
        <v>93241.7734375</v>
      </c>
      <c r="X357" s="4">
        <f t="shared" si="20"/>
        <v>0.60931096978716748</v>
      </c>
      <c r="Y357" s="4">
        <f t="shared" si="21"/>
        <v>0.64978424826749159</v>
      </c>
      <c r="Z357" s="4">
        <f t="shared" si="22"/>
        <v>0.76449279863646313</v>
      </c>
      <c r="AA357" s="4">
        <f t="shared" si="23"/>
        <v>0.4826163031976598</v>
      </c>
    </row>
    <row r="358" spans="1:27" x14ac:dyDescent="0.3">
      <c r="A358" t="s">
        <v>70</v>
      </c>
      <c r="B358">
        <v>96584</v>
      </c>
      <c r="C358">
        <v>2018</v>
      </c>
      <c r="D358" t="s">
        <v>100</v>
      </c>
      <c r="E358" t="s">
        <v>300</v>
      </c>
      <c r="F358">
        <v>4</v>
      </c>
      <c r="G358" t="s">
        <v>36</v>
      </c>
      <c r="H358">
        <v>4</v>
      </c>
      <c r="I358" t="s">
        <v>23</v>
      </c>
      <c r="J358" t="s">
        <v>24</v>
      </c>
      <c r="L358" t="s">
        <v>87</v>
      </c>
      <c r="M358" t="s">
        <v>33</v>
      </c>
      <c r="N358">
        <v>0</v>
      </c>
      <c r="O358" t="s">
        <v>27</v>
      </c>
      <c r="S358" s="3">
        <v>6800</v>
      </c>
      <c r="T358" s="2">
        <v>7965.23779296875</v>
      </c>
      <c r="U358" s="2">
        <v>8479.8603243145371</v>
      </c>
      <c r="V358" s="2">
        <v>12413.219262072749</v>
      </c>
      <c r="W358" s="2">
        <v>9411.662109375</v>
      </c>
      <c r="X358" s="4">
        <f t="shared" si="20"/>
        <v>0.85370960374876015</v>
      </c>
      <c r="Y358" s="4">
        <f t="shared" si="21"/>
        <v>0.80190000069956013</v>
      </c>
      <c r="Z358" s="4">
        <f t="shared" si="22"/>
        <v>0.54780310058460546</v>
      </c>
      <c r="AA358" s="4">
        <f t="shared" si="23"/>
        <v>0.72250787597086474</v>
      </c>
    </row>
    <row r="359" spans="1:27" x14ac:dyDescent="0.3">
      <c r="A359" t="s">
        <v>70</v>
      </c>
      <c r="B359">
        <v>53787</v>
      </c>
      <c r="C359">
        <v>2016</v>
      </c>
      <c r="D359" t="s">
        <v>28</v>
      </c>
      <c r="E359" t="s">
        <v>58</v>
      </c>
      <c r="F359">
        <v>4</v>
      </c>
      <c r="G359" t="s">
        <v>22</v>
      </c>
      <c r="H359">
        <v>4</v>
      </c>
      <c r="I359" t="s">
        <v>23</v>
      </c>
      <c r="J359" t="s">
        <v>24</v>
      </c>
      <c r="K359" t="s">
        <v>27</v>
      </c>
      <c r="L359" t="s">
        <v>60</v>
      </c>
      <c r="M359" t="s">
        <v>33</v>
      </c>
      <c r="N359">
        <v>0</v>
      </c>
      <c r="O359" t="s">
        <v>27</v>
      </c>
      <c r="S359" s="3">
        <v>14400</v>
      </c>
      <c r="T359" s="2">
        <v>16817.07421875</v>
      </c>
      <c r="U359" s="2">
        <v>15235.99952049455</v>
      </c>
      <c r="V359" s="2">
        <v>14181.17024263012</v>
      </c>
      <c r="W359" s="2">
        <v>16957.4375</v>
      </c>
      <c r="X359" s="4">
        <f t="shared" si="20"/>
        <v>0.85627260798699978</v>
      </c>
      <c r="Y359" s="4">
        <f t="shared" si="21"/>
        <v>0.94512998511387369</v>
      </c>
      <c r="Z359" s="4">
        <f t="shared" si="22"/>
        <v>1.0154310084165026</v>
      </c>
      <c r="AA359" s="4">
        <f t="shared" si="23"/>
        <v>0.84918490780225486</v>
      </c>
    </row>
    <row r="360" spans="1:27" x14ac:dyDescent="0.3">
      <c r="A360" t="s">
        <v>70</v>
      </c>
      <c r="B360">
        <v>9850</v>
      </c>
      <c r="C360">
        <v>2024</v>
      </c>
      <c r="D360" t="s">
        <v>34</v>
      </c>
      <c r="E360" t="s">
        <v>317</v>
      </c>
      <c r="F360">
        <v>4</v>
      </c>
      <c r="G360" t="s">
        <v>47</v>
      </c>
      <c r="H360">
        <v>4</v>
      </c>
      <c r="I360" t="s">
        <v>23</v>
      </c>
      <c r="J360" t="s">
        <v>152</v>
      </c>
      <c r="L360" t="s">
        <v>295</v>
      </c>
      <c r="M360" t="s">
        <v>78</v>
      </c>
      <c r="N360">
        <v>0</v>
      </c>
      <c r="O360" t="s">
        <v>27</v>
      </c>
      <c r="S360" s="3">
        <v>29400</v>
      </c>
      <c r="T360" s="2">
        <v>30946.203125</v>
      </c>
      <c r="U360" s="2">
        <v>27535.585302316518</v>
      </c>
      <c r="V360" s="2">
        <v>31100.077582206701</v>
      </c>
      <c r="W360" s="2">
        <v>29983.638671875</v>
      </c>
      <c r="X360" s="4">
        <f t="shared" si="20"/>
        <v>0.95003577276493434</v>
      </c>
      <c r="Y360" s="4">
        <f t="shared" si="21"/>
        <v>1.0677092815429143</v>
      </c>
      <c r="Z360" s="4">
        <f t="shared" si="22"/>
        <v>0.94533526234097354</v>
      </c>
      <c r="AA360" s="4">
        <f t="shared" si="23"/>
        <v>0.98053476169913756</v>
      </c>
    </row>
    <row r="361" spans="1:27" x14ac:dyDescent="0.3">
      <c r="A361" t="s">
        <v>135</v>
      </c>
      <c r="B361">
        <v>182561</v>
      </c>
      <c r="C361">
        <v>2008</v>
      </c>
      <c r="D361" t="s">
        <v>28</v>
      </c>
      <c r="E361" t="s">
        <v>29</v>
      </c>
      <c r="F361">
        <v>4</v>
      </c>
      <c r="G361" t="s">
        <v>59</v>
      </c>
      <c r="H361">
        <v>4</v>
      </c>
      <c r="I361" t="s">
        <v>23</v>
      </c>
      <c r="J361" t="s">
        <v>31</v>
      </c>
      <c r="K361" t="s">
        <v>27</v>
      </c>
      <c r="L361" t="s">
        <v>32</v>
      </c>
      <c r="M361" t="s">
        <v>33</v>
      </c>
      <c r="N361">
        <v>2.2999999999999901</v>
      </c>
      <c r="O361" t="s">
        <v>27</v>
      </c>
      <c r="S361" s="3">
        <v>1500</v>
      </c>
      <c r="T361" s="2">
        <v>2485.8046875</v>
      </c>
      <c r="U361" s="2">
        <v>3231.5623862272319</v>
      </c>
      <c r="V361" s="2">
        <v>2084.132046558168</v>
      </c>
      <c r="W361" s="2">
        <v>2437.45556640625</v>
      </c>
      <c r="X361" s="4">
        <f t="shared" si="20"/>
        <v>0.60342633013077385</v>
      </c>
      <c r="Y361" s="4">
        <f t="shared" si="21"/>
        <v>0.46417175988708437</v>
      </c>
      <c r="Z361" s="4">
        <f t="shared" si="22"/>
        <v>0.71972407049599829</v>
      </c>
      <c r="AA361" s="4">
        <f t="shared" si="23"/>
        <v>0.61539583353783089</v>
      </c>
    </row>
    <row r="362" spans="1:27" x14ac:dyDescent="0.3">
      <c r="A362" t="s">
        <v>135</v>
      </c>
      <c r="B362">
        <v>179071</v>
      </c>
      <c r="C362">
        <v>2013</v>
      </c>
      <c r="D362" t="s">
        <v>44</v>
      </c>
      <c r="E362" t="s">
        <v>45</v>
      </c>
      <c r="F362">
        <v>6</v>
      </c>
      <c r="G362" t="s">
        <v>99</v>
      </c>
      <c r="H362">
        <v>4</v>
      </c>
      <c r="I362" t="s">
        <v>23</v>
      </c>
      <c r="J362" t="s">
        <v>46</v>
      </c>
      <c r="K362" t="s">
        <v>27</v>
      </c>
      <c r="L362" t="s">
        <v>38</v>
      </c>
      <c r="M362">
        <v>4</v>
      </c>
      <c r="N362">
        <v>2.5</v>
      </c>
      <c r="O362" t="s">
        <v>27</v>
      </c>
      <c r="S362" s="3">
        <v>2000</v>
      </c>
      <c r="T362" s="2">
        <v>5013.974609375</v>
      </c>
      <c r="U362" s="2">
        <v>5344.4529873675629</v>
      </c>
      <c r="V362" s="2">
        <v>5314.8412700122544</v>
      </c>
      <c r="W362" s="2">
        <v>5692.38134765625</v>
      </c>
      <c r="X362" s="4">
        <f t="shared" si="20"/>
        <v>0.39888514717654366</v>
      </c>
      <c r="Y362" s="4">
        <f t="shared" si="21"/>
        <v>0.37421977604205853</v>
      </c>
      <c r="Z362" s="4">
        <f t="shared" si="22"/>
        <v>0.37630474710214412</v>
      </c>
      <c r="AA362" s="4">
        <f t="shared" si="23"/>
        <v>0.35134680511583594</v>
      </c>
    </row>
    <row r="363" spans="1:27" x14ac:dyDescent="0.3">
      <c r="A363" t="s">
        <v>135</v>
      </c>
      <c r="B363">
        <v>193371</v>
      </c>
      <c r="C363">
        <v>2004</v>
      </c>
      <c r="D363" t="s">
        <v>20</v>
      </c>
      <c r="E363" t="s">
        <v>318</v>
      </c>
      <c r="F363">
        <v>6</v>
      </c>
      <c r="G363" t="s">
        <v>22</v>
      </c>
      <c r="H363">
        <v>4</v>
      </c>
      <c r="I363" t="s">
        <v>23</v>
      </c>
      <c r="J363" t="s">
        <v>24</v>
      </c>
      <c r="L363" t="s">
        <v>149</v>
      </c>
      <c r="M363" t="s">
        <v>78</v>
      </c>
      <c r="N363">
        <v>1.1000000000000001</v>
      </c>
      <c r="O363" t="s">
        <v>199</v>
      </c>
      <c r="S363" s="3">
        <v>300</v>
      </c>
      <c r="T363" s="2">
        <v>616.97039794921875</v>
      </c>
      <c r="U363" s="2">
        <v>4612.4337157837963</v>
      </c>
      <c r="V363" s="2">
        <v>-675.8615176639687</v>
      </c>
      <c r="W363" s="2">
        <v>860.44970703125</v>
      </c>
      <c r="X363" s="4">
        <f t="shared" si="20"/>
        <v>0.48624699174739372</v>
      </c>
      <c r="Y363" s="4">
        <f t="shared" si="21"/>
        <v>6.5041585090620788E-2</v>
      </c>
      <c r="Z363" s="4">
        <f t="shared" si="22"/>
        <v>-0.44387791309218594</v>
      </c>
      <c r="AA363" s="4">
        <f t="shared" si="23"/>
        <v>0.34865489237606834</v>
      </c>
    </row>
    <row r="364" spans="1:27" x14ac:dyDescent="0.3">
      <c r="A364" t="s">
        <v>135</v>
      </c>
      <c r="B364">
        <v>1</v>
      </c>
      <c r="C364">
        <v>2008</v>
      </c>
      <c r="D364" t="s">
        <v>28</v>
      </c>
      <c r="E364" t="s">
        <v>310</v>
      </c>
      <c r="F364">
        <v>4</v>
      </c>
      <c r="G364" t="s">
        <v>30</v>
      </c>
      <c r="H364">
        <v>4</v>
      </c>
      <c r="I364" t="s">
        <v>23</v>
      </c>
      <c r="J364" t="s">
        <v>31</v>
      </c>
      <c r="K364" t="s">
        <v>27</v>
      </c>
      <c r="L364" t="s">
        <v>60</v>
      </c>
      <c r="M364" t="s">
        <v>33</v>
      </c>
      <c r="N364">
        <v>0</v>
      </c>
      <c r="O364" t="s">
        <v>123</v>
      </c>
      <c r="S364" s="3">
        <v>600</v>
      </c>
      <c r="T364" s="2">
        <v>5514.3271484375</v>
      </c>
      <c r="U364" s="2">
        <v>-8933.539472279037</v>
      </c>
      <c r="V364" s="2">
        <v>-1265.2100462913111</v>
      </c>
      <c r="W364" s="2">
        <v>2388.51513671875</v>
      </c>
      <c r="X364" s="4">
        <f t="shared" si="20"/>
        <v>0.10880747257986166</v>
      </c>
      <c r="Y364" s="4">
        <f t="shared" si="21"/>
        <v>-6.7162629309672026E-2</v>
      </c>
      <c r="Z364" s="4">
        <f t="shared" si="22"/>
        <v>-0.47422955718599447</v>
      </c>
      <c r="AA364" s="4">
        <f t="shared" si="23"/>
        <v>0.25120209236951158</v>
      </c>
    </row>
    <row r="365" spans="1:27" x14ac:dyDescent="0.3">
      <c r="A365" t="s">
        <v>135</v>
      </c>
      <c r="B365">
        <v>126360</v>
      </c>
      <c r="C365">
        <v>2013</v>
      </c>
      <c r="D365" t="s">
        <v>100</v>
      </c>
      <c r="E365" t="s">
        <v>192</v>
      </c>
      <c r="F365">
        <v>4</v>
      </c>
      <c r="G365" t="s">
        <v>47</v>
      </c>
      <c r="H365">
        <v>4</v>
      </c>
      <c r="I365" t="s">
        <v>23</v>
      </c>
      <c r="J365" t="s">
        <v>31</v>
      </c>
      <c r="K365" t="s">
        <v>27</v>
      </c>
      <c r="L365" t="s">
        <v>32</v>
      </c>
      <c r="M365" t="s">
        <v>33</v>
      </c>
      <c r="N365">
        <v>2.2999999999999901</v>
      </c>
      <c r="O365" t="s">
        <v>27</v>
      </c>
      <c r="S365" s="3">
        <v>1200</v>
      </c>
      <c r="T365" s="2">
        <v>2449.753662109375</v>
      </c>
      <c r="U365" s="2">
        <v>2562.0428888481019</v>
      </c>
      <c r="V365" s="2">
        <v>4339.3648230726794</v>
      </c>
      <c r="W365" s="2">
        <v>2595.468994140625</v>
      </c>
      <c r="X365" s="4">
        <f t="shared" si="20"/>
        <v>0.48984517037796071</v>
      </c>
      <c r="Y365" s="4">
        <f t="shared" si="21"/>
        <v>0.46837623414630725</v>
      </c>
      <c r="Z365" s="4">
        <f t="shared" si="22"/>
        <v>0.27653816835577488</v>
      </c>
      <c r="AA365" s="4">
        <f t="shared" si="23"/>
        <v>0.46234418623726503</v>
      </c>
    </row>
    <row r="366" spans="1:27" x14ac:dyDescent="0.3">
      <c r="A366" t="s">
        <v>135</v>
      </c>
      <c r="B366">
        <v>66772</v>
      </c>
      <c r="C366">
        <v>2010</v>
      </c>
      <c r="D366" t="s">
        <v>44</v>
      </c>
      <c r="E366" t="s">
        <v>117</v>
      </c>
      <c r="F366">
        <v>4</v>
      </c>
      <c r="G366" t="s">
        <v>36</v>
      </c>
      <c r="H366">
        <v>4</v>
      </c>
      <c r="I366" t="s">
        <v>23</v>
      </c>
      <c r="J366" t="s">
        <v>24</v>
      </c>
      <c r="L366" t="s">
        <v>102</v>
      </c>
      <c r="M366" t="s">
        <v>33</v>
      </c>
      <c r="N366">
        <v>0</v>
      </c>
      <c r="O366" t="s">
        <v>27</v>
      </c>
      <c r="S366" s="3">
        <v>5500</v>
      </c>
      <c r="T366" s="2">
        <v>7309.82861328125</v>
      </c>
      <c r="U366" s="2">
        <v>5678.977333912233</v>
      </c>
      <c r="V366" s="2">
        <v>5940.7055987146487</v>
      </c>
      <c r="W366" s="2">
        <v>6086.6337890625</v>
      </c>
      <c r="X366" s="4">
        <f t="shared" si="20"/>
        <v>0.75241162152653385</v>
      </c>
      <c r="Y366" s="4">
        <f t="shared" si="21"/>
        <v>0.96848423168666953</v>
      </c>
      <c r="Z366" s="4">
        <f t="shared" si="22"/>
        <v>0.92581595041336484</v>
      </c>
      <c r="AA366" s="4">
        <f t="shared" si="23"/>
        <v>0.90361933880157808</v>
      </c>
    </row>
    <row r="367" spans="1:27" x14ac:dyDescent="0.3">
      <c r="A367" t="s">
        <v>135</v>
      </c>
      <c r="B367">
        <v>56145</v>
      </c>
      <c r="C367">
        <v>2021</v>
      </c>
      <c r="D367" t="s">
        <v>44</v>
      </c>
      <c r="E367" t="s">
        <v>182</v>
      </c>
      <c r="F367">
        <v>4</v>
      </c>
      <c r="G367" t="s">
        <v>59</v>
      </c>
      <c r="H367">
        <v>2</v>
      </c>
      <c r="I367" t="s">
        <v>23</v>
      </c>
      <c r="J367" t="s">
        <v>183</v>
      </c>
      <c r="K367" t="s">
        <v>27</v>
      </c>
      <c r="L367" t="s">
        <v>69</v>
      </c>
      <c r="M367" t="s">
        <v>78</v>
      </c>
      <c r="N367">
        <v>4.2</v>
      </c>
      <c r="O367" t="s">
        <v>27</v>
      </c>
      <c r="S367" s="3">
        <v>17750</v>
      </c>
      <c r="T367" s="2">
        <v>23093.52734375</v>
      </c>
      <c r="U367" s="2">
        <v>23842.201107410408</v>
      </c>
      <c r="V367" s="2">
        <v>17150.031516267311</v>
      </c>
      <c r="W367" s="2">
        <v>22895.890625</v>
      </c>
      <c r="X367" s="4">
        <f t="shared" si="20"/>
        <v>0.76861363514499381</v>
      </c>
      <c r="Y367" s="4">
        <f t="shared" si="21"/>
        <v>0.74447824343210967</v>
      </c>
      <c r="Z367" s="4">
        <f t="shared" si="22"/>
        <v>1.0349835207686704</v>
      </c>
      <c r="AA367" s="4">
        <f t="shared" si="23"/>
        <v>0.77524828759527675</v>
      </c>
    </row>
    <row r="368" spans="1:27" x14ac:dyDescent="0.3">
      <c r="A368" t="s">
        <v>135</v>
      </c>
      <c r="B368">
        <v>178617</v>
      </c>
      <c r="C368">
        <v>2012</v>
      </c>
      <c r="D368" t="s">
        <v>34</v>
      </c>
      <c r="E368" t="s">
        <v>317</v>
      </c>
      <c r="F368">
        <v>6</v>
      </c>
      <c r="G368" t="s">
        <v>22</v>
      </c>
      <c r="H368">
        <v>4</v>
      </c>
      <c r="I368" t="s">
        <v>23</v>
      </c>
      <c r="J368" t="s">
        <v>156</v>
      </c>
      <c r="L368" t="s">
        <v>319</v>
      </c>
      <c r="M368" t="s">
        <v>78</v>
      </c>
      <c r="N368">
        <v>1.9</v>
      </c>
      <c r="O368" t="s">
        <v>27</v>
      </c>
      <c r="S368" s="3">
        <v>6100</v>
      </c>
      <c r="T368" s="2">
        <v>6541.2822265625</v>
      </c>
      <c r="U368" s="2">
        <v>5606.9574218901098</v>
      </c>
      <c r="V368" s="2">
        <v>4068.678522168665</v>
      </c>
      <c r="W368" s="2">
        <v>6453.5302734375</v>
      </c>
      <c r="X368" s="4">
        <f t="shared" si="20"/>
        <v>0.93253887979782246</v>
      </c>
      <c r="Y368" s="4">
        <f t="shared" si="21"/>
        <v>1.0879340685172683</v>
      </c>
      <c r="Z368" s="4">
        <f t="shared" si="22"/>
        <v>1.4992582890890604</v>
      </c>
      <c r="AA368" s="4">
        <f t="shared" si="23"/>
        <v>0.94521908808693156</v>
      </c>
    </row>
    <row r="369" spans="1:27" x14ac:dyDescent="0.3">
      <c r="A369" t="s">
        <v>135</v>
      </c>
      <c r="B369">
        <v>113713</v>
      </c>
      <c r="C369">
        <v>2016</v>
      </c>
      <c r="D369" t="s">
        <v>54</v>
      </c>
      <c r="E369" t="s">
        <v>219</v>
      </c>
      <c r="F369">
        <v>6</v>
      </c>
      <c r="G369" t="s">
        <v>36</v>
      </c>
      <c r="H369">
        <v>4</v>
      </c>
      <c r="I369" t="s">
        <v>23</v>
      </c>
      <c r="J369" t="s">
        <v>24</v>
      </c>
      <c r="K369" t="s">
        <v>27</v>
      </c>
      <c r="L369" t="s">
        <v>26</v>
      </c>
      <c r="M369" t="s">
        <v>78</v>
      </c>
      <c r="N369">
        <v>4.3</v>
      </c>
      <c r="O369" t="s">
        <v>27</v>
      </c>
      <c r="S369" s="3">
        <v>9750</v>
      </c>
      <c r="T369" s="2">
        <v>12419.7001953125</v>
      </c>
      <c r="U369" s="2">
        <v>11226.9253882905</v>
      </c>
      <c r="V369" s="2">
        <v>9952.3615530512052</v>
      </c>
      <c r="W369" s="2">
        <v>12053.6875</v>
      </c>
      <c r="X369" s="4">
        <f t="shared" si="20"/>
        <v>0.78504310463789528</v>
      </c>
      <c r="Y369" s="4">
        <f t="shared" si="21"/>
        <v>0.8684479198703049</v>
      </c>
      <c r="Z369" s="4">
        <f t="shared" si="22"/>
        <v>0.9796669813518617</v>
      </c>
      <c r="AA369" s="4">
        <f t="shared" si="23"/>
        <v>0.80888109966348476</v>
      </c>
    </row>
    <row r="370" spans="1:27" x14ac:dyDescent="0.3">
      <c r="A370" t="s">
        <v>135</v>
      </c>
      <c r="B370">
        <v>85490</v>
      </c>
      <c r="C370">
        <v>2018</v>
      </c>
      <c r="D370" t="s">
        <v>44</v>
      </c>
      <c r="E370" t="s">
        <v>45</v>
      </c>
      <c r="F370">
        <v>6</v>
      </c>
      <c r="G370" t="s">
        <v>36</v>
      </c>
      <c r="H370">
        <v>4</v>
      </c>
      <c r="I370" t="s">
        <v>23</v>
      </c>
      <c r="J370" t="s">
        <v>46</v>
      </c>
      <c r="K370" t="s">
        <v>27</v>
      </c>
      <c r="L370" t="s">
        <v>38</v>
      </c>
      <c r="M370">
        <v>4</v>
      </c>
      <c r="N370">
        <v>4.0999999999999899</v>
      </c>
      <c r="O370" t="s">
        <v>27</v>
      </c>
      <c r="S370" s="3">
        <v>25250</v>
      </c>
      <c r="T370" s="2">
        <v>23638.060546875</v>
      </c>
      <c r="U370" s="2">
        <v>21454.944367154229</v>
      </c>
      <c r="V370" s="2">
        <v>27604.32662870537</v>
      </c>
      <c r="W370" s="2">
        <v>21420.99609375</v>
      </c>
      <c r="X370" s="4">
        <f t="shared" si="20"/>
        <v>1.0681925426973367</v>
      </c>
      <c r="Y370" s="4">
        <f t="shared" si="21"/>
        <v>1.1768848973878343</v>
      </c>
      <c r="Z370" s="4">
        <f t="shared" si="22"/>
        <v>0.91471168051398377</v>
      </c>
      <c r="AA370" s="4">
        <f t="shared" si="23"/>
        <v>1.1787500398904041</v>
      </c>
    </row>
    <row r="371" spans="1:27" x14ac:dyDescent="0.3">
      <c r="A371" t="s">
        <v>135</v>
      </c>
      <c r="B371">
        <v>145447</v>
      </c>
      <c r="C371">
        <v>2012</v>
      </c>
      <c r="D371" t="s">
        <v>81</v>
      </c>
      <c r="E371" t="s">
        <v>320</v>
      </c>
      <c r="F371">
        <v>4</v>
      </c>
      <c r="G371" t="s">
        <v>99</v>
      </c>
      <c r="H371">
        <v>4</v>
      </c>
      <c r="I371" t="s">
        <v>23</v>
      </c>
      <c r="J371" t="s">
        <v>31</v>
      </c>
      <c r="K371" t="s">
        <v>27</v>
      </c>
      <c r="L371" t="s">
        <v>60</v>
      </c>
      <c r="M371" t="s">
        <v>33</v>
      </c>
      <c r="N371">
        <v>0</v>
      </c>
      <c r="O371" t="s">
        <v>27</v>
      </c>
      <c r="S371" s="3">
        <v>1000</v>
      </c>
      <c r="T371" s="2">
        <v>4145.2734375</v>
      </c>
      <c r="U371" s="2">
        <v>3400.6440175497369</v>
      </c>
      <c r="V371" s="2">
        <v>3177.341488055974</v>
      </c>
      <c r="W371" s="2">
        <v>3703.728271484375</v>
      </c>
      <c r="X371" s="4">
        <f t="shared" si="20"/>
        <v>0.24123860948557752</v>
      </c>
      <c r="Y371" s="4">
        <f t="shared" si="21"/>
        <v>0.29406194674870118</v>
      </c>
      <c r="Z371" s="4">
        <f t="shared" si="22"/>
        <v>0.31472852501348242</v>
      </c>
      <c r="AA371" s="4">
        <f t="shared" si="23"/>
        <v>0.26999820902066918</v>
      </c>
    </row>
    <row r="372" spans="1:27" x14ac:dyDescent="0.3">
      <c r="A372" t="s">
        <v>135</v>
      </c>
      <c r="B372">
        <v>49212</v>
      </c>
      <c r="C372">
        <v>2020</v>
      </c>
      <c r="D372" t="s">
        <v>321</v>
      </c>
      <c r="E372" t="s">
        <v>322</v>
      </c>
      <c r="F372">
        <v>4</v>
      </c>
      <c r="G372" t="s">
        <v>36</v>
      </c>
      <c r="H372">
        <v>4</v>
      </c>
      <c r="I372" t="s">
        <v>23</v>
      </c>
      <c r="J372" t="s">
        <v>24</v>
      </c>
      <c r="K372" t="s">
        <v>27</v>
      </c>
      <c r="L372" t="s">
        <v>127</v>
      </c>
      <c r="M372" t="s">
        <v>23</v>
      </c>
      <c r="N372">
        <v>3</v>
      </c>
      <c r="O372" t="s">
        <v>27</v>
      </c>
      <c r="S372" s="3">
        <v>17000</v>
      </c>
      <c r="T372" s="2">
        <v>21053.548828125</v>
      </c>
      <c r="U372" s="2">
        <v>18864.08937659454</v>
      </c>
      <c r="V372" s="2">
        <v>16208.639741389759</v>
      </c>
      <c r="W372" s="2">
        <v>19158.341796875</v>
      </c>
      <c r="X372" s="4">
        <f t="shared" si="20"/>
        <v>0.80746481929403047</v>
      </c>
      <c r="Y372" s="4">
        <f t="shared" si="21"/>
        <v>0.90118317723264219</v>
      </c>
      <c r="Z372" s="4">
        <f t="shared" si="22"/>
        <v>1.0488233603335295</v>
      </c>
      <c r="AA372" s="4">
        <f t="shared" si="23"/>
        <v>0.88734193074960921</v>
      </c>
    </row>
    <row r="373" spans="1:27" x14ac:dyDescent="0.3">
      <c r="A373" t="s">
        <v>135</v>
      </c>
      <c r="B373">
        <v>148858</v>
      </c>
      <c r="C373">
        <v>2018</v>
      </c>
      <c r="D373" t="s">
        <v>20</v>
      </c>
      <c r="E373" t="s">
        <v>151</v>
      </c>
      <c r="F373">
        <v>8</v>
      </c>
      <c r="G373" t="s">
        <v>36</v>
      </c>
      <c r="H373">
        <v>4</v>
      </c>
      <c r="I373" t="s">
        <v>23</v>
      </c>
      <c r="J373" t="s">
        <v>42</v>
      </c>
      <c r="K373" t="s">
        <v>27</v>
      </c>
      <c r="L373" t="s">
        <v>43</v>
      </c>
      <c r="M373">
        <v>4</v>
      </c>
      <c r="N373">
        <v>3.5</v>
      </c>
      <c r="O373" t="s">
        <v>27</v>
      </c>
      <c r="S373" s="3">
        <v>19100</v>
      </c>
      <c r="T373" s="2">
        <v>16185.3486328125</v>
      </c>
      <c r="U373" s="2">
        <v>17065.143091704471</v>
      </c>
      <c r="V373" s="2">
        <v>17361.163053072509</v>
      </c>
      <c r="W373" s="2">
        <v>17966.21484375</v>
      </c>
      <c r="X373" s="4">
        <f t="shared" si="20"/>
        <v>1.1800796160348772</v>
      </c>
      <c r="Y373" s="4">
        <f t="shared" si="21"/>
        <v>1.1192405418085649</v>
      </c>
      <c r="Z373" s="4">
        <f t="shared" si="22"/>
        <v>1.1001567084884765</v>
      </c>
      <c r="AA373" s="4">
        <f t="shared" si="23"/>
        <v>1.0631065122013954</v>
      </c>
    </row>
    <row r="374" spans="1:27" x14ac:dyDescent="0.3">
      <c r="A374" t="s">
        <v>135</v>
      </c>
      <c r="B374">
        <v>120658</v>
      </c>
      <c r="C374">
        <v>2018</v>
      </c>
      <c r="D374" t="s">
        <v>34</v>
      </c>
      <c r="E374" t="s">
        <v>173</v>
      </c>
      <c r="F374">
        <v>4</v>
      </c>
      <c r="G374" t="s">
        <v>22</v>
      </c>
      <c r="H374">
        <v>4</v>
      </c>
      <c r="I374" t="s">
        <v>23</v>
      </c>
      <c r="J374" t="s">
        <v>62</v>
      </c>
      <c r="L374" t="s">
        <v>128</v>
      </c>
      <c r="M374" t="s">
        <v>33</v>
      </c>
      <c r="N374">
        <v>0</v>
      </c>
      <c r="O374" t="s">
        <v>27</v>
      </c>
      <c r="S374" s="3">
        <v>11000</v>
      </c>
      <c r="T374" s="2">
        <v>10044.171875</v>
      </c>
      <c r="U374" s="2">
        <v>9850.3534525860723</v>
      </c>
      <c r="V374" s="2">
        <v>8947.4962790542959</v>
      </c>
      <c r="W374" s="2">
        <v>10136.671875</v>
      </c>
      <c r="X374" s="4">
        <f t="shared" si="20"/>
        <v>1.0951624620621101</v>
      </c>
      <c r="Y374" s="4">
        <f t="shared" si="21"/>
        <v>1.1167111975166844</v>
      </c>
      <c r="Z374" s="4">
        <f t="shared" si="22"/>
        <v>1.2293941966481201</v>
      </c>
      <c r="AA374" s="4">
        <f t="shared" si="23"/>
        <v>1.0851687946148498</v>
      </c>
    </row>
    <row r="375" spans="1:27" x14ac:dyDescent="0.3">
      <c r="A375" t="s">
        <v>70</v>
      </c>
      <c r="B375">
        <v>325572</v>
      </c>
      <c r="C375">
        <v>1999</v>
      </c>
      <c r="D375" t="s">
        <v>103</v>
      </c>
      <c r="E375" t="s">
        <v>323</v>
      </c>
      <c r="F375">
        <v>6</v>
      </c>
      <c r="G375" t="s">
        <v>47</v>
      </c>
      <c r="H375">
        <v>4</v>
      </c>
      <c r="I375" t="s">
        <v>23</v>
      </c>
      <c r="J375" t="s">
        <v>31</v>
      </c>
      <c r="K375" t="s">
        <v>27</v>
      </c>
      <c r="L375" t="s">
        <v>218</v>
      </c>
      <c r="M375" t="s">
        <v>33</v>
      </c>
      <c r="N375">
        <v>0</v>
      </c>
      <c r="O375" t="s">
        <v>27</v>
      </c>
      <c r="S375" s="3">
        <v>400</v>
      </c>
      <c r="T375" s="2">
        <v>1196.043090820312</v>
      </c>
      <c r="U375" s="2">
        <v>565.97642924621323</v>
      </c>
      <c r="V375" s="2">
        <v>-203.34132584736651</v>
      </c>
      <c r="W375" s="2">
        <v>1320.824096679688</v>
      </c>
      <c r="X375" s="4">
        <f t="shared" si="20"/>
        <v>0.33443611109835353</v>
      </c>
      <c r="Y375" s="4">
        <f t="shared" si="21"/>
        <v>0.70674321284498309</v>
      </c>
      <c r="Z375" s="4">
        <f t="shared" si="22"/>
        <v>-1.9671357916700651</v>
      </c>
      <c r="AA375" s="4">
        <f t="shared" si="23"/>
        <v>0.30284123450316164</v>
      </c>
    </row>
    <row r="376" spans="1:27" x14ac:dyDescent="0.3">
      <c r="A376" t="s">
        <v>70</v>
      </c>
      <c r="B376">
        <v>169967</v>
      </c>
      <c r="C376">
        <v>2011</v>
      </c>
      <c r="D376" t="s">
        <v>125</v>
      </c>
      <c r="E376" t="s">
        <v>230</v>
      </c>
      <c r="F376">
        <v>4</v>
      </c>
      <c r="G376" t="s">
        <v>22</v>
      </c>
      <c r="H376">
        <v>4</v>
      </c>
      <c r="I376" t="s">
        <v>23</v>
      </c>
      <c r="J376" t="s">
        <v>31</v>
      </c>
      <c r="K376" t="s">
        <v>27</v>
      </c>
      <c r="L376" t="s">
        <v>60</v>
      </c>
      <c r="M376" t="s">
        <v>33</v>
      </c>
      <c r="N376">
        <v>0</v>
      </c>
      <c r="O376" t="s">
        <v>27</v>
      </c>
      <c r="S376" s="3">
        <v>700</v>
      </c>
      <c r="T376" s="2">
        <v>2883.161376953125</v>
      </c>
      <c r="U376" s="2">
        <v>2845.2790667720569</v>
      </c>
      <c r="V376" s="2">
        <v>2033.5162905028451</v>
      </c>
      <c r="W376" s="2">
        <v>2837.875</v>
      </c>
      <c r="X376" s="4">
        <f t="shared" si="20"/>
        <v>0.24278904593947767</v>
      </c>
      <c r="Y376" s="4">
        <f t="shared" si="21"/>
        <v>0.24602156188290647</v>
      </c>
      <c r="Z376" s="4">
        <f t="shared" si="22"/>
        <v>0.34423132151397962</v>
      </c>
      <c r="AA376" s="4">
        <f t="shared" si="23"/>
        <v>0.24666343655023565</v>
      </c>
    </row>
    <row r="377" spans="1:27" x14ac:dyDescent="0.3">
      <c r="A377" t="s">
        <v>70</v>
      </c>
      <c r="B377">
        <v>143557</v>
      </c>
      <c r="C377">
        <v>1996</v>
      </c>
      <c r="D377" t="s">
        <v>44</v>
      </c>
      <c r="E377" t="s">
        <v>284</v>
      </c>
      <c r="F377">
        <v>4</v>
      </c>
      <c r="G377" t="s">
        <v>99</v>
      </c>
      <c r="H377">
        <v>2</v>
      </c>
      <c r="I377" t="s">
        <v>23</v>
      </c>
      <c r="J377" t="s">
        <v>76</v>
      </c>
      <c r="L377" t="s">
        <v>205</v>
      </c>
      <c r="M377" t="s">
        <v>78</v>
      </c>
      <c r="N377">
        <v>0</v>
      </c>
      <c r="O377" t="s">
        <v>27</v>
      </c>
      <c r="S377" s="3">
        <v>1200</v>
      </c>
      <c r="T377" s="2">
        <v>3201.715087890625</v>
      </c>
      <c r="U377" s="2">
        <v>1998.8642086847719</v>
      </c>
      <c r="V377" s="2">
        <v>1956.0406807818561</v>
      </c>
      <c r="W377" s="2">
        <v>2565.521240234375</v>
      </c>
      <c r="X377" s="4">
        <f t="shared" si="20"/>
        <v>0.37479912080202987</v>
      </c>
      <c r="Y377" s="4">
        <f t="shared" si="21"/>
        <v>0.60034093100780728</v>
      </c>
      <c r="Z377" s="4">
        <f t="shared" si="22"/>
        <v>0.61348417330479221</v>
      </c>
      <c r="AA377" s="4">
        <f t="shared" si="23"/>
        <v>0.46774120641868988</v>
      </c>
    </row>
    <row r="378" spans="1:27" x14ac:dyDescent="0.3">
      <c r="A378" t="s">
        <v>135</v>
      </c>
      <c r="B378">
        <v>171866</v>
      </c>
      <c r="C378">
        <v>2005</v>
      </c>
      <c r="D378" t="s">
        <v>34</v>
      </c>
      <c r="E378" t="s">
        <v>290</v>
      </c>
      <c r="F378">
        <v>6</v>
      </c>
      <c r="G378" t="s">
        <v>148</v>
      </c>
      <c r="H378">
        <v>4</v>
      </c>
      <c r="I378" t="s">
        <v>23</v>
      </c>
      <c r="J378" t="s">
        <v>291</v>
      </c>
      <c r="K378" t="s">
        <v>27</v>
      </c>
      <c r="L378" t="s">
        <v>235</v>
      </c>
      <c r="M378" t="s">
        <v>33</v>
      </c>
      <c r="N378">
        <v>3.5</v>
      </c>
      <c r="O378" t="s">
        <v>27</v>
      </c>
      <c r="S378" s="3">
        <v>1800</v>
      </c>
      <c r="T378" s="2">
        <v>3214.510986328125</v>
      </c>
      <c r="U378" s="2">
        <v>3685.5195817377762</v>
      </c>
      <c r="V378" s="2">
        <v>1722.6290909229101</v>
      </c>
      <c r="W378" s="2">
        <v>2762.131103515625</v>
      </c>
      <c r="X378" s="4">
        <f t="shared" si="20"/>
        <v>0.55996075535461332</v>
      </c>
      <c r="Y378" s="4">
        <f t="shared" si="21"/>
        <v>0.48839789345286122</v>
      </c>
      <c r="Z378" s="4">
        <f t="shared" si="22"/>
        <v>1.0449144331097056</v>
      </c>
      <c r="AA378" s="4">
        <f t="shared" si="23"/>
        <v>0.6516707326849801</v>
      </c>
    </row>
    <row r="379" spans="1:27" x14ac:dyDescent="0.3">
      <c r="A379" t="s">
        <v>135</v>
      </c>
      <c r="B379">
        <v>155886</v>
      </c>
      <c r="C379">
        <v>2005</v>
      </c>
      <c r="D379" t="s">
        <v>324</v>
      </c>
      <c r="E379" t="s">
        <v>325</v>
      </c>
      <c r="F379">
        <v>8</v>
      </c>
      <c r="G379" t="s">
        <v>56</v>
      </c>
      <c r="H379">
        <v>4</v>
      </c>
      <c r="I379" t="s">
        <v>23</v>
      </c>
      <c r="J379" t="s">
        <v>31</v>
      </c>
      <c r="L379" t="s">
        <v>161</v>
      </c>
      <c r="M379" t="s">
        <v>33</v>
      </c>
      <c r="N379">
        <v>1.9</v>
      </c>
      <c r="O379" t="s">
        <v>27</v>
      </c>
      <c r="S379" s="3">
        <v>500</v>
      </c>
      <c r="T379" s="2">
        <v>2225.455322265625</v>
      </c>
      <c r="U379" s="2">
        <v>8472.279148912854</v>
      </c>
      <c r="V379" s="2">
        <v>2105.7551953022612</v>
      </c>
      <c r="W379" s="2">
        <v>5616.71826171875</v>
      </c>
      <c r="X379" s="4">
        <f t="shared" si="20"/>
        <v>0.22467312419059257</v>
      </c>
      <c r="Y379" s="4">
        <f t="shared" si="21"/>
        <v>5.9015996901395654E-2</v>
      </c>
      <c r="Z379" s="4">
        <f t="shared" si="22"/>
        <v>0.2374445050001312</v>
      </c>
      <c r="AA379" s="4">
        <f t="shared" si="23"/>
        <v>8.9019953770477528E-2</v>
      </c>
    </row>
    <row r="380" spans="1:27" x14ac:dyDescent="0.3">
      <c r="A380" t="s">
        <v>135</v>
      </c>
      <c r="B380">
        <v>105077</v>
      </c>
      <c r="C380">
        <v>2011</v>
      </c>
      <c r="D380" t="s">
        <v>81</v>
      </c>
      <c r="E380" t="s">
        <v>326</v>
      </c>
      <c r="F380">
        <v>6</v>
      </c>
      <c r="G380" t="s">
        <v>66</v>
      </c>
      <c r="H380">
        <v>4</v>
      </c>
      <c r="I380" t="s">
        <v>23</v>
      </c>
      <c r="J380" t="s">
        <v>24</v>
      </c>
      <c r="K380" t="s">
        <v>27</v>
      </c>
      <c r="L380" t="s">
        <v>57</v>
      </c>
      <c r="M380" t="s">
        <v>78</v>
      </c>
      <c r="N380">
        <v>1.8</v>
      </c>
      <c r="O380" t="s">
        <v>27</v>
      </c>
      <c r="S380" s="3">
        <v>500</v>
      </c>
      <c r="T380" s="2">
        <v>4581.91650390625</v>
      </c>
      <c r="U380" s="2">
        <v>8763.0288330526273</v>
      </c>
      <c r="V380" s="2">
        <v>2288.6392480113432</v>
      </c>
      <c r="W380" s="2">
        <v>4038.572509765625</v>
      </c>
      <c r="X380" s="4">
        <f t="shared" si="20"/>
        <v>0.1091246424009979</v>
      </c>
      <c r="Y380" s="4">
        <f t="shared" si="21"/>
        <v>5.7057897392062275E-2</v>
      </c>
      <c r="Z380" s="4">
        <f t="shared" si="22"/>
        <v>0.21847042972563838</v>
      </c>
      <c r="AA380" s="4">
        <f t="shared" si="23"/>
        <v>0.12380612178955704</v>
      </c>
    </row>
    <row r="381" spans="1:27" x14ac:dyDescent="0.3">
      <c r="A381" t="s">
        <v>135</v>
      </c>
      <c r="B381">
        <v>198299</v>
      </c>
      <c r="C381">
        <v>2016</v>
      </c>
      <c r="D381" t="s">
        <v>44</v>
      </c>
      <c r="E381" t="s">
        <v>327</v>
      </c>
      <c r="F381">
        <v>4</v>
      </c>
      <c r="G381" t="s">
        <v>30</v>
      </c>
      <c r="H381">
        <v>4</v>
      </c>
      <c r="I381" t="s">
        <v>23</v>
      </c>
      <c r="J381" t="s">
        <v>145</v>
      </c>
      <c r="L381" t="s">
        <v>96</v>
      </c>
      <c r="M381" t="s">
        <v>33</v>
      </c>
      <c r="N381">
        <v>2.9</v>
      </c>
      <c r="O381" t="s">
        <v>27</v>
      </c>
      <c r="S381" s="3">
        <v>900</v>
      </c>
      <c r="T381" s="2">
        <v>4090.359375</v>
      </c>
      <c r="U381" s="2">
        <v>4343.5246639500001</v>
      </c>
      <c r="V381" s="2">
        <v>3244.3422094326529</v>
      </c>
      <c r="W381" s="2">
        <v>4248.46630859375</v>
      </c>
      <c r="X381" s="4">
        <f t="shared" si="20"/>
        <v>0.22002956647299482</v>
      </c>
      <c r="Y381" s="4">
        <f t="shared" si="21"/>
        <v>0.20720499355505909</v>
      </c>
      <c r="Z381" s="4">
        <f t="shared" si="22"/>
        <v>0.27740600155659456</v>
      </c>
      <c r="AA381" s="4">
        <f t="shared" si="23"/>
        <v>0.21184115269538328</v>
      </c>
    </row>
    <row r="382" spans="1:27" x14ac:dyDescent="0.3">
      <c r="A382" t="s">
        <v>135</v>
      </c>
      <c r="B382">
        <v>121630</v>
      </c>
      <c r="C382">
        <v>2020</v>
      </c>
      <c r="D382" t="s">
        <v>54</v>
      </c>
      <c r="E382" t="s">
        <v>275</v>
      </c>
      <c r="F382">
        <v>6</v>
      </c>
      <c r="G382" t="s">
        <v>47</v>
      </c>
      <c r="H382">
        <v>4</v>
      </c>
      <c r="I382" t="s">
        <v>23</v>
      </c>
      <c r="J382" t="s">
        <v>24</v>
      </c>
      <c r="L382" t="s">
        <v>301</v>
      </c>
      <c r="M382">
        <v>4</v>
      </c>
      <c r="N382">
        <v>2.1</v>
      </c>
      <c r="O382" t="s">
        <v>27</v>
      </c>
      <c r="S382" s="3">
        <v>6000</v>
      </c>
      <c r="T382" s="2">
        <v>12429.466796875</v>
      </c>
      <c r="U382" s="2">
        <v>10989.556756675829</v>
      </c>
      <c r="V382" s="2">
        <v>10566.215558506899</v>
      </c>
      <c r="W382" s="2">
        <v>14055.0712890625</v>
      </c>
      <c r="X382" s="4">
        <f t="shared" si="20"/>
        <v>0.48272384471943014</v>
      </c>
      <c r="Y382" s="4">
        <f t="shared" si="21"/>
        <v>0.54597288433450042</v>
      </c>
      <c r="Z382" s="4">
        <f t="shared" si="22"/>
        <v>0.56784758618419229</v>
      </c>
      <c r="AA382" s="4">
        <f t="shared" si="23"/>
        <v>0.42689217838895865</v>
      </c>
    </row>
    <row r="383" spans="1:27" x14ac:dyDescent="0.3">
      <c r="A383" t="s">
        <v>135</v>
      </c>
      <c r="B383">
        <v>101939</v>
      </c>
      <c r="C383">
        <v>2020</v>
      </c>
      <c r="D383" t="s">
        <v>90</v>
      </c>
      <c r="E383" t="s">
        <v>195</v>
      </c>
      <c r="F383">
        <v>4</v>
      </c>
      <c r="G383" t="s">
        <v>59</v>
      </c>
      <c r="H383">
        <v>4</v>
      </c>
      <c r="I383" t="s">
        <v>23</v>
      </c>
      <c r="J383" t="s">
        <v>24</v>
      </c>
      <c r="K383" t="s">
        <v>27</v>
      </c>
      <c r="L383" t="s">
        <v>127</v>
      </c>
      <c r="M383" t="s">
        <v>23</v>
      </c>
      <c r="N383">
        <v>3.6</v>
      </c>
      <c r="O383" t="s">
        <v>27</v>
      </c>
      <c r="S383" s="3">
        <v>9250</v>
      </c>
      <c r="T383" s="2">
        <v>12170.8017578125</v>
      </c>
      <c r="U383" s="2">
        <v>10990.41315169418</v>
      </c>
      <c r="V383" s="2">
        <v>10435.32438366403</v>
      </c>
      <c r="W383" s="2">
        <v>12035.7802734375</v>
      </c>
      <c r="X383" s="4">
        <f t="shared" si="20"/>
        <v>0.76001566569452805</v>
      </c>
      <c r="Y383" s="4">
        <f t="shared" si="21"/>
        <v>0.84164260909282618</v>
      </c>
      <c r="Z383" s="4">
        <f t="shared" si="22"/>
        <v>0.8864123107165125</v>
      </c>
      <c r="AA383" s="4">
        <f t="shared" si="23"/>
        <v>0.76854178041239174</v>
      </c>
    </row>
    <row r="384" spans="1:27" x14ac:dyDescent="0.3">
      <c r="A384" t="s">
        <v>135</v>
      </c>
      <c r="B384">
        <v>99725</v>
      </c>
      <c r="C384">
        <v>2019</v>
      </c>
      <c r="D384" t="s">
        <v>54</v>
      </c>
      <c r="E384" t="s">
        <v>180</v>
      </c>
      <c r="F384">
        <v>4</v>
      </c>
      <c r="G384" t="s">
        <v>22</v>
      </c>
      <c r="H384">
        <v>4</v>
      </c>
      <c r="I384" t="s">
        <v>23</v>
      </c>
      <c r="J384" t="s">
        <v>24</v>
      </c>
      <c r="L384" t="s">
        <v>60</v>
      </c>
      <c r="M384" t="s">
        <v>33</v>
      </c>
      <c r="N384">
        <v>3.3</v>
      </c>
      <c r="O384" t="s">
        <v>27</v>
      </c>
      <c r="S384" s="3">
        <v>7500</v>
      </c>
      <c r="T384" s="2">
        <v>13237.1220703125</v>
      </c>
      <c r="U384" s="2">
        <v>12893.685085593381</v>
      </c>
      <c r="V384" s="2">
        <v>9993.7897159695094</v>
      </c>
      <c r="W384" s="2">
        <v>13134.4599609375</v>
      </c>
      <c r="X384" s="4">
        <f t="shared" si="20"/>
        <v>0.5665884140194335</v>
      </c>
      <c r="Y384" s="4">
        <f t="shared" si="21"/>
        <v>0.58168009767665596</v>
      </c>
      <c r="Z384" s="4">
        <f t="shared" si="22"/>
        <v>0.75046606073924338</v>
      </c>
      <c r="AA384" s="4">
        <f t="shared" si="23"/>
        <v>0.57101700582325821</v>
      </c>
    </row>
    <row r="385" spans="1:27" x14ac:dyDescent="0.3">
      <c r="A385" t="s">
        <v>135</v>
      </c>
      <c r="B385">
        <v>66041</v>
      </c>
      <c r="C385">
        <v>2018</v>
      </c>
      <c r="D385" t="s">
        <v>54</v>
      </c>
      <c r="E385" t="s">
        <v>328</v>
      </c>
      <c r="F385">
        <v>6</v>
      </c>
      <c r="G385" t="s">
        <v>47</v>
      </c>
      <c r="H385">
        <v>4</v>
      </c>
      <c r="I385" t="s">
        <v>23</v>
      </c>
      <c r="J385" t="s">
        <v>24</v>
      </c>
      <c r="K385" t="s">
        <v>27</v>
      </c>
      <c r="L385" t="s">
        <v>26</v>
      </c>
      <c r="M385">
        <v>4</v>
      </c>
      <c r="N385">
        <v>4.0999999999999899</v>
      </c>
      <c r="O385" t="s">
        <v>27</v>
      </c>
      <c r="S385" s="3">
        <v>16250</v>
      </c>
      <c r="T385" s="2">
        <v>23699.734375</v>
      </c>
      <c r="U385" s="2">
        <v>22288.931438936728</v>
      </c>
      <c r="V385" s="2">
        <v>27684.739935263311</v>
      </c>
      <c r="W385" s="2">
        <v>22108.587890625</v>
      </c>
      <c r="X385" s="4">
        <f t="shared" si="20"/>
        <v>0.68566169320199399</v>
      </c>
      <c r="Y385" s="4">
        <f t="shared" si="21"/>
        <v>0.7290614197687707</v>
      </c>
      <c r="Z385" s="4">
        <f t="shared" si="22"/>
        <v>0.5869659616813534</v>
      </c>
      <c r="AA385" s="4">
        <f t="shared" si="23"/>
        <v>0.73500849897748122</v>
      </c>
    </row>
    <row r="386" spans="1:27" x14ac:dyDescent="0.3">
      <c r="A386" t="s">
        <v>135</v>
      </c>
      <c r="B386">
        <v>65789</v>
      </c>
      <c r="C386">
        <v>2017</v>
      </c>
      <c r="D386" t="s">
        <v>54</v>
      </c>
      <c r="E386" t="s">
        <v>277</v>
      </c>
      <c r="F386">
        <v>6</v>
      </c>
      <c r="G386" t="s">
        <v>47</v>
      </c>
      <c r="H386">
        <v>4</v>
      </c>
      <c r="I386" t="s">
        <v>23</v>
      </c>
      <c r="J386" t="s">
        <v>24</v>
      </c>
      <c r="K386" t="s">
        <v>27</v>
      </c>
      <c r="L386" t="s">
        <v>26</v>
      </c>
      <c r="M386">
        <v>4</v>
      </c>
      <c r="N386">
        <v>3.4</v>
      </c>
      <c r="O386" t="s">
        <v>27</v>
      </c>
      <c r="S386" s="3">
        <v>14000</v>
      </c>
      <c r="T386" s="2">
        <v>19842.33203125</v>
      </c>
      <c r="U386" s="2">
        <v>23249.371445351571</v>
      </c>
      <c r="V386" s="2">
        <v>23393.141465286441</v>
      </c>
      <c r="W386" s="2">
        <v>19007.404296875</v>
      </c>
      <c r="X386" s="4">
        <f t="shared" ref="X386:X449" si="24">S386/T386</f>
        <v>0.70556222816709147</v>
      </c>
      <c r="Y386" s="4">
        <f t="shared" ref="Y386:Y449" si="25">S386/U386</f>
        <v>0.6021668169785781</v>
      </c>
      <c r="Z386" s="4">
        <f t="shared" ref="Z386:Z449" si="26">S386/V386</f>
        <v>0.59846600854249887</v>
      </c>
      <c r="AA386" s="4">
        <f t="shared" ref="AA386:AA449" si="27">S386/W386</f>
        <v>0.73655506987357211</v>
      </c>
    </row>
    <row r="387" spans="1:27" x14ac:dyDescent="0.3">
      <c r="A387" t="s">
        <v>135</v>
      </c>
      <c r="B387">
        <v>106086</v>
      </c>
      <c r="C387">
        <v>2017</v>
      </c>
      <c r="D387" t="s">
        <v>44</v>
      </c>
      <c r="E387" t="s">
        <v>210</v>
      </c>
      <c r="F387">
        <v>4</v>
      </c>
      <c r="G387" t="s">
        <v>47</v>
      </c>
      <c r="H387">
        <v>4</v>
      </c>
      <c r="I387" t="s">
        <v>23</v>
      </c>
      <c r="J387" t="s">
        <v>37</v>
      </c>
      <c r="K387" t="s">
        <v>27</v>
      </c>
      <c r="L387" t="s">
        <v>128</v>
      </c>
      <c r="M387" t="s">
        <v>33</v>
      </c>
      <c r="N387">
        <v>4.4000000000000004</v>
      </c>
      <c r="O387" t="s">
        <v>27</v>
      </c>
      <c r="S387" s="3">
        <v>7600</v>
      </c>
      <c r="T387" s="2">
        <v>8401.4619140625</v>
      </c>
      <c r="U387" s="2">
        <v>8257.0675957907224</v>
      </c>
      <c r="V387" s="2">
        <v>8299.6856011961318</v>
      </c>
      <c r="W387" s="2">
        <v>8517.9345703125</v>
      </c>
      <c r="X387" s="4">
        <f t="shared" si="24"/>
        <v>0.90460446976245878</v>
      </c>
      <c r="Y387" s="4">
        <f t="shared" si="25"/>
        <v>0.9204236142955059</v>
      </c>
      <c r="Z387" s="4">
        <f t="shared" si="26"/>
        <v>0.91569733664425856</v>
      </c>
      <c r="AA387" s="4">
        <f t="shared" si="27"/>
        <v>0.8922350761519382</v>
      </c>
    </row>
    <row r="388" spans="1:27" x14ac:dyDescent="0.3">
      <c r="A388" t="s">
        <v>135</v>
      </c>
      <c r="B388">
        <v>85513</v>
      </c>
      <c r="C388">
        <v>2016</v>
      </c>
      <c r="D388" t="s">
        <v>40</v>
      </c>
      <c r="E388" t="s">
        <v>229</v>
      </c>
      <c r="F388">
        <v>4</v>
      </c>
      <c r="G388" t="s">
        <v>66</v>
      </c>
      <c r="H388">
        <v>4</v>
      </c>
      <c r="I388" t="s">
        <v>23</v>
      </c>
      <c r="J388" t="s">
        <v>31</v>
      </c>
      <c r="K388" t="s">
        <v>27</v>
      </c>
      <c r="L388" t="s">
        <v>107</v>
      </c>
      <c r="M388" t="s">
        <v>33</v>
      </c>
      <c r="N388">
        <v>3.1</v>
      </c>
      <c r="O388" t="s">
        <v>27</v>
      </c>
      <c r="S388" s="3">
        <v>7700</v>
      </c>
      <c r="T388" s="2">
        <v>9306.341796875</v>
      </c>
      <c r="U388" s="2">
        <v>9682.9345116630066</v>
      </c>
      <c r="V388" s="2">
        <v>8850.9913244132513</v>
      </c>
      <c r="W388" s="2">
        <v>8978.4326171875</v>
      </c>
      <c r="X388" s="4">
        <f t="shared" si="24"/>
        <v>0.82739277882374818</v>
      </c>
      <c r="Y388" s="4">
        <f t="shared" si="25"/>
        <v>0.79521347487431837</v>
      </c>
      <c r="Z388" s="4">
        <f t="shared" si="26"/>
        <v>0.86995904953171421</v>
      </c>
      <c r="AA388" s="4">
        <f t="shared" si="27"/>
        <v>0.8576107131727887</v>
      </c>
    </row>
    <row r="389" spans="1:27" x14ac:dyDescent="0.3">
      <c r="A389" t="s">
        <v>135</v>
      </c>
      <c r="B389">
        <v>129524</v>
      </c>
      <c r="C389">
        <v>2017</v>
      </c>
      <c r="D389" t="s">
        <v>40</v>
      </c>
      <c r="E389" t="s">
        <v>136</v>
      </c>
      <c r="F389">
        <v>4</v>
      </c>
      <c r="G389" t="s">
        <v>36</v>
      </c>
      <c r="H389">
        <v>4</v>
      </c>
      <c r="I389" t="s">
        <v>23</v>
      </c>
      <c r="J389" t="s">
        <v>31</v>
      </c>
      <c r="K389" t="s">
        <v>27</v>
      </c>
      <c r="L389" t="s">
        <v>73</v>
      </c>
      <c r="M389" t="s">
        <v>33</v>
      </c>
      <c r="N389">
        <v>3.3</v>
      </c>
      <c r="O389" t="s">
        <v>27</v>
      </c>
      <c r="S389" s="3">
        <v>6000</v>
      </c>
      <c r="T389" s="2">
        <v>6743.13232421875</v>
      </c>
      <c r="U389" s="2">
        <v>6202.7958821692964</v>
      </c>
      <c r="V389" s="2">
        <v>5249.8492080389324</v>
      </c>
      <c r="W389" s="2">
        <v>6285.0810546875</v>
      </c>
      <c r="X389" s="4">
        <f t="shared" si="24"/>
        <v>0.88979419526594439</v>
      </c>
      <c r="Y389" s="4">
        <f t="shared" si="25"/>
        <v>0.96730573018656663</v>
      </c>
      <c r="Z389" s="4">
        <f t="shared" si="26"/>
        <v>1.1428899692609047</v>
      </c>
      <c r="AA389" s="4">
        <f t="shared" si="27"/>
        <v>0.95464162638365935</v>
      </c>
    </row>
    <row r="390" spans="1:27" x14ac:dyDescent="0.3">
      <c r="A390" t="s">
        <v>135</v>
      </c>
      <c r="B390">
        <v>88953</v>
      </c>
      <c r="C390">
        <v>2017</v>
      </c>
      <c r="D390" t="s">
        <v>28</v>
      </c>
      <c r="E390" t="s">
        <v>329</v>
      </c>
      <c r="F390">
        <v>4</v>
      </c>
      <c r="G390" t="s">
        <v>47</v>
      </c>
      <c r="H390">
        <v>4</v>
      </c>
      <c r="I390" t="s">
        <v>23</v>
      </c>
      <c r="J390" t="s">
        <v>24</v>
      </c>
      <c r="K390" t="s">
        <v>27</v>
      </c>
      <c r="L390" t="s">
        <v>32</v>
      </c>
      <c r="M390" t="s">
        <v>33</v>
      </c>
      <c r="N390">
        <v>4</v>
      </c>
      <c r="O390" t="s">
        <v>27</v>
      </c>
      <c r="S390" s="3">
        <v>13000</v>
      </c>
      <c r="T390" s="2">
        <v>13712.0693359375</v>
      </c>
      <c r="U390" s="2">
        <v>11708.14272273737</v>
      </c>
      <c r="V390" s="2">
        <v>13374.79684330226</v>
      </c>
      <c r="W390" s="2">
        <v>14054.75390625</v>
      </c>
      <c r="X390" s="4">
        <f t="shared" si="24"/>
        <v>0.94806988511418466</v>
      </c>
      <c r="Y390" s="4">
        <f t="shared" si="25"/>
        <v>1.1103383609044863</v>
      </c>
      <c r="Z390" s="4">
        <f t="shared" si="26"/>
        <v>0.97197738046466498</v>
      </c>
      <c r="AA390" s="4">
        <f t="shared" si="27"/>
        <v>0.92495393990634289</v>
      </c>
    </row>
    <row r="391" spans="1:27" x14ac:dyDescent="0.3">
      <c r="A391" t="s">
        <v>135</v>
      </c>
      <c r="B391">
        <v>136866</v>
      </c>
      <c r="C391">
        <v>2016</v>
      </c>
      <c r="D391" t="s">
        <v>44</v>
      </c>
      <c r="E391" t="s">
        <v>117</v>
      </c>
      <c r="F391">
        <v>4</v>
      </c>
      <c r="G391" t="s">
        <v>66</v>
      </c>
      <c r="H391">
        <v>4</v>
      </c>
      <c r="I391" t="s">
        <v>23</v>
      </c>
      <c r="J391" t="s">
        <v>62</v>
      </c>
      <c r="L391" t="s">
        <v>118</v>
      </c>
      <c r="M391" t="s">
        <v>33</v>
      </c>
      <c r="N391">
        <v>4.4000000000000004</v>
      </c>
      <c r="O391" t="s">
        <v>27</v>
      </c>
      <c r="S391" s="3">
        <v>4500</v>
      </c>
      <c r="T391" s="2">
        <v>6021.46044921875</v>
      </c>
      <c r="U391" s="2">
        <v>6639.9376502699552</v>
      </c>
      <c r="V391" s="2">
        <v>4646.7714646499944</v>
      </c>
      <c r="W391" s="2">
        <v>5868.8759765625</v>
      </c>
      <c r="X391" s="4">
        <f t="shared" si="24"/>
        <v>0.74732700446182443</v>
      </c>
      <c r="Y391" s="4">
        <f t="shared" si="25"/>
        <v>0.67771720715134232</v>
      </c>
      <c r="Z391" s="4">
        <f t="shared" si="26"/>
        <v>0.96841431394538147</v>
      </c>
      <c r="AA391" s="4">
        <f t="shared" si="27"/>
        <v>0.76675670400445672</v>
      </c>
    </row>
    <row r="392" spans="1:27" x14ac:dyDescent="0.3">
      <c r="A392" t="s">
        <v>135</v>
      </c>
      <c r="B392">
        <v>232999</v>
      </c>
      <c r="C392">
        <v>2010</v>
      </c>
      <c r="D392" t="s">
        <v>34</v>
      </c>
      <c r="E392" t="s">
        <v>330</v>
      </c>
      <c r="F392">
        <v>6</v>
      </c>
      <c r="G392" t="s">
        <v>47</v>
      </c>
      <c r="H392">
        <v>4</v>
      </c>
      <c r="I392" t="s">
        <v>23</v>
      </c>
      <c r="J392" t="s">
        <v>62</v>
      </c>
      <c r="K392" t="s">
        <v>27</v>
      </c>
      <c r="L392" t="s">
        <v>319</v>
      </c>
      <c r="M392">
        <v>4</v>
      </c>
      <c r="N392">
        <v>0</v>
      </c>
      <c r="O392" t="s">
        <v>27</v>
      </c>
      <c r="S392" s="3">
        <v>10250</v>
      </c>
      <c r="T392" s="2">
        <v>7906.73193359375</v>
      </c>
      <c r="U392" s="2">
        <v>6182.8870657633825</v>
      </c>
      <c r="V392" s="2">
        <v>8911.5584112660581</v>
      </c>
      <c r="W392" s="2">
        <v>6822.97705078125</v>
      </c>
      <c r="X392" s="4">
        <f t="shared" si="24"/>
        <v>1.2963636665675085</v>
      </c>
      <c r="Y392" s="4">
        <f t="shared" si="25"/>
        <v>1.6578015886393136</v>
      </c>
      <c r="Z392" s="4">
        <f t="shared" si="26"/>
        <v>1.1501916417943099</v>
      </c>
      <c r="AA392" s="4">
        <f t="shared" si="27"/>
        <v>1.5022767808996729</v>
      </c>
    </row>
    <row r="393" spans="1:27" x14ac:dyDescent="0.3">
      <c r="A393" t="s">
        <v>135</v>
      </c>
      <c r="B393">
        <v>128328</v>
      </c>
      <c r="C393">
        <v>2017</v>
      </c>
      <c r="D393" t="s">
        <v>28</v>
      </c>
      <c r="E393" t="s">
        <v>274</v>
      </c>
      <c r="F393">
        <v>6</v>
      </c>
      <c r="G393" t="s">
        <v>30</v>
      </c>
      <c r="H393">
        <v>4</v>
      </c>
      <c r="I393" t="s">
        <v>23</v>
      </c>
      <c r="J393" t="s">
        <v>42</v>
      </c>
      <c r="K393" t="s">
        <v>27</v>
      </c>
      <c r="L393" t="s">
        <v>53</v>
      </c>
      <c r="M393" t="s">
        <v>33</v>
      </c>
      <c r="N393">
        <v>4.5</v>
      </c>
      <c r="O393" t="s">
        <v>27</v>
      </c>
      <c r="S393" s="3">
        <v>13000</v>
      </c>
      <c r="T393" s="2">
        <v>13880.1875</v>
      </c>
      <c r="U393" s="2">
        <v>13459.246859260331</v>
      </c>
      <c r="V393" s="2">
        <v>12147.83531594434</v>
      </c>
      <c r="W393" s="2">
        <v>14722.8505859375</v>
      </c>
      <c r="X393" s="4">
        <f t="shared" si="24"/>
        <v>0.93658677161241521</v>
      </c>
      <c r="Y393" s="4">
        <f t="shared" si="25"/>
        <v>0.96587871044624196</v>
      </c>
      <c r="Z393" s="4">
        <f t="shared" si="26"/>
        <v>1.0701495091011954</v>
      </c>
      <c r="AA393" s="4">
        <f t="shared" si="27"/>
        <v>0.88298118113192858</v>
      </c>
    </row>
    <row r="394" spans="1:27" x14ac:dyDescent="0.3">
      <c r="A394" t="s">
        <v>135</v>
      </c>
      <c r="B394">
        <v>73507</v>
      </c>
      <c r="C394">
        <v>2018</v>
      </c>
      <c r="D394" t="s">
        <v>44</v>
      </c>
      <c r="E394" t="s">
        <v>45</v>
      </c>
      <c r="F394">
        <v>8</v>
      </c>
      <c r="G394" t="s">
        <v>30</v>
      </c>
      <c r="H394">
        <v>4</v>
      </c>
      <c r="I394" t="s">
        <v>23</v>
      </c>
      <c r="J394" t="s">
        <v>46</v>
      </c>
      <c r="K394" t="s">
        <v>27</v>
      </c>
      <c r="L394" t="s">
        <v>48</v>
      </c>
      <c r="M394" t="s">
        <v>78</v>
      </c>
      <c r="N394">
        <v>4.0999999999999899</v>
      </c>
      <c r="O394" t="s">
        <v>27</v>
      </c>
      <c r="S394" s="3">
        <v>15000</v>
      </c>
      <c r="T394" s="2">
        <v>36638.921875</v>
      </c>
      <c r="U394" s="2">
        <v>31972.22451829163</v>
      </c>
      <c r="V394" s="2">
        <v>17681.317498892739</v>
      </c>
      <c r="W394" s="2">
        <v>24636.400390625</v>
      </c>
      <c r="X394" s="4">
        <f t="shared" si="24"/>
        <v>0.40940069282538077</v>
      </c>
      <c r="Y394" s="4">
        <f t="shared" si="25"/>
        <v>0.46915722086895612</v>
      </c>
      <c r="Z394" s="4">
        <f t="shared" si="26"/>
        <v>0.84835307102761703</v>
      </c>
      <c r="AA394" s="4">
        <f t="shared" si="27"/>
        <v>0.60885518022787199</v>
      </c>
    </row>
    <row r="395" spans="1:27" x14ac:dyDescent="0.3">
      <c r="A395" t="s">
        <v>135</v>
      </c>
      <c r="B395">
        <v>108992</v>
      </c>
      <c r="C395">
        <v>2012</v>
      </c>
      <c r="D395" t="s">
        <v>28</v>
      </c>
      <c r="E395" t="s">
        <v>220</v>
      </c>
      <c r="F395">
        <v>6</v>
      </c>
      <c r="G395" t="s">
        <v>22</v>
      </c>
      <c r="H395">
        <v>4</v>
      </c>
      <c r="I395" t="s">
        <v>23</v>
      </c>
      <c r="J395" t="s">
        <v>24</v>
      </c>
      <c r="K395" t="s">
        <v>27</v>
      </c>
      <c r="L395" t="s">
        <v>53</v>
      </c>
      <c r="M395">
        <v>4</v>
      </c>
      <c r="N395">
        <v>2.7</v>
      </c>
      <c r="O395" t="s">
        <v>27</v>
      </c>
      <c r="S395" s="3">
        <v>8400</v>
      </c>
      <c r="T395" s="2">
        <v>6468.24462890625</v>
      </c>
      <c r="U395" s="2">
        <v>8524.584890826769</v>
      </c>
      <c r="V395" s="2">
        <v>9745.8492914871695</v>
      </c>
      <c r="W395" s="2">
        <v>7816.6533203125</v>
      </c>
      <c r="X395" s="4">
        <f t="shared" si="24"/>
        <v>1.2986521818393875</v>
      </c>
      <c r="Y395" s="4">
        <f t="shared" si="25"/>
        <v>0.98538522492035552</v>
      </c>
      <c r="Z395" s="4">
        <f t="shared" si="26"/>
        <v>0.86190538646408732</v>
      </c>
      <c r="AA395" s="4">
        <f t="shared" si="27"/>
        <v>1.0746287005170876</v>
      </c>
    </row>
    <row r="396" spans="1:27" x14ac:dyDescent="0.3">
      <c r="A396" t="s">
        <v>296</v>
      </c>
      <c r="B396">
        <v>175459</v>
      </c>
      <c r="C396">
        <v>2014</v>
      </c>
      <c r="D396" t="s">
        <v>141</v>
      </c>
      <c r="E396" t="s">
        <v>215</v>
      </c>
      <c r="F396">
        <v>8</v>
      </c>
      <c r="G396" t="s">
        <v>22</v>
      </c>
      <c r="H396">
        <v>4</v>
      </c>
      <c r="I396" t="s">
        <v>23</v>
      </c>
      <c r="J396" t="s">
        <v>31</v>
      </c>
      <c r="K396" t="s">
        <v>27</v>
      </c>
      <c r="L396" t="s">
        <v>84</v>
      </c>
      <c r="M396" t="s">
        <v>78</v>
      </c>
      <c r="N396">
        <v>1.7</v>
      </c>
      <c r="O396" t="s">
        <v>199</v>
      </c>
      <c r="S396" s="3">
        <v>1450</v>
      </c>
      <c r="T396" s="2">
        <v>3641.883544921875</v>
      </c>
      <c r="U396" s="2">
        <v>11207.86296292949</v>
      </c>
      <c r="V396" s="2">
        <v>2583.3218176209471</v>
      </c>
      <c r="W396" s="2">
        <v>4183.78662109375</v>
      </c>
      <c r="X396" s="4">
        <f t="shared" si="24"/>
        <v>0.39814562495328365</v>
      </c>
      <c r="Y396" s="4">
        <f t="shared" si="25"/>
        <v>0.12937345904352507</v>
      </c>
      <c r="Z396" s="4">
        <f t="shared" si="26"/>
        <v>0.56129282465292896</v>
      </c>
      <c r="AA396" s="4">
        <f t="shared" si="27"/>
        <v>0.34657599235329373</v>
      </c>
    </row>
    <row r="397" spans="1:27" x14ac:dyDescent="0.3">
      <c r="A397" t="s">
        <v>296</v>
      </c>
      <c r="B397">
        <v>34554</v>
      </c>
      <c r="C397">
        <v>2019</v>
      </c>
      <c r="D397" t="s">
        <v>331</v>
      </c>
      <c r="E397" t="s">
        <v>332</v>
      </c>
      <c r="F397">
        <v>6</v>
      </c>
      <c r="G397" t="s">
        <v>47</v>
      </c>
      <c r="H397">
        <v>4</v>
      </c>
      <c r="I397" t="s">
        <v>23</v>
      </c>
      <c r="J397" t="s">
        <v>31</v>
      </c>
      <c r="K397" t="s">
        <v>27</v>
      </c>
      <c r="L397" t="s">
        <v>218</v>
      </c>
      <c r="M397" t="s">
        <v>78</v>
      </c>
      <c r="N397">
        <v>4.3</v>
      </c>
      <c r="O397" t="s">
        <v>27</v>
      </c>
      <c r="S397" s="3">
        <v>14400</v>
      </c>
      <c r="T397" s="2">
        <v>30477.416015625</v>
      </c>
      <c r="U397" s="2">
        <v>29232.098398323222</v>
      </c>
      <c r="V397" s="2">
        <v>19732.953568981691</v>
      </c>
      <c r="W397" s="2">
        <v>31081.416015625</v>
      </c>
      <c r="X397" s="4">
        <f t="shared" si="24"/>
        <v>0.47248100011554406</v>
      </c>
      <c r="Y397" s="4">
        <f t="shared" si="25"/>
        <v>0.49260917925844133</v>
      </c>
      <c r="Z397" s="4">
        <f t="shared" si="26"/>
        <v>0.72974377351373376</v>
      </c>
      <c r="AA397" s="4">
        <f t="shared" si="27"/>
        <v>0.46329935524047383</v>
      </c>
    </row>
    <row r="398" spans="1:27" x14ac:dyDescent="0.3">
      <c r="A398" t="s">
        <v>296</v>
      </c>
      <c r="B398">
        <v>309556</v>
      </c>
      <c r="C398">
        <v>2015</v>
      </c>
      <c r="D398" t="s">
        <v>44</v>
      </c>
      <c r="E398" t="s">
        <v>267</v>
      </c>
      <c r="F398">
        <v>8</v>
      </c>
      <c r="G398" t="s">
        <v>47</v>
      </c>
      <c r="H398">
        <v>4</v>
      </c>
      <c r="I398" t="s">
        <v>23</v>
      </c>
      <c r="J398" t="s">
        <v>46</v>
      </c>
      <c r="K398" t="s">
        <v>27</v>
      </c>
      <c r="L398" t="s">
        <v>313</v>
      </c>
      <c r="M398">
        <v>4</v>
      </c>
      <c r="N398">
        <v>1</v>
      </c>
      <c r="O398" t="s">
        <v>199</v>
      </c>
      <c r="S398" s="3">
        <v>1350</v>
      </c>
      <c r="T398" s="2">
        <v>3210.875</v>
      </c>
      <c r="U398" s="2">
        <v>9729.1715920243987</v>
      </c>
      <c r="V398" s="2">
        <v>-996.46969752907353</v>
      </c>
      <c r="W398" s="2">
        <v>4881.94189453125</v>
      </c>
      <c r="X398" s="4">
        <f t="shared" si="24"/>
        <v>0.42044614007085296</v>
      </c>
      <c r="Y398" s="4">
        <f t="shared" si="25"/>
        <v>0.13875795973283872</v>
      </c>
      <c r="Z398" s="4">
        <f t="shared" si="26"/>
        <v>-1.3547827930418443</v>
      </c>
      <c r="AA398" s="4">
        <f t="shared" si="27"/>
        <v>0.27652930517511271</v>
      </c>
    </row>
    <row r="399" spans="1:27" x14ac:dyDescent="0.3">
      <c r="A399" t="s">
        <v>296</v>
      </c>
      <c r="B399">
        <v>2199</v>
      </c>
      <c r="C399">
        <v>2024</v>
      </c>
      <c r="D399" t="s">
        <v>40</v>
      </c>
      <c r="E399" t="s">
        <v>63</v>
      </c>
      <c r="F399">
        <v>4</v>
      </c>
      <c r="G399" t="s">
        <v>59</v>
      </c>
      <c r="H399">
        <v>4</v>
      </c>
      <c r="I399" t="s">
        <v>23</v>
      </c>
      <c r="J399" t="s">
        <v>24</v>
      </c>
      <c r="K399" t="s">
        <v>27</v>
      </c>
      <c r="L399" t="s">
        <v>107</v>
      </c>
      <c r="M399" t="s">
        <v>33</v>
      </c>
      <c r="N399">
        <v>3</v>
      </c>
      <c r="O399" t="s">
        <v>27</v>
      </c>
      <c r="S399" s="3">
        <v>20750</v>
      </c>
      <c r="T399" s="2">
        <v>30508.470703125</v>
      </c>
      <c r="U399" s="2">
        <v>30803.562191162709</v>
      </c>
      <c r="V399" s="2">
        <v>23042.577546515731</v>
      </c>
      <c r="W399" s="2">
        <v>30651.8125</v>
      </c>
      <c r="X399" s="4">
        <f t="shared" si="24"/>
        <v>0.68013897523465727</v>
      </c>
      <c r="Y399" s="4">
        <f t="shared" si="25"/>
        <v>0.67362339041271679</v>
      </c>
      <c r="Z399" s="4">
        <f t="shared" si="26"/>
        <v>0.90050689677021867</v>
      </c>
      <c r="AA399" s="4">
        <f t="shared" si="27"/>
        <v>0.67695833647683967</v>
      </c>
    </row>
    <row r="400" spans="1:27" x14ac:dyDescent="0.3">
      <c r="A400" t="s">
        <v>135</v>
      </c>
      <c r="B400">
        <v>138633</v>
      </c>
      <c r="C400">
        <v>2014</v>
      </c>
      <c r="D400" t="s">
        <v>44</v>
      </c>
      <c r="E400" t="s">
        <v>68</v>
      </c>
      <c r="F400">
        <v>6</v>
      </c>
      <c r="G400" t="s">
        <v>47</v>
      </c>
      <c r="H400">
        <v>4</v>
      </c>
      <c r="I400" t="s">
        <v>23</v>
      </c>
      <c r="J400" t="s">
        <v>62</v>
      </c>
      <c r="K400" t="s">
        <v>27</v>
      </c>
      <c r="L400" t="s">
        <v>38</v>
      </c>
      <c r="M400" t="s">
        <v>33</v>
      </c>
      <c r="N400">
        <v>4.5</v>
      </c>
      <c r="O400" t="s">
        <v>27</v>
      </c>
      <c r="S400" s="3">
        <v>6500</v>
      </c>
      <c r="T400" s="2">
        <v>6164.81298828125</v>
      </c>
      <c r="U400" s="2">
        <v>6984.5617534665689</v>
      </c>
      <c r="V400" s="2">
        <v>6943.7365156551696</v>
      </c>
      <c r="W400" s="2">
        <v>7914.07470703125</v>
      </c>
      <c r="X400" s="4">
        <f t="shared" si="24"/>
        <v>1.0543709942792929</v>
      </c>
      <c r="Y400" s="4">
        <f t="shared" si="25"/>
        <v>0.93062388585424538</v>
      </c>
      <c r="Z400" s="4">
        <f t="shared" si="26"/>
        <v>0.93609542720194916</v>
      </c>
      <c r="AA400" s="4">
        <f t="shared" si="27"/>
        <v>0.8213215367078962</v>
      </c>
    </row>
    <row r="401" spans="1:27" x14ac:dyDescent="0.3">
      <c r="A401" t="s">
        <v>135</v>
      </c>
      <c r="B401">
        <v>89066</v>
      </c>
      <c r="C401">
        <v>2020</v>
      </c>
      <c r="D401" t="s">
        <v>54</v>
      </c>
      <c r="E401" t="s">
        <v>219</v>
      </c>
      <c r="F401">
        <v>6</v>
      </c>
      <c r="G401" t="s">
        <v>47</v>
      </c>
      <c r="H401">
        <v>4</v>
      </c>
      <c r="I401" t="s">
        <v>23</v>
      </c>
      <c r="J401" t="s">
        <v>24</v>
      </c>
      <c r="L401" t="s">
        <v>26</v>
      </c>
      <c r="M401" t="s">
        <v>78</v>
      </c>
      <c r="N401">
        <v>4.5</v>
      </c>
      <c r="O401" t="s">
        <v>27</v>
      </c>
      <c r="S401" s="3">
        <v>14500</v>
      </c>
      <c r="T401" s="2">
        <v>24198.37890625</v>
      </c>
      <c r="U401" s="2">
        <v>21237.310203130131</v>
      </c>
      <c r="V401" s="2">
        <v>22069.558398919231</v>
      </c>
      <c r="W401" s="2">
        <v>22721.4921875</v>
      </c>
      <c r="X401" s="4">
        <f t="shared" si="24"/>
        <v>0.59921369345344511</v>
      </c>
      <c r="Y401" s="4">
        <f t="shared" si="25"/>
        <v>0.68276066325305496</v>
      </c>
      <c r="Z401" s="4">
        <f t="shared" si="26"/>
        <v>0.65701359936182868</v>
      </c>
      <c r="AA401" s="4">
        <f t="shared" si="27"/>
        <v>0.63816231259569423</v>
      </c>
    </row>
    <row r="402" spans="1:27" x14ac:dyDescent="0.3">
      <c r="A402" t="s">
        <v>135</v>
      </c>
      <c r="B402">
        <v>90358</v>
      </c>
      <c r="C402">
        <v>2021</v>
      </c>
      <c r="D402" t="s">
        <v>44</v>
      </c>
      <c r="E402" t="s">
        <v>45</v>
      </c>
      <c r="F402">
        <v>6</v>
      </c>
      <c r="G402" t="s">
        <v>47</v>
      </c>
      <c r="H402">
        <v>4</v>
      </c>
      <c r="I402" t="s">
        <v>23</v>
      </c>
      <c r="J402" t="s">
        <v>46</v>
      </c>
      <c r="K402" t="s">
        <v>27</v>
      </c>
      <c r="L402" t="s">
        <v>242</v>
      </c>
      <c r="M402" t="s">
        <v>78</v>
      </c>
      <c r="N402">
        <v>4.7</v>
      </c>
      <c r="O402" t="s">
        <v>27</v>
      </c>
      <c r="S402" s="3">
        <v>28750</v>
      </c>
      <c r="T402" s="2">
        <v>26740.130859375</v>
      </c>
      <c r="U402" s="2">
        <v>27140.21882373032</v>
      </c>
      <c r="V402" s="2">
        <v>24148.900337271669</v>
      </c>
      <c r="W402" s="2">
        <v>27996.69140625</v>
      </c>
      <c r="X402" s="4">
        <f t="shared" si="24"/>
        <v>1.0751630256110114</v>
      </c>
      <c r="Y402" s="4">
        <f t="shared" si="25"/>
        <v>1.0593134928913008</v>
      </c>
      <c r="Z402" s="4">
        <f t="shared" si="26"/>
        <v>1.1905304009071975</v>
      </c>
      <c r="AA402" s="4">
        <f t="shared" si="27"/>
        <v>1.0269070577954733</v>
      </c>
    </row>
    <row r="403" spans="1:27" x14ac:dyDescent="0.3">
      <c r="A403" t="s">
        <v>296</v>
      </c>
      <c r="B403">
        <v>72140</v>
      </c>
      <c r="C403">
        <v>2018</v>
      </c>
      <c r="D403" t="s">
        <v>125</v>
      </c>
      <c r="E403" t="s">
        <v>306</v>
      </c>
      <c r="F403">
        <v>4</v>
      </c>
      <c r="G403" t="s">
        <v>30</v>
      </c>
      <c r="H403">
        <v>4</v>
      </c>
      <c r="I403" t="s">
        <v>23</v>
      </c>
      <c r="J403" t="s">
        <v>24</v>
      </c>
      <c r="K403" t="s">
        <v>27</v>
      </c>
      <c r="L403" t="s">
        <v>127</v>
      </c>
      <c r="M403" t="s">
        <v>33</v>
      </c>
      <c r="N403">
        <v>0</v>
      </c>
      <c r="O403" t="s">
        <v>27</v>
      </c>
      <c r="S403" s="3">
        <v>9000</v>
      </c>
      <c r="T403" s="2">
        <v>12417.267578125</v>
      </c>
      <c r="U403" s="2">
        <v>12471.15047724235</v>
      </c>
      <c r="V403" s="2">
        <v>9851.38153968392</v>
      </c>
      <c r="W403" s="2">
        <v>12724.947265625</v>
      </c>
      <c r="X403" s="4">
        <f t="shared" si="24"/>
        <v>0.72479713780630273</v>
      </c>
      <c r="Y403" s="4">
        <f t="shared" si="25"/>
        <v>0.72166557659803821</v>
      </c>
      <c r="Z403" s="4">
        <f t="shared" si="26"/>
        <v>0.91357744736062307</v>
      </c>
      <c r="AA403" s="4">
        <f t="shared" si="27"/>
        <v>0.70727208625158533</v>
      </c>
    </row>
    <row r="404" spans="1:27" x14ac:dyDescent="0.3">
      <c r="A404" t="s">
        <v>296</v>
      </c>
      <c r="B404">
        <v>17921</v>
      </c>
      <c r="C404">
        <v>2024</v>
      </c>
      <c r="D404" t="s">
        <v>90</v>
      </c>
      <c r="E404" t="s">
        <v>333</v>
      </c>
      <c r="F404">
        <v>4</v>
      </c>
      <c r="G404" t="s">
        <v>59</v>
      </c>
      <c r="H404">
        <v>4</v>
      </c>
      <c r="I404" t="s">
        <v>23</v>
      </c>
      <c r="J404" t="s">
        <v>24</v>
      </c>
      <c r="L404" t="s">
        <v>107</v>
      </c>
      <c r="M404" t="s">
        <v>33</v>
      </c>
      <c r="N404">
        <v>3.8</v>
      </c>
      <c r="O404" t="s">
        <v>27</v>
      </c>
      <c r="S404" s="3">
        <v>18000</v>
      </c>
      <c r="T404" s="2">
        <v>18639.982421875</v>
      </c>
      <c r="U404" s="2">
        <v>19991.224111013729</v>
      </c>
      <c r="V404" s="2">
        <v>22468.413087201559</v>
      </c>
      <c r="W404" s="2">
        <v>21786.21484375</v>
      </c>
      <c r="X404" s="4">
        <f t="shared" si="24"/>
        <v>0.96566614670602124</v>
      </c>
      <c r="Y404" s="4">
        <f t="shared" si="25"/>
        <v>0.90039508836696458</v>
      </c>
      <c r="Z404" s="4">
        <f t="shared" si="26"/>
        <v>0.80112466911395475</v>
      </c>
      <c r="AA404" s="4">
        <f t="shared" si="27"/>
        <v>0.82621052482477542</v>
      </c>
    </row>
    <row r="405" spans="1:27" x14ac:dyDescent="0.3">
      <c r="A405" t="s">
        <v>296</v>
      </c>
      <c r="B405">
        <v>189124</v>
      </c>
      <c r="C405">
        <v>2012</v>
      </c>
      <c r="D405" t="s">
        <v>222</v>
      </c>
      <c r="E405" t="s">
        <v>223</v>
      </c>
      <c r="F405">
        <v>8</v>
      </c>
      <c r="G405" t="s">
        <v>22</v>
      </c>
      <c r="H405">
        <v>4</v>
      </c>
      <c r="I405" t="s">
        <v>23</v>
      </c>
      <c r="J405" t="s">
        <v>24</v>
      </c>
      <c r="K405" t="s">
        <v>27</v>
      </c>
      <c r="L405" t="s">
        <v>334</v>
      </c>
      <c r="M405" t="s">
        <v>23</v>
      </c>
      <c r="N405">
        <v>2.6</v>
      </c>
      <c r="O405" t="s">
        <v>123</v>
      </c>
      <c r="S405" s="3">
        <v>2100</v>
      </c>
      <c r="T405" s="2">
        <v>3974.336669921875</v>
      </c>
      <c r="U405" s="2">
        <v>3521.9094230442679</v>
      </c>
      <c r="V405" s="2">
        <v>825.09341619554471</v>
      </c>
      <c r="W405" s="2">
        <v>3756.371337890625</v>
      </c>
      <c r="X405" s="4">
        <f t="shared" si="24"/>
        <v>0.52839006214369866</v>
      </c>
      <c r="Y405" s="4">
        <f t="shared" si="25"/>
        <v>0.59626746396697561</v>
      </c>
      <c r="Z405" s="4">
        <f t="shared" si="26"/>
        <v>2.5451663518089522</v>
      </c>
      <c r="AA405" s="4">
        <f t="shared" si="27"/>
        <v>0.55905016067427626</v>
      </c>
    </row>
    <row r="406" spans="1:27" x14ac:dyDescent="0.3">
      <c r="A406" t="s">
        <v>296</v>
      </c>
      <c r="B406">
        <v>120129</v>
      </c>
      <c r="C406">
        <v>2014</v>
      </c>
      <c r="D406" t="s">
        <v>54</v>
      </c>
      <c r="E406" t="s">
        <v>275</v>
      </c>
      <c r="F406">
        <v>4</v>
      </c>
      <c r="G406" t="s">
        <v>36</v>
      </c>
      <c r="H406">
        <v>4</v>
      </c>
      <c r="I406" t="s">
        <v>23</v>
      </c>
      <c r="J406" t="s">
        <v>24</v>
      </c>
      <c r="L406" t="s">
        <v>60</v>
      </c>
      <c r="M406" t="s">
        <v>33</v>
      </c>
      <c r="N406">
        <v>0</v>
      </c>
      <c r="O406" t="s">
        <v>27</v>
      </c>
      <c r="S406" s="3">
        <v>2400</v>
      </c>
      <c r="T406" s="2">
        <v>7080.6455078125</v>
      </c>
      <c r="U406" s="2">
        <v>7159.9336989013918</v>
      </c>
      <c r="V406" s="2">
        <v>5066.7370042007988</v>
      </c>
      <c r="W406" s="2">
        <v>6845.0263671875</v>
      </c>
      <c r="X406" s="4">
        <f t="shared" si="24"/>
        <v>0.33895214742101359</v>
      </c>
      <c r="Y406" s="4">
        <f t="shared" si="25"/>
        <v>0.33519863464214089</v>
      </c>
      <c r="Z406" s="4">
        <f t="shared" si="26"/>
        <v>0.47367763474010505</v>
      </c>
      <c r="AA406" s="4">
        <f t="shared" si="27"/>
        <v>0.35061954056228384</v>
      </c>
    </row>
    <row r="407" spans="1:27" x14ac:dyDescent="0.3">
      <c r="A407" t="s">
        <v>296</v>
      </c>
      <c r="B407">
        <v>45676</v>
      </c>
      <c r="C407">
        <v>2022</v>
      </c>
      <c r="D407" t="s">
        <v>81</v>
      </c>
      <c r="E407" t="s">
        <v>82</v>
      </c>
      <c r="F407">
        <v>6</v>
      </c>
      <c r="G407" t="s">
        <v>22</v>
      </c>
      <c r="H407">
        <v>2</v>
      </c>
      <c r="I407" t="s">
        <v>23</v>
      </c>
      <c r="J407" t="s">
        <v>83</v>
      </c>
      <c r="K407" t="s">
        <v>27</v>
      </c>
      <c r="L407" t="s">
        <v>26</v>
      </c>
      <c r="M407" t="s">
        <v>78</v>
      </c>
      <c r="N407">
        <v>3.1</v>
      </c>
      <c r="O407" t="s">
        <v>27</v>
      </c>
      <c r="S407" s="3">
        <v>19500</v>
      </c>
      <c r="T407" s="2">
        <v>26951.076171875</v>
      </c>
      <c r="U407" s="2">
        <v>30040.781788572909</v>
      </c>
      <c r="V407" s="2">
        <v>22993.660836193128</v>
      </c>
      <c r="W407" s="2">
        <v>29721.474609375</v>
      </c>
      <c r="X407" s="4">
        <f t="shared" si="24"/>
        <v>0.72353325988330564</v>
      </c>
      <c r="Y407" s="4">
        <f t="shared" si="25"/>
        <v>0.64911759411725845</v>
      </c>
      <c r="Z407" s="4">
        <f t="shared" si="26"/>
        <v>0.84805982565882077</v>
      </c>
      <c r="AA407" s="4">
        <f t="shared" si="27"/>
        <v>0.65609126923497751</v>
      </c>
    </row>
    <row r="408" spans="1:27" x14ac:dyDescent="0.3">
      <c r="A408" t="s">
        <v>296</v>
      </c>
      <c r="B408">
        <v>65877</v>
      </c>
      <c r="C408">
        <v>2018</v>
      </c>
      <c r="D408" t="s">
        <v>226</v>
      </c>
      <c r="E408" t="s">
        <v>335</v>
      </c>
      <c r="F408">
        <v>6</v>
      </c>
      <c r="G408" t="s">
        <v>22</v>
      </c>
      <c r="H408">
        <v>4</v>
      </c>
      <c r="I408" t="s">
        <v>23</v>
      </c>
      <c r="J408" t="s">
        <v>24</v>
      </c>
      <c r="K408" t="s">
        <v>27</v>
      </c>
      <c r="L408" t="s">
        <v>218</v>
      </c>
      <c r="M408" t="s">
        <v>23</v>
      </c>
      <c r="N408">
        <v>4</v>
      </c>
      <c r="O408" t="s">
        <v>27</v>
      </c>
      <c r="S408" s="3">
        <v>19000</v>
      </c>
      <c r="T408" s="2">
        <v>17164.265625</v>
      </c>
      <c r="U408" s="2">
        <v>21247.674901141039</v>
      </c>
      <c r="V408" s="2">
        <v>20982.117202670808</v>
      </c>
      <c r="W408" s="2">
        <v>21323.884765625</v>
      </c>
      <c r="X408" s="4">
        <f t="shared" si="24"/>
        <v>1.1069509418641381</v>
      </c>
      <c r="Y408" s="4">
        <f t="shared" si="25"/>
        <v>0.89421548891355007</v>
      </c>
      <c r="Z408" s="4">
        <f t="shared" si="26"/>
        <v>0.90553302207183817</v>
      </c>
      <c r="AA408" s="4">
        <f t="shared" si="27"/>
        <v>0.89101963403163764</v>
      </c>
    </row>
    <row r="409" spans="1:27" x14ac:dyDescent="0.3">
      <c r="A409" t="s">
        <v>296</v>
      </c>
      <c r="B409">
        <v>157765</v>
      </c>
      <c r="C409">
        <v>2016</v>
      </c>
      <c r="D409" t="s">
        <v>81</v>
      </c>
      <c r="E409" t="s">
        <v>201</v>
      </c>
      <c r="F409">
        <v>4</v>
      </c>
      <c r="G409" t="s">
        <v>30</v>
      </c>
      <c r="H409">
        <v>4</v>
      </c>
      <c r="I409" t="s">
        <v>23</v>
      </c>
      <c r="J409" t="s">
        <v>24</v>
      </c>
      <c r="L409" t="s">
        <v>60</v>
      </c>
      <c r="M409" t="s">
        <v>33</v>
      </c>
      <c r="N409">
        <v>1.8</v>
      </c>
      <c r="O409" t="s">
        <v>27</v>
      </c>
      <c r="S409" s="3">
        <v>1000</v>
      </c>
      <c r="T409" s="2">
        <v>4838.0546875</v>
      </c>
      <c r="U409" s="2">
        <v>4688.0076084821594</v>
      </c>
      <c r="V409" s="2">
        <v>2879.8208656832389</v>
      </c>
      <c r="W409" s="2">
        <v>3711.699951171875</v>
      </c>
      <c r="X409" s="4">
        <f t="shared" si="24"/>
        <v>0.20669464580127278</v>
      </c>
      <c r="Y409" s="4">
        <f t="shared" si="25"/>
        <v>0.21331023400872229</v>
      </c>
      <c r="Z409" s="4">
        <f t="shared" si="26"/>
        <v>0.34724382058491321</v>
      </c>
      <c r="AA409" s="4">
        <f t="shared" si="27"/>
        <v>0.26941832937877302</v>
      </c>
    </row>
    <row r="410" spans="1:27" x14ac:dyDescent="0.3">
      <c r="A410" t="s">
        <v>296</v>
      </c>
      <c r="B410">
        <v>160579</v>
      </c>
      <c r="C410">
        <v>2015</v>
      </c>
      <c r="D410" t="s">
        <v>125</v>
      </c>
      <c r="E410" t="s">
        <v>336</v>
      </c>
      <c r="F410">
        <v>4</v>
      </c>
      <c r="G410" t="s">
        <v>30</v>
      </c>
      <c r="H410">
        <v>4</v>
      </c>
      <c r="I410" t="s">
        <v>23</v>
      </c>
      <c r="J410" t="s">
        <v>31</v>
      </c>
      <c r="K410" t="s">
        <v>27</v>
      </c>
      <c r="L410" t="s">
        <v>60</v>
      </c>
      <c r="M410" t="s">
        <v>33</v>
      </c>
      <c r="N410">
        <v>1.6</v>
      </c>
      <c r="O410" t="s">
        <v>27</v>
      </c>
      <c r="S410" s="3">
        <v>700</v>
      </c>
      <c r="T410" s="2">
        <v>3296.947265625</v>
      </c>
      <c r="U410" s="2">
        <v>3681.9598651512829</v>
      </c>
      <c r="V410" s="2">
        <v>2597.8232686968749</v>
      </c>
      <c r="W410" s="2">
        <v>4735.7802734375</v>
      </c>
      <c r="X410" s="4">
        <f t="shared" si="24"/>
        <v>0.21231762100001361</v>
      </c>
      <c r="Y410" s="4">
        <f t="shared" si="25"/>
        <v>0.19011614076114833</v>
      </c>
      <c r="Z410" s="4">
        <f t="shared" si="26"/>
        <v>0.26945635926616951</v>
      </c>
      <c r="AA410" s="4">
        <f t="shared" si="27"/>
        <v>0.14781091173638847</v>
      </c>
    </row>
    <row r="411" spans="1:27" x14ac:dyDescent="0.3">
      <c r="A411" t="s">
        <v>296</v>
      </c>
      <c r="B411">
        <v>200145</v>
      </c>
      <c r="C411">
        <v>2014</v>
      </c>
      <c r="D411" t="s">
        <v>54</v>
      </c>
      <c r="E411" t="s">
        <v>275</v>
      </c>
      <c r="F411">
        <v>4</v>
      </c>
      <c r="G411" t="s">
        <v>30</v>
      </c>
      <c r="H411">
        <v>4</v>
      </c>
      <c r="I411" t="s">
        <v>23</v>
      </c>
      <c r="J411" t="s">
        <v>24</v>
      </c>
      <c r="K411" t="s">
        <v>27</v>
      </c>
      <c r="L411" t="s">
        <v>60</v>
      </c>
      <c r="M411" t="s">
        <v>33</v>
      </c>
      <c r="N411">
        <v>1.3</v>
      </c>
      <c r="O411" t="s">
        <v>27</v>
      </c>
      <c r="S411" s="3">
        <v>2600</v>
      </c>
      <c r="T411" s="2">
        <v>2755.3935546875</v>
      </c>
      <c r="U411" s="2">
        <v>3066.6706016015701</v>
      </c>
      <c r="V411" s="2">
        <v>1134.163578472891</v>
      </c>
      <c r="W411" s="2">
        <v>2472.58203125</v>
      </c>
      <c r="X411" s="4">
        <f t="shared" si="24"/>
        <v>0.94360386216947367</v>
      </c>
      <c r="Y411" s="4">
        <f t="shared" si="25"/>
        <v>0.84782499908602793</v>
      </c>
      <c r="Z411" s="4">
        <f t="shared" si="26"/>
        <v>2.2924382772904797</v>
      </c>
      <c r="AA411" s="4">
        <f t="shared" si="27"/>
        <v>1.0515323524718752</v>
      </c>
    </row>
    <row r="412" spans="1:27" x14ac:dyDescent="0.3">
      <c r="A412" t="s">
        <v>296</v>
      </c>
      <c r="B412">
        <v>135056</v>
      </c>
      <c r="C412">
        <v>2019</v>
      </c>
      <c r="D412" t="s">
        <v>44</v>
      </c>
      <c r="E412" t="s">
        <v>244</v>
      </c>
      <c r="F412">
        <v>4</v>
      </c>
      <c r="G412" t="s">
        <v>66</v>
      </c>
      <c r="H412">
        <v>4</v>
      </c>
      <c r="I412" t="s">
        <v>23</v>
      </c>
      <c r="J412" t="s">
        <v>37</v>
      </c>
      <c r="K412" t="s">
        <v>27</v>
      </c>
      <c r="L412" t="s">
        <v>96</v>
      </c>
      <c r="M412" t="s">
        <v>33</v>
      </c>
      <c r="N412">
        <v>0</v>
      </c>
      <c r="O412" t="s">
        <v>39</v>
      </c>
      <c r="S412" s="3">
        <v>3400</v>
      </c>
      <c r="T412" s="2">
        <v>4765.8974609375</v>
      </c>
      <c r="U412" s="2">
        <v>3857.752762943805</v>
      </c>
      <c r="V412" s="2">
        <v>2674.7598259084489</v>
      </c>
      <c r="W412" s="2">
        <v>3997.988525390625</v>
      </c>
      <c r="X412" s="4">
        <f t="shared" si="24"/>
        <v>0.71340183624747688</v>
      </c>
      <c r="Y412" s="4">
        <f t="shared" si="25"/>
        <v>0.88134212038137472</v>
      </c>
      <c r="Z412" s="4">
        <f t="shared" si="26"/>
        <v>1.271142166510308</v>
      </c>
      <c r="AA412" s="4">
        <f t="shared" si="27"/>
        <v>0.8504276534079851</v>
      </c>
    </row>
    <row r="413" spans="1:27" x14ac:dyDescent="0.3">
      <c r="A413" t="s">
        <v>296</v>
      </c>
      <c r="B413">
        <v>78723</v>
      </c>
      <c r="C413">
        <v>2021</v>
      </c>
      <c r="D413" t="s">
        <v>100</v>
      </c>
      <c r="E413" t="s">
        <v>300</v>
      </c>
      <c r="F413">
        <v>4</v>
      </c>
      <c r="G413" t="s">
        <v>36</v>
      </c>
      <c r="H413">
        <v>4</v>
      </c>
      <c r="I413" t="s">
        <v>23</v>
      </c>
      <c r="J413" t="s">
        <v>24</v>
      </c>
      <c r="L413" t="s">
        <v>87</v>
      </c>
      <c r="M413" t="s">
        <v>33</v>
      </c>
      <c r="N413">
        <v>4.5999999999999899</v>
      </c>
      <c r="O413" t="s">
        <v>27</v>
      </c>
      <c r="S413" s="3">
        <v>10000</v>
      </c>
      <c r="T413" s="2">
        <v>13828.63671875</v>
      </c>
      <c r="U413" s="2">
        <v>16804.791741067951</v>
      </c>
      <c r="V413" s="2">
        <v>17859.7906685044</v>
      </c>
      <c r="W413" s="2">
        <v>15371.279296875</v>
      </c>
      <c r="X413" s="4">
        <f t="shared" si="24"/>
        <v>0.72313708165036827</v>
      </c>
      <c r="Y413" s="4">
        <f t="shared" si="25"/>
        <v>0.59506836824176534</v>
      </c>
      <c r="Z413" s="4">
        <f t="shared" si="26"/>
        <v>0.55991697694614762</v>
      </c>
      <c r="AA413" s="4">
        <f t="shared" si="27"/>
        <v>0.65056393855474426</v>
      </c>
    </row>
    <row r="414" spans="1:27" x14ac:dyDescent="0.3">
      <c r="A414" t="s">
        <v>296</v>
      </c>
      <c r="B414">
        <v>52546</v>
      </c>
      <c r="C414">
        <v>2023</v>
      </c>
      <c r="D414" t="s">
        <v>100</v>
      </c>
      <c r="E414" t="s">
        <v>101</v>
      </c>
      <c r="F414">
        <v>4</v>
      </c>
      <c r="G414" t="s">
        <v>30</v>
      </c>
      <c r="H414">
        <v>4</v>
      </c>
      <c r="I414" t="s">
        <v>23</v>
      </c>
      <c r="J414" t="s">
        <v>31</v>
      </c>
      <c r="K414" t="s">
        <v>27</v>
      </c>
      <c r="L414" t="s">
        <v>102</v>
      </c>
      <c r="M414" t="s">
        <v>33</v>
      </c>
      <c r="N414">
        <v>2.7</v>
      </c>
      <c r="O414" t="s">
        <v>27</v>
      </c>
      <c r="S414" s="3">
        <v>15500</v>
      </c>
      <c r="T414" s="2">
        <v>12859.9580078125</v>
      </c>
      <c r="U414" s="2">
        <v>19526.891556941511</v>
      </c>
      <c r="V414" s="2">
        <v>17317.790319192351</v>
      </c>
      <c r="W414" s="2">
        <v>15634.080078125</v>
      </c>
      <c r="X414" s="4">
        <f t="shared" si="24"/>
        <v>1.2052916495204462</v>
      </c>
      <c r="Y414" s="4">
        <f t="shared" si="25"/>
        <v>0.79377713318072829</v>
      </c>
      <c r="Z414" s="4">
        <f t="shared" si="26"/>
        <v>0.89503335669922079</v>
      </c>
      <c r="AA414" s="4">
        <f t="shared" si="27"/>
        <v>0.99142385881004902</v>
      </c>
    </row>
    <row r="415" spans="1:27" x14ac:dyDescent="0.3">
      <c r="A415" t="s">
        <v>296</v>
      </c>
      <c r="B415">
        <v>14610</v>
      </c>
      <c r="C415">
        <v>2023</v>
      </c>
      <c r="D415" t="s">
        <v>81</v>
      </c>
      <c r="E415" t="s">
        <v>82</v>
      </c>
      <c r="F415">
        <v>8</v>
      </c>
      <c r="G415" t="s">
        <v>47</v>
      </c>
      <c r="H415">
        <v>2</v>
      </c>
      <c r="I415" t="s">
        <v>23</v>
      </c>
      <c r="J415" t="s">
        <v>83</v>
      </c>
      <c r="K415" t="s">
        <v>27</v>
      </c>
      <c r="L415" t="s">
        <v>288</v>
      </c>
      <c r="M415" t="s">
        <v>78</v>
      </c>
      <c r="N415">
        <v>4.8</v>
      </c>
      <c r="O415" t="s">
        <v>27</v>
      </c>
      <c r="S415" s="3">
        <v>42500</v>
      </c>
      <c r="T415" s="2">
        <v>58831.125</v>
      </c>
      <c r="U415" s="2">
        <v>80529.726403038861</v>
      </c>
      <c r="V415" s="2">
        <v>42921.603977719467</v>
      </c>
      <c r="W415" s="2">
        <v>93241.7734375</v>
      </c>
      <c r="X415" s="4">
        <f t="shared" si="24"/>
        <v>0.72240671923237909</v>
      </c>
      <c r="Y415" s="4">
        <f t="shared" si="25"/>
        <v>0.527755425211481</v>
      </c>
      <c r="Z415" s="4">
        <f t="shared" si="26"/>
        <v>0.99017734803344437</v>
      </c>
      <c r="AA415" s="4">
        <f t="shared" si="27"/>
        <v>0.45580428635334536</v>
      </c>
    </row>
    <row r="416" spans="1:27" x14ac:dyDescent="0.3">
      <c r="A416" t="s">
        <v>296</v>
      </c>
      <c r="B416">
        <v>65405</v>
      </c>
      <c r="C416">
        <v>2019</v>
      </c>
      <c r="D416" t="s">
        <v>44</v>
      </c>
      <c r="E416" t="s">
        <v>182</v>
      </c>
      <c r="F416">
        <v>8</v>
      </c>
      <c r="G416" t="s">
        <v>47</v>
      </c>
      <c r="H416">
        <v>2</v>
      </c>
      <c r="I416" t="s">
        <v>337</v>
      </c>
      <c r="J416" t="s">
        <v>183</v>
      </c>
      <c r="K416" t="s">
        <v>27</v>
      </c>
      <c r="L416" t="s">
        <v>48</v>
      </c>
      <c r="M416" t="s">
        <v>78</v>
      </c>
      <c r="N416">
        <v>4.3</v>
      </c>
      <c r="O416" t="s">
        <v>27</v>
      </c>
      <c r="S416" s="3">
        <v>28250</v>
      </c>
      <c r="T416" s="2">
        <v>40379.92578125</v>
      </c>
      <c r="U416" s="2">
        <v>39048.78137078193</v>
      </c>
      <c r="V416" s="2">
        <v>21371.906417232651</v>
      </c>
      <c r="W416" s="2">
        <v>35772.6640625</v>
      </c>
      <c r="X416" s="4">
        <f t="shared" si="24"/>
        <v>0.69960505011917562</v>
      </c>
      <c r="Y416" s="4">
        <f t="shared" si="25"/>
        <v>0.72345407483414914</v>
      </c>
      <c r="Z416" s="4">
        <f t="shared" si="26"/>
        <v>1.3218287338756727</v>
      </c>
      <c r="AA416" s="4">
        <f t="shared" si="27"/>
        <v>0.78970914636503386</v>
      </c>
    </row>
    <row r="417" spans="1:27" x14ac:dyDescent="0.3">
      <c r="A417" t="s">
        <v>296</v>
      </c>
      <c r="B417">
        <v>97218</v>
      </c>
      <c r="C417">
        <v>2013</v>
      </c>
      <c r="D417" t="s">
        <v>226</v>
      </c>
      <c r="E417" t="s">
        <v>338</v>
      </c>
      <c r="F417">
        <v>4</v>
      </c>
      <c r="G417" t="s">
        <v>36</v>
      </c>
      <c r="H417">
        <v>2</v>
      </c>
      <c r="I417" t="s">
        <v>23</v>
      </c>
      <c r="J417" t="s">
        <v>83</v>
      </c>
      <c r="K417" t="s">
        <v>27</v>
      </c>
      <c r="L417" t="s">
        <v>127</v>
      </c>
      <c r="M417" t="s">
        <v>23</v>
      </c>
      <c r="N417">
        <v>2.6</v>
      </c>
      <c r="O417" t="s">
        <v>39</v>
      </c>
      <c r="S417" s="3">
        <v>1800</v>
      </c>
      <c r="T417" s="2">
        <v>-1851.62060546875</v>
      </c>
      <c r="U417" s="2">
        <v>4842.2948393588567</v>
      </c>
      <c r="V417" s="2">
        <v>3560.404398621044</v>
      </c>
      <c r="W417" s="2">
        <v>3555.6728515625</v>
      </c>
      <c r="X417" s="4">
        <f t="shared" si="24"/>
        <v>-0.97212139176012147</v>
      </c>
      <c r="Y417" s="4">
        <f t="shared" si="25"/>
        <v>0.3717245768203426</v>
      </c>
      <c r="Z417" s="4">
        <f t="shared" si="26"/>
        <v>0.50556054831781072</v>
      </c>
      <c r="AA417" s="4">
        <f t="shared" si="27"/>
        <v>0.50623329961557362</v>
      </c>
    </row>
    <row r="418" spans="1:27" x14ac:dyDescent="0.3">
      <c r="A418" t="s">
        <v>296</v>
      </c>
      <c r="B418">
        <v>94987</v>
      </c>
      <c r="C418">
        <v>2020</v>
      </c>
      <c r="D418" t="s">
        <v>71</v>
      </c>
      <c r="E418" t="s">
        <v>269</v>
      </c>
      <c r="F418">
        <v>4</v>
      </c>
      <c r="G418" t="s">
        <v>99</v>
      </c>
      <c r="H418">
        <v>4</v>
      </c>
      <c r="I418" t="s">
        <v>23</v>
      </c>
      <c r="J418" t="s">
        <v>24</v>
      </c>
      <c r="K418" t="s">
        <v>27</v>
      </c>
      <c r="L418" t="s">
        <v>102</v>
      </c>
      <c r="M418" t="s">
        <v>33</v>
      </c>
      <c r="N418">
        <v>1.8</v>
      </c>
      <c r="O418" t="s">
        <v>27</v>
      </c>
      <c r="S418" s="3">
        <v>7750</v>
      </c>
      <c r="T418" s="2">
        <v>13029.8349609375</v>
      </c>
      <c r="U418" s="2">
        <v>11205.025541826501</v>
      </c>
      <c r="V418" s="2">
        <v>11974.81076756189</v>
      </c>
      <c r="W418" s="2">
        <v>11907.333984375</v>
      </c>
      <c r="X418" s="4">
        <f t="shared" si="24"/>
        <v>0.59478880762756692</v>
      </c>
      <c r="Y418" s="4">
        <f t="shared" si="25"/>
        <v>0.691653934305686</v>
      </c>
      <c r="Z418" s="4">
        <f t="shared" si="26"/>
        <v>0.64719185550670078</v>
      </c>
      <c r="AA418" s="4">
        <f t="shared" si="27"/>
        <v>0.65085937878031119</v>
      </c>
    </row>
    <row r="419" spans="1:27" x14ac:dyDescent="0.3">
      <c r="A419" t="s">
        <v>296</v>
      </c>
      <c r="B419">
        <v>155224</v>
      </c>
      <c r="C419">
        <v>2015</v>
      </c>
      <c r="D419" t="s">
        <v>40</v>
      </c>
      <c r="E419" t="s">
        <v>41</v>
      </c>
      <c r="F419">
        <v>8</v>
      </c>
      <c r="G419" t="s">
        <v>56</v>
      </c>
      <c r="H419">
        <v>4</v>
      </c>
      <c r="I419" t="s">
        <v>23</v>
      </c>
      <c r="J419" t="s">
        <v>152</v>
      </c>
      <c r="L419" t="s">
        <v>43</v>
      </c>
      <c r="M419">
        <v>4</v>
      </c>
      <c r="N419">
        <v>3.2</v>
      </c>
      <c r="O419" t="s">
        <v>27</v>
      </c>
      <c r="S419" s="3">
        <v>8200</v>
      </c>
      <c r="T419" s="2">
        <v>11497.5537109375</v>
      </c>
      <c r="U419" s="2">
        <v>18296.402545380599</v>
      </c>
      <c r="V419" s="2">
        <v>8871.03326506136</v>
      </c>
      <c r="W419" s="2">
        <v>11670.1455078125</v>
      </c>
      <c r="X419" s="4">
        <f t="shared" si="24"/>
        <v>0.71319518970365214</v>
      </c>
      <c r="Y419" s="4">
        <f t="shared" si="25"/>
        <v>0.44817553503545443</v>
      </c>
      <c r="Z419" s="4">
        <f t="shared" si="26"/>
        <v>0.92435680883936822</v>
      </c>
      <c r="AA419" s="4">
        <f t="shared" si="27"/>
        <v>0.7026476229032933</v>
      </c>
    </row>
    <row r="420" spans="1:27" x14ac:dyDescent="0.3">
      <c r="A420" t="s">
        <v>296</v>
      </c>
      <c r="B420">
        <v>23332</v>
      </c>
      <c r="C420">
        <v>2024</v>
      </c>
      <c r="D420" t="s">
        <v>34</v>
      </c>
      <c r="E420" t="s">
        <v>88</v>
      </c>
      <c r="F420">
        <v>4</v>
      </c>
      <c r="G420" t="s">
        <v>22</v>
      </c>
      <c r="H420">
        <v>4</v>
      </c>
      <c r="I420" t="s">
        <v>23</v>
      </c>
      <c r="J420" t="s">
        <v>37</v>
      </c>
      <c r="L420" t="s">
        <v>96</v>
      </c>
      <c r="M420" t="s">
        <v>33</v>
      </c>
      <c r="N420">
        <v>3.5</v>
      </c>
      <c r="O420" t="s">
        <v>27</v>
      </c>
      <c r="S420" s="3">
        <v>17800</v>
      </c>
      <c r="T420" s="2">
        <v>19821.92578125</v>
      </c>
      <c r="U420" s="2">
        <v>16801.953698532419</v>
      </c>
      <c r="V420" s="2">
        <v>21349.146175704718</v>
      </c>
      <c r="W420" s="2">
        <v>19304.58984375</v>
      </c>
      <c r="X420" s="4">
        <f t="shared" si="24"/>
        <v>0.897995492286497</v>
      </c>
      <c r="Y420" s="4">
        <f t="shared" si="25"/>
        <v>1.0594006101537321</v>
      </c>
      <c r="Z420" s="4">
        <f t="shared" si="26"/>
        <v>0.83375699681406279</v>
      </c>
      <c r="AA420" s="4">
        <f t="shared" si="27"/>
        <v>0.92206051224459862</v>
      </c>
    </row>
    <row r="421" spans="1:27" x14ac:dyDescent="0.3">
      <c r="A421" t="s">
        <v>296</v>
      </c>
      <c r="B421">
        <v>64967</v>
      </c>
      <c r="C421">
        <v>2023</v>
      </c>
      <c r="D421" t="s">
        <v>34</v>
      </c>
      <c r="E421" t="s">
        <v>116</v>
      </c>
      <c r="F421">
        <v>4</v>
      </c>
      <c r="G421" t="s">
        <v>30</v>
      </c>
      <c r="H421">
        <v>4</v>
      </c>
      <c r="I421" t="s">
        <v>23</v>
      </c>
      <c r="J421" t="s">
        <v>37</v>
      </c>
      <c r="K421" t="s">
        <v>27</v>
      </c>
      <c r="L421" t="s">
        <v>128</v>
      </c>
      <c r="M421" t="s">
        <v>33</v>
      </c>
      <c r="N421">
        <v>3.9</v>
      </c>
      <c r="O421" t="s">
        <v>27</v>
      </c>
      <c r="S421" s="3">
        <v>17600</v>
      </c>
      <c r="T421" s="2">
        <v>18741.357421875</v>
      </c>
      <c r="U421" s="2">
        <v>16973.722997266381</v>
      </c>
      <c r="V421" s="2">
        <v>19135.675786702199</v>
      </c>
      <c r="W421" s="2">
        <v>18235.48046875</v>
      </c>
      <c r="X421" s="4">
        <f t="shared" si="24"/>
        <v>0.93909953285759318</v>
      </c>
      <c r="Y421" s="4">
        <f t="shared" si="25"/>
        <v>1.0368968553825511</v>
      </c>
      <c r="Z421" s="4">
        <f t="shared" si="26"/>
        <v>0.91974802438023262</v>
      </c>
      <c r="AA421" s="4">
        <f t="shared" si="27"/>
        <v>0.96515142719496649</v>
      </c>
    </row>
    <row r="422" spans="1:27" x14ac:dyDescent="0.3">
      <c r="A422" t="s">
        <v>296</v>
      </c>
      <c r="B422">
        <v>102736</v>
      </c>
      <c r="C422">
        <v>2019</v>
      </c>
      <c r="D422" t="s">
        <v>125</v>
      </c>
      <c r="E422" t="s">
        <v>297</v>
      </c>
      <c r="F422">
        <v>4</v>
      </c>
      <c r="G422" t="s">
        <v>47</v>
      </c>
      <c r="H422">
        <v>4</v>
      </c>
      <c r="I422" t="s">
        <v>23</v>
      </c>
      <c r="J422" t="s">
        <v>24</v>
      </c>
      <c r="K422" t="s">
        <v>27</v>
      </c>
      <c r="L422" t="s">
        <v>60</v>
      </c>
      <c r="M422" t="s">
        <v>33</v>
      </c>
      <c r="N422">
        <v>1.6</v>
      </c>
      <c r="O422" t="s">
        <v>27</v>
      </c>
      <c r="S422" s="3">
        <v>4800</v>
      </c>
      <c r="T422" s="2">
        <v>7909.4013671875</v>
      </c>
      <c r="U422" s="2">
        <v>9492.7766287228842</v>
      </c>
      <c r="V422" s="2">
        <v>7011.8434090832216</v>
      </c>
      <c r="W422" s="2">
        <v>8621.6396484375</v>
      </c>
      <c r="X422" s="4">
        <f t="shared" si="24"/>
        <v>0.6068727299531177</v>
      </c>
      <c r="Y422" s="4">
        <f t="shared" si="25"/>
        <v>0.50564762953300113</v>
      </c>
      <c r="Z422" s="4">
        <f t="shared" si="26"/>
        <v>0.68455607462397483</v>
      </c>
      <c r="AA422" s="4">
        <f t="shared" si="27"/>
        <v>0.5567386478359605</v>
      </c>
    </row>
    <row r="423" spans="1:27" x14ac:dyDescent="0.3">
      <c r="A423" t="s">
        <v>296</v>
      </c>
      <c r="B423">
        <v>34245</v>
      </c>
      <c r="C423">
        <v>2024</v>
      </c>
      <c r="D423" t="s">
        <v>74</v>
      </c>
      <c r="E423" t="s">
        <v>75</v>
      </c>
      <c r="F423">
        <v>8</v>
      </c>
      <c r="G423" t="s">
        <v>30</v>
      </c>
      <c r="H423">
        <v>4</v>
      </c>
      <c r="I423" t="s">
        <v>23</v>
      </c>
      <c r="J423" t="s">
        <v>42</v>
      </c>
      <c r="L423" t="s">
        <v>84</v>
      </c>
      <c r="M423" t="s">
        <v>78</v>
      </c>
      <c r="N423">
        <v>4.0999999999999899</v>
      </c>
      <c r="O423" t="s">
        <v>27</v>
      </c>
      <c r="S423" s="3">
        <v>33200</v>
      </c>
      <c r="T423" s="2">
        <v>49297.890625</v>
      </c>
      <c r="U423" s="2">
        <v>54412.992279737642</v>
      </c>
      <c r="V423" s="2">
        <v>34539.098421483563</v>
      </c>
      <c r="W423" s="2">
        <v>54060.3046875</v>
      </c>
      <c r="X423" s="4">
        <f t="shared" si="24"/>
        <v>0.6734568067535851</v>
      </c>
      <c r="Y423" s="4">
        <f t="shared" si="25"/>
        <v>0.6101483967159631</v>
      </c>
      <c r="Z423" s="4">
        <f t="shared" si="26"/>
        <v>0.96122949113661194</v>
      </c>
      <c r="AA423" s="4">
        <f t="shared" si="27"/>
        <v>0.61412898413938488</v>
      </c>
    </row>
    <row r="424" spans="1:27" x14ac:dyDescent="0.3">
      <c r="A424" t="s">
        <v>296</v>
      </c>
      <c r="B424">
        <v>139985</v>
      </c>
      <c r="C424">
        <v>2018</v>
      </c>
      <c r="D424" t="s">
        <v>40</v>
      </c>
      <c r="E424" t="s">
        <v>150</v>
      </c>
      <c r="F424">
        <v>6</v>
      </c>
      <c r="G424" t="s">
        <v>36</v>
      </c>
      <c r="H424">
        <v>4</v>
      </c>
      <c r="I424" t="s">
        <v>23</v>
      </c>
      <c r="J424" t="s">
        <v>24</v>
      </c>
      <c r="L424" t="s">
        <v>26</v>
      </c>
      <c r="M424" t="s">
        <v>33</v>
      </c>
      <c r="N424">
        <v>2.7</v>
      </c>
      <c r="O424" t="s">
        <v>27</v>
      </c>
      <c r="S424" s="3">
        <v>4400</v>
      </c>
      <c r="T424" s="2">
        <v>10096.4033203125</v>
      </c>
      <c r="U424" s="2">
        <v>11845.81907090588</v>
      </c>
      <c r="V424" s="2">
        <v>8188.8662160129716</v>
      </c>
      <c r="W424" s="2">
        <v>10265.5751953125</v>
      </c>
      <c r="X424" s="4">
        <f t="shared" si="24"/>
        <v>0.43579875530010154</v>
      </c>
      <c r="Y424" s="4">
        <f t="shared" si="25"/>
        <v>0.37143906838883711</v>
      </c>
      <c r="Z424" s="4">
        <f t="shared" si="26"/>
        <v>0.53731492051927665</v>
      </c>
      <c r="AA424" s="4">
        <f t="shared" si="27"/>
        <v>0.42861699576358292</v>
      </c>
    </row>
    <row r="425" spans="1:27" x14ac:dyDescent="0.3">
      <c r="A425" t="s">
        <v>135</v>
      </c>
      <c r="B425">
        <v>135991</v>
      </c>
      <c r="C425">
        <v>2015</v>
      </c>
      <c r="D425" t="s">
        <v>324</v>
      </c>
      <c r="E425" t="s">
        <v>339</v>
      </c>
      <c r="F425">
        <v>6</v>
      </c>
      <c r="G425" t="s">
        <v>47</v>
      </c>
      <c r="H425">
        <v>4</v>
      </c>
      <c r="I425" t="s">
        <v>23</v>
      </c>
      <c r="J425" t="s">
        <v>31</v>
      </c>
      <c r="K425" t="s">
        <v>27</v>
      </c>
      <c r="L425" t="s">
        <v>26</v>
      </c>
      <c r="M425" t="s">
        <v>33</v>
      </c>
      <c r="N425">
        <v>0</v>
      </c>
      <c r="O425" t="s">
        <v>27</v>
      </c>
      <c r="S425" s="3">
        <v>6100</v>
      </c>
      <c r="T425" s="2">
        <v>8578.087890625</v>
      </c>
      <c r="U425" s="2">
        <v>7519.0368231084931</v>
      </c>
      <c r="V425" s="2">
        <v>7665.9123055891814</v>
      </c>
      <c r="W425" s="2">
        <v>6959.94384765625</v>
      </c>
      <c r="X425" s="4">
        <f t="shared" si="24"/>
        <v>0.7111141874247634</v>
      </c>
      <c r="Y425" s="4">
        <f t="shared" si="25"/>
        <v>0.81127412240523644</v>
      </c>
      <c r="Z425" s="4">
        <f t="shared" si="26"/>
        <v>0.795730469751463</v>
      </c>
      <c r="AA425" s="4">
        <f t="shared" si="27"/>
        <v>0.87644385264030045</v>
      </c>
    </row>
    <row r="426" spans="1:27" x14ac:dyDescent="0.3">
      <c r="A426" t="s">
        <v>296</v>
      </c>
      <c r="B426">
        <v>1</v>
      </c>
      <c r="C426">
        <v>2010</v>
      </c>
      <c r="D426" t="s">
        <v>44</v>
      </c>
      <c r="E426" t="s">
        <v>182</v>
      </c>
      <c r="F426">
        <v>8</v>
      </c>
      <c r="G426" t="s">
        <v>36</v>
      </c>
      <c r="H426">
        <v>2</v>
      </c>
      <c r="I426" t="s">
        <v>233</v>
      </c>
      <c r="J426" t="s">
        <v>83</v>
      </c>
      <c r="L426" t="s">
        <v>161</v>
      </c>
      <c r="M426" t="s">
        <v>78</v>
      </c>
      <c r="N426">
        <v>2.7</v>
      </c>
      <c r="O426" t="s">
        <v>27</v>
      </c>
      <c r="S426" s="3">
        <v>2500</v>
      </c>
      <c r="T426" s="2">
        <v>73363.796875</v>
      </c>
      <c r="U426" s="2">
        <v>58088.09591777817</v>
      </c>
      <c r="V426" s="2">
        <v>23651.563695109431</v>
      </c>
      <c r="W426" s="2">
        <v>93241.7734375</v>
      </c>
      <c r="X426" s="4">
        <f t="shared" si="24"/>
        <v>3.4076753201031762E-2</v>
      </c>
      <c r="Y426" s="4">
        <f t="shared" si="25"/>
        <v>4.3038077948684521E-2</v>
      </c>
      <c r="Z426" s="4">
        <f t="shared" si="26"/>
        <v>0.10570125646774632</v>
      </c>
      <c r="AA426" s="4">
        <f t="shared" si="27"/>
        <v>2.6812016844314432E-2</v>
      </c>
    </row>
    <row r="427" spans="1:27" x14ac:dyDescent="0.3">
      <c r="A427" t="s">
        <v>296</v>
      </c>
      <c r="B427">
        <v>146120</v>
      </c>
      <c r="C427">
        <v>2015</v>
      </c>
      <c r="D427" t="s">
        <v>34</v>
      </c>
      <c r="E427" t="s">
        <v>116</v>
      </c>
      <c r="F427">
        <v>4</v>
      </c>
      <c r="G427" t="s">
        <v>22</v>
      </c>
      <c r="H427">
        <v>4</v>
      </c>
      <c r="I427" t="s">
        <v>23</v>
      </c>
      <c r="J427" t="s">
        <v>37</v>
      </c>
      <c r="L427" t="s">
        <v>128</v>
      </c>
      <c r="M427" t="s">
        <v>33</v>
      </c>
      <c r="N427">
        <v>1.3</v>
      </c>
      <c r="O427" t="s">
        <v>27</v>
      </c>
      <c r="S427" s="3">
        <v>3200</v>
      </c>
      <c r="T427" s="2">
        <v>5455.63671875</v>
      </c>
      <c r="U427" s="2">
        <v>4050.4281824108848</v>
      </c>
      <c r="V427" s="2">
        <v>3413.9837929797732</v>
      </c>
      <c r="W427" s="2">
        <v>4250.56494140625</v>
      </c>
      <c r="X427" s="4">
        <f t="shared" si="24"/>
        <v>0.58654931861613879</v>
      </c>
      <c r="Y427" s="4">
        <f t="shared" si="25"/>
        <v>0.79003993056736654</v>
      </c>
      <c r="Z427" s="4">
        <f t="shared" si="26"/>
        <v>0.93732137996091502</v>
      </c>
      <c r="AA427" s="4">
        <f t="shared" si="27"/>
        <v>0.75284110326786757</v>
      </c>
    </row>
    <row r="428" spans="1:27" x14ac:dyDescent="0.3">
      <c r="A428" t="s">
        <v>296</v>
      </c>
      <c r="B428">
        <v>6008</v>
      </c>
      <c r="C428">
        <v>2025</v>
      </c>
      <c r="D428" t="s">
        <v>54</v>
      </c>
      <c r="E428" t="s">
        <v>124</v>
      </c>
      <c r="F428">
        <v>4</v>
      </c>
      <c r="G428" t="s">
        <v>66</v>
      </c>
      <c r="H428">
        <v>4</v>
      </c>
      <c r="I428" t="s">
        <v>23</v>
      </c>
      <c r="J428" t="s">
        <v>24</v>
      </c>
      <c r="K428" t="s">
        <v>27</v>
      </c>
      <c r="L428" t="s">
        <v>127</v>
      </c>
      <c r="M428">
        <v>4</v>
      </c>
      <c r="N428">
        <v>2.4</v>
      </c>
      <c r="O428" t="s">
        <v>27</v>
      </c>
      <c r="S428" s="3">
        <v>13200</v>
      </c>
      <c r="T428" s="2">
        <v>23469.615234375</v>
      </c>
      <c r="U428" s="2">
        <v>24163.85546521494</v>
      </c>
      <c r="V428" s="2">
        <v>14107.46144290176</v>
      </c>
      <c r="W428" s="2">
        <v>26182.796875</v>
      </c>
      <c r="X428" s="4">
        <f t="shared" si="24"/>
        <v>0.56242933120891103</v>
      </c>
      <c r="Y428" s="4">
        <f t="shared" si="25"/>
        <v>0.54627044177623274</v>
      </c>
      <c r="Z428" s="4">
        <f t="shared" si="26"/>
        <v>0.93567507190612564</v>
      </c>
      <c r="AA428" s="4">
        <f t="shared" si="27"/>
        <v>0.50414782129726166</v>
      </c>
    </row>
    <row r="429" spans="1:27" x14ac:dyDescent="0.3">
      <c r="A429" t="s">
        <v>296</v>
      </c>
      <c r="B429">
        <v>77565</v>
      </c>
      <c r="C429">
        <v>2021</v>
      </c>
      <c r="D429" t="s">
        <v>81</v>
      </c>
      <c r="E429" t="s">
        <v>207</v>
      </c>
      <c r="F429">
        <v>6</v>
      </c>
      <c r="G429" t="s">
        <v>47</v>
      </c>
      <c r="H429">
        <v>4</v>
      </c>
      <c r="I429" t="s">
        <v>23</v>
      </c>
      <c r="J429" t="s">
        <v>31</v>
      </c>
      <c r="L429" t="s">
        <v>26</v>
      </c>
      <c r="M429" t="s">
        <v>78</v>
      </c>
      <c r="N429">
        <v>2.6</v>
      </c>
      <c r="O429" t="s">
        <v>27</v>
      </c>
      <c r="S429" s="3">
        <v>10600</v>
      </c>
      <c r="T429" s="2">
        <v>17478.11328125</v>
      </c>
      <c r="U429" s="2">
        <v>23064.422146361969</v>
      </c>
      <c r="V429" s="2">
        <v>17953.517980302619</v>
      </c>
      <c r="W429" s="2">
        <v>20634.34765625</v>
      </c>
      <c r="X429" s="4">
        <f t="shared" si="24"/>
        <v>0.60647278281296901</v>
      </c>
      <c r="Y429" s="4">
        <f t="shared" si="25"/>
        <v>0.45958229227398939</v>
      </c>
      <c r="Z429" s="4">
        <f t="shared" si="26"/>
        <v>0.59041353408449537</v>
      </c>
      <c r="AA429" s="4">
        <f t="shared" si="27"/>
        <v>0.51370657200249958</v>
      </c>
    </row>
    <row r="430" spans="1:27" x14ac:dyDescent="0.3">
      <c r="A430" t="s">
        <v>296</v>
      </c>
      <c r="B430">
        <v>129889</v>
      </c>
      <c r="C430">
        <v>2016</v>
      </c>
      <c r="D430" t="s">
        <v>100</v>
      </c>
      <c r="E430" t="s">
        <v>138</v>
      </c>
      <c r="F430">
        <v>4</v>
      </c>
      <c r="G430" t="s">
        <v>47</v>
      </c>
      <c r="H430">
        <v>4</v>
      </c>
      <c r="I430" t="s">
        <v>23</v>
      </c>
      <c r="J430" t="s">
        <v>24</v>
      </c>
      <c r="K430" t="s">
        <v>27</v>
      </c>
      <c r="L430" t="s">
        <v>102</v>
      </c>
      <c r="M430" t="s">
        <v>33</v>
      </c>
      <c r="N430">
        <v>2</v>
      </c>
      <c r="O430" t="s">
        <v>27</v>
      </c>
      <c r="S430" s="3">
        <v>2200</v>
      </c>
      <c r="T430" s="2">
        <v>3718.8095703125</v>
      </c>
      <c r="U430" s="2">
        <v>4056.544781604613</v>
      </c>
      <c r="V430" s="2">
        <v>6143.0622210033016</v>
      </c>
      <c r="W430" s="2">
        <v>4559.990234375</v>
      </c>
      <c r="X430" s="4">
        <f t="shared" si="24"/>
        <v>0.59158716207539741</v>
      </c>
      <c r="Y430" s="4">
        <f t="shared" si="25"/>
        <v>0.54233346812204175</v>
      </c>
      <c r="Z430" s="4">
        <f t="shared" si="26"/>
        <v>0.35812757886093655</v>
      </c>
      <c r="AA430" s="4">
        <f t="shared" si="27"/>
        <v>0.4824571735736482</v>
      </c>
    </row>
    <row r="431" spans="1:27" x14ac:dyDescent="0.3">
      <c r="A431" t="s">
        <v>296</v>
      </c>
      <c r="B431">
        <v>228136</v>
      </c>
      <c r="C431">
        <v>2012</v>
      </c>
      <c r="D431" t="s">
        <v>74</v>
      </c>
      <c r="E431" t="s">
        <v>217</v>
      </c>
      <c r="F431">
        <v>8</v>
      </c>
      <c r="G431" t="s">
        <v>47</v>
      </c>
      <c r="H431">
        <v>4</v>
      </c>
      <c r="I431" t="s">
        <v>23</v>
      </c>
      <c r="J431" t="s">
        <v>42</v>
      </c>
      <c r="L431" t="s">
        <v>84</v>
      </c>
      <c r="M431">
        <v>4</v>
      </c>
      <c r="N431">
        <v>1.1000000000000001</v>
      </c>
      <c r="O431" t="s">
        <v>39</v>
      </c>
      <c r="S431" s="3">
        <v>1500</v>
      </c>
      <c r="T431" s="2">
        <v>2196.521728515625</v>
      </c>
      <c r="U431" s="2">
        <v>-84.953001573388974</v>
      </c>
      <c r="V431" s="2">
        <v>3435.8742451773869</v>
      </c>
      <c r="W431" s="2">
        <v>1592.643432617188</v>
      </c>
      <c r="X431" s="4">
        <f t="shared" si="24"/>
        <v>0.68289786553291987</v>
      </c>
      <c r="Y431" s="4">
        <f t="shared" si="25"/>
        <v>-17.656821680446264</v>
      </c>
      <c r="Z431" s="4">
        <f t="shared" si="26"/>
        <v>0.4365701108256243</v>
      </c>
      <c r="AA431" s="4">
        <f t="shared" si="27"/>
        <v>0.94183039924702594</v>
      </c>
    </row>
    <row r="432" spans="1:27" x14ac:dyDescent="0.3">
      <c r="A432" t="s">
        <v>296</v>
      </c>
      <c r="B432">
        <v>135127</v>
      </c>
      <c r="C432">
        <v>2015</v>
      </c>
      <c r="D432" t="s">
        <v>40</v>
      </c>
      <c r="E432" t="s">
        <v>63</v>
      </c>
      <c r="F432">
        <v>4</v>
      </c>
      <c r="G432" t="s">
        <v>59</v>
      </c>
      <c r="H432">
        <v>4</v>
      </c>
      <c r="I432" t="s">
        <v>23</v>
      </c>
      <c r="J432" t="s">
        <v>24</v>
      </c>
      <c r="K432" t="s">
        <v>27</v>
      </c>
      <c r="L432" t="s">
        <v>60</v>
      </c>
      <c r="M432" t="s">
        <v>33</v>
      </c>
      <c r="N432">
        <v>1.7</v>
      </c>
      <c r="O432" t="s">
        <v>27</v>
      </c>
      <c r="S432" s="3">
        <v>2300</v>
      </c>
      <c r="T432" s="2">
        <v>4572.39501953125</v>
      </c>
      <c r="U432" s="2">
        <v>4686.5306245568854</v>
      </c>
      <c r="V432" s="2">
        <v>4097.5654098025761</v>
      </c>
      <c r="W432" s="2">
        <v>4063.31494140625</v>
      </c>
      <c r="X432" s="4">
        <f t="shared" si="24"/>
        <v>0.50301865656300837</v>
      </c>
      <c r="Y432" s="4">
        <f t="shared" si="25"/>
        <v>0.49076815756804459</v>
      </c>
      <c r="Z432" s="4">
        <f t="shared" si="26"/>
        <v>0.56130891638672242</v>
      </c>
      <c r="AA432" s="4">
        <f t="shared" si="27"/>
        <v>0.56604029792581267</v>
      </c>
    </row>
    <row r="433" spans="1:27" x14ac:dyDescent="0.3">
      <c r="A433" t="s">
        <v>296</v>
      </c>
      <c r="B433">
        <v>125790</v>
      </c>
      <c r="C433">
        <v>2016</v>
      </c>
      <c r="D433" t="s">
        <v>85</v>
      </c>
      <c r="E433" t="s">
        <v>292</v>
      </c>
      <c r="F433">
        <v>4</v>
      </c>
      <c r="G433" t="s">
        <v>47</v>
      </c>
      <c r="H433">
        <v>4</v>
      </c>
      <c r="I433" t="s">
        <v>23</v>
      </c>
      <c r="J433" t="s">
        <v>24</v>
      </c>
      <c r="K433" t="s">
        <v>27</v>
      </c>
      <c r="L433" t="s">
        <v>60</v>
      </c>
      <c r="M433" t="s">
        <v>33</v>
      </c>
      <c r="N433">
        <v>3</v>
      </c>
      <c r="O433" t="s">
        <v>27</v>
      </c>
      <c r="S433" s="3">
        <v>2400</v>
      </c>
      <c r="T433" s="2">
        <v>5876.7001953125</v>
      </c>
      <c r="U433" s="2">
        <v>5992.431621556404</v>
      </c>
      <c r="V433" s="2">
        <v>4518.3866723741339</v>
      </c>
      <c r="W433" s="2">
        <v>5647.24951171875</v>
      </c>
      <c r="X433" s="4">
        <f t="shared" si="24"/>
        <v>0.40839245158606857</v>
      </c>
      <c r="Y433" s="4">
        <f t="shared" si="25"/>
        <v>0.40050519581509253</v>
      </c>
      <c r="Z433" s="4">
        <f t="shared" si="26"/>
        <v>0.53116303982433355</v>
      </c>
      <c r="AA433" s="4">
        <f t="shared" si="27"/>
        <v>0.4249856492120101</v>
      </c>
    </row>
    <row r="434" spans="1:27" x14ac:dyDescent="0.3">
      <c r="A434" t="s">
        <v>296</v>
      </c>
      <c r="B434">
        <v>113429</v>
      </c>
      <c r="C434">
        <v>2017</v>
      </c>
      <c r="D434" t="s">
        <v>340</v>
      </c>
      <c r="E434" t="s">
        <v>341</v>
      </c>
      <c r="F434">
        <v>4</v>
      </c>
      <c r="G434" t="s">
        <v>36</v>
      </c>
      <c r="H434">
        <v>4</v>
      </c>
      <c r="I434" t="s">
        <v>23</v>
      </c>
      <c r="J434" t="s">
        <v>24</v>
      </c>
      <c r="L434" t="s">
        <v>102</v>
      </c>
      <c r="M434" t="s">
        <v>23</v>
      </c>
      <c r="N434">
        <v>1.5</v>
      </c>
      <c r="O434" t="s">
        <v>27</v>
      </c>
      <c r="S434" s="3">
        <v>5000</v>
      </c>
      <c r="T434" s="2">
        <v>6713.4443359375</v>
      </c>
      <c r="U434" s="2">
        <v>8568.9385799069169</v>
      </c>
      <c r="V434" s="2">
        <v>6590.6659708346142</v>
      </c>
      <c r="W434" s="2">
        <v>8436.0908203125</v>
      </c>
      <c r="X434" s="4">
        <f t="shared" si="24"/>
        <v>0.74477417995926143</v>
      </c>
      <c r="Y434" s="4">
        <f t="shared" si="25"/>
        <v>0.58350284033128341</v>
      </c>
      <c r="Z434" s="4">
        <f t="shared" si="26"/>
        <v>0.75864867406818692</v>
      </c>
      <c r="AA434" s="4">
        <f t="shared" si="27"/>
        <v>0.59269158031833324</v>
      </c>
    </row>
    <row r="435" spans="1:27" x14ac:dyDescent="0.3">
      <c r="A435" t="s">
        <v>296</v>
      </c>
      <c r="B435">
        <v>114073</v>
      </c>
      <c r="C435">
        <v>2020</v>
      </c>
      <c r="D435" t="s">
        <v>40</v>
      </c>
      <c r="E435" t="s">
        <v>122</v>
      </c>
      <c r="F435">
        <v>4</v>
      </c>
      <c r="G435" t="s">
        <v>36</v>
      </c>
      <c r="H435">
        <v>4</v>
      </c>
      <c r="I435" t="s">
        <v>23</v>
      </c>
      <c r="J435" t="s">
        <v>24</v>
      </c>
      <c r="K435" t="s">
        <v>27</v>
      </c>
      <c r="L435" t="s">
        <v>73</v>
      </c>
      <c r="M435" t="s">
        <v>33</v>
      </c>
      <c r="N435">
        <v>1.5</v>
      </c>
      <c r="O435" t="s">
        <v>27</v>
      </c>
      <c r="S435" s="3">
        <v>2800</v>
      </c>
      <c r="T435" s="2">
        <v>6546.73583984375</v>
      </c>
      <c r="U435" s="2">
        <v>6728.2835423900706</v>
      </c>
      <c r="V435" s="2">
        <v>4243.1925126090737</v>
      </c>
      <c r="W435" s="2">
        <v>6731.98193359375</v>
      </c>
      <c r="X435" s="4">
        <f t="shared" si="24"/>
        <v>0.42769405525102527</v>
      </c>
      <c r="Y435" s="4">
        <f t="shared" si="25"/>
        <v>0.41615368650254048</v>
      </c>
      <c r="Z435" s="4">
        <f t="shared" si="26"/>
        <v>0.65988050075020588</v>
      </c>
      <c r="AA435" s="4">
        <f t="shared" si="27"/>
        <v>0.41592506153760123</v>
      </c>
    </row>
    <row r="436" spans="1:27" x14ac:dyDescent="0.3">
      <c r="A436" t="s">
        <v>296</v>
      </c>
      <c r="B436">
        <v>85487</v>
      </c>
      <c r="C436">
        <v>2018</v>
      </c>
      <c r="D436" t="s">
        <v>44</v>
      </c>
      <c r="E436" t="s">
        <v>203</v>
      </c>
      <c r="F436">
        <v>4</v>
      </c>
      <c r="G436" t="s">
        <v>59</v>
      </c>
      <c r="H436">
        <v>4</v>
      </c>
      <c r="I436" t="s">
        <v>23</v>
      </c>
      <c r="J436" t="s">
        <v>37</v>
      </c>
      <c r="K436" t="s">
        <v>27</v>
      </c>
      <c r="L436" t="s">
        <v>118</v>
      </c>
      <c r="M436" t="s">
        <v>33</v>
      </c>
      <c r="N436">
        <v>2.1</v>
      </c>
      <c r="O436" t="s">
        <v>27</v>
      </c>
      <c r="S436" s="3">
        <v>1600</v>
      </c>
      <c r="T436" s="2">
        <v>5700.61962890625</v>
      </c>
      <c r="U436" s="2">
        <v>5762.3092321406066</v>
      </c>
      <c r="V436" s="2">
        <v>4113.4383861361612</v>
      </c>
      <c r="W436" s="2">
        <v>5723.2841796875</v>
      </c>
      <c r="X436" s="4">
        <f t="shared" si="24"/>
        <v>0.2806712435060299</v>
      </c>
      <c r="Y436" s="4">
        <f t="shared" si="25"/>
        <v>0.27766645897371001</v>
      </c>
      <c r="Z436" s="4">
        <f t="shared" si="26"/>
        <v>0.38896899620342035</v>
      </c>
      <c r="AA436" s="4">
        <f t="shared" si="27"/>
        <v>0.27955976844179042</v>
      </c>
    </row>
    <row r="437" spans="1:27" x14ac:dyDescent="0.3">
      <c r="A437" t="s">
        <v>296</v>
      </c>
      <c r="B437">
        <v>119381</v>
      </c>
      <c r="C437">
        <v>2016</v>
      </c>
      <c r="D437" t="s">
        <v>81</v>
      </c>
      <c r="E437" t="s">
        <v>207</v>
      </c>
      <c r="F437">
        <v>6</v>
      </c>
      <c r="G437" t="s">
        <v>47</v>
      </c>
      <c r="H437">
        <v>4</v>
      </c>
      <c r="I437" t="s">
        <v>23</v>
      </c>
      <c r="J437" t="s">
        <v>31</v>
      </c>
      <c r="L437" t="s">
        <v>26</v>
      </c>
      <c r="M437" t="s">
        <v>78</v>
      </c>
      <c r="N437">
        <v>2.2999999999999901</v>
      </c>
      <c r="O437" t="s">
        <v>27</v>
      </c>
      <c r="S437" s="3">
        <v>5900</v>
      </c>
      <c r="T437" s="2">
        <v>9824.744140625</v>
      </c>
      <c r="U437" s="2">
        <v>8101.5202806427023</v>
      </c>
      <c r="V437" s="2">
        <v>7109.0338240439514</v>
      </c>
      <c r="W437" s="2">
        <v>9040.0283203125</v>
      </c>
      <c r="X437" s="4">
        <f t="shared" si="24"/>
        <v>0.60052454451243065</v>
      </c>
      <c r="Y437" s="4">
        <f t="shared" si="25"/>
        <v>0.72825837566525808</v>
      </c>
      <c r="Z437" s="4">
        <f t="shared" si="26"/>
        <v>0.82992993788343006</v>
      </c>
      <c r="AA437" s="4">
        <f t="shared" si="27"/>
        <v>0.65265282264027757</v>
      </c>
    </row>
    <row r="438" spans="1:27" x14ac:dyDescent="0.3">
      <c r="A438" t="s">
        <v>296</v>
      </c>
      <c r="B438">
        <v>41703</v>
      </c>
      <c r="C438">
        <v>2018</v>
      </c>
      <c r="D438" t="s">
        <v>34</v>
      </c>
      <c r="E438" t="s">
        <v>116</v>
      </c>
      <c r="F438">
        <v>4</v>
      </c>
      <c r="G438" t="s">
        <v>47</v>
      </c>
      <c r="H438">
        <v>4</v>
      </c>
      <c r="I438" t="s">
        <v>23</v>
      </c>
      <c r="J438" t="s">
        <v>37</v>
      </c>
      <c r="K438" t="s">
        <v>27</v>
      </c>
      <c r="L438" t="s">
        <v>128</v>
      </c>
      <c r="M438" t="s">
        <v>33</v>
      </c>
      <c r="N438">
        <v>3.8</v>
      </c>
      <c r="O438" t="s">
        <v>27</v>
      </c>
      <c r="S438" s="3">
        <v>18000</v>
      </c>
      <c r="T438" s="2">
        <v>16148.7783203125</v>
      </c>
      <c r="U438" s="2">
        <v>16089.865418121321</v>
      </c>
      <c r="V438" s="2">
        <v>18482.181750835811</v>
      </c>
      <c r="W438" s="2">
        <v>15608.646484375</v>
      </c>
      <c r="X438" s="4">
        <f t="shared" si="24"/>
        <v>1.1146354010791619</v>
      </c>
      <c r="Y438" s="4">
        <f t="shared" si="25"/>
        <v>1.1187166288990447</v>
      </c>
      <c r="Z438" s="4">
        <f t="shared" si="26"/>
        <v>0.97391099398673509</v>
      </c>
      <c r="AA438" s="4">
        <f t="shared" si="27"/>
        <v>1.1532069752504714</v>
      </c>
    </row>
    <row r="439" spans="1:27" x14ac:dyDescent="0.3">
      <c r="A439" t="s">
        <v>296</v>
      </c>
      <c r="B439">
        <v>109923</v>
      </c>
      <c r="C439">
        <v>2019</v>
      </c>
      <c r="D439" t="s">
        <v>40</v>
      </c>
      <c r="E439" t="s">
        <v>63</v>
      </c>
      <c r="F439">
        <v>4</v>
      </c>
      <c r="G439" t="s">
        <v>30</v>
      </c>
      <c r="H439">
        <v>4</v>
      </c>
      <c r="I439" t="s">
        <v>23</v>
      </c>
      <c r="J439" t="s">
        <v>24</v>
      </c>
      <c r="K439" t="s">
        <v>27</v>
      </c>
      <c r="L439" t="s">
        <v>107</v>
      </c>
      <c r="M439" t="s">
        <v>23</v>
      </c>
      <c r="N439">
        <v>1.3</v>
      </c>
      <c r="O439" t="s">
        <v>27</v>
      </c>
      <c r="S439" s="3">
        <v>4200</v>
      </c>
      <c r="T439" s="2">
        <v>7900.9462890625</v>
      </c>
      <c r="U439" s="2">
        <v>7931.1342571499245</v>
      </c>
      <c r="V439" s="2">
        <v>6169.973893458965</v>
      </c>
      <c r="W439" s="2">
        <v>7899.26416015625</v>
      </c>
      <c r="X439" s="4">
        <f t="shared" si="24"/>
        <v>0.53158189491987518</v>
      </c>
      <c r="Y439" s="4">
        <f t="shared" si="25"/>
        <v>0.52955855541263808</v>
      </c>
      <c r="Z439" s="4">
        <f t="shared" si="26"/>
        <v>0.68071600828855816</v>
      </c>
      <c r="AA439" s="4">
        <f t="shared" si="27"/>
        <v>0.53169509397909831</v>
      </c>
    </row>
    <row r="440" spans="1:27" x14ac:dyDescent="0.3">
      <c r="A440" t="s">
        <v>296</v>
      </c>
      <c r="B440">
        <v>152297</v>
      </c>
      <c r="C440">
        <v>2015</v>
      </c>
      <c r="D440" t="s">
        <v>103</v>
      </c>
      <c r="E440" t="s">
        <v>342</v>
      </c>
      <c r="F440">
        <v>8</v>
      </c>
      <c r="G440" t="s">
        <v>47</v>
      </c>
      <c r="H440">
        <v>4</v>
      </c>
      <c r="I440" t="s">
        <v>23</v>
      </c>
      <c r="J440" t="s">
        <v>24</v>
      </c>
      <c r="K440" t="s">
        <v>27</v>
      </c>
      <c r="L440" t="s">
        <v>115</v>
      </c>
      <c r="M440" t="s">
        <v>78</v>
      </c>
      <c r="N440">
        <v>2.9</v>
      </c>
      <c r="O440" t="s">
        <v>27</v>
      </c>
      <c r="S440" s="3">
        <v>5200</v>
      </c>
      <c r="T440" s="2">
        <v>7450.69873046875</v>
      </c>
      <c r="U440" s="2">
        <v>10337.87083838483</v>
      </c>
      <c r="V440" s="2">
        <v>5195.0038912591172</v>
      </c>
      <c r="W440" s="2">
        <v>10580.55078125</v>
      </c>
      <c r="X440" s="4">
        <f t="shared" si="24"/>
        <v>0.69792111963072889</v>
      </c>
      <c r="Y440" s="4">
        <f t="shared" si="25"/>
        <v>0.50300493025045756</v>
      </c>
      <c r="Z440" s="4">
        <f t="shared" si="26"/>
        <v>1.0009617141479508</v>
      </c>
      <c r="AA440" s="4">
        <f t="shared" si="27"/>
        <v>0.49146779855875</v>
      </c>
    </row>
    <row r="441" spans="1:27" x14ac:dyDescent="0.3">
      <c r="A441" t="s">
        <v>296</v>
      </c>
      <c r="B441">
        <v>159039</v>
      </c>
      <c r="C441">
        <v>2015</v>
      </c>
      <c r="D441" t="s">
        <v>28</v>
      </c>
      <c r="E441" t="s">
        <v>289</v>
      </c>
      <c r="F441">
        <v>4</v>
      </c>
      <c r="G441" t="s">
        <v>36</v>
      </c>
      <c r="H441">
        <v>4</v>
      </c>
      <c r="I441" t="s">
        <v>23</v>
      </c>
      <c r="J441" t="s">
        <v>31</v>
      </c>
      <c r="K441" t="s">
        <v>27</v>
      </c>
      <c r="L441" t="s">
        <v>32</v>
      </c>
      <c r="M441" t="s">
        <v>33</v>
      </c>
      <c r="N441">
        <v>1.8</v>
      </c>
      <c r="O441" t="s">
        <v>27</v>
      </c>
      <c r="S441" s="3">
        <v>6000</v>
      </c>
      <c r="T441" s="2">
        <v>5204.2138671875</v>
      </c>
      <c r="U441" s="2">
        <v>5370.9763803391434</v>
      </c>
      <c r="V441" s="2">
        <v>4157.3700464149078</v>
      </c>
      <c r="W441" s="2">
        <v>6388.91552734375</v>
      </c>
      <c r="X441" s="4">
        <f t="shared" si="24"/>
        <v>1.152911881241069</v>
      </c>
      <c r="Y441" s="4">
        <f t="shared" si="25"/>
        <v>1.1171153204030917</v>
      </c>
      <c r="Z441" s="4">
        <f t="shared" si="26"/>
        <v>1.4432200966026771</v>
      </c>
      <c r="AA441" s="4">
        <f t="shared" si="27"/>
        <v>0.93912651909713929</v>
      </c>
    </row>
    <row r="442" spans="1:27" x14ac:dyDescent="0.3">
      <c r="A442" t="s">
        <v>296</v>
      </c>
      <c r="B442">
        <v>104799</v>
      </c>
      <c r="C442">
        <v>2017</v>
      </c>
      <c r="D442" t="s">
        <v>100</v>
      </c>
      <c r="E442" t="s">
        <v>343</v>
      </c>
      <c r="F442">
        <v>4</v>
      </c>
      <c r="G442" t="s">
        <v>36</v>
      </c>
      <c r="H442">
        <v>4</v>
      </c>
      <c r="I442" t="s">
        <v>23</v>
      </c>
      <c r="J442" t="s">
        <v>31</v>
      </c>
      <c r="L442" t="s">
        <v>87</v>
      </c>
      <c r="M442" t="s">
        <v>33</v>
      </c>
      <c r="N442">
        <v>4.0999999999999899</v>
      </c>
      <c r="O442" t="s">
        <v>27</v>
      </c>
      <c r="S442" s="3">
        <v>4200</v>
      </c>
      <c r="T442" s="2">
        <v>6708.72509765625</v>
      </c>
      <c r="U442" s="2">
        <v>7623.3937496575054</v>
      </c>
      <c r="V442" s="2">
        <v>6457.7958167712932</v>
      </c>
      <c r="W442" s="2">
        <v>7765.31982421875</v>
      </c>
      <c r="X442" s="4">
        <f t="shared" si="24"/>
        <v>0.62605039539737672</v>
      </c>
      <c r="Y442" s="4">
        <f t="shared" si="25"/>
        <v>0.55093572992851014</v>
      </c>
      <c r="Z442" s="4">
        <f t="shared" si="26"/>
        <v>0.65037671043924017</v>
      </c>
      <c r="AA442" s="4">
        <f t="shared" si="27"/>
        <v>0.54086632554410619</v>
      </c>
    </row>
    <row r="443" spans="1:27" x14ac:dyDescent="0.3">
      <c r="A443" t="s">
        <v>296</v>
      </c>
      <c r="B443">
        <v>183695</v>
      </c>
      <c r="C443">
        <v>2018</v>
      </c>
      <c r="D443" t="s">
        <v>44</v>
      </c>
      <c r="E443" t="s">
        <v>203</v>
      </c>
      <c r="F443">
        <v>4</v>
      </c>
      <c r="G443" t="s">
        <v>36</v>
      </c>
      <c r="H443">
        <v>4</v>
      </c>
      <c r="I443" t="s">
        <v>23</v>
      </c>
      <c r="J443" t="s">
        <v>37</v>
      </c>
      <c r="K443" t="s">
        <v>27</v>
      </c>
      <c r="L443" t="s">
        <v>118</v>
      </c>
      <c r="M443" t="s">
        <v>33</v>
      </c>
      <c r="N443">
        <v>2.6</v>
      </c>
      <c r="O443" t="s">
        <v>39</v>
      </c>
      <c r="S443" s="3">
        <v>500</v>
      </c>
      <c r="T443" s="2">
        <v>2111.2265625</v>
      </c>
      <c r="U443" s="2">
        <v>1531.6425844807709</v>
      </c>
      <c r="V443" s="2">
        <v>1389.3815296667451</v>
      </c>
      <c r="W443" s="2">
        <v>1235.378540039062</v>
      </c>
      <c r="X443" s="4">
        <f t="shared" si="24"/>
        <v>0.23682915366881663</v>
      </c>
      <c r="Y443" s="4">
        <f t="shared" si="25"/>
        <v>0.32644691722873503</v>
      </c>
      <c r="Z443" s="4">
        <f t="shared" si="26"/>
        <v>0.35987235278701973</v>
      </c>
      <c r="AA443" s="4">
        <f t="shared" si="27"/>
        <v>0.40473424443991901</v>
      </c>
    </row>
    <row r="444" spans="1:27" x14ac:dyDescent="0.3">
      <c r="A444" t="s">
        <v>296</v>
      </c>
      <c r="B444">
        <v>76982</v>
      </c>
      <c r="C444">
        <v>2023</v>
      </c>
      <c r="D444" t="s">
        <v>85</v>
      </c>
      <c r="E444" t="s">
        <v>270</v>
      </c>
      <c r="F444">
        <v>4</v>
      </c>
      <c r="G444" t="s">
        <v>66</v>
      </c>
      <c r="H444">
        <v>4</v>
      </c>
      <c r="I444" t="s">
        <v>23</v>
      </c>
      <c r="J444" t="s">
        <v>24</v>
      </c>
      <c r="K444" t="s">
        <v>27</v>
      </c>
      <c r="L444" t="s">
        <v>102</v>
      </c>
      <c r="M444" t="s">
        <v>33</v>
      </c>
      <c r="N444">
        <v>1.7</v>
      </c>
      <c r="O444" t="s">
        <v>27</v>
      </c>
      <c r="S444" s="3">
        <v>16400</v>
      </c>
      <c r="T444" s="2">
        <v>15162.7236328125</v>
      </c>
      <c r="U444" s="2">
        <v>19430.356675826999</v>
      </c>
      <c r="V444" s="2">
        <v>14634.86314218959</v>
      </c>
      <c r="W444" s="2">
        <v>16754.3359375</v>
      </c>
      <c r="X444" s="4">
        <f t="shared" si="24"/>
        <v>1.0815998759292824</v>
      </c>
      <c r="Y444" s="4">
        <f t="shared" si="25"/>
        <v>0.84404009013395942</v>
      </c>
      <c r="Z444" s="4">
        <f t="shared" si="26"/>
        <v>1.1206117775520461</v>
      </c>
      <c r="AA444" s="4">
        <f t="shared" si="27"/>
        <v>0.97885109031943685</v>
      </c>
    </row>
    <row r="445" spans="1:27" x14ac:dyDescent="0.3">
      <c r="A445" t="s">
        <v>296</v>
      </c>
      <c r="B445">
        <v>79992</v>
      </c>
      <c r="C445">
        <v>2023</v>
      </c>
      <c r="D445" t="s">
        <v>324</v>
      </c>
      <c r="E445" t="s">
        <v>344</v>
      </c>
      <c r="F445">
        <v>4</v>
      </c>
      <c r="G445" t="s">
        <v>36</v>
      </c>
      <c r="H445">
        <v>4</v>
      </c>
      <c r="I445" t="s">
        <v>23</v>
      </c>
      <c r="J445" t="s">
        <v>24</v>
      </c>
      <c r="K445" t="s">
        <v>27</v>
      </c>
      <c r="L445" t="s">
        <v>127</v>
      </c>
      <c r="M445" t="s">
        <v>33</v>
      </c>
      <c r="N445">
        <v>2.4</v>
      </c>
      <c r="O445" t="s">
        <v>27</v>
      </c>
      <c r="S445" s="3">
        <v>16500</v>
      </c>
      <c r="T445" s="2">
        <v>19869.712890625</v>
      </c>
      <c r="U445" s="2">
        <v>17568.36532661513</v>
      </c>
      <c r="V445" s="2">
        <v>18804.77366266197</v>
      </c>
      <c r="W445" s="2">
        <v>18937</v>
      </c>
      <c r="X445" s="4">
        <f t="shared" si="24"/>
        <v>0.83040958320968439</v>
      </c>
      <c r="Y445" s="4">
        <f t="shared" si="25"/>
        <v>0.9391881198533244</v>
      </c>
      <c r="Z445" s="4">
        <f t="shared" si="26"/>
        <v>0.87743677727755698</v>
      </c>
      <c r="AA445" s="4">
        <f t="shared" si="27"/>
        <v>0.87131013360088716</v>
      </c>
    </row>
    <row r="446" spans="1:27" x14ac:dyDescent="0.3">
      <c r="A446" t="s">
        <v>296</v>
      </c>
      <c r="B446">
        <v>81776</v>
      </c>
      <c r="C446">
        <v>2018</v>
      </c>
      <c r="D446" t="s">
        <v>81</v>
      </c>
      <c r="E446" t="s">
        <v>201</v>
      </c>
      <c r="F446">
        <v>4</v>
      </c>
      <c r="G446" t="s">
        <v>66</v>
      </c>
      <c r="H446">
        <v>4</v>
      </c>
      <c r="I446" t="s">
        <v>23</v>
      </c>
      <c r="J446" t="s">
        <v>24</v>
      </c>
      <c r="L446" t="s">
        <v>60</v>
      </c>
      <c r="M446" t="s">
        <v>33</v>
      </c>
      <c r="N446">
        <v>1.3</v>
      </c>
      <c r="O446" t="s">
        <v>27</v>
      </c>
      <c r="S446" s="3">
        <v>7400</v>
      </c>
      <c r="T446" s="2">
        <v>9742.68359375</v>
      </c>
      <c r="U446" s="2">
        <v>8464.4017602776967</v>
      </c>
      <c r="V446" s="2">
        <v>6629.1187904970548</v>
      </c>
      <c r="W446" s="2">
        <v>9752.171875</v>
      </c>
      <c r="X446" s="4">
        <f t="shared" si="24"/>
        <v>0.75954432152011508</v>
      </c>
      <c r="Y446" s="4">
        <f t="shared" si="25"/>
        <v>0.87424961734770301</v>
      </c>
      <c r="Z446" s="4">
        <f t="shared" si="26"/>
        <v>1.1162871316483294</v>
      </c>
      <c r="AA446" s="4">
        <f t="shared" si="27"/>
        <v>0.75880533022291508</v>
      </c>
    </row>
    <row r="447" spans="1:27" x14ac:dyDescent="0.3">
      <c r="A447" t="s">
        <v>296</v>
      </c>
      <c r="B447">
        <v>80011</v>
      </c>
      <c r="C447">
        <v>2019</v>
      </c>
      <c r="D447" t="s">
        <v>44</v>
      </c>
      <c r="E447" t="s">
        <v>284</v>
      </c>
      <c r="F447">
        <v>4</v>
      </c>
      <c r="G447" t="s">
        <v>47</v>
      </c>
      <c r="H447">
        <v>4</v>
      </c>
      <c r="I447" t="s">
        <v>23</v>
      </c>
      <c r="J447" t="s">
        <v>285</v>
      </c>
      <c r="K447" t="s">
        <v>27</v>
      </c>
      <c r="L447" t="s">
        <v>69</v>
      </c>
      <c r="M447" t="s">
        <v>78</v>
      </c>
      <c r="N447">
        <v>2</v>
      </c>
      <c r="O447" t="s">
        <v>27</v>
      </c>
      <c r="S447" s="3">
        <v>13500</v>
      </c>
      <c r="T447" s="2">
        <v>13951.7587890625</v>
      </c>
      <c r="U447" s="2">
        <v>14515.949514657341</v>
      </c>
      <c r="V447" s="2">
        <v>12434.64739007788</v>
      </c>
      <c r="W447" s="2">
        <v>14515.79296875</v>
      </c>
      <c r="X447" s="4">
        <f t="shared" si="24"/>
        <v>0.96761993983033479</v>
      </c>
      <c r="Y447" s="4">
        <f t="shared" si="25"/>
        <v>0.93001150123651943</v>
      </c>
      <c r="Z447" s="4">
        <f t="shared" si="26"/>
        <v>1.0856761415504399</v>
      </c>
      <c r="AA447" s="4">
        <f t="shared" si="27"/>
        <v>0.93002153096721429</v>
      </c>
    </row>
    <row r="448" spans="1:27" x14ac:dyDescent="0.3">
      <c r="A448" t="s">
        <v>296</v>
      </c>
      <c r="B448">
        <v>24933</v>
      </c>
      <c r="C448">
        <v>2024</v>
      </c>
      <c r="D448" t="s">
        <v>90</v>
      </c>
      <c r="E448" t="s">
        <v>333</v>
      </c>
      <c r="F448">
        <v>4</v>
      </c>
      <c r="G448" t="s">
        <v>47</v>
      </c>
      <c r="H448">
        <v>4</v>
      </c>
      <c r="I448" t="s">
        <v>23</v>
      </c>
      <c r="J448" t="s">
        <v>24</v>
      </c>
      <c r="L448" t="s">
        <v>107</v>
      </c>
      <c r="M448" t="s">
        <v>33</v>
      </c>
      <c r="N448">
        <v>3.7</v>
      </c>
      <c r="O448" t="s">
        <v>27</v>
      </c>
      <c r="S448" s="3">
        <v>17400</v>
      </c>
      <c r="T448" s="2">
        <v>18749.408203125</v>
      </c>
      <c r="U448" s="2">
        <v>19138.891060717149</v>
      </c>
      <c r="V448" s="2">
        <v>21725.1159982524</v>
      </c>
      <c r="W448" s="2">
        <v>20362.82421875</v>
      </c>
      <c r="X448" s="4">
        <f t="shared" si="24"/>
        <v>0.92802929092449482</v>
      </c>
      <c r="Y448" s="4">
        <f t="shared" si="25"/>
        <v>0.90914358333507372</v>
      </c>
      <c r="Z448" s="4">
        <f t="shared" si="26"/>
        <v>0.80091632198418095</v>
      </c>
      <c r="AA448" s="4">
        <f t="shared" si="27"/>
        <v>0.85449836491630449</v>
      </c>
    </row>
    <row r="449" spans="1:27" x14ac:dyDescent="0.3">
      <c r="A449" t="s">
        <v>296</v>
      </c>
      <c r="B449">
        <v>98707</v>
      </c>
      <c r="C449">
        <v>2015</v>
      </c>
      <c r="D449" t="s">
        <v>54</v>
      </c>
      <c r="E449" t="s">
        <v>277</v>
      </c>
      <c r="F449">
        <v>6</v>
      </c>
      <c r="G449" t="s">
        <v>36</v>
      </c>
      <c r="H449">
        <v>4</v>
      </c>
      <c r="I449" t="s">
        <v>23</v>
      </c>
      <c r="J449" t="s">
        <v>24</v>
      </c>
      <c r="K449" t="s">
        <v>27</v>
      </c>
      <c r="L449" t="s">
        <v>26</v>
      </c>
      <c r="M449">
        <v>4</v>
      </c>
      <c r="N449">
        <v>1.9</v>
      </c>
      <c r="O449" t="s">
        <v>27</v>
      </c>
      <c r="S449" s="3">
        <v>8750</v>
      </c>
      <c r="T449" s="2">
        <v>11194.1083984375</v>
      </c>
      <c r="U449" s="2">
        <v>13813.68611850171</v>
      </c>
      <c r="V449" s="2">
        <v>13336.520697494951</v>
      </c>
      <c r="W449" s="2">
        <v>8190.72900390625</v>
      </c>
      <c r="X449" s="4">
        <f t="shared" si="24"/>
        <v>0.78166118180715005</v>
      </c>
      <c r="Y449" s="4">
        <f t="shared" si="25"/>
        <v>0.63342976848738919</v>
      </c>
      <c r="Z449" s="4">
        <f t="shared" si="26"/>
        <v>0.65609315941327528</v>
      </c>
      <c r="AA449" s="4">
        <f t="shared" si="27"/>
        <v>1.0682809791200547</v>
      </c>
    </row>
    <row r="450" spans="1:27" x14ac:dyDescent="0.3">
      <c r="A450" t="s">
        <v>296</v>
      </c>
      <c r="B450">
        <v>94404</v>
      </c>
      <c r="C450">
        <v>2020</v>
      </c>
      <c r="D450" t="s">
        <v>85</v>
      </c>
      <c r="E450" t="s">
        <v>270</v>
      </c>
      <c r="F450">
        <v>6</v>
      </c>
      <c r="G450" t="s">
        <v>30</v>
      </c>
      <c r="H450">
        <v>4</v>
      </c>
      <c r="I450" t="s">
        <v>23</v>
      </c>
      <c r="J450" t="s">
        <v>24</v>
      </c>
      <c r="K450" t="s">
        <v>27</v>
      </c>
      <c r="L450" t="s">
        <v>194</v>
      </c>
      <c r="M450" t="s">
        <v>33</v>
      </c>
      <c r="N450">
        <v>1.9</v>
      </c>
      <c r="O450" t="s">
        <v>27</v>
      </c>
      <c r="S450" s="3">
        <v>7500</v>
      </c>
      <c r="T450" s="2">
        <v>13842.4609375</v>
      </c>
      <c r="U450" s="2">
        <v>12301.875509389911</v>
      </c>
      <c r="V450" s="2">
        <v>9843.305116077936</v>
      </c>
      <c r="W450" s="2">
        <v>10648.427734375</v>
      </c>
      <c r="X450" s="4">
        <f t="shared" ref="X450:X513" si="28">S450/T450</f>
        <v>0.54181117316228655</v>
      </c>
      <c r="Y450" s="4">
        <f t="shared" ref="Y450:Y513" si="29">S450/U450</f>
        <v>0.60966313585886289</v>
      </c>
      <c r="Z450" s="4">
        <f t="shared" ref="Z450:Z513" si="30">S450/V450</f>
        <v>0.76193919740937321</v>
      </c>
      <c r="AA450" s="4">
        <f t="shared" ref="AA450:AA513" si="31">S450/W450</f>
        <v>0.70432933265712827</v>
      </c>
    </row>
    <row r="451" spans="1:27" x14ac:dyDescent="0.3">
      <c r="A451" t="s">
        <v>296</v>
      </c>
      <c r="B451">
        <v>92628</v>
      </c>
      <c r="C451">
        <v>2019</v>
      </c>
      <c r="D451" t="s">
        <v>40</v>
      </c>
      <c r="E451" t="s">
        <v>41</v>
      </c>
      <c r="F451">
        <v>8</v>
      </c>
      <c r="G451" t="s">
        <v>30</v>
      </c>
      <c r="H451">
        <v>4</v>
      </c>
      <c r="I451" t="s">
        <v>23</v>
      </c>
      <c r="J451" t="s">
        <v>42</v>
      </c>
      <c r="K451" t="s">
        <v>27</v>
      </c>
      <c r="L451" t="s">
        <v>43</v>
      </c>
      <c r="M451" t="s">
        <v>78</v>
      </c>
      <c r="N451">
        <v>2.4</v>
      </c>
      <c r="O451" t="s">
        <v>27</v>
      </c>
      <c r="S451" s="3">
        <v>20600</v>
      </c>
      <c r="T451" s="2">
        <v>22718.228515625</v>
      </c>
      <c r="U451" s="2">
        <v>27707.27184926359</v>
      </c>
      <c r="V451" s="2">
        <v>18411.589744556069</v>
      </c>
      <c r="W451" s="2">
        <v>13362.271484375</v>
      </c>
      <c r="X451" s="4">
        <f t="shared" si="28"/>
        <v>0.90676084122632461</v>
      </c>
      <c r="Y451" s="4">
        <f t="shared" si="29"/>
        <v>0.7434871290132995</v>
      </c>
      <c r="Z451" s="4">
        <f t="shared" si="30"/>
        <v>1.1188604724418758</v>
      </c>
      <c r="AA451" s="4">
        <f t="shared" si="31"/>
        <v>1.5416540536605878</v>
      </c>
    </row>
    <row r="452" spans="1:27" x14ac:dyDescent="0.3">
      <c r="A452" t="s">
        <v>296</v>
      </c>
      <c r="B452">
        <v>88296</v>
      </c>
      <c r="C452">
        <v>2021</v>
      </c>
      <c r="D452" t="s">
        <v>81</v>
      </c>
      <c r="E452" t="s">
        <v>82</v>
      </c>
      <c r="F452">
        <v>8</v>
      </c>
      <c r="G452" t="s">
        <v>30</v>
      </c>
      <c r="H452">
        <v>2</v>
      </c>
      <c r="I452" t="s">
        <v>23</v>
      </c>
      <c r="J452" t="s">
        <v>83</v>
      </c>
      <c r="K452" t="s">
        <v>27</v>
      </c>
      <c r="L452" t="s">
        <v>84</v>
      </c>
      <c r="M452" t="s">
        <v>78</v>
      </c>
      <c r="N452">
        <v>3.5</v>
      </c>
      <c r="O452" t="s">
        <v>27</v>
      </c>
      <c r="S452" s="3">
        <v>17500</v>
      </c>
      <c r="T452" s="2">
        <v>41170.9765625</v>
      </c>
      <c r="U452" s="2">
        <v>49125.953173107519</v>
      </c>
      <c r="V452" s="2">
        <v>18164.59712125851</v>
      </c>
      <c r="W452" s="2">
        <v>30427.328125</v>
      </c>
      <c r="X452" s="4">
        <f t="shared" si="28"/>
        <v>0.42505671376130599</v>
      </c>
      <c r="Y452" s="4">
        <f t="shared" si="29"/>
        <v>0.35622718481073323</v>
      </c>
      <c r="Z452" s="4">
        <f t="shared" si="30"/>
        <v>0.9634125041793129</v>
      </c>
      <c r="AA452" s="4">
        <f t="shared" si="31"/>
        <v>0.57514087099949729</v>
      </c>
    </row>
    <row r="453" spans="1:27" x14ac:dyDescent="0.3">
      <c r="A453" t="s">
        <v>296</v>
      </c>
      <c r="B453">
        <v>63374</v>
      </c>
      <c r="C453">
        <v>2017</v>
      </c>
      <c r="D453" t="s">
        <v>34</v>
      </c>
      <c r="E453" t="s">
        <v>345</v>
      </c>
      <c r="F453">
        <v>4</v>
      </c>
      <c r="G453" t="s">
        <v>22</v>
      </c>
      <c r="H453">
        <v>4</v>
      </c>
      <c r="I453" t="s">
        <v>23</v>
      </c>
      <c r="J453" t="s">
        <v>37</v>
      </c>
      <c r="L453" t="s">
        <v>200</v>
      </c>
      <c r="M453" t="s">
        <v>33</v>
      </c>
      <c r="N453">
        <v>2.5</v>
      </c>
      <c r="O453" t="s">
        <v>27</v>
      </c>
      <c r="S453" s="3">
        <v>8500</v>
      </c>
      <c r="T453" s="2">
        <v>7448.6328125</v>
      </c>
      <c r="U453" s="2">
        <v>7279.3393778590089</v>
      </c>
      <c r="V453" s="2">
        <v>4109.0892994467567</v>
      </c>
      <c r="W453" s="2">
        <v>8449.8818359375</v>
      </c>
      <c r="X453" s="4">
        <f t="shared" si="28"/>
        <v>1.1411490153918766</v>
      </c>
      <c r="Y453" s="4">
        <f t="shared" si="29"/>
        <v>1.1676883792303705</v>
      </c>
      <c r="Z453" s="4">
        <f t="shared" si="30"/>
        <v>2.0685848811181669</v>
      </c>
      <c r="AA453" s="4">
        <f t="shared" si="31"/>
        <v>1.0059312266177909</v>
      </c>
    </row>
    <row r="454" spans="1:27" x14ac:dyDescent="0.3">
      <c r="A454" t="s">
        <v>296</v>
      </c>
      <c r="B454">
        <v>159929</v>
      </c>
      <c r="C454">
        <v>2010</v>
      </c>
      <c r="D454" t="s">
        <v>34</v>
      </c>
      <c r="E454" t="s">
        <v>116</v>
      </c>
      <c r="F454">
        <v>4</v>
      </c>
      <c r="G454" t="s">
        <v>56</v>
      </c>
      <c r="H454">
        <v>4</v>
      </c>
      <c r="I454" t="s">
        <v>23</v>
      </c>
      <c r="J454" t="s">
        <v>37</v>
      </c>
      <c r="L454" t="s">
        <v>128</v>
      </c>
      <c r="M454" t="s">
        <v>33</v>
      </c>
      <c r="N454">
        <v>1.5</v>
      </c>
      <c r="O454" t="s">
        <v>27</v>
      </c>
      <c r="S454" s="3">
        <v>2100</v>
      </c>
      <c r="T454" s="2">
        <v>2980.299072265625</v>
      </c>
      <c r="U454" s="2">
        <v>2883.5080655135948</v>
      </c>
      <c r="V454" s="2">
        <v>1701.044560930721</v>
      </c>
      <c r="W454" s="2">
        <v>2709.7578125</v>
      </c>
      <c r="X454" s="4">
        <f t="shared" si="28"/>
        <v>0.70462727031068695</v>
      </c>
      <c r="Y454" s="4">
        <f t="shared" si="29"/>
        <v>0.72827956512962255</v>
      </c>
      <c r="Z454" s="4">
        <f t="shared" si="30"/>
        <v>1.234535560227177</v>
      </c>
      <c r="AA454" s="4">
        <f t="shared" si="31"/>
        <v>0.77497700728559116</v>
      </c>
    </row>
    <row r="455" spans="1:27" x14ac:dyDescent="0.3">
      <c r="A455" t="s">
        <v>296</v>
      </c>
      <c r="B455">
        <v>66591</v>
      </c>
      <c r="C455">
        <v>2019</v>
      </c>
      <c r="D455" t="s">
        <v>54</v>
      </c>
      <c r="E455" t="s">
        <v>275</v>
      </c>
      <c r="F455">
        <v>6</v>
      </c>
      <c r="G455" t="s">
        <v>36</v>
      </c>
      <c r="H455">
        <v>4</v>
      </c>
      <c r="I455" t="s">
        <v>23</v>
      </c>
      <c r="J455" t="s">
        <v>24</v>
      </c>
      <c r="K455" t="s">
        <v>27</v>
      </c>
      <c r="L455" t="s">
        <v>301</v>
      </c>
      <c r="M455" t="s">
        <v>33</v>
      </c>
      <c r="N455">
        <v>3.8</v>
      </c>
      <c r="O455" t="s">
        <v>27</v>
      </c>
      <c r="S455" s="3">
        <v>14300</v>
      </c>
      <c r="T455" s="2">
        <v>20489.4765625</v>
      </c>
      <c r="U455" s="2">
        <v>18141.267661527501</v>
      </c>
      <c r="V455" s="2">
        <v>16101.258006018899</v>
      </c>
      <c r="W455" s="2">
        <v>18882.4375</v>
      </c>
      <c r="X455" s="4">
        <f t="shared" si="28"/>
        <v>0.69791924436820274</v>
      </c>
      <c r="Y455" s="4">
        <f t="shared" si="29"/>
        <v>0.78825803503942871</v>
      </c>
      <c r="Z455" s="4">
        <f t="shared" si="30"/>
        <v>0.88812936198242642</v>
      </c>
      <c r="AA455" s="4">
        <f t="shared" si="31"/>
        <v>0.75731748086019091</v>
      </c>
    </row>
    <row r="456" spans="1:27" x14ac:dyDescent="0.3">
      <c r="A456" t="s">
        <v>296</v>
      </c>
      <c r="B456">
        <v>141021</v>
      </c>
      <c r="C456">
        <v>2016</v>
      </c>
      <c r="D456" t="s">
        <v>40</v>
      </c>
      <c r="E456" t="s">
        <v>346</v>
      </c>
      <c r="F456">
        <v>4</v>
      </c>
      <c r="G456" t="s">
        <v>36</v>
      </c>
      <c r="H456">
        <v>4</v>
      </c>
      <c r="I456" t="s">
        <v>23</v>
      </c>
      <c r="J456" t="s">
        <v>31</v>
      </c>
      <c r="K456" t="s">
        <v>27</v>
      </c>
      <c r="L456" t="s">
        <v>73</v>
      </c>
      <c r="M456" t="s">
        <v>33</v>
      </c>
      <c r="N456">
        <v>2.6</v>
      </c>
      <c r="O456" t="s">
        <v>27</v>
      </c>
      <c r="S456" s="3">
        <v>1800</v>
      </c>
      <c r="T456" s="2">
        <v>4427.388671875</v>
      </c>
      <c r="U456" s="2">
        <v>4831.4266830887746</v>
      </c>
      <c r="V456" s="2">
        <v>3828.129060007856</v>
      </c>
      <c r="W456" s="2">
        <v>3997.988525390625</v>
      </c>
      <c r="X456" s="4">
        <f t="shared" si="28"/>
        <v>0.40656019459834314</v>
      </c>
      <c r="Y456" s="4">
        <f t="shared" si="29"/>
        <v>0.37256076063421578</v>
      </c>
      <c r="Z456" s="4">
        <f t="shared" si="30"/>
        <v>0.47020358294720244</v>
      </c>
      <c r="AA456" s="4">
        <f t="shared" si="31"/>
        <v>0.45022640474540387</v>
      </c>
    </row>
    <row r="457" spans="1:27" x14ac:dyDescent="0.3">
      <c r="A457" t="s">
        <v>296</v>
      </c>
      <c r="B457">
        <v>74375</v>
      </c>
      <c r="C457">
        <v>2017</v>
      </c>
      <c r="D457" t="s">
        <v>40</v>
      </c>
      <c r="E457" t="s">
        <v>257</v>
      </c>
      <c r="F457">
        <v>6</v>
      </c>
      <c r="G457" t="s">
        <v>22</v>
      </c>
      <c r="H457">
        <v>4</v>
      </c>
      <c r="I457" t="s">
        <v>23</v>
      </c>
      <c r="J457" t="s">
        <v>42</v>
      </c>
      <c r="K457" t="s">
        <v>27</v>
      </c>
      <c r="L457" t="s">
        <v>26</v>
      </c>
      <c r="M457" t="s">
        <v>78</v>
      </c>
      <c r="N457">
        <v>3</v>
      </c>
      <c r="O457" t="s">
        <v>27</v>
      </c>
      <c r="S457" s="3">
        <v>15400</v>
      </c>
      <c r="T457" s="2">
        <v>18250.4296875</v>
      </c>
      <c r="U457" s="2">
        <v>17962.063817001421</v>
      </c>
      <c r="V457" s="2">
        <v>17671.789637630729</v>
      </c>
      <c r="W457" s="2">
        <v>17801.0703125</v>
      </c>
      <c r="X457" s="4">
        <f t="shared" si="28"/>
        <v>0.84381574920111047</v>
      </c>
      <c r="Y457" s="4">
        <f t="shared" si="29"/>
        <v>0.85736250337912834</v>
      </c>
      <c r="Z457" s="4">
        <f t="shared" si="30"/>
        <v>0.87144541191271729</v>
      </c>
      <c r="AA457" s="4">
        <f t="shared" si="31"/>
        <v>0.86511651994240168</v>
      </c>
    </row>
    <row r="458" spans="1:27" x14ac:dyDescent="0.3">
      <c r="A458" t="s">
        <v>296</v>
      </c>
      <c r="B458">
        <v>61778</v>
      </c>
      <c r="C458">
        <v>2019</v>
      </c>
      <c r="D458" t="s">
        <v>44</v>
      </c>
      <c r="E458" t="s">
        <v>210</v>
      </c>
      <c r="F458">
        <v>4</v>
      </c>
      <c r="G458" t="s">
        <v>59</v>
      </c>
      <c r="H458">
        <v>4</v>
      </c>
      <c r="I458" t="s">
        <v>23</v>
      </c>
      <c r="J458" t="s">
        <v>37</v>
      </c>
      <c r="K458" t="s">
        <v>27</v>
      </c>
      <c r="L458" t="s">
        <v>128</v>
      </c>
      <c r="M458" t="s">
        <v>33</v>
      </c>
      <c r="N458">
        <v>2.6</v>
      </c>
      <c r="O458" t="s">
        <v>27</v>
      </c>
      <c r="S458" s="3">
        <v>10250</v>
      </c>
      <c r="T458" s="2">
        <v>11722.892578125</v>
      </c>
      <c r="U458" s="2">
        <v>13271.089400572169</v>
      </c>
      <c r="V458" s="2">
        <v>12659.10123783531</v>
      </c>
      <c r="W458" s="2">
        <v>11670.4765625</v>
      </c>
      <c r="X458" s="4">
        <f t="shared" si="28"/>
        <v>0.87435758126169061</v>
      </c>
      <c r="Y458" s="4">
        <f t="shared" si="29"/>
        <v>0.7723555836763546</v>
      </c>
      <c r="Z458" s="4">
        <f t="shared" si="30"/>
        <v>0.80969413289507253</v>
      </c>
      <c r="AA458" s="4">
        <f t="shared" si="31"/>
        <v>0.87828461375225009</v>
      </c>
    </row>
    <row r="459" spans="1:27" x14ac:dyDescent="0.3">
      <c r="A459" t="s">
        <v>296</v>
      </c>
      <c r="B459">
        <v>171723</v>
      </c>
      <c r="C459">
        <v>2016</v>
      </c>
      <c r="D459" t="s">
        <v>54</v>
      </c>
      <c r="E459" t="s">
        <v>219</v>
      </c>
      <c r="F459">
        <v>6</v>
      </c>
      <c r="G459" t="s">
        <v>22</v>
      </c>
      <c r="H459">
        <v>4</v>
      </c>
      <c r="I459" t="s">
        <v>23</v>
      </c>
      <c r="J459" t="s">
        <v>24</v>
      </c>
      <c r="K459" t="s">
        <v>27</v>
      </c>
      <c r="L459" t="s">
        <v>26</v>
      </c>
      <c r="M459">
        <v>4</v>
      </c>
      <c r="N459">
        <v>2.7</v>
      </c>
      <c r="O459" t="s">
        <v>199</v>
      </c>
      <c r="S459" s="3">
        <v>2300</v>
      </c>
      <c r="T459" s="2">
        <v>2290.511962890625</v>
      </c>
      <c r="U459" s="2">
        <v>4605.5278176847314</v>
      </c>
      <c r="V459" s="2">
        <v>4422.6708852968404</v>
      </c>
      <c r="W459" s="2">
        <v>3837.70703125</v>
      </c>
      <c r="X459" s="4">
        <f t="shared" si="28"/>
        <v>1.004142321569629</v>
      </c>
      <c r="Y459" s="4">
        <f t="shared" si="29"/>
        <v>0.49939987142586512</v>
      </c>
      <c r="Z459" s="4">
        <f t="shared" si="30"/>
        <v>0.52004774030243694</v>
      </c>
      <c r="AA459" s="4">
        <f t="shared" si="31"/>
        <v>0.59931620138571517</v>
      </c>
    </row>
    <row r="460" spans="1:27" x14ac:dyDescent="0.3">
      <c r="A460" t="s">
        <v>296</v>
      </c>
      <c r="B460">
        <v>151676</v>
      </c>
      <c r="C460">
        <v>2016</v>
      </c>
      <c r="D460" t="s">
        <v>44</v>
      </c>
      <c r="E460" t="s">
        <v>45</v>
      </c>
      <c r="F460">
        <v>6</v>
      </c>
      <c r="G460" t="s">
        <v>99</v>
      </c>
      <c r="H460">
        <v>4</v>
      </c>
      <c r="I460" t="s">
        <v>23</v>
      </c>
      <c r="J460" t="s">
        <v>46</v>
      </c>
      <c r="K460" t="s">
        <v>27</v>
      </c>
      <c r="L460" t="s">
        <v>38</v>
      </c>
      <c r="M460" t="s">
        <v>78</v>
      </c>
      <c r="N460">
        <v>2.9</v>
      </c>
      <c r="O460" t="s">
        <v>27</v>
      </c>
      <c r="S460" s="3">
        <v>8200</v>
      </c>
      <c r="T460" s="2">
        <v>8150.17822265625</v>
      </c>
      <c r="U460" s="2">
        <v>10579.0210602488</v>
      </c>
      <c r="V460" s="2">
        <v>7600.808941466119</v>
      </c>
      <c r="W460" s="2">
        <v>8984.302734375</v>
      </c>
      <c r="X460" s="4">
        <f t="shared" si="28"/>
        <v>1.0061129678373477</v>
      </c>
      <c r="Y460" s="4">
        <f t="shared" si="29"/>
        <v>0.77511897871268154</v>
      </c>
      <c r="Z460" s="4">
        <f t="shared" si="30"/>
        <v>1.0788325378454129</v>
      </c>
      <c r="AA460" s="4">
        <f t="shared" si="31"/>
        <v>0.91270299348059969</v>
      </c>
    </row>
    <row r="461" spans="1:27" x14ac:dyDescent="0.3">
      <c r="A461" t="s">
        <v>296</v>
      </c>
      <c r="B461">
        <v>89578</v>
      </c>
      <c r="C461">
        <v>2016</v>
      </c>
      <c r="D461" t="s">
        <v>81</v>
      </c>
      <c r="E461" t="s">
        <v>207</v>
      </c>
      <c r="F461">
        <v>6</v>
      </c>
      <c r="G461" t="s">
        <v>36</v>
      </c>
      <c r="H461">
        <v>4</v>
      </c>
      <c r="I461" t="s">
        <v>23</v>
      </c>
      <c r="J461" t="s">
        <v>31</v>
      </c>
      <c r="L461" t="s">
        <v>26</v>
      </c>
      <c r="M461" t="s">
        <v>78</v>
      </c>
      <c r="N461">
        <v>1.5</v>
      </c>
      <c r="O461" t="s">
        <v>27</v>
      </c>
      <c r="S461" s="3">
        <v>5300</v>
      </c>
      <c r="T461" s="2">
        <v>9625.55859375</v>
      </c>
      <c r="U461" s="2">
        <v>10212.49443162171</v>
      </c>
      <c r="V461" s="2">
        <v>7165.3642859456631</v>
      </c>
      <c r="W461" s="2">
        <v>10065.1640625</v>
      </c>
      <c r="X461" s="4">
        <f t="shared" si="28"/>
        <v>0.55061739517552355</v>
      </c>
      <c r="Y461" s="4">
        <f t="shared" si="29"/>
        <v>0.5189721311954123</v>
      </c>
      <c r="Z461" s="4">
        <f t="shared" si="30"/>
        <v>0.73966930200542091</v>
      </c>
      <c r="AA461" s="4">
        <f t="shared" si="31"/>
        <v>0.52656866466253893</v>
      </c>
    </row>
    <row r="462" spans="1:27" x14ac:dyDescent="0.3">
      <c r="A462" t="s">
        <v>296</v>
      </c>
      <c r="B462">
        <v>87227</v>
      </c>
      <c r="C462">
        <v>2020</v>
      </c>
      <c r="D462" t="s">
        <v>81</v>
      </c>
      <c r="E462" t="s">
        <v>105</v>
      </c>
      <c r="F462">
        <v>6</v>
      </c>
      <c r="G462" t="s">
        <v>30</v>
      </c>
      <c r="H462">
        <v>4</v>
      </c>
      <c r="I462" t="s">
        <v>23</v>
      </c>
      <c r="J462" t="s">
        <v>106</v>
      </c>
      <c r="L462" t="s">
        <v>26</v>
      </c>
      <c r="M462" t="s">
        <v>33</v>
      </c>
      <c r="N462">
        <v>4</v>
      </c>
      <c r="O462" t="s">
        <v>27</v>
      </c>
      <c r="S462" s="3">
        <v>10500</v>
      </c>
      <c r="T462" s="2">
        <v>17210.1875</v>
      </c>
      <c r="U462" s="2">
        <v>18812.76078781292</v>
      </c>
      <c r="V462" s="2">
        <v>17340.09879627404</v>
      </c>
      <c r="W462" s="2">
        <v>19316.888671875</v>
      </c>
      <c r="X462" s="4">
        <f t="shared" si="28"/>
        <v>0.61010375395387184</v>
      </c>
      <c r="Y462" s="4">
        <f t="shared" si="29"/>
        <v>0.55813179779556843</v>
      </c>
      <c r="Z462" s="4">
        <f t="shared" si="30"/>
        <v>0.60553288209962164</v>
      </c>
      <c r="AA462" s="4">
        <f t="shared" si="31"/>
        <v>0.5435657976994912</v>
      </c>
    </row>
    <row r="463" spans="1:27" x14ac:dyDescent="0.3">
      <c r="A463" t="s">
        <v>296</v>
      </c>
      <c r="B463">
        <v>113909</v>
      </c>
      <c r="C463">
        <v>2019</v>
      </c>
      <c r="D463" t="s">
        <v>44</v>
      </c>
      <c r="E463" t="s">
        <v>45</v>
      </c>
      <c r="F463">
        <v>6</v>
      </c>
      <c r="G463" t="s">
        <v>47</v>
      </c>
      <c r="H463">
        <v>4</v>
      </c>
      <c r="I463" t="s">
        <v>23</v>
      </c>
      <c r="J463" t="s">
        <v>156</v>
      </c>
      <c r="K463" t="s">
        <v>27</v>
      </c>
      <c r="L463" t="s">
        <v>235</v>
      </c>
      <c r="M463">
        <v>4</v>
      </c>
      <c r="N463">
        <v>2</v>
      </c>
      <c r="O463" t="s">
        <v>27</v>
      </c>
      <c r="S463" s="3">
        <v>10400</v>
      </c>
      <c r="T463" s="2">
        <v>12686.5986328125</v>
      </c>
      <c r="U463" s="2">
        <v>10115.76198740043</v>
      </c>
      <c r="V463" s="2">
        <v>15288.62474945535</v>
      </c>
      <c r="W463" s="2">
        <v>11616.4248046875</v>
      </c>
      <c r="X463" s="4">
        <f t="shared" si="28"/>
        <v>0.81976267248666146</v>
      </c>
      <c r="Y463" s="4">
        <f t="shared" si="29"/>
        <v>1.028098527125648</v>
      </c>
      <c r="Z463" s="4">
        <f t="shared" si="30"/>
        <v>0.68024431042239397</v>
      </c>
      <c r="AA463" s="4">
        <f t="shared" si="31"/>
        <v>0.89528406328626653</v>
      </c>
    </row>
    <row r="464" spans="1:27" x14ac:dyDescent="0.3">
      <c r="A464" t="s">
        <v>296</v>
      </c>
      <c r="B464">
        <v>166986</v>
      </c>
      <c r="C464">
        <v>2015</v>
      </c>
      <c r="D464" t="s">
        <v>40</v>
      </c>
      <c r="E464" t="s">
        <v>136</v>
      </c>
      <c r="F464">
        <v>4</v>
      </c>
      <c r="G464" t="s">
        <v>30</v>
      </c>
      <c r="H464">
        <v>4</v>
      </c>
      <c r="I464" t="s">
        <v>23</v>
      </c>
      <c r="J464" t="s">
        <v>31</v>
      </c>
      <c r="K464" t="s">
        <v>27</v>
      </c>
      <c r="L464" t="s">
        <v>73</v>
      </c>
      <c r="M464" t="s">
        <v>33</v>
      </c>
      <c r="N464">
        <v>1.5</v>
      </c>
      <c r="O464" t="s">
        <v>27</v>
      </c>
      <c r="S464" s="3">
        <v>2000</v>
      </c>
      <c r="T464" s="2">
        <v>3757.322265625</v>
      </c>
      <c r="U464" s="2">
        <v>3307.1438939748882</v>
      </c>
      <c r="V464" s="2">
        <v>2070.6863359773311</v>
      </c>
      <c r="W464" s="2">
        <v>2836.420166015625</v>
      </c>
      <c r="X464" s="4">
        <f t="shared" si="28"/>
        <v>0.53229397390200073</v>
      </c>
      <c r="Y464" s="4">
        <f t="shared" si="29"/>
        <v>0.60475143027302047</v>
      </c>
      <c r="Z464" s="4">
        <f t="shared" si="30"/>
        <v>0.96586333007120162</v>
      </c>
      <c r="AA464" s="4">
        <f t="shared" si="31"/>
        <v>0.70511415197327387</v>
      </c>
    </row>
    <row r="465" spans="1:27" x14ac:dyDescent="0.3">
      <c r="A465" t="s">
        <v>296</v>
      </c>
      <c r="B465">
        <v>110527</v>
      </c>
      <c r="C465">
        <v>2020</v>
      </c>
      <c r="D465" t="s">
        <v>28</v>
      </c>
      <c r="E465" t="s">
        <v>137</v>
      </c>
      <c r="F465">
        <v>4</v>
      </c>
      <c r="G465" t="s">
        <v>47</v>
      </c>
      <c r="H465">
        <v>4</v>
      </c>
      <c r="I465" t="s">
        <v>23</v>
      </c>
      <c r="J465" t="s">
        <v>31</v>
      </c>
      <c r="K465" t="s">
        <v>27</v>
      </c>
      <c r="L465" t="s">
        <v>107</v>
      </c>
      <c r="M465" t="s">
        <v>33</v>
      </c>
      <c r="N465">
        <v>3.6</v>
      </c>
      <c r="O465" t="s">
        <v>27</v>
      </c>
      <c r="S465" s="3">
        <v>12000</v>
      </c>
      <c r="T465" s="2">
        <v>15142.58984375</v>
      </c>
      <c r="U465" s="2">
        <v>15627.279550561379</v>
      </c>
      <c r="V465" s="2">
        <v>15055.758517347829</v>
      </c>
      <c r="W465" s="2">
        <v>16976.69140625</v>
      </c>
      <c r="X465" s="4">
        <f t="shared" si="28"/>
        <v>0.79246681867652369</v>
      </c>
      <c r="Y465" s="4">
        <f t="shared" si="29"/>
        <v>0.76788797187472868</v>
      </c>
      <c r="Z465" s="4">
        <f t="shared" si="30"/>
        <v>0.79703722573480007</v>
      </c>
      <c r="AA465" s="4">
        <f t="shared" si="31"/>
        <v>0.70685151263232471</v>
      </c>
    </row>
    <row r="466" spans="1:27" x14ac:dyDescent="0.3">
      <c r="A466" t="s">
        <v>296</v>
      </c>
      <c r="B466">
        <v>100769</v>
      </c>
      <c r="C466">
        <v>2017</v>
      </c>
      <c r="D466" t="s">
        <v>340</v>
      </c>
      <c r="E466" t="s">
        <v>341</v>
      </c>
      <c r="F466">
        <v>4</v>
      </c>
      <c r="G466" t="s">
        <v>66</v>
      </c>
      <c r="H466">
        <v>4</v>
      </c>
      <c r="I466" t="s">
        <v>23</v>
      </c>
      <c r="J466" t="s">
        <v>24</v>
      </c>
      <c r="L466" t="s">
        <v>102</v>
      </c>
      <c r="M466" t="s">
        <v>33</v>
      </c>
      <c r="N466">
        <v>2.6</v>
      </c>
      <c r="O466" t="s">
        <v>27</v>
      </c>
      <c r="S466" s="3">
        <v>8500</v>
      </c>
      <c r="T466" s="2">
        <v>9614.2607421875</v>
      </c>
      <c r="U466" s="2">
        <v>10426.194515812491</v>
      </c>
      <c r="V466" s="2">
        <v>10422.9500734792</v>
      </c>
      <c r="W466" s="2">
        <v>10102.0869140625</v>
      </c>
      <c r="X466" s="4">
        <f t="shared" si="28"/>
        <v>0.88410333648450889</v>
      </c>
      <c r="Y466" s="4">
        <f t="shared" si="29"/>
        <v>0.81525430847360447</v>
      </c>
      <c r="Z466" s="4">
        <f t="shared" si="30"/>
        <v>0.81550807977368389</v>
      </c>
      <c r="AA466" s="4">
        <f t="shared" si="31"/>
        <v>0.84141030188204657</v>
      </c>
    </row>
    <row r="467" spans="1:27" x14ac:dyDescent="0.3">
      <c r="A467" t="s">
        <v>296</v>
      </c>
      <c r="B467">
        <v>72969</v>
      </c>
      <c r="C467">
        <v>2018</v>
      </c>
      <c r="D467" t="s">
        <v>28</v>
      </c>
      <c r="E467" t="s">
        <v>137</v>
      </c>
      <c r="F467">
        <v>4</v>
      </c>
      <c r="G467" t="s">
        <v>47</v>
      </c>
      <c r="H467">
        <v>4</v>
      </c>
      <c r="I467" t="s">
        <v>23</v>
      </c>
      <c r="J467" t="s">
        <v>31</v>
      </c>
      <c r="K467" t="s">
        <v>27</v>
      </c>
      <c r="L467" t="s">
        <v>107</v>
      </c>
      <c r="M467" t="s">
        <v>33</v>
      </c>
      <c r="N467">
        <v>4.4000000000000004</v>
      </c>
      <c r="O467" t="s">
        <v>27</v>
      </c>
      <c r="S467" s="3">
        <v>19500</v>
      </c>
      <c r="T467" s="2">
        <v>18502.3359375</v>
      </c>
      <c r="U467" s="2">
        <v>16516.561388609789</v>
      </c>
      <c r="V467" s="2">
        <v>17088.83650630834</v>
      </c>
      <c r="W467" s="2">
        <v>17966.21484375</v>
      </c>
      <c r="X467" s="4">
        <f t="shared" si="28"/>
        <v>1.0539209787277704</v>
      </c>
      <c r="Y467" s="4">
        <f t="shared" si="29"/>
        <v>1.1806331560906898</v>
      </c>
      <c r="Z467" s="4">
        <f t="shared" si="30"/>
        <v>1.1410958254999737</v>
      </c>
      <c r="AA467" s="4">
        <f t="shared" si="31"/>
        <v>1.0853705229281261</v>
      </c>
    </row>
    <row r="468" spans="1:27" x14ac:dyDescent="0.3">
      <c r="A468" t="s">
        <v>296</v>
      </c>
      <c r="B468">
        <v>129968</v>
      </c>
      <c r="C468">
        <v>2016</v>
      </c>
      <c r="D468" t="s">
        <v>85</v>
      </c>
      <c r="E468" t="s">
        <v>270</v>
      </c>
      <c r="F468">
        <v>4</v>
      </c>
      <c r="G468" t="s">
        <v>66</v>
      </c>
      <c r="H468">
        <v>4</v>
      </c>
      <c r="I468" t="s">
        <v>23</v>
      </c>
      <c r="J468" t="s">
        <v>24</v>
      </c>
      <c r="K468" t="s">
        <v>27</v>
      </c>
      <c r="L468" t="s">
        <v>127</v>
      </c>
      <c r="M468" t="s">
        <v>33</v>
      </c>
      <c r="N468">
        <v>2.4</v>
      </c>
      <c r="O468" t="s">
        <v>27</v>
      </c>
      <c r="S468" s="3">
        <v>6500</v>
      </c>
      <c r="T468" s="2">
        <v>4533.8662109375</v>
      </c>
      <c r="U468" s="2">
        <v>4499.5986335022144</v>
      </c>
      <c r="V468" s="2">
        <v>4322.5679949381356</v>
      </c>
      <c r="W468" s="2">
        <v>4684.67626953125</v>
      </c>
      <c r="X468" s="4">
        <f t="shared" si="28"/>
        <v>1.4336550082398547</v>
      </c>
      <c r="Y468" s="4">
        <f t="shared" si="29"/>
        <v>1.4445732896271228</v>
      </c>
      <c r="Z468" s="4">
        <f t="shared" si="30"/>
        <v>1.503735744032646</v>
      </c>
      <c r="AA468" s="4">
        <f t="shared" si="31"/>
        <v>1.38750249238682</v>
      </c>
    </row>
    <row r="469" spans="1:27" x14ac:dyDescent="0.3">
      <c r="A469" t="s">
        <v>296</v>
      </c>
      <c r="B469">
        <v>70357</v>
      </c>
      <c r="C469">
        <v>2018</v>
      </c>
      <c r="D469" t="s">
        <v>54</v>
      </c>
      <c r="E469" t="s">
        <v>180</v>
      </c>
      <c r="F469">
        <v>4</v>
      </c>
      <c r="G469" t="s">
        <v>59</v>
      </c>
      <c r="H469">
        <v>4</v>
      </c>
      <c r="I469" t="s">
        <v>23</v>
      </c>
      <c r="J469" t="s">
        <v>24</v>
      </c>
      <c r="L469" t="s">
        <v>60</v>
      </c>
      <c r="M469" t="s">
        <v>33</v>
      </c>
      <c r="N469">
        <v>3.6</v>
      </c>
      <c r="O469" t="s">
        <v>27</v>
      </c>
      <c r="S469" s="3">
        <v>8400</v>
      </c>
      <c r="T469" s="2">
        <v>14531.0439453125</v>
      </c>
      <c r="U469" s="2">
        <v>14991.57526129395</v>
      </c>
      <c r="V469" s="2">
        <v>13064.0109365675</v>
      </c>
      <c r="W469" s="2">
        <v>15539.4462890625</v>
      </c>
      <c r="X469" s="4">
        <f t="shared" si="28"/>
        <v>0.57807271326226473</v>
      </c>
      <c r="Y469" s="4">
        <f t="shared" si="29"/>
        <v>0.56031470032956232</v>
      </c>
      <c r="Z469" s="4">
        <f t="shared" si="30"/>
        <v>0.64298782669322041</v>
      </c>
      <c r="AA469" s="4">
        <f t="shared" si="31"/>
        <v>0.54055980140761983</v>
      </c>
    </row>
    <row r="470" spans="1:27" x14ac:dyDescent="0.3">
      <c r="A470" t="s">
        <v>296</v>
      </c>
      <c r="B470">
        <v>63002</v>
      </c>
      <c r="C470">
        <v>2022</v>
      </c>
      <c r="D470" t="s">
        <v>141</v>
      </c>
      <c r="E470" t="s">
        <v>215</v>
      </c>
      <c r="F470">
        <v>6</v>
      </c>
      <c r="G470" t="s">
        <v>22</v>
      </c>
      <c r="H470">
        <v>4</v>
      </c>
      <c r="I470" t="s">
        <v>23</v>
      </c>
      <c r="J470" t="s">
        <v>31</v>
      </c>
      <c r="K470" t="s">
        <v>27</v>
      </c>
      <c r="L470" t="s">
        <v>26</v>
      </c>
      <c r="M470" t="s">
        <v>78</v>
      </c>
      <c r="N470">
        <v>4.5</v>
      </c>
      <c r="O470" t="s">
        <v>27</v>
      </c>
      <c r="S470" s="3">
        <v>19500</v>
      </c>
      <c r="T470" s="2">
        <v>28862.931640625</v>
      </c>
      <c r="U470" s="2">
        <v>30027.51734101176</v>
      </c>
      <c r="V470" s="2">
        <v>22820.525726199139</v>
      </c>
      <c r="W470" s="2">
        <v>28410.3515625</v>
      </c>
      <c r="X470" s="4">
        <f t="shared" si="28"/>
        <v>0.6756070465327737</v>
      </c>
      <c r="Y470" s="4">
        <f t="shared" si="29"/>
        <v>0.64940433731318792</v>
      </c>
      <c r="Z470" s="4">
        <f t="shared" si="30"/>
        <v>0.85449389878047355</v>
      </c>
      <c r="AA470" s="4">
        <f t="shared" si="31"/>
        <v>0.68636954235155812</v>
      </c>
    </row>
    <row r="471" spans="1:27" x14ac:dyDescent="0.3">
      <c r="A471" t="s">
        <v>296</v>
      </c>
      <c r="B471">
        <v>107279</v>
      </c>
      <c r="C471">
        <v>2017</v>
      </c>
      <c r="D471" t="s">
        <v>28</v>
      </c>
      <c r="E471" t="s">
        <v>58</v>
      </c>
      <c r="F471">
        <v>4</v>
      </c>
      <c r="G471" t="s">
        <v>36</v>
      </c>
      <c r="H471">
        <v>4</v>
      </c>
      <c r="I471" t="s">
        <v>23</v>
      </c>
      <c r="J471" t="s">
        <v>24</v>
      </c>
      <c r="K471" t="s">
        <v>27</v>
      </c>
      <c r="L471" t="s">
        <v>107</v>
      </c>
      <c r="M471" t="s">
        <v>33</v>
      </c>
      <c r="N471">
        <v>2.9</v>
      </c>
      <c r="O471" t="s">
        <v>27</v>
      </c>
      <c r="S471" s="3">
        <v>11800</v>
      </c>
      <c r="T471" s="2">
        <v>12456.8828125</v>
      </c>
      <c r="U471" s="2">
        <v>11910.95525862441</v>
      </c>
      <c r="V471" s="2">
        <v>10990.82023572543</v>
      </c>
      <c r="W471" s="2">
        <v>12886.0830078125</v>
      </c>
      <c r="X471" s="4">
        <f t="shared" si="28"/>
        <v>0.94726748076646883</v>
      </c>
      <c r="Y471" s="4">
        <f t="shared" si="29"/>
        <v>0.99068460453295126</v>
      </c>
      <c r="Z471" s="4">
        <f t="shared" si="30"/>
        <v>1.0736232371123993</v>
      </c>
      <c r="AA471" s="4">
        <f t="shared" si="31"/>
        <v>0.91571659074723977</v>
      </c>
    </row>
    <row r="472" spans="1:27" x14ac:dyDescent="0.3">
      <c r="A472" t="s">
        <v>296</v>
      </c>
      <c r="B472">
        <v>139684</v>
      </c>
      <c r="C472">
        <v>2008</v>
      </c>
      <c r="D472" t="s">
        <v>44</v>
      </c>
      <c r="E472" t="s">
        <v>347</v>
      </c>
      <c r="F472">
        <v>6</v>
      </c>
      <c r="G472" t="s">
        <v>22</v>
      </c>
      <c r="H472">
        <v>4</v>
      </c>
      <c r="I472" t="s">
        <v>23</v>
      </c>
      <c r="J472" t="s">
        <v>24</v>
      </c>
      <c r="L472" t="s">
        <v>348</v>
      </c>
      <c r="M472" t="s">
        <v>78</v>
      </c>
      <c r="N472">
        <v>0</v>
      </c>
      <c r="O472" t="s">
        <v>27</v>
      </c>
      <c r="S472" s="3">
        <v>3500</v>
      </c>
      <c r="T472" s="2">
        <v>4485.03564453125</v>
      </c>
      <c r="U472" s="2">
        <v>4620.386393996213</v>
      </c>
      <c r="V472" s="2">
        <v>2618.252029306203</v>
      </c>
      <c r="W472" s="2">
        <v>3502.015380859375</v>
      </c>
      <c r="X472" s="4">
        <f t="shared" si="28"/>
        <v>0.78037283923655409</v>
      </c>
      <c r="Y472" s="4">
        <f t="shared" si="29"/>
        <v>0.75751240297736633</v>
      </c>
      <c r="Z472" s="4">
        <f t="shared" si="30"/>
        <v>1.3367697077379701</v>
      </c>
      <c r="AA472" s="4">
        <f t="shared" si="31"/>
        <v>0.99942450827874996</v>
      </c>
    </row>
    <row r="473" spans="1:27" x14ac:dyDescent="0.3">
      <c r="A473" t="s">
        <v>296</v>
      </c>
      <c r="B473">
        <v>110555</v>
      </c>
      <c r="C473">
        <v>2018</v>
      </c>
      <c r="D473" t="s">
        <v>321</v>
      </c>
      <c r="E473" t="s">
        <v>349</v>
      </c>
      <c r="F473">
        <v>6</v>
      </c>
      <c r="G473" t="s">
        <v>30</v>
      </c>
      <c r="H473">
        <v>4</v>
      </c>
      <c r="I473" t="s">
        <v>23</v>
      </c>
      <c r="J473" t="s">
        <v>24</v>
      </c>
      <c r="K473" t="s">
        <v>27</v>
      </c>
      <c r="L473" t="s">
        <v>218</v>
      </c>
      <c r="M473">
        <v>4</v>
      </c>
      <c r="N473">
        <v>0</v>
      </c>
      <c r="O473" t="s">
        <v>27</v>
      </c>
      <c r="S473" s="3">
        <v>18000</v>
      </c>
      <c r="T473" s="2">
        <v>22072.859375</v>
      </c>
      <c r="U473" s="2">
        <v>16902.780226857289</v>
      </c>
      <c r="V473" s="2">
        <v>22144.580533980541</v>
      </c>
      <c r="W473" s="2">
        <v>22593.849609375</v>
      </c>
      <c r="X473" s="4">
        <f t="shared" si="28"/>
        <v>0.81548111616146246</v>
      </c>
      <c r="Y473" s="4">
        <f t="shared" si="29"/>
        <v>1.0649135679702744</v>
      </c>
      <c r="Z473" s="4">
        <f t="shared" si="30"/>
        <v>0.81283996201143927</v>
      </c>
      <c r="AA473" s="4">
        <f t="shared" si="31"/>
        <v>0.79667698560457589</v>
      </c>
    </row>
    <row r="474" spans="1:27" x14ac:dyDescent="0.3">
      <c r="A474" t="s">
        <v>296</v>
      </c>
      <c r="B474">
        <v>236415</v>
      </c>
      <c r="C474">
        <v>2013</v>
      </c>
      <c r="D474" t="s">
        <v>28</v>
      </c>
      <c r="E474" t="s">
        <v>310</v>
      </c>
      <c r="F474">
        <v>6</v>
      </c>
      <c r="G474" t="s">
        <v>36</v>
      </c>
      <c r="H474">
        <v>4</v>
      </c>
      <c r="I474" t="s">
        <v>23</v>
      </c>
      <c r="J474" t="s">
        <v>31</v>
      </c>
      <c r="K474" t="s">
        <v>27</v>
      </c>
      <c r="L474" t="s">
        <v>53</v>
      </c>
      <c r="M474" t="s">
        <v>33</v>
      </c>
      <c r="N474">
        <v>0</v>
      </c>
      <c r="O474" t="s">
        <v>27</v>
      </c>
      <c r="S474" s="3">
        <v>1800</v>
      </c>
      <c r="T474" s="2">
        <v>3878.11181640625</v>
      </c>
      <c r="U474" s="2">
        <v>4345.5094836105818</v>
      </c>
      <c r="V474" s="2">
        <v>3026.6575048173891</v>
      </c>
      <c r="W474" s="2">
        <v>4098.99658203125</v>
      </c>
      <c r="X474" s="4">
        <f t="shared" si="28"/>
        <v>0.46414339895645795</v>
      </c>
      <c r="Y474" s="4">
        <f t="shared" si="29"/>
        <v>0.41422070456613574</v>
      </c>
      <c r="Z474" s="4">
        <f t="shared" si="30"/>
        <v>0.5947154566167544</v>
      </c>
      <c r="AA474" s="4">
        <f t="shared" si="31"/>
        <v>0.43913186165869245</v>
      </c>
    </row>
    <row r="475" spans="1:27" x14ac:dyDescent="0.3">
      <c r="A475" t="s">
        <v>296</v>
      </c>
      <c r="B475">
        <v>133211</v>
      </c>
      <c r="C475">
        <v>2019</v>
      </c>
      <c r="D475" t="s">
        <v>100</v>
      </c>
      <c r="E475" t="s">
        <v>192</v>
      </c>
      <c r="F475">
        <v>4</v>
      </c>
      <c r="G475" t="s">
        <v>22</v>
      </c>
      <c r="H475">
        <v>4</v>
      </c>
      <c r="I475" t="s">
        <v>23</v>
      </c>
      <c r="J475" t="s">
        <v>31</v>
      </c>
      <c r="L475" t="s">
        <v>32</v>
      </c>
      <c r="M475" t="s">
        <v>33</v>
      </c>
      <c r="N475">
        <v>3.5</v>
      </c>
      <c r="O475" t="s">
        <v>27</v>
      </c>
      <c r="S475" s="3">
        <v>3000</v>
      </c>
      <c r="T475" s="2">
        <v>4678.02099609375</v>
      </c>
      <c r="U475" s="2">
        <v>8227.0706095054793</v>
      </c>
      <c r="V475" s="2">
        <v>7011.7251206210121</v>
      </c>
      <c r="W475" s="2">
        <v>6929.58447265625</v>
      </c>
      <c r="X475" s="4">
        <f t="shared" si="28"/>
        <v>0.64129682241808361</v>
      </c>
      <c r="Y475" s="4">
        <f t="shared" si="29"/>
        <v>0.36464984225780539</v>
      </c>
      <c r="Z475" s="4">
        <f t="shared" si="30"/>
        <v>0.42785476446833343</v>
      </c>
      <c r="AA475" s="4">
        <f t="shared" si="31"/>
        <v>0.43292639145071843</v>
      </c>
    </row>
    <row r="476" spans="1:27" x14ac:dyDescent="0.3">
      <c r="A476" t="s">
        <v>296</v>
      </c>
      <c r="B476">
        <v>15422</v>
      </c>
      <c r="C476">
        <v>2024</v>
      </c>
      <c r="D476" t="s">
        <v>20</v>
      </c>
      <c r="E476" t="s">
        <v>21</v>
      </c>
      <c r="F476">
        <v>4</v>
      </c>
      <c r="G476" t="s">
        <v>36</v>
      </c>
      <c r="H476">
        <v>4</v>
      </c>
      <c r="I476" t="s">
        <v>23</v>
      </c>
      <c r="J476" t="s">
        <v>24</v>
      </c>
      <c r="K476" t="s">
        <v>27</v>
      </c>
      <c r="L476" t="s">
        <v>107</v>
      </c>
      <c r="M476" t="s">
        <v>23</v>
      </c>
      <c r="N476">
        <v>3.7</v>
      </c>
      <c r="O476" t="s">
        <v>27</v>
      </c>
      <c r="S476" s="3">
        <v>23200</v>
      </c>
      <c r="T476" s="2">
        <v>33719</v>
      </c>
      <c r="U476" s="2">
        <v>32381.845650413448</v>
      </c>
      <c r="V476" s="2">
        <v>28342.642212805378</v>
      </c>
      <c r="W476" s="2">
        <v>34824.29296875</v>
      </c>
      <c r="X476" s="4">
        <f t="shared" si="28"/>
        <v>0.68803938432337852</v>
      </c>
      <c r="Y476" s="4">
        <f t="shared" si="29"/>
        <v>0.71645082403460181</v>
      </c>
      <c r="Z476" s="4">
        <f t="shared" si="30"/>
        <v>0.81855459437434164</v>
      </c>
      <c r="AA476" s="4">
        <f t="shared" si="31"/>
        <v>0.66620160876830437</v>
      </c>
    </row>
    <row r="477" spans="1:27" x14ac:dyDescent="0.3">
      <c r="A477" t="s">
        <v>296</v>
      </c>
      <c r="B477">
        <v>164247</v>
      </c>
      <c r="C477">
        <v>2015</v>
      </c>
      <c r="D477" t="s">
        <v>54</v>
      </c>
      <c r="E477" t="s">
        <v>180</v>
      </c>
      <c r="F477">
        <v>4</v>
      </c>
      <c r="G477" t="s">
        <v>47</v>
      </c>
      <c r="H477">
        <v>4</v>
      </c>
      <c r="I477" t="s">
        <v>337</v>
      </c>
      <c r="J477" t="s">
        <v>24</v>
      </c>
      <c r="L477" t="s">
        <v>73</v>
      </c>
      <c r="M477">
        <v>4</v>
      </c>
      <c r="N477">
        <v>0</v>
      </c>
      <c r="O477" t="s">
        <v>27</v>
      </c>
      <c r="S477" s="3">
        <v>3000</v>
      </c>
      <c r="T477" s="2">
        <v>5103.2568359375</v>
      </c>
      <c r="U477" s="2">
        <v>5639.2456516829598</v>
      </c>
      <c r="V477" s="2">
        <v>5526.3010629562659</v>
      </c>
      <c r="W477" s="2">
        <v>6054.470703125</v>
      </c>
      <c r="X477" s="4">
        <f t="shared" si="28"/>
        <v>0.58785988956577395</v>
      </c>
      <c r="Y477" s="4">
        <f t="shared" si="29"/>
        <v>0.53198604659200988</v>
      </c>
      <c r="Z477" s="4">
        <f t="shared" si="30"/>
        <v>0.54285858946583809</v>
      </c>
      <c r="AA477" s="4">
        <f t="shared" si="31"/>
        <v>0.49550161312227631</v>
      </c>
    </row>
    <row r="478" spans="1:27" x14ac:dyDescent="0.3">
      <c r="A478" t="s">
        <v>296</v>
      </c>
      <c r="B478">
        <v>48533</v>
      </c>
      <c r="C478">
        <v>2022</v>
      </c>
      <c r="D478" t="s">
        <v>71</v>
      </c>
      <c r="E478" t="s">
        <v>350</v>
      </c>
      <c r="F478">
        <v>3</v>
      </c>
      <c r="G478" t="s">
        <v>66</v>
      </c>
      <c r="H478">
        <v>4</v>
      </c>
      <c r="I478" t="s">
        <v>23</v>
      </c>
      <c r="J478" t="s">
        <v>24</v>
      </c>
      <c r="K478" t="s">
        <v>27</v>
      </c>
      <c r="L478" t="s">
        <v>181</v>
      </c>
      <c r="M478" t="s">
        <v>33</v>
      </c>
      <c r="N478">
        <v>2.9</v>
      </c>
      <c r="O478" t="s">
        <v>27</v>
      </c>
      <c r="S478" s="3">
        <v>15000</v>
      </c>
      <c r="T478" s="2">
        <v>15898.0546875</v>
      </c>
      <c r="U478" s="2">
        <v>18320.278221928751</v>
      </c>
      <c r="V478" s="2">
        <v>18741.669065903789</v>
      </c>
      <c r="W478" s="2">
        <v>18357.40234375</v>
      </c>
      <c r="X478" s="4">
        <f t="shared" si="28"/>
        <v>0.94351166195156544</v>
      </c>
      <c r="Y478" s="4">
        <f t="shared" si="29"/>
        <v>0.81876485816932132</v>
      </c>
      <c r="Z478" s="4">
        <f t="shared" si="30"/>
        <v>0.80035561119201992</v>
      </c>
      <c r="AA478" s="4">
        <f t="shared" si="31"/>
        <v>0.81710907235777464</v>
      </c>
    </row>
    <row r="479" spans="1:27" x14ac:dyDescent="0.3">
      <c r="A479" t="s">
        <v>296</v>
      </c>
      <c r="B479">
        <v>110451</v>
      </c>
      <c r="C479">
        <v>2018</v>
      </c>
      <c r="D479" t="s">
        <v>28</v>
      </c>
      <c r="E479" t="s">
        <v>289</v>
      </c>
      <c r="F479">
        <v>4</v>
      </c>
      <c r="G479" t="s">
        <v>66</v>
      </c>
      <c r="H479">
        <v>4</v>
      </c>
      <c r="I479" t="s">
        <v>23</v>
      </c>
      <c r="J479" t="s">
        <v>31</v>
      </c>
      <c r="K479" t="s">
        <v>27</v>
      </c>
      <c r="L479" t="s">
        <v>127</v>
      </c>
      <c r="M479" t="s">
        <v>33</v>
      </c>
      <c r="N479">
        <v>2.8</v>
      </c>
      <c r="O479" t="s">
        <v>27</v>
      </c>
      <c r="S479" s="3">
        <v>10500</v>
      </c>
      <c r="T479" s="2">
        <v>10237.4501953125</v>
      </c>
      <c r="U479" s="2">
        <v>11045.974247687</v>
      </c>
      <c r="V479" s="2">
        <v>12412.30797302131</v>
      </c>
      <c r="W479" s="2">
        <v>10817.419921875</v>
      </c>
      <c r="X479" s="4">
        <f t="shared" si="28"/>
        <v>1.0256460153337514</v>
      </c>
      <c r="Y479" s="4">
        <f t="shared" si="29"/>
        <v>0.95057255834166687</v>
      </c>
      <c r="Z479" s="4">
        <f t="shared" si="30"/>
        <v>0.84593453714024869</v>
      </c>
      <c r="AA479" s="4">
        <f t="shared" si="31"/>
        <v>0.97065659610448207</v>
      </c>
    </row>
    <row r="480" spans="1:27" x14ac:dyDescent="0.3">
      <c r="A480" t="s">
        <v>296</v>
      </c>
      <c r="B480">
        <v>69177</v>
      </c>
      <c r="C480">
        <v>2019</v>
      </c>
      <c r="D480" t="s">
        <v>100</v>
      </c>
      <c r="E480" t="s">
        <v>300</v>
      </c>
      <c r="F480">
        <v>4</v>
      </c>
      <c r="G480" t="s">
        <v>59</v>
      </c>
      <c r="H480">
        <v>4</v>
      </c>
      <c r="I480" t="s">
        <v>23</v>
      </c>
      <c r="J480" t="s">
        <v>24</v>
      </c>
      <c r="K480" t="s">
        <v>27</v>
      </c>
      <c r="L480" t="s">
        <v>87</v>
      </c>
      <c r="M480" t="s">
        <v>33</v>
      </c>
      <c r="N480">
        <v>1.3</v>
      </c>
      <c r="O480" t="s">
        <v>27</v>
      </c>
      <c r="S480" s="3">
        <v>7000</v>
      </c>
      <c r="T480" s="2">
        <v>6728.41015625</v>
      </c>
      <c r="U480" s="2">
        <v>7216.3387164481992</v>
      </c>
      <c r="V480" s="2">
        <v>10969.46698750352</v>
      </c>
      <c r="W480" s="2">
        <v>7525.71435546875</v>
      </c>
      <c r="X480" s="4">
        <f t="shared" si="28"/>
        <v>1.0403646385168301</v>
      </c>
      <c r="Y480" s="4">
        <f t="shared" si="29"/>
        <v>0.97002098641031098</v>
      </c>
      <c r="Z480" s="4">
        <f t="shared" si="30"/>
        <v>0.63813492560526786</v>
      </c>
      <c r="AA480" s="4">
        <f t="shared" si="31"/>
        <v>0.93014425865277139</v>
      </c>
    </row>
    <row r="481" spans="1:27" x14ac:dyDescent="0.3">
      <c r="A481" t="s">
        <v>296</v>
      </c>
      <c r="B481">
        <v>124466</v>
      </c>
      <c r="C481">
        <v>2020</v>
      </c>
      <c r="D481" t="s">
        <v>54</v>
      </c>
      <c r="E481" t="s">
        <v>219</v>
      </c>
      <c r="F481">
        <v>6</v>
      </c>
      <c r="G481" t="s">
        <v>47</v>
      </c>
      <c r="H481">
        <v>4</v>
      </c>
      <c r="I481" t="s">
        <v>23</v>
      </c>
      <c r="J481" t="s">
        <v>24</v>
      </c>
      <c r="K481" t="s">
        <v>27</v>
      </c>
      <c r="L481" t="s">
        <v>26</v>
      </c>
      <c r="M481" t="s">
        <v>78</v>
      </c>
      <c r="N481">
        <v>3.3</v>
      </c>
      <c r="O481" t="s">
        <v>27</v>
      </c>
      <c r="S481" s="3">
        <v>10000</v>
      </c>
      <c r="T481" s="2">
        <v>16920.25</v>
      </c>
      <c r="U481" s="2">
        <v>13501.52998572447</v>
      </c>
      <c r="V481" s="2">
        <v>12890.057777219101</v>
      </c>
      <c r="W481" s="2">
        <v>15693.287109375</v>
      </c>
      <c r="X481" s="4">
        <f t="shared" si="28"/>
        <v>0.59100781607836761</v>
      </c>
      <c r="Y481" s="4">
        <f t="shared" si="29"/>
        <v>0.74065680041989823</v>
      </c>
      <c r="Z481" s="4">
        <f t="shared" si="30"/>
        <v>0.7757917127162326</v>
      </c>
      <c r="AA481" s="4">
        <f t="shared" si="31"/>
        <v>0.63721513092219595</v>
      </c>
    </row>
    <row r="482" spans="1:27" x14ac:dyDescent="0.3">
      <c r="A482" t="s">
        <v>296</v>
      </c>
      <c r="B482">
        <v>138287</v>
      </c>
      <c r="C482">
        <v>2018</v>
      </c>
      <c r="D482" t="s">
        <v>74</v>
      </c>
      <c r="E482" t="s">
        <v>217</v>
      </c>
      <c r="F482">
        <v>6</v>
      </c>
      <c r="G482" t="s">
        <v>47</v>
      </c>
      <c r="H482">
        <v>4</v>
      </c>
      <c r="I482" t="s">
        <v>23</v>
      </c>
      <c r="J482" t="s">
        <v>42</v>
      </c>
      <c r="K482" t="s">
        <v>27</v>
      </c>
      <c r="L482" t="s">
        <v>255</v>
      </c>
      <c r="M482">
        <v>4</v>
      </c>
      <c r="N482">
        <v>0</v>
      </c>
      <c r="O482" t="s">
        <v>27</v>
      </c>
      <c r="S482" s="3">
        <v>27000</v>
      </c>
      <c r="T482" s="2">
        <v>17977.82421875</v>
      </c>
      <c r="U482" s="2">
        <v>21192.233138465381</v>
      </c>
      <c r="V482" s="2">
        <v>27514.701693139701</v>
      </c>
      <c r="W482" s="2">
        <v>18754.76953125</v>
      </c>
      <c r="X482" s="4">
        <f t="shared" si="28"/>
        <v>1.5018502612702325</v>
      </c>
      <c r="Y482" s="4">
        <f t="shared" si="29"/>
        <v>1.2740516690047694</v>
      </c>
      <c r="Z482" s="4">
        <f t="shared" si="30"/>
        <v>0.98129357538090145</v>
      </c>
      <c r="AA482" s="4">
        <f t="shared" si="31"/>
        <v>1.4396337931538665</v>
      </c>
    </row>
    <row r="483" spans="1:27" x14ac:dyDescent="0.3">
      <c r="A483" t="s">
        <v>296</v>
      </c>
      <c r="B483">
        <v>101842</v>
      </c>
      <c r="C483">
        <v>2018</v>
      </c>
      <c r="D483" t="s">
        <v>44</v>
      </c>
      <c r="E483" t="s">
        <v>45</v>
      </c>
      <c r="F483">
        <v>6</v>
      </c>
      <c r="G483" t="s">
        <v>22</v>
      </c>
      <c r="H483">
        <v>4</v>
      </c>
      <c r="I483" t="s">
        <v>23</v>
      </c>
      <c r="J483" t="s">
        <v>46</v>
      </c>
      <c r="K483" t="s">
        <v>27</v>
      </c>
      <c r="L483" t="s">
        <v>38</v>
      </c>
      <c r="M483">
        <v>4</v>
      </c>
      <c r="N483">
        <v>0</v>
      </c>
      <c r="O483" t="s">
        <v>27</v>
      </c>
      <c r="S483" s="3">
        <v>29500</v>
      </c>
      <c r="T483" s="2">
        <v>18814.822265625</v>
      </c>
      <c r="U483" s="2">
        <v>17740.729646420099</v>
      </c>
      <c r="V483" s="2">
        <v>29240.040105038061</v>
      </c>
      <c r="W483" s="2">
        <v>16378.9755859375</v>
      </c>
      <c r="X483" s="4">
        <f t="shared" si="28"/>
        <v>1.5679127649213567</v>
      </c>
      <c r="Y483" s="4">
        <f t="shared" si="29"/>
        <v>1.6628402883053237</v>
      </c>
      <c r="Z483" s="4">
        <f t="shared" si="30"/>
        <v>1.0088905450891343</v>
      </c>
      <c r="AA483" s="4">
        <f t="shared" si="31"/>
        <v>1.8010894420849994</v>
      </c>
    </row>
    <row r="484" spans="1:27" x14ac:dyDescent="0.3">
      <c r="A484" t="s">
        <v>296</v>
      </c>
      <c r="B484">
        <v>37790</v>
      </c>
      <c r="C484">
        <v>2021</v>
      </c>
      <c r="D484" t="s">
        <v>85</v>
      </c>
      <c r="E484" t="s">
        <v>351</v>
      </c>
      <c r="F484">
        <v>4</v>
      </c>
      <c r="G484" t="s">
        <v>22</v>
      </c>
      <c r="H484">
        <v>4</v>
      </c>
      <c r="I484" t="s">
        <v>23</v>
      </c>
      <c r="J484" t="s">
        <v>24</v>
      </c>
      <c r="K484" t="s">
        <v>27</v>
      </c>
      <c r="L484" t="s">
        <v>87</v>
      </c>
      <c r="M484" t="s">
        <v>23</v>
      </c>
      <c r="N484">
        <v>0</v>
      </c>
      <c r="O484" t="s">
        <v>27</v>
      </c>
      <c r="S484" s="3">
        <v>11200</v>
      </c>
      <c r="T484" s="2">
        <v>22067.35546875</v>
      </c>
      <c r="U484" s="2">
        <v>22140.73530737506</v>
      </c>
      <c r="V484" s="2">
        <v>23018.725481708301</v>
      </c>
      <c r="W484" s="2">
        <v>23330.3515625</v>
      </c>
      <c r="X484" s="4">
        <f t="shared" si="28"/>
        <v>0.50753702752740504</v>
      </c>
      <c r="Y484" s="4">
        <f t="shared" si="29"/>
        <v>0.50585492507420426</v>
      </c>
      <c r="Z484" s="4">
        <f t="shared" si="30"/>
        <v>0.48656038792851569</v>
      </c>
      <c r="AA484" s="4">
        <f t="shared" si="31"/>
        <v>0.48006134712527437</v>
      </c>
    </row>
    <row r="485" spans="1:27" x14ac:dyDescent="0.3">
      <c r="A485" t="s">
        <v>296</v>
      </c>
      <c r="B485">
        <v>97467</v>
      </c>
      <c r="C485">
        <v>2019</v>
      </c>
      <c r="D485" t="s">
        <v>34</v>
      </c>
      <c r="E485" t="s">
        <v>173</v>
      </c>
      <c r="F485">
        <v>4</v>
      </c>
      <c r="G485" t="s">
        <v>36</v>
      </c>
      <c r="H485">
        <v>4</v>
      </c>
      <c r="I485" t="s">
        <v>23</v>
      </c>
      <c r="J485" t="s">
        <v>62</v>
      </c>
      <c r="L485" t="s">
        <v>128</v>
      </c>
      <c r="M485" t="s">
        <v>33</v>
      </c>
      <c r="N485">
        <v>0</v>
      </c>
      <c r="O485" t="s">
        <v>27</v>
      </c>
      <c r="S485" s="3">
        <v>17500</v>
      </c>
      <c r="T485" s="2">
        <v>12796.9921875</v>
      </c>
      <c r="U485" s="2">
        <v>12131.145828488579</v>
      </c>
      <c r="V485" s="2">
        <v>10169.03994065088</v>
      </c>
      <c r="W485" s="2">
        <v>13358.462890625</v>
      </c>
      <c r="X485" s="4">
        <f t="shared" si="28"/>
        <v>1.3675088445466006</v>
      </c>
      <c r="Y485" s="4">
        <f t="shared" si="29"/>
        <v>1.4425677712078355</v>
      </c>
      <c r="Z485" s="4">
        <f t="shared" si="30"/>
        <v>1.7209097517695355</v>
      </c>
      <c r="AA485" s="4">
        <f t="shared" si="31"/>
        <v>1.3100309626402855</v>
      </c>
    </row>
    <row r="486" spans="1:27" x14ac:dyDescent="0.3">
      <c r="A486" t="s">
        <v>296</v>
      </c>
      <c r="B486">
        <v>91204</v>
      </c>
      <c r="C486">
        <v>2018</v>
      </c>
      <c r="D486" t="s">
        <v>125</v>
      </c>
      <c r="E486" t="s">
        <v>126</v>
      </c>
      <c r="F486">
        <v>4</v>
      </c>
      <c r="G486" t="s">
        <v>30</v>
      </c>
      <c r="H486">
        <v>4</v>
      </c>
      <c r="I486" t="s">
        <v>23</v>
      </c>
      <c r="J486" t="s">
        <v>31</v>
      </c>
      <c r="K486" t="s">
        <v>27</v>
      </c>
      <c r="L486" t="s">
        <v>127</v>
      </c>
      <c r="M486" t="s">
        <v>33</v>
      </c>
      <c r="N486">
        <v>1.5</v>
      </c>
      <c r="O486" t="s">
        <v>199</v>
      </c>
      <c r="S486" s="3">
        <v>3600</v>
      </c>
      <c r="T486" s="2">
        <v>5552.88818359375</v>
      </c>
      <c r="U486" s="2">
        <v>5663.3272295890274</v>
      </c>
      <c r="V486" s="2">
        <v>3706.9460647497831</v>
      </c>
      <c r="W486" s="2">
        <v>5114.72900390625</v>
      </c>
      <c r="X486" s="4">
        <f t="shared" si="28"/>
        <v>0.64831127171556535</v>
      </c>
      <c r="Y486" s="4">
        <f t="shared" si="29"/>
        <v>0.63566872512525507</v>
      </c>
      <c r="Z486" s="4">
        <f t="shared" si="30"/>
        <v>0.97114981904733977</v>
      </c>
      <c r="AA486" s="4">
        <f t="shared" si="31"/>
        <v>0.70384960713472555</v>
      </c>
    </row>
    <row r="487" spans="1:27" x14ac:dyDescent="0.3">
      <c r="A487" t="s">
        <v>296</v>
      </c>
      <c r="B487">
        <v>241324</v>
      </c>
      <c r="C487">
        <v>2014</v>
      </c>
      <c r="D487" t="s">
        <v>40</v>
      </c>
      <c r="E487" t="s">
        <v>129</v>
      </c>
      <c r="F487">
        <v>8</v>
      </c>
      <c r="G487" t="s">
        <v>47</v>
      </c>
      <c r="H487">
        <v>4</v>
      </c>
      <c r="I487" t="s">
        <v>23</v>
      </c>
      <c r="J487" t="s">
        <v>42</v>
      </c>
      <c r="K487" t="s">
        <v>27</v>
      </c>
      <c r="L487" t="s">
        <v>130</v>
      </c>
      <c r="M487">
        <v>4</v>
      </c>
      <c r="N487">
        <v>0</v>
      </c>
      <c r="O487" t="s">
        <v>27</v>
      </c>
      <c r="S487" s="3">
        <v>12200</v>
      </c>
      <c r="T487" s="2">
        <v>9760.6162109375</v>
      </c>
      <c r="U487" s="2">
        <v>18723.8070780659</v>
      </c>
      <c r="V487" s="2">
        <v>9407.6738034371847</v>
      </c>
      <c r="W487" s="2">
        <v>11557.876953125</v>
      </c>
      <c r="X487" s="4">
        <f t="shared" si="28"/>
        <v>1.2499210845242525</v>
      </c>
      <c r="Y487" s="4">
        <f t="shared" si="29"/>
        <v>0.65157689080719872</v>
      </c>
      <c r="Z487" s="4">
        <f t="shared" si="30"/>
        <v>1.2968136709355942</v>
      </c>
      <c r="AA487" s="4">
        <f t="shared" si="31"/>
        <v>1.0555571797034389</v>
      </c>
    </row>
    <row r="488" spans="1:27" x14ac:dyDescent="0.3">
      <c r="A488" t="s">
        <v>296</v>
      </c>
      <c r="B488">
        <v>112538</v>
      </c>
      <c r="C488">
        <v>2011</v>
      </c>
      <c r="D488" t="s">
        <v>20</v>
      </c>
      <c r="E488" t="s">
        <v>21</v>
      </c>
      <c r="F488">
        <v>4</v>
      </c>
      <c r="G488" t="s">
        <v>47</v>
      </c>
      <c r="H488">
        <v>4</v>
      </c>
      <c r="I488" t="s">
        <v>23</v>
      </c>
      <c r="J488" t="s">
        <v>24</v>
      </c>
      <c r="L488" t="s">
        <v>60</v>
      </c>
      <c r="M488" t="s">
        <v>33</v>
      </c>
      <c r="N488">
        <v>0</v>
      </c>
      <c r="O488" t="s">
        <v>27</v>
      </c>
      <c r="S488" s="3">
        <v>2500</v>
      </c>
      <c r="T488" s="2">
        <v>6026.03955078125</v>
      </c>
      <c r="U488" s="2">
        <v>5841.2706289261623</v>
      </c>
      <c r="V488" s="2">
        <v>4821.8295006161916</v>
      </c>
      <c r="W488" s="2">
        <v>5549.7724609375</v>
      </c>
      <c r="X488" s="4">
        <f t="shared" si="28"/>
        <v>0.41486617851286517</v>
      </c>
      <c r="Y488" s="4">
        <f t="shared" si="29"/>
        <v>0.42798907272330761</v>
      </c>
      <c r="Z488" s="4">
        <f t="shared" si="30"/>
        <v>0.51847540434196604</v>
      </c>
      <c r="AA488" s="4">
        <f t="shared" si="31"/>
        <v>0.45046891878837236</v>
      </c>
    </row>
    <row r="489" spans="1:27" x14ac:dyDescent="0.3">
      <c r="A489" t="s">
        <v>296</v>
      </c>
      <c r="B489">
        <v>126328</v>
      </c>
      <c r="C489">
        <v>2017</v>
      </c>
      <c r="D489" t="s">
        <v>44</v>
      </c>
      <c r="E489" t="s">
        <v>352</v>
      </c>
      <c r="F489">
        <v>6</v>
      </c>
      <c r="G489" t="s">
        <v>47</v>
      </c>
      <c r="H489">
        <v>4</v>
      </c>
      <c r="I489" t="s">
        <v>23</v>
      </c>
      <c r="J489" t="s">
        <v>62</v>
      </c>
      <c r="K489" t="s">
        <v>27</v>
      </c>
      <c r="L489" t="s">
        <v>38</v>
      </c>
      <c r="M489" t="s">
        <v>78</v>
      </c>
      <c r="N489">
        <v>0</v>
      </c>
      <c r="O489" t="s">
        <v>27</v>
      </c>
      <c r="S489" s="3">
        <v>9250</v>
      </c>
      <c r="T489" s="2">
        <v>10651.7236328125</v>
      </c>
      <c r="U489" s="2">
        <v>10768.01107875102</v>
      </c>
      <c r="V489" s="2">
        <v>9043.8246099157295</v>
      </c>
      <c r="W489" s="2">
        <v>10201.1279296875</v>
      </c>
      <c r="X489" s="4">
        <f t="shared" si="28"/>
        <v>0.86840405542493537</v>
      </c>
      <c r="Y489" s="4">
        <f t="shared" si="29"/>
        <v>0.85902586209754406</v>
      </c>
      <c r="Z489" s="4">
        <f t="shared" si="30"/>
        <v>1.0227973671513064</v>
      </c>
      <c r="AA489" s="4">
        <f t="shared" si="31"/>
        <v>0.9067624740868595</v>
      </c>
    </row>
    <row r="490" spans="1:27" x14ac:dyDescent="0.3">
      <c r="A490" t="s">
        <v>296</v>
      </c>
      <c r="B490">
        <v>145748</v>
      </c>
      <c r="C490">
        <v>2010</v>
      </c>
      <c r="D490" t="s">
        <v>50</v>
      </c>
      <c r="E490" t="s">
        <v>51</v>
      </c>
      <c r="F490">
        <v>6</v>
      </c>
      <c r="G490" t="s">
        <v>47</v>
      </c>
      <c r="H490">
        <v>2</v>
      </c>
      <c r="I490" t="s">
        <v>23</v>
      </c>
      <c r="J490" t="s">
        <v>83</v>
      </c>
      <c r="K490" t="s">
        <v>27</v>
      </c>
      <c r="L490" t="s">
        <v>53</v>
      </c>
      <c r="M490" t="s">
        <v>78</v>
      </c>
      <c r="N490">
        <v>0</v>
      </c>
      <c r="O490" t="s">
        <v>27</v>
      </c>
      <c r="S490" s="3">
        <v>2200</v>
      </c>
      <c r="T490" s="2">
        <v>4088.58447265625</v>
      </c>
      <c r="U490" s="2">
        <v>3900.6433780374282</v>
      </c>
      <c r="V490" s="2">
        <v>3541.4521360327622</v>
      </c>
      <c r="W490" s="2">
        <v>3941.757080078125</v>
      </c>
      <c r="X490" s="4">
        <f t="shared" si="28"/>
        <v>0.53808353837696687</v>
      </c>
      <c r="Y490" s="4">
        <f t="shared" si="29"/>
        <v>0.56400952016969808</v>
      </c>
      <c r="Z490" s="4">
        <f t="shared" si="30"/>
        <v>0.62121409961070495</v>
      </c>
      <c r="AA490" s="4">
        <f t="shared" si="31"/>
        <v>0.55812673264898316</v>
      </c>
    </row>
    <row r="491" spans="1:27" x14ac:dyDescent="0.3">
      <c r="A491" t="s">
        <v>296</v>
      </c>
      <c r="B491">
        <v>84647</v>
      </c>
      <c r="C491">
        <v>2018</v>
      </c>
      <c r="D491" t="s">
        <v>100</v>
      </c>
      <c r="E491" t="s">
        <v>192</v>
      </c>
      <c r="F491">
        <v>4</v>
      </c>
      <c r="G491" t="s">
        <v>47</v>
      </c>
      <c r="H491">
        <v>4</v>
      </c>
      <c r="I491" t="s">
        <v>23</v>
      </c>
      <c r="J491" t="s">
        <v>31</v>
      </c>
      <c r="K491" t="s">
        <v>27</v>
      </c>
      <c r="L491" t="s">
        <v>32</v>
      </c>
      <c r="M491" t="s">
        <v>33</v>
      </c>
      <c r="N491">
        <v>0</v>
      </c>
      <c r="O491" t="s">
        <v>27</v>
      </c>
      <c r="S491" s="3">
        <v>5000</v>
      </c>
      <c r="T491" s="2">
        <v>7056.841796875</v>
      </c>
      <c r="U491" s="2">
        <v>7980.9291257229816</v>
      </c>
      <c r="V491" s="2">
        <v>9819.7761716424648</v>
      </c>
      <c r="W491" s="2">
        <v>7994.8681640625</v>
      </c>
      <c r="X491" s="4">
        <f t="shared" si="28"/>
        <v>0.70853225053368252</v>
      </c>
      <c r="Y491" s="4">
        <f t="shared" si="29"/>
        <v>0.62649347228065466</v>
      </c>
      <c r="Z491" s="4">
        <f t="shared" si="30"/>
        <v>0.50917657516868797</v>
      </c>
      <c r="AA491" s="4">
        <f t="shared" si="31"/>
        <v>0.62540118203266382</v>
      </c>
    </row>
    <row r="492" spans="1:27" x14ac:dyDescent="0.3">
      <c r="A492" t="s">
        <v>296</v>
      </c>
      <c r="B492">
        <v>246972</v>
      </c>
      <c r="C492">
        <v>2006</v>
      </c>
      <c r="D492" t="s">
        <v>40</v>
      </c>
      <c r="E492" t="s">
        <v>172</v>
      </c>
      <c r="F492">
        <v>6</v>
      </c>
      <c r="G492" t="s">
        <v>59</v>
      </c>
      <c r="H492">
        <v>4</v>
      </c>
      <c r="I492" t="s">
        <v>23</v>
      </c>
      <c r="J492" t="s">
        <v>31</v>
      </c>
      <c r="K492" t="s">
        <v>27</v>
      </c>
      <c r="L492" t="s">
        <v>53</v>
      </c>
      <c r="M492" t="s">
        <v>33</v>
      </c>
      <c r="N492">
        <v>0</v>
      </c>
      <c r="O492" t="s">
        <v>27</v>
      </c>
      <c r="S492" s="3">
        <v>700</v>
      </c>
      <c r="T492" s="2">
        <v>1661.425659179688</v>
      </c>
      <c r="U492" s="2">
        <v>1285.4349462728819</v>
      </c>
      <c r="V492" s="2">
        <v>1333.548548055893</v>
      </c>
      <c r="W492" s="2">
        <v>1517.908569335938</v>
      </c>
      <c r="X492" s="4">
        <f t="shared" si="28"/>
        <v>0.42132490017375673</v>
      </c>
      <c r="Y492" s="4">
        <f t="shared" si="29"/>
        <v>0.54456275833300605</v>
      </c>
      <c r="Z492" s="4">
        <f t="shared" si="30"/>
        <v>0.52491527287888506</v>
      </c>
      <c r="AA492" s="4">
        <f t="shared" si="31"/>
        <v>0.4611608460094796</v>
      </c>
    </row>
    <row r="493" spans="1:27" x14ac:dyDescent="0.3">
      <c r="A493" t="s">
        <v>296</v>
      </c>
      <c r="B493">
        <v>76314</v>
      </c>
      <c r="C493">
        <v>2021</v>
      </c>
      <c r="D493" t="s">
        <v>40</v>
      </c>
      <c r="E493" t="s">
        <v>146</v>
      </c>
      <c r="F493">
        <v>8</v>
      </c>
      <c r="G493" t="s">
        <v>22</v>
      </c>
      <c r="H493">
        <v>4</v>
      </c>
      <c r="I493" t="s">
        <v>23</v>
      </c>
      <c r="J493" t="s">
        <v>24</v>
      </c>
      <c r="K493" t="s">
        <v>27</v>
      </c>
      <c r="L493" t="s">
        <v>43</v>
      </c>
      <c r="M493">
        <v>4</v>
      </c>
      <c r="N493">
        <v>0</v>
      </c>
      <c r="O493" t="s">
        <v>27</v>
      </c>
      <c r="S493" s="3">
        <v>41250</v>
      </c>
      <c r="T493" s="2">
        <v>50559.83203125</v>
      </c>
      <c r="U493" s="2">
        <v>54221.346423564559</v>
      </c>
      <c r="V493" s="2">
        <v>42322.913972007897</v>
      </c>
      <c r="W493" s="2">
        <v>51034.50390625</v>
      </c>
      <c r="X493" s="4">
        <f t="shared" si="28"/>
        <v>0.81586505221188665</v>
      </c>
      <c r="Y493" s="4">
        <f t="shared" si="29"/>
        <v>0.76077048470476161</v>
      </c>
      <c r="Z493" s="4">
        <f t="shared" si="30"/>
        <v>0.97464933599048698</v>
      </c>
      <c r="AA493" s="4">
        <f t="shared" si="31"/>
        <v>0.80827669209395936</v>
      </c>
    </row>
    <row r="494" spans="1:27" x14ac:dyDescent="0.3">
      <c r="A494" t="s">
        <v>296</v>
      </c>
      <c r="B494">
        <v>104984</v>
      </c>
      <c r="C494">
        <v>2017</v>
      </c>
      <c r="D494" t="s">
        <v>226</v>
      </c>
      <c r="E494" t="s">
        <v>353</v>
      </c>
      <c r="F494">
        <v>4</v>
      </c>
      <c r="G494" t="s">
        <v>36</v>
      </c>
      <c r="H494">
        <v>4</v>
      </c>
      <c r="I494" t="s">
        <v>23</v>
      </c>
      <c r="J494" t="s">
        <v>31</v>
      </c>
      <c r="L494" t="s">
        <v>127</v>
      </c>
      <c r="M494" t="s">
        <v>33</v>
      </c>
      <c r="N494">
        <v>0</v>
      </c>
      <c r="O494" t="s">
        <v>27</v>
      </c>
      <c r="S494" s="3">
        <v>8000</v>
      </c>
      <c r="T494" s="2">
        <v>6336.52294921875</v>
      </c>
      <c r="U494" s="2">
        <v>8965.4029457781253</v>
      </c>
      <c r="V494" s="2">
        <v>10031.40915895153</v>
      </c>
      <c r="W494" s="2">
        <v>10230.1865234375</v>
      </c>
      <c r="X494" s="4">
        <f t="shared" si="28"/>
        <v>1.2625220588818897</v>
      </c>
      <c r="Y494" s="4">
        <f t="shared" si="29"/>
        <v>0.89231906790840443</v>
      </c>
      <c r="Z494" s="4">
        <f t="shared" si="30"/>
        <v>0.79749513485462786</v>
      </c>
      <c r="AA494" s="4">
        <f t="shared" si="31"/>
        <v>0.78199942705559555</v>
      </c>
    </row>
    <row r="495" spans="1:27" x14ac:dyDescent="0.3">
      <c r="A495" t="s">
        <v>296</v>
      </c>
      <c r="B495">
        <v>182559</v>
      </c>
      <c r="C495">
        <v>2011</v>
      </c>
      <c r="D495" t="s">
        <v>187</v>
      </c>
      <c r="E495" t="s">
        <v>188</v>
      </c>
      <c r="F495">
        <v>4</v>
      </c>
      <c r="G495" t="s">
        <v>47</v>
      </c>
      <c r="H495">
        <v>4</v>
      </c>
      <c r="I495" t="s">
        <v>23</v>
      </c>
      <c r="J495" t="s">
        <v>24</v>
      </c>
      <c r="K495" t="s">
        <v>27</v>
      </c>
      <c r="L495" t="s">
        <v>102</v>
      </c>
      <c r="M495" t="s">
        <v>23</v>
      </c>
      <c r="N495">
        <v>0</v>
      </c>
      <c r="O495" t="s">
        <v>27</v>
      </c>
      <c r="S495" s="3">
        <v>800</v>
      </c>
      <c r="T495" s="2">
        <v>2911.41357421875</v>
      </c>
      <c r="U495" s="2">
        <v>2573.171093890855</v>
      </c>
      <c r="V495" s="2">
        <v>1988.749423441159</v>
      </c>
      <c r="W495" s="2">
        <v>2605.943115234375</v>
      </c>
      <c r="X495" s="4">
        <f t="shared" si="28"/>
        <v>0.27478061072607052</v>
      </c>
      <c r="Y495" s="4">
        <f t="shared" si="29"/>
        <v>0.31090043017323482</v>
      </c>
      <c r="Z495" s="4">
        <f t="shared" si="30"/>
        <v>0.40226284446421084</v>
      </c>
      <c r="AA495" s="4">
        <f t="shared" si="31"/>
        <v>0.30699058445412347</v>
      </c>
    </row>
    <row r="496" spans="1:27" x14ac:dyDescent="0.3">
      <c r="A496" t="s">
        <v>296</v>
      </c>
      <c r="B496">
        <v>7563</v>
      </c>
      <c r="C496">
        <v>2025</v>
      </c>
      <c r="D496" t="s">
        <v>100</v>
      </c>
      <c r="E496" t="s">
        <v>101</v>
      </c>
      <c r="F496">
        <v>4</v>
      </c>
      <c r="G496" t="s">
        <v>36</v>
      </c>
      <c r="H496">
        <v>4</v>
      </c>
      <c r="I496" t="s">
        <v>23</v>
      </c>
      <c r="J496" t="s">
        <v>31</v>
      </c>
      <c r="K496" t="s">
        <v>27</v>
      </c>
      <c r="L496" t="s">
        <v>102</v>
      </c>
      <c r="M496" t="s">
        <v>33</v>
      </c>
      <c r="N496">
        <v>0</v>
      </c>
      <c r="O496" t="s">
        <v>27</v>
      </c>
      <c r="S496" s="3">
        <v>16750</v>
      </c>
      <c r="T496" s="2">
        <v>20124.19921875</v>
      </c>
      <c r="U496" s="2">
        <v>25507.70934823262</v>
      </c>
      <c r="V496" s="2">
        <v>24381.717993837268</v>
      </c>
      <c r="W496" s="2">
        <v>22959.37109375</v>
      </c>
      <c r="X496" s="4">
        <f t="shared" si="28"/>
        <v>0.83233125541680131</v>
      </c>
      <c r="Y496" s="4">
        <f t="shared" si="29"/>
        <v>0.65666421752451776</v>
      </c>
      <c r="Z496" s="4">
        <f t="shared" si="30"/>
        <v>0.68699014582293738</v>
      </c>
      <c r="AA496" s="4">
        <f t="shared" si="31"/>
        <v>0.72954960010031311</v>
      </c>
    </row>
    <row r="497" spans="1:27" x14ac:dyDescent="0.3">
      <c r="A497" t="s">
        <v>296</v>
      </c>
      <c r="B497">
        <v>197377</v>
      </c>
      <c r="C497">
        <v>2013</v>
      </c>
      <c r="D497" t="s">
        <v>34</v>
      </c>
      <c r="E497" t="s">
        <v>262</v>
      </c>
      <c r="F497">
        <v>8</v>
      </c>
      <c r="G497" t="s">
        <v>22</v>
      </c>
      <c r="H497">
        <v>4</v>
      </c>
      <c r="I497" t="s">
        <v>23</v>
      </c>
      <c r="J497" t="s">
        <v>46</v>
      </c>
      <c r="K497" t="s">
        <v>27</v>
      </c>
      <c r="L497" t="s">
        <v>354</v>
      </c>
      <c r="M497">
        <v>4</v>
      </c>
      <c r="N497">
        <v>0</v>
      </c>
      <c r="O497" t="s">
        <v>27</v>
      </c>
      <c r="S497" s="3">
        <v>12250</v>
      </c>
      <c r="T497" s="2">
        <v>9210.462890625</v>
      </c>
      <c r="U497" s="2">
        <v>8450.8977455847125</v>
      </c>
      <c r="V497" s="2">
        <v>9896.2106659971596</v>
      </c>
      <c r="W497" s="2">
        <v>8656.6083984375</v>
      </c>
      <c r="X497" s="4">
        <f t="shared" si="28"/>
        <v>1.3300091586568179</v>
      </c>
      <c r="Y497" s="4">
        <f t="shared" si="29"/>
        <v>1.4495501387885306</v>
      </c>
      <c r="Z497" s="4">
        <f t="shared" si="30"/>
        <v>1.2378475371477622</v>
      </c>
      <c r="AA497" s="4">
        <f t="shared" si="31"/>
        <v>1.4151038647204024</v>
      </c>
    </row>
    <row r="498" spans="1:27" x14ac:dyDescent="0.3">
      <c r="A498" t="s">
        <v>296</v>
      </c>
      <c r="B498">
        <v>97445</v>
      </c>
      <c r="C498">
        <v>2012</v>
      </c>
      <c r="D498" t="s">
        <v>28</v>
      </c>
      <c r="E498" t="s">
        <v>355</v>
      </c>
      <c r="F498">
        <v>4</v>
      </c>
      <c r="G498" t="s">
        <v>30</v>
      </c>
      <c r="H498">
        <v>2</v>
      </c>
      <c r="I498" t="s">
        <v>23</v>
      </c>
      <c r="J498" t="s">
        <v>83</v>
      </c>
      <c r="K498" t="s">
        <v>27</v>
      </c>
      <c r="L498" t="s">
        <v>32</v>
      </c>
      <c r="M498" t="s">
        <v>33</v>
      </c>
      <c r="N498">
        <v>0</v>
      </c>
      <c r="O498" t="s">
        <v>27</v>
      </c>
      <c r="S498" s="3">
        <v>7000</v>
      </c>
      <c r="T498" s="2">
        <v>8365.529296875</v>
      </c>
      <c r="U498" s="2">
        <v>6220.0505760801607</v>
      </c>
      <c r="V498" s="2">
        <v>6481.1483820646063</v>
      </c>
      <c r="W498" s="2">
        <v>8107.03515625</v>
      </c>
      <c r="X498" s="4">
        <f t="shared" si="28"/>
        <v>0.83676713709136097</v>
      </c>
      <c r="Y498" s="4">
        <f t="shared" si="29"/>
        <v>1.1253927784637658</v>
      </c>
      <c r="Z498" s="4">
        <f t="shared" si="30"/>
        <v>1.0800555067326063</v>
      </c>
      <c r="AA498" s="4">
        <f t="shared" si="31"/>
        <v>0.86344759398304227</v>
      </c>
    </row>
    <row r="499" spans="1:27" x14ac:dyDescent="0.3">
      <c r="A499" t="s">
        <v>296</v>
      </c>
      <c r="B499">
        <v>111957</v>
      </c>
      <c r="C499">
        <v>2013</v>
      </c>
      <c r="D499" t="s">
        <v>100</v>
      </c>
      <c r="E499" t="s">
        <v>138</v>
      </c>
      <c r="F499">
        <v>4</v>
      </c>
      <c r="G499" t="s">
        <v>47</v>
      </c>
      <c r="H499">
        <v>4</v>
      </c>
      <c r="I499" t="s">
        <v>23</v>
      </c>
      <c r="J499" t="s">
        <v>24</v>
      </c>
      <c r="K499" t="s">
        <v>27</v>
      </c>
      <c r="L499" t="s">
        <v>102</v>
      </c>
      <c r="M499" t="s">
        <v>23</v>
      </c>
      <c r="N499">
        <v>0</v>
      </c>
      <c r="O499" t="s">
        <v>27</v>
      </c>
      <c r="S499" s="3">
        <v>3000</v>
      </c>
      <c r="T499" s="2">
        <v>4425.9208984375</v>
      </c>
      <c r="U499" s="2">
        <v>4845.8974930147488</v>
      </c>
      <c r="V499" s="2">
        <v>6293.4051295429617</v>
      </c>
      <c r="W499" s="2">
        <v>4845.8544921875</v>
      </c>
      <c r="X499" s="4">
        <f t="shared" si="28"/>
        <v>0.67782503773601144</v>
      </c>
      <c r="Y499" s="4">
        <f t="shared" si="29"/>
        <v>0.6190803673260592</v>
      </c>
      <c r="Z499" s="4">
        <f t="shared" si="30"/>
        <v>0.47668947703957293</v>
      </c>
      <c r="AA499" s="4">
        <f t="shared" si="31"/>
        <v>0.61908586088100837</v>
      </c>
    </row>
    <row r="500" spans="1:27" x14ac:dyDescent="0.3">
      <c r="A500" t="s">
        <v>296</v>
      </c>
      <c r="B500">
        <v>39572</v>
      </c>
      <c r="C500">
        <v>2023</v>
      </c>
      <c r="D500" t="s">
        <v>44</v>
      </c>
      <c r="E500" t="s">
        <v>182</v>
      </c>
      <c r="F500">
        <v>8</v>
      </c>
      <c r="G500" t="s">
        <v>36</v>
      </c>
      <c r="H500">
        <v>2</v>
      </c>
      <c r="I500" t="s">
        <v>23</v>
      </c>
      <c r="J500" t="s">
        <v>183</v>
      </c>
      <c r="K500" t="s">
        <v>27</v>
      </c>
      <c r="L500" t="s">
        <v>48</v>
      </c>
      <c r="M500" t="s">
        <v>78</v>
      </c>
      <c r="N500">
        <v>1.7</v>
      </c>
      <c r="O500" t="s">
        <v>27</v>
      </c>
      <c r="S500" s="3">
        <v>23500</v>
      </c>
      <c r="T500" s="2">
        <v>47797.09375</v>
      </c>
      <c r="U500" s="2">
        <v>51027.399939596507</v>
      </c>
      <c r="V500" s="2">
        <v>33531.643122022193</v>
      </c>
      <c r="W500" s="2">
        <v>64098.5</v>
      </c>
      <c r="X500" s="4">
        <f t="shared" si="28"/>
        <v>0.49166169229692969</v>
      </c>
      <c r="Y500" s="4">
        <f t="shared" si="29"/>
        <v>0.46053688857002389</v>
      </c>
      <c r="Z500" s="4">
        <f t="shared" si="30"/>
        <v>0.70083055323245325</v>
      </c>
      <c r="AA500" s="4">
        <f t="shared" si="31"/>
        <v>0.36662324391366413</v>
      </c>
    </row>
    <row r="501" spans="1:27" x14ac:dyDescent="0.3">
      <c r="A501" t="s">
        <v>296</v>
      </c>
      <c r="B501">
        <v>90100</v>
      </c>
      <c r="C501">
        <v>2018</v>
      </c>
      <c r="D501" t="s">
        <v>103</v>
      </c>
      <c r="E501" t="s">
        <v>356</v>
      </c>
      <c r="F501">
        <v>6</v>
      </c>
      <c r="G501" t="s">
        <v>47</v>
      </c>
      <c r="H501">
        <v>4</v>
      </c>
      <c r="I501" t="s">
        <v>23</v>
      </c>
      <c r="J501" t="s">
        <v>24</v>
      </c>
      <c r="K501" t="s">
        <v>27</v>
      </c>
      <c r="L501" t="s">
        <v>53</v>
      </c>
      <c r="M501" t="s">
        <v>33</v>
      </c>
      <c r="N501">
        <v>2.9</v>
      </c>
      <c r="O501" t="s">
        <v>27</v>
      </c>
      <c r="S501" s="3">
        <v>8600</v>
      </c>
      <c r="T501" s="2">
        <v>11097.1025390625</v>
      </c>
      <c r="U501" s="2">
        <v>14024.907070129129</v>
      </c>
      <c r="V501" s="2">
        <v>10816.872457684931</v>
      </c>
      <c r="W501" s="2">
        <v>12005.7490234375</v>
      </c>
      <c r="X501" s="4">
        <f t="shared" si="28"/>
        <v>0.77497706898962659</v>
      </c>
      <c r="Y501" s="4">
        <f t="shared" si="29"/>
        <v>0.61319479387615072</v>
      </c>
      <c r="Z501" s="4">
        <f t="shared" si="30"/>
        <v>0.79505421124662179</v>
      </c>
      <c r="AA501" s="4">
        <f t="shared" si="31"/>
        <v>0.71632348662388068</v>
      </c>
    </row>
    <row r="502" spans="1:27" x14ac:dyDescent="0.3">
      <c r="A502" t="s">
        <v>296</v>
      </c>
      <c r="B502">
        <v>38975</v>
      </c>
      <c r="C502">
        <v>2021</v>
      </c>
      <c r="D502" t="s">
        <v>44</v>
      </c>
      <c r="E502" t="s">
        <v>45</v>
      </c>
      <c r="F502">
        <v>8</v>
      </c>
      <c r="G502" t="s">
        <v>30</v>
      </c>
      <c r="H502">
        <v>4</v>
      </c>
      <c r="I502" t="s">
        <v>23</v>
      </c>
      <c r="J502" t="s">
        <v>46</v>
      </c>
      <c r="K502" t="s">
        <v>27</v>
      </c>
      <c r="L502" t="s">
        <v>48</v>
      </c>
      <c r="M502">
        <v>4</v>
      </c>
      <c r="N502">
        <v>4.7</v>
      </c>
      <c r="O502" t="s">
        <v>27</v>
      </c>
      <c r="S502" s="3">
        <v>32200</v>
      </c>
      <c r="T502" s="2">
        <v>58969.52734375</v>
      </c>
      <c r="U502" s="2">
        <v>50809.391908732527</v>
      </c>
      <c r="V502" s="2">
        <v>43792.823482230808</v>
      </c>
      <c r="W502" s="2">
        <v>50244.7265625</v>
      </c>
      <c r="X502" s="4">
        <f t="shared" si="28"/>
        <v>0.54604473616173188</v>
      </c>
      <c r="Y502" s="4">
        <f t="shared" si="29"/>
        <v>0.63374110160263186</v>
      </c>
      <c r="Z502" s="4">
        <f t="shared" si="30"/>
        <v>0.73528029114325855</v>
      </c>
      <c r="AA502" s="4">
        <f t="shared" si="31"/>
        <v>0.64086327467512527</v>
      </c>
    </row>
    <row r="503" spans="1:27" x14ac:dyDescent="0.3">
      <c r="A503" t="s">
        <v>296</v>
      </c>
      <c r="B503">
        <v>77328</v>
      </c>
      <c r="C503">
        <v>2018</v>
      </c>
      <c r="D503" t="s">
        <v>85</v>
      </c>
      <c r="E503" t="s">
        <v>357</v>
      </c>
      <c r="F503">
        <v>4</v>
      </c>
      <c r="G503" t="s">
        <v>22</v>
      </c>
      <c r="H503">
        <v>4</v>
      </c>
      <c r="I503" t="s">
        <v>23</v>
      </c>
      <c r="J503" t="s">
        <v>31</v>
      </c>
      <c r="L503" t="s">
        <v>87</v>
      </c>
      <c r="M503" t="s">
        <v>33</v>
      </c>
      <c r="N503">
        <v>1.3</v>
      </c>
      <c r="O503" t="s">
        <v>27</v>
      </c>
      <c r="S503" s="3">
        <v>3400</v>
      </c>
      <c r="T503" s="2">
        <v>9845.18359375</v>
      </c>
      <c r="U503" s="2">
        <v>8559.3611572791706</v>
      </c>
      <c r="V503" s="2">
        <v>6765.8259743758799</v>
      </c>
      <c r="W503" s="2">
        <v>9375.794921875</v>
      </c>
      <c r="X503" s="4">
        <f t="shared" si="28"/>
        <v>0.34534653088220885</v>
      </c>
      <c r="Y503" s="4">
        <f t="shared" si="29"/>
        <v>0.39722590711206585</v>
      </c>
      <c r="Z503" s="4">
        <f t="shared" si="30"/>
        <v>0.50252548807444553</v>
      </c>
      <c r="AA503" s="4">
        <f t="shared" si="31"/>
        <v>0.36263591816277246</v>
      </c>
    </row>
    <row r="504" spans="1:27" x14ac:dyDescent="0.3">
      <c r="A504" t="s">
        <v>296</v>
      </c>
      <c r="B504">
        <v>94513</v>
      </c>
      <c r="C504">
        <v>2018</v>
      </c>
      <c r="D504" t="s">
        <v>54</v>
      </c>
      <c r="E504" t="s">
        <v>219</v>
      </c>
      <c r="F504">
        <v>6</v>
      </c>
      <c r="G504" t="s">
        <v>22</v>
      </c>
      <c r="H504">
        <v>4</v>
      </c>
      <c r="I504" t="s">
        <v>23</v>
      </c>
      <c r="J504" t="s">
        <v>24</v>
      </c>
      <c r="K504" t="s">
        <v>27</v>
      </c>
      <c r="L504" t="s">
        <v>26</v>
      </c>
      <c r="M504" t="s">
        <v>78</v>
      </c>
      <c r="N504">
        <v>3.7</v>
      </c>
      <c r="O504" t="s">
        <v>27</v>
      </c>
      <c r="S504" s="3">
        <v>11750</v>
      </c>
      <c r="T504" s="2">
        <v>16485.50390625</v>
      </c>
      <c r="U504" s="2">
        <v>15556.46636188732</v>
      </c>
      <c r="V504" s="2">
        <v>14809.181503525229</v>
      </c>
      <c r="W504" s="2">
        <v>15515.1318359375</v>
      </c>
      <c r="X504" s="4">
        <f t="shared" si="28"/>
        <v>0.71274739715692459</v>
      </c>
      <c r="Y504" s="4">
        <f t="shared" si="29"/>
        <v>0.7553129178993373</v>
      </c>
      <c r="Z504" s="4">
        <f t="shared" si="30"/>
        <v>0.79342669932183552</v>
      </c>
      <c r="AA504" s="4">
        <f t="shared" si="31"/>
        <v>0.75732517933129173</v>
      </c>
    </row>
    <row r="505" spans="1:27" x14ac:dyDescent="0.3">
      <c r="A505" t="s">
        <v>296</v>
      </c>
      <c r="B505">
        <v>165317</v>
      </c>
      <c r="C505">
        <v>2014</v>
      </c>
      <c r="D505" t="s">
        <v>28</v>
      </c>
      <c r="E505" t="s">
        <v>58</v>
      </c>
      <c r="F505">
        <v>4</v>
      </c>
      <c r="G505" t="s">
        <v>30</v>
      </c>
      <c r="H505">
        <v>4</v>
      </c>
      <c r="I505" t="s">
        <v>23</v>
      </c>
      <c r="J505" t="s">
        <v>24</v>
      </c>
      <c r="L505" t="s">
        <v>60</v>
      </c>
      <c r="M505" t="s">
        <v>33</v>
      </c>
      <c r="N505">
        <v>1.7</v>
      </c>
      <c r="O505" t="s">
        <v>27</v>
      </c>
      <c r="S505" s="3">
        <v>3100</v>
      </c>
      <c r="T505" s="2">
        <v>7515.95068359375</v>
      </c>
      <c r="U505" s="2">
        <v>7098.7991371113767</v>
      </c>
      <c r="V505" s="2">
        <v>5869.6960337970386</v>
      </c>
      <c r="W505" s="2">
        <v>7103.03515625</v>
      </c>
      <c r="X505" s="4">
        <f t="shared" si="28"/>
        <v>0.41245613901736455</v>
      </c>
      <c r="Y505" s="4">
        <f t="shared" si="29"/>
        <v>0.43669357874822801</v>
      </c>
      <c r="Z505" s="4">
        <f t="shared" si="30"/>
        <v>0.52813637744621778</v>
      </c>
      <c r="AA505" s="4">
        <f t="shared" si="31"/>
        <v>0.43643314890146545</v>
      </c>
    </row>
    <row r="506" spans="1:27" x14ac:dyDescent="0.3">
      <c r="A506" t="s">
        <v>296</v>
      </c>
      <c r="B506">
        <v>38179</v>
      </c>
      <c r="C506">
        <v>2020</v>
      </c>
      <c r="D506" t="s">
        <v>119</v>
      </c>
      <c r="E506" t="s">
        <v>191</v>
      </c>
      <c r="F506">
        <v>4</v>
      </c>
      <c r="G506" t="s">
        <v>66</v>
      </c>
      <c r="H506">
        <v>4</v>
      </c>
      <c r="I506" t="s">
        <v>23</v>
      </c>
      <c r="J506" t="s">
        <v>24</v>
      </c>
      <c r="K506" t="s">
        <v>27</v>
      </c>
      <c r="L506" t="s">
        <v>60</v>
      </c>
      <c r="M506" t="s">
        <v>33</v>
      </c>
      <c r="N506">
        <v>3.5</v>
      </c>
      <c r="O506" t="s">
        <v>27</v>
      </c>
      <c r="S506" s="3">
        <v>9500</v>
      </c>
      <c r="T506" s="2">
        <v>17905.14453125</v>
      </c>
      <c r="U506" s="2">
        <v>17022.24327690963</v>
      </c>
      <c r="V506" s="2">
        <v>14973.548728576239</v>
      </c>
      <c r="W506" s="2">
        <v>17048.45703125</v>
      </c>
      <c r="X506" s="4">
        <f t="shared" si="28"/>
        <v>0.53057376797040479</v>
      </c>
      <c r="Y506" s="4">
        <f t="shared" si="29"/>
        <v>0.55809330447571392</v>
      </c>
      <c r="Z506" s="4">
        <f t="shared" si="30"/>
        <v>0.63445213771333608</v>
      </c>
      <c r="AA506" s="4">
        <f t="shared" si="31"/>
        <v>0.55723517867842243</v>
      </c>
    </row>
    <row r="507" spans="1:27" x14ac:dyDescent="0.3">
      <c r="A507" t="s">
        <v>296</v>
      </c>
      <c r="B507">
        <v>162498</v>
      </c>
      <c r="C507">
        <v>2015</v>
      </c>
      <c r="D507" t="s">
        <v>100</v>
      </c>
      <c r="E507" t="s">
        <v>358</v>
      </c>
      <c r="F507">
        <v>6</v>
      </c>
      <c r="G507" t="s">
        <v>99</v>
      </c>
      <c r="H507">
        <v>4</v>
      </c>
      <c r="I507" t="s">
        <v>23</v>
      </c>
      <c r="J507" t="s">
        <v>24</v>
      </c>
      <c r="K507" t="s">
        <v>27</v>
      </c>
      <c r="L507" t="s">
        <v>53</v>
      </c>
      <c r="M507" t="s">
        <v>33</v>
      </c>
      <c r="N507">
        <v>2.1</v>
      </c>
      <c r="O507" t="s">
        <v>27</v>
      </c>
      <c r="S507" s="3">
        <v>3700</v>
      </c>
      <c r="T507" s="2">
        <v>2298.740478515625</v>
      </c>
      <c r="U507" s="2">
        <v>3672.8104709749068</v>
      </c>
      <c r="V507" s="2">
        <v>3981.9733518761332</v>
      </c>
      <c r="W507" s="2">
        <v>3315.427734375</v>
      </c>
      <c r="X507" s="4">
        <f t="shared" si="28"/>
        <v>1.6095770856174316</v>
      </c>
      <c r="Y507" s="4">
        <f t="shared" si="29"/>
        <v>1.0074029218877378</v>
      </c>
      <c r="Z507" s="4">
        <f t="shared" si="30"/>
        <v>0.92918753417993627</v>
      </c>
      <c r="AA507" s="4">
        <f t="shared" si="31"/>
        <v>1.1159947664181245</v>
      </c>
    </row>
    <row r="508" spans="1:27" x14ac:dyDescent="0.3">
      <c r="A508" t="s">
        <v>296</v>
      </c>
      <c r="B508">
        <v>155590</v>
      </c>
      <c r="C508">
        <v>2013</v>
      </c>
      <c r="D508" t="s">
        <v>81</v>
      </c>
      <c r="E508" t="s">
        <v>82</v>
      </c>
      <c r="F508">
        <v>6</v>
      </c>
      <c r="G508" t="s">
        <v>36</v>
      </c>
      <c r="H508">
        <v>2</v>
      </c>
      <c r="I508" t="s">
        <v>23</v>
      </c>
      <c r="J508" t="s">
        <v>83</v>
      </c>
      <c r="L508" t="s">
        <v>26</v>
      </c>
      <c r="M508" t="s">
        <v>78</v>
      </c>
      <c r="N508">
        <v>1.7</v>
      </c>
      <c r="O508" t="s">
        <v>27</v>
      </c>
      <c r="S508" s="3">
        <v>3800</v>
      </c>
      <c r="T508" s="2">
        <v>4930.62939453125</v>
      </c>
      <c r="U508" s="2">
        <v>9204.5013442850686</v>
      </c>
      <c r="V508" s="2">
        <v>4266.7718410454308</v>
      </c>
      <c r="W508" s="2">
        <v>5052.7744140625</v>
      </c>
      <c r="X508" s="4">
        <f t="shared" si="28"/>
        <v>0.77069268361859145</v>
      </c>
      <c r="Y508" s="4">
        <f t="shared" si="29"/>
        <v>0.41284148460246145</v>
      </c>
      <c r="Z508" s="4">
        <f t="shared" si="30"/>
        <v>0.89060304641668775</v>
      </c>
      <c r="AA508" s="4">
        <f t="shared" si="31"/>
        <v>0.75206207295226302</v>
      </c>
    </row>
    <row r="509" spans="1:27" x14ac:dyDescent="0.3">
      <c r="A509" t="s">
        <v>296</v>
      </c>
      <c r="B509">
        <v>105280</v>
      </c>
      <c r="C509">
        <v>2014</v>
      </c>
      <c r="D509" t="s">
        <v>141</v>
      </c>
      <c r="E509" t="s">
        <v>215</v>
      </c>
      <c r="F509">
        <v>6</v>
      </c>
      <c r="G509" t="s">
        <v>47</v>
      </c>
      <c r="H509">
        <v>4</v>
      </c>
      <c r="I509" t="s">
        <v>23</v>
      </c>
      <c r="J509" t="s">
        <v>31</v>
      </c>
      <c r="L509" t="s">
        <v>26</v>
      </c>
      <c r="M509" t="s">
        <v>78</v>
      </c>
      <c r="N509">
        <v>1.5</v>
      </c>
      <c r="O509" t="s">
        <v>27</v>
      </c>
      <c r="S509" s="3">
        <v>3000</v>
      </c>
      <c r="T509" s="2">
        <v>8207.3642578125</v>
      </c>
      <c r="U509" s="2">
        <v>10959.192100170871</v>
      </c>
      <c r="V509" s="2">
        <v>6098.9737710792206</v>
      </c>
      <c r="W509" s="2">
        <v>7329.03759765625</v>
      </c>
      <c r="X509" s="4">
        <f t="shared" si="28"/>
        <v>0.36552538741586044</v>
      </c>
      <c r="Y509" s="4">
        <f t="shared" si="29"/>
        <v>0.27374280627430786</v>
      </c>
      <c r="Z509" s="4">
        <f t="shared" si="30"/>
        <v>0.49188603076565557</v>
      </c>
      <c r="AA509" s="4">
        <f t="shared" si="31"/>
        <v>0.4093306876962084</v>
      </c>
    </row>
    <row r="510" spans="1:27" x14ac:dyDescent="0.3">
      <c r="A510" t="s">
        <v>296</v>
      </c>
      <c r="B510">
        <v>60356</v>
      </c>
      <c r="C510">
        <v>2021</v>
      </c>
      <c r="D510" t="s">
        <v>34</v>
      </c>
      <c r="E510" t="s">
        <v>173</v>
      </c>
      <c r="F510">
        <v>4</v>
      </c>
      <c r="G510" t="s">
        <v>22</v>
      </c>
      <c r="H510">
        <v>4</v>
      </c>
      <c r="I510" t="s">
        <v>23</v>
      </c>
      <c r="J510" t="s">
        <v>62</v>
      </c>
      <c r="L510" t="s">
        <v>128</v>
      </c>
      <c r="M510" t="s">
        <v>33</v>
      </c>
      <c r="N510">
        <v>2.7</v>
      </c>
      <c r="O510" t="s">
        <v>27</v>
      </c>
      <c r="S510" s="3">
        <v>19750</v>
      </c>
      <c r="T510" s="2">
        <v>14901.052734375</v>
      </c>
      <c r="U510" s="2">
        <v>18029.826935872501</v>
      </c>
      <c r="V510" s="2">
        <v>20013.47072280879</v>
      </c>
      <c r="W510" s="2">
        <v>16900.98046875</v>
      </c>
      <c r="X510" s="4">
        <f t="shared" si="28"/>
        <v>1.32540971111652</v>
      </c>
      <c r="Y510" s="4">
        <f t="shared" si="29"/>
        <v>1.0954070757443051</v>
      </c>
      <c r="Z510" s="4">
        <f t="shared" si="30"/>
        <v>0.986835330740084</v>
      </c>
      <c r="AA510" s="4">
        <f t="shared" si="31"/>
        <v>1.1685712575384517</v>
      </c>
    </row>
    <row r="511" spans="1:27" x14ac:dyDescent="0.3">
      <c r="A511" t="s">
        <v>296</v>
      </c>
      <c r="B511">
        <v>105700</v>
      </c>
      <c r="C511">
        <v>2021</v>
      </c>
      <c r="D511" t="s">
        <v>125</v>
      </c>
      <c r="E511" t="s">
        <v>359</v>
      </c>
      <c r="F511">
        <v>4</v>
      </c>
      <c r="G511" t="s">
        <v>47</v>
      </c>
      <c r="H511">
        <v>4</v>
      </c>
      <c r="I511" t="s">
        <v>23</v>
      </c>
      <c r="J511" t="s">
        <v>24</v>
      </c>
      <c r="K511" t="s">
        <v>27</v>
      </c>
      <c r="L511" t="s">
        <v>127</v>
      </c>
      <c r="M511" t="s">
        <v>33</v>
      </c>
      <c r="N511">
        <v>3</v>
      </c>
      <c r="O511" t="s">
        <v>27</v>
      </c>
      <c r="S511" s="3">
        <v>7750</v>
      </c>
      <c r="T511" s="2">
        <v>11814.37109375</v>
      </c>
      <c r="U511" s="2">
        <v>12047.05736194137</v>
      </c>
      <c r="V511" s="2">
        <v>10728.069104648799</v>
      </c>
      <c r="W511" s="2">
        <v>11433.5078125</v>
      </c>
      <c r="X511" s="4">
        <f t="shared" si="28"/>
        <v>0.65598074908108139</v>
      </c>
      <c r="Y511" s="4">
        <f t="shared" si="29"/>
        <v>0.64331062492352042</v>
      </c>
      <c r="Z511" s="4">
        <f t="shared" si="30"/>
        <v>0.72240399687970769</v>
      </c>
      <c r="AA511" s="4">
        <f t="shared" si="31"/>
        <v>0.67783222149261113</v>
      </c>
    </row>
    <row r="512" spans="1:27" x14ac:dyDescent="0.3">
      <c r="A512" t="s">
        <v>296</v>
      </c>
      <c r="B512">
        <v>182096</v>
      </c>
      <c r="C512">
        <v>2019</v>
      </c>
      <c r="D512" t="s">
        <v>44</v>
      </c>
      <c r="E512" t="s">
        <v>45</v>
      </c>
      <c r="F512">
        <v>8</v>
      </c>
      <c r="G512" t="s">
        <v>22</v>
      </c>
      <c r="H512">
        <v>4</v>
      </c>
      <c r="I512" t="s">
        <v>23</v>
      </c>
      <c r="J512" t="s">
        <v>46</v>
      </c>
      <c r="K512" t="s">
        <v>27</v>
      </c>
      <c r="L512" t="s">
        <v>48</v>
      </c>
      <c r="M512">
        <v>4</v>
      </c>
      <c r="N512">
        <v>1.5</v>
      </c>
      <c r="O512" t="s">
        <v>27</v>
      </c>
      <c r="S512" s="3">
        <v>8200</v>
      </c>
      <c r="T512" s="2">
        <v>8160.9873046875</v>
      </c>
      <c r="U512" s="2">
        <v>17100.272533324609</v>
      </c>
      <c r="V512" s="2">
        <v>5976.411413093293</v>
      </c>
      <c r="W512" s="2">
        <v>8325.2294921875</v>
      </c>
      <c r="X512" s="4">
        <f t="shared" si="28"/>
        <v>1.0047803891681208</v>
      </c>
      <c r="Y512" s="4">
        <f t="shared" si="29"/>
        <v>0.47952452126245548</v>
      </c>
      <c r="Z512" s="4">
        <f t="shared" si="30"/>
        <v>1.3720608293524112</v>
      </c>
      <c r="AA512" s="4">
        <f t="shared" si="31"/>
        <v>0.98495783301769435</v>
      </c>
    </row>
    <row r="513" spans="1:27" x14ac:dyDescent="0.3">
      <c r="A513" t="s">
        <v>296</v>
      </c>
      <c r="B513">
        <v>155798</v>
      </c>
      <c r="C513">
        <v>2018</v>
      </c>
      <c r="D513" t="s">
        <v>100</v>
      </c>
      <c r="E513" t="s">
        <v>360</v>
      </c>
      <c r="F513">
        <v>4</v>
      </c>
      <c r="G513" t="s">
        <v>59</v>
      </c>
      <c r="H513">
        <v>4</v>
      </c>
      <c r="I513" t="s">
        <v>23</v>
      </c>
      <c r="J513" t="s">
        <v>24</v>
      </c>
      <c r="K513" t="s">
        <v>27</v>
      </c>
      <c r="L513" t="s">
        <v>127</v>
      </c>
      <c r="M513" t="s">
        <v>33</v>
      </c>
      <c r="N513">
        <v>1.3</v>
      </c>
      <c r="O513" t="s">
        <v>27</v>
      </c>
      <c r="S513" s="3">
        <v>2600</v>
      </c>
      <c r="T513" s="2">
        <v>2907.586181640625</v>
      </c>
      <c r="U513" s="2">
        <v>3115.8105873336622</v>
      </c>
      <c r="V513" s="2">
        <v>4947.0487347698308</v>
      </c>
      <c r="W513" s="2">
        <v>3406.724609375</v>
      </c>
      <c r="X513" s="4">
        <f t="shared" si="28"/>
        <v>0.89421253148648983</v>
      </c>
      <c r="Y513" s="4">
        <f t="shared" si="29"/>
        <v>0.83445380491659982</v>
      </c>
      <c r="Z513" s="4">
        <f t="shared" si="30"/>
        <v>0.52556587561512447</v>
      </c>
      <c r="AA513" s="4">
        <f t="shared" si="31"/>
        <v>0.76319641242647962</v>
      </c>
    </row>
    <row r="514" spans="1:27" x14ac:dyDescent="0.3">
      <c r="A514" t="s">
        <v>296</v>
      </c>
      <c r="B514">
        <v>4915</v>
      </c>
      <c r="C514">
        <v>2025</v>
      </c>
      <c r="D514" t="s">
        <v>40</v>
      </c>
      <c r="E514" t="s">
        <v>150</v>
      </c>
      <c r="F514">
        <v>4</v>
      </c>
      <c r="G514" t="s">
        <v>22</v>
      </c>
      <c r="H514">
        <v>4</v>
      </c>
      <c r="I514" t="s">
        <v>23</v>
      </c>
      <c r="J514" t="s">
        <v>24</v>
      </c>
      <c r="L514" t="s">
        <v>102</v>
      </c>
      <c r="M514" t="s">
        <v>33</v>
      </c>
      <c r="N514">
        <v>4.9000000000000004</v>
      </c>
      <c r="O514" t="s">
        <v>27</v>
      </c>
      <c r="S514" s="3">
        <v>36600</v>
      </c>
      <c r="T514" s="2">
        <v>38939.77734375</v>
      </c>
      <c r="U514" s="2">
        <v>42356.742085930957</v>
      </c>
      <c r="V514" s="2">
        <v>37701.80789558604</v>
      </c>
      <c r="W514" s="2">
        <v>39658.1875</v>
      </c>
      <c r="X514" s="4">
        <f t="shared" ref="X514:X577" si="32">S514/T514</f>
        <v>0.93991292443469654</v>
      </c>
      <c r="Y514" s="4">
        <f t="shared" ref="Y514:Y577" si="33">S514/U514</f>
        <v>0.8640891201157066</v>
      </c>
      <c r="Z514" s="4">
        <f t="shared" ref="Z514:Z577" si="34">S514/V514</f>
        <v>0.97077572782086574</v>
      </c>
      <c r="AA514" s="4">
        <f t="shared" ref="AA514:AA577" si="35">S514/W514</f>
        <v>0.92288635228223681</v>
      </c>
    </row>
    <row r="515" spans="1:27" x14ac:dyDescent="0.3">
      <c r="A515" t="s">
        <v>296</v>
      </c>
      <c r="B515">
        <v>102652</v>
      </c>
      <c r="C515">
        <v>2020</v>
      </c>
      <c r="D515" t="s">
        <v>81</v>
      </c>
      <c r="E515" t="s">
        <v>201</v>
      </c>
      <c r="F515">
        <v>4</v>
      </c>
      <c r="G515" t="s">
        <v>22</v>
      </c>
      <c r="H515">
        <v>4</v>
      </c>
      <c r="I515" t="s">
        <v>23</v>
      </c>
      <c r="J515" t="s">
        <v>24</v>
      </c>
      <c r="K515" t="s">
        <v>27</v>
      </c>
      <c r="L515" t="s">
        <v>60</v>
      </c>
      <c r="M515" t="s">
        <v>33</v>
      </c>
      <c r="N515">
        <v>2.8</v>
      </c>
      <c r="O515" t="s">
        <v>27</v>
      </c>
      <c r="S515" s="3">
        <v>6200</v>
      </c>
      <c r="T515" s="2">
        <v>8912.244140625</v>
      </c>
      <c r="U515" s="2">
        <v>10137.456470318801</v>
      </c>
      <c r="V515" s="2">
        <v>8454.7945355795819</v>
      </c>
      <c r="W515" s="2">
        <v>9974.5146484375</v>
      </c>
      <c r="X515" s="4">
        <f t="shared" si="32"/>
        <v>0.69567214521630072</v>
      </c>
      <c r="Y515" s="4">
        <f t="shared" si="33"/>
        <v>0.61159325498983119</v>
      </c>
      <c r="Z515" s="4">
        <f t="shared" si="34"/>
        <v>0.73331172909159126</v>
      </c>
      <c r="AA515" s="4">
        <f t="shared" si="35"/>
        <v>0.6215841290053371</v>
      </c>
    </row>
    <row r="516" spans="1:27" x14ac:dyDescent="0.3">
      <c r="A516" t="s">
        <v>296</v>
      </c>
      <c r="B516">
        <v>151144</v>
      </c>
      <c r="C516">
        <v>2017</v>
      </c>
      <c r="D516" t="s">
        <v>159</v>
      </c>
      <c r="E516" t="s">
        <v>361</v>
      </c>
      <c r="F516">
        <v>6</v>
      </c>
      <c r="G516" t="s">
        <v>22</v>
      </c>
      <c r="H516">
        <v>4</v>
      </c>
      <c r="I516" t="s">
        <v>23</v>
      </c>
      <c r="J516" t="s">
        <v>62</v>
      </c>
      <c r="K516" t="s">
        <v>27</v>
      </c>
      <c r="L516" t="s">
        <v>198</v>
      </c>
      <c r="M516" t="s">
        <v>33</v>
      </c>
      <c r="N516">
        <v>2.5</v>
      </c>
      <c r="O516" t="s">
        <v>27</v>
      </c>
      <c r="S516" s="3">
        <v>3600</v>
      </c>
      <c r="T516" s="2">
        <v>5212.3466796875</v>
      </c>
      <c r="U516" s="2">
        <v>5469.34616341528</v>
      </c>
      <c r="V516" s="2">
        <v>4145.3558733927384</v>
      </c>
      <c r="W516" s="2">
        <v>6054.470703125</v>
      </c>
      <c r="X516" s="4">
        <f t="shared" si="32"/>
        <v>0.69066779729544647</v>
      </c>
      <c r="Y516" s="4">
        <f t="shared" si="33"/>
        <v>0.65821396057915904</v>
      </c>
      <c r="Z516" s="4">
        <f t="shared" si="34"/>
        <v>0.8684417236905656</v>
      </c>
      <c r="AA516" s="4">
        <f t="shared" si="35"/>
        <v>0.59460193574673159</v>
      </c>
    </row>
    <row r="517" spans="1:27" x14ac:dyDescent="0.3">
      <c r="A517" t="s">
        <v>296</v>
      </c>
      <c r="B517">
        <v>109825</v>
      </c>
      <c r="C517">
        <v>2020</v>
      </c>
      <c r="D517" t="s">
        <v>100</v>
      </c>
      <c r="E517" t="s">
        <v>101</v>
      </c>
      <c r="F517">
        <v>4</v>
      </c>
      <c r="G517" t="s">
        <v>59</v>
      </c>
      <c r="H517">
        <v>4</v>
      </c>
      <c r="I517" t="s">
        <v>23</v>
      </c>
      <c r="J517" t="s">
        <v>31</v>
      </c>
      <c r="K517" t="s">
        <v>27</v>
      </c>
      <c r="L517" t="s">
        <v>102</v>
      </c>
      <c r="M517" t="s">
        <v>33</v>
      </c>
      <c r="N517">
        <v>3.7</v>
      </c>
      <c r="O517" t="s">
        <v>27</v>
      </c>
      <c r="S517" s="3">
        <v>6600</v>
      </c>
      <c r="T517" s="2">
        <v>9149.47265625</v>
      </c>
      <c r="U517" s="2">
        <v>11473.36442660278</v>
      </c>
      <c r="V517" s="2">
        <v>11639.760994828781</v>
      </c>
      <c r="W517" s="2">
        <v>10851.3916015625</v>
      </c>
      <c r="X517" s="4">
        <f t="shared" si="32"/>
        <v>0.72135304929203148</v>
      </c>
      <c r="Y517" s="4">
        <f t="shared" si="33"/>
        <v>0.57524539050610757</v>
      </c>
      <c r="Z517" s="4">
        <f t="shared" si="34"/>
        <v>0.56702195199129901</v>
      </c>
      <c r="AA517" s="4">
        <f t="shared" si="35"/>
        <v>0.60821692206275746</v>
      </c>
    </row>
    <row r="518" spans="1:27" x14ac:dyDescent="0.3">
      <c r="A518" t="s">
        <v>296</v>
      </c>
      <c r="B518">
        <v>99041</v>
      </c>
      <c r="C518">
        <v>2019</v>
      </c>
      <c r="D518" t="s">
        <v>119</v>
      </c>
      <c r="E518" t="s">
        <v>191</v>
      </c>
      <c r="F518">
        <v>4</v>
      </c>
      <c r="G518" t="s">
        <v>66</v>
      </c>
      <c r="H518">
        <v>4</v>
      </c>
      <c r="I518" t="s">
        <v>23</v>
      </c>
      <c r="J518" t="s">
        <v>24</v>
      </c>
      <c r="K518" t="s">
        <v>27</v>
      </c>
      <c r="L518" t="s">
        <v>60</v>
      </c>
      <c r="M518" t="s">
        <v>33</v>
      </c>
      <c r="N518">
        <v>3.2</v>
      </c>
      <c r="O518" t="s">
        <v>27</v>
      </c>
      <c r="S518" s="3">
        <v>6600</v>
      </c>
      <c r="T518" s="2">
        <v>8981.6796875</v>
      </c>
      <c r="U518" s="2">
        <v>10010.32440256197</v>
      </c>
      <c r="V518" s="2">
        <v>8391.9184939776678</v>
      </c>
      <c r="W518" s="2">
        <v>10234.7958984375</v>
      </c>
      <c r="X518" s="4">
        <f t="shared" si="32"/>
        <v>0.73482914439549252</v>
      </c>
      <c r="Y518" s="4">
        <f t="shared" si="33"/>
        <v>0.6593192922210237</v>
      </c>
      <c r="Z518" s="4">
        <f t="shared" si="34"/>
        <v>0.78647093685864433</v>
      </c>
      <c r="AA518" s="4">
        <f t="shared" si="35"/>
        <v>0.64485897574250528</v>
      </c>
    </row>
    <row r="519" spans="1:27" x14ac:dyDescent="0.3">
      <c r="A519" t="s">
        <v>296</v>
      </c>
      <c r="B519">
        <v>87472</v>
      </c>
      <c r="C519">
        <v>2021</v>
      </c>
      <c r="D519" t="s">
        <v>119</v>
      </c>
      <c r="E519" t="s">
        <v>362</v>
      </c>
      <c r="F519">
        <v>4</v>
      </c>
      <c r="G519" t="s">
        <v>59</v>
      </c>
      <c r="H519">
        <v>4</v>
      </c>
      <c r="I519" t="s">
        <v>23</v>
      </c>
      <c r="J519" t="s">
        <v>24</v>
      </c>
      <c r="K519" t="s">
        <v>27</v>
      </c>
      <c r="L519" t="s">
        <v>127</v>
      </c>
      <c r="M519" t="s">
        <v>33</v>
      </c>
      <c r="N519">
        <v>3.4</v>
      </c>
      <c r="O519" t="s">
        <v>27</v>
      </c>
      <c r="S519" s="3">
        <v>7600</v>
      </c>
      <c r="T519" s="2">
        <v>10999.806640625</v>
      </c>
      <c r="U519" s="2">
        <v>11696.03924432882</v>
      </c>
      <c r="V519" s="2">
        <v>11255.62823399537</v>
      </c>
      <c r="W519" s="2">
        <v>12075.8984375</v>
      </c>
      <c r="X519" s="4">
        <f t="shared" si="32"/>
        <v>0.69092123600894262</v>
      </c>
      <c r="Y519" s="4">
        <f t="shared" si="33"/>
        <v>0.64979262135129123</v>
      </c>
      <c r="Z519" s="4">
        <f t="shared" si="34"/>
        <v>0.67521775257694838</v>
      </c>
      <c r="AA519" s="4">
        <f t="shared" si="35"/>
        <v>0.62935275907913169</v>
      </c>
    </row>
    <row r="520" spans="1:27" x14ac:dyDescent="0.3">
      <c r="A520" t="s">
        <v>296</v>
      </c>
      <c r="B520">
        <v>94722</v>
      </c>
      <c r="C520">
        <v>2016</v>
      </c>
      <c r="D520" t="s">
        <v>81</v>
      </c>
      <c r="E520" t="s">
        <v>82</v>
      </c>
      <c r="F520">
        <v>6</v>
      </c>
      <c r="G520" t="s">
        <v>22</v>
      </c>
      <c r="H520">
        <v>2</v>
      </c>
      <c r="I520" t="s">
        <v>23</v>
      </c>
      <c r="J520" t="s">
        <v>83</v>
      </c>
      <c r="K520" t="s">
        <v>27</v>
      </c>
      <c r="L520" t="s">
        <v>26</v>
      </c>
      <c r="M520" t="s">
        <v>78</v>
      </c>
      <c r="N520">
        <v>3.6</v>
      </c>
      <c r="O520" t="s">
        <v>27</v>
      </c>
      <c r="S520" s="3">
        <v>9000</v>
      </c>
      <c r="T520" s="2">
        <v>12828.9267578125</v>
      </c>
      <c r="U520" s="2">
        <v>12447.342152440089</v>
      </c>
      <c r="V520" s="2">
        <v>12339.975032344029</v>
      </c>
      <c r="W520" s="2">
        <v>12009.955078125</v>
      </c>
      <c r="X520" s="4">
        <f t="shared" si="32"/>
        <v>0.70153958861127819</v>
      </c>
      <c r="Y520" s="4">
        <f t="shared" si="33"/>
        <v>0.72304592336089224</v>
      </c>
      <c r="Z520" s="4">
        <f t="shared" si="34"/>
        <v>0.72933697000280018</v>
      </c>
      <c r="AA520" s="4">
        <f t="shared" si="35"/>
        <v>0.74937832335381926</v>
      </c>
    </row>
    <row r="521" spans="1:27" x14ac:dyDescent="0.3">
      <c r="A521" t="s">
        <v>296</v>
      </c>
      <c r="B521">
        <v>48125</v>
      </c>
      <c r="C521">
        <v>2023</v>
      </c>
      <c r="D521" t="s">
        <v>100</v>
      </c>
      <c r="E521" t="s">
        <v>138</v>
      </c>
      <c r="F521">
        <v>3</v>
      </c>
      <c r="G521" t="s">
        <v>47</v>
      </c>
      <c r="H521">
        <v>4</v>
      </c>
      <c r="I521" t="s">
        <v>23</v>
      </c>
      <c r="J521" t="s">
        <v>24</v>
      </c>
      <c r="L521" t="s">
        <v>107</v>
      </c>
      <c r="M521" t="s">
        <v>33</v>
      </c>
      <c r="N521">
        <v>2.6</v>
      </c>
      <c r="O521" t="s">
        <v>27</v>
      </c>
      <c r="S521" s="3">
        <v>14800</v>
      </c>
      <c r="T521" s="2">
        <v>13594.4169921875</v>
      </c>
      <c r="U521" s="2">
        <v>21308.572101586498</v>
      </c>
      <c r="V521" s="2">
        <v>18442.03498529685</v>
      </c>
      <c r="W521" s="2">
        <v>15758.9306640625</v>
      </c>
      <c r="X521" s="4">
        <f t="shared" si="32"/>
        <v>1.0886822148022479</v>
      </c>
      <c r="Y521" s="4">
        <f t="shared" si="33"/>
        <v>0.6945561593448154</v>
      </c>
      <c r="Z521" s="4">
        <f t="shared" si="34"/>
        <v>0.80251447369010476</v>
      </c>
      <c r="AA521" s="4">
        <f t="shared" si="35"/>
        <v>0.93915001693298283</v>
      </c>
    </row>
    <row r="522" spans="1:27" x14ac:dyDescent="0.3">
      <c r="A522" t="s">
        <v>296</v>
      </c>
      <c r="B522">
        <v>120191</v>
      </c>
      <c r="C522">
        <v>2018</v>
      </c>
      <c r="D522" t="s">
        <v>40</v>
      </c>
      <c r="E522" t="s">
        <v>229</v>
      </c>
      <c r="F522">
        <v>4</v>
      </c>
      <c r="G522" t="s">
        <v>22</v>
      </c>
      <c r="H522">
        <v>4</v>
      </c>
      <c r="I522" t="s">
        <v>23</v>
      </c>
      <c r="J522" t="s">
        <v>31</v>
      </c>
      <c r="K522" t="s">
        <v>27</v>
      </c>
      <c r="L522" t="s">
        <v>107</v>
      </c>
      <c r="M522" t="s">
        <v>33</v>
      </c>
      <c r="N522">
        <v>2.5</v>
      </c>
      <c r="O522" t="s">
        <v>27</v>
      </c>
      <c r="S522" s="3">
        <v>3300</v>
      </c>
      <c r="T522" s="2">
        <v>7048.7421875</v>
      </c>
      <c r="U522" s="2">
        <v>6652.4048851422667</v>
      </c>
      <c r="V522" s="2">
        <v>6204.092270877024</v>
      </c>
      <c r="W522" s="2">
        <v>6575.78857421875</v>
      </c>
      <c r="X522" s="4">
        <f t="shared" si="32"/>
        <v>0.46816863380988849</v>
      </c>
      <c r="Y522" s="4">
        <f t="shared" si="33"/>
        <v>0.49606120748458127</v>
      </c>
      <c r="Z522" s="4">
        <f t="shared" si="34"/>
        <v>0.53190698266863534</v>
      </c>
      <c r="AA522" s="4">
        <f t="shared" si="35"/>
        <v>0.50184095226815639</v>
      </c>
    </row>
    <row r="523" spans="1:27" x14ac:dyDescent="0.3">
      <c r="A523" t="s">
        <v>296</v>
      </c>
      <c r="B523">
        <v>152005</v>
      </c>
      <c r="C523">
        <v>2016</v>
      </c>
      <c r="D523" t="s">
        <v>81</v>
      </c>
      <c r="E523" t="s">
        <v>105</v>
      </c>
      <c r="F523">
        <v>6</v>
      </c>
      <c r="G523" t="s">
        <v>47</v>
      </c>
      <c r="H523">
        <v>4</v>
      </c>
      <c r="I523" t="s">
        <v>23</v>
      </c>
      <c r="J523" t="s">
        <v>106</v>
      </c>
      <c r="L523" t="s">
        <v>26</v>
      </c>
      <c r="M523" t="s">
        <v>33</v>
      </c>
      <c r="N523">
        <v>1.3</v>
      </c>
      <c r="O523" t="s">
        <v>27</v>
      </c>
      <c r="S523" s="3">
        <v>2400</v>
      </c>
      <c r="T523" s="2">
        <v>5415.64990234375</v>
      </c>
      <c r="U523" s="2">
        <v>5609.5849447330293</v>
      </c>
      <c r="V523" s="2">
        <v>3284.534780082191</v>
      </c>
      <c r="W523" s="2">
        <v>5128.26123046875</v>
      </c>
      <c r="X523" s="4">
        <f t="shared" si="32"/>
        <v>0.44316010881008822</v>
      </c>
      <c r="Y523" s="4">
        <f t="shared" si="33"/>
        <v>0.42783914026534464</v>
      </c>
      <c r="Z523" s="4">
        <f t="shared" si="34"/>
        <v>0.73069708823115076</v>
      </c>
      <c r="AA523" s="4">
        <f t="shared" si="35"/>
        <v>0.4679948801634326</v>
      </c>
    </row>
    <row r="524" spans="1:27" x14ac:dyDescent="0.3">
      <c r="A524" t="s">
        <v>296</v>
      </c>
      <c r="B524">
        <v>37325</v>
      </c>
      <c r="C524">
        <v>2023</v>
      </c>
      <c r="D524" t="s">
        <v>85</v>
      </c>
      <c r="E524" t="s">
        <v>292</v>
      </c>
      <c r="F524">
        <v>4</v>
      </c>
      <c r="G524" t="s">
        <v>30</v>
      </c>
      <c r="H524">
        <v>4</v>
      </c>
      <c r="I524" t="s">
        <v>23</v>
      </c>
      <c r="J524" t="s">
        <v>24</v>
      </c>
      <c r="K524" t="s">
        <v>27</v>
      </c>
      <c r="L524" t="s">
        <v>102</v>
      </c>
      <c r="M524" t="s">
        <v>33</v>
      </c>
      <c r="N524">
        <v>2.9</v>
      </c>
      <c r="O524" t="s">
        <v>27</v>
      </c>
      <c r="S524" s="3">
        <v>19800</v>
      </c>
      <c r="T524" s="2">
        <v>19031.48828125</v>
      </c>
      <c r="U524" s="2">
        <v>23380.481909137088</v>
      </c>
      <c r="V524" s="2">
        <v>17621.320435048568</v>
      </c>
      <c r="W524" s="2">
        <v>19816.373046875</v>
      </c>
      <c r="X524" s="4">
        <f t="shared" si="32"/>
        <v>1.0403810625523777</v>
      </c>
      <c r="Y524" s="4">
        <f t="shared" si="33"/>
        <v>0.84686021772126785</v>
      </c>
      <c r="Z524" s="4">
        <f t="shared" si="34"/>
        <v>1.1236388369975991</v>
      </c>
      <c r="AA524" s="4">
        <f t="shared" si="35"/>
        <v>0.99917376167494076</v>
      </c>
    </row>
    <row r="525" spans="1:27" x14ac:dyDescent="0.3">
      <c r="A525" t="s">
        <v>135</v>
      </c>
      <c r="B525">
        <v>124843</v>
      </c>
      <c r="C525">
        <v>2019</v>
      </c>
      <c r="D525" t="s">
        <v>81</v>
      </c>
      <c r="E525" t="s">
        <v>207</v>
      </c>
      <c r="F525">
        <v>6</v>
      </c>
      <c r="G525" t="s">
        <v>36</v>
      </c>
      <c r="H525">
        <v>4</v>
      </c>
      <c r="I525" t="s">
        <v>23</v>
      </c>
      <c r="J525" t="s">
        <v>31</v>
      </c>
      <c r="L525" t="s">
        <v>26</v>
      </c>
      <c r="M525" t="s">
        <v>78</v>
      </c>
      <c r="N525">
        <v>4.3</v>
      </c>
      <c r="O525" t="s">
        <v>27</v>
      </c>
      <c r="S525" s="3">
        <v>10000</v>
      </c>
      <c r="T525" s="2">
        <v>14220.4853515625</v>
      </c>
      <c r="U525" s="2">
        <v>13892.904862025271</v>
      </c>
      <c r="V525" s="2">
        <v>11812.20505078661</v>
      </c>
      <c r="W525" s="2">
        <v>14515.79296875</v>
      </c>
      <c r="X525" s="4">
        <f t="shared" si="32"/>
        <v>0.70321087872723231</v>
      </c>
      <c r="Y525" s="4">
        <f t="shared" si="33"/>
        <v>0.7197918721327965</v>
      </c>
      <c r="Z525" s="4">
        <f t="shared" si="34"/>
        <v>0.8465819850743338</v>
      </c>
      <c r="AA525" s="4">
        <f t="shared" si="35"/>
        <v>0.68890483775349209</v>
      </c>
    </row>
    <row r="526" spans="1:27" x14ac:dyDescent="0.3">
      <c r="A526" t="s">
        <v>135</v>
      </c>
      <c r="B526">
        <v>128624</v>
      </c>
      <c r="C526">
        <v>2018</v>
      </c>
      <c r="D526" t="s">
        <v>40</v>
      </c>
      <c r="E526" t="s">
        <v>41</v>
      </c>
      <c r="F526">
        <v>8</v>
      </c>
      <c r="G526" t="s">
        <v>47</v>
      </c>
      <c r="H526">
        <v>4</v>
      </c>
      <c r="I526" t="s">
        <v>23</v>
      </c>
      <c r="J526" t="s">
        <v>42</v>
      </c>
      <c r="K526" t="s">
        <v>27</v>
      </c>
      <c r="L526" t="s">
        <v>43</v>
      </c>
      <c r="M526" t="s">
        <v>78</v>
      </c>
      <c r="N526">
        <v>4.2</v>
      </c>
      <c r="O526" t="s">
        <v>27</v>
      </c>
      <c r="S526" s="3">
        <v>17500</v>
      </c>
      <c r="T526" s="2">
        <v>19031.234375</v>
      </c>
      <c r="U526" s="2">
        <v>26005.13976784316</v>
      </c>
      <c r="V526" s="2">
        <v>14683.380712405869</v>
      </c>
      <c r="W526" s="2">
        <v>20547.19140625</v>
      </c>
      <c r="X526" s="4">
        <f t="shared" si="32"/>
        <v>0.91954098484481517</v>
      </c>
      <c r="Y526" s="4">
        <f t="shared" si="33"/>
        <v>0.67294389325450765</v>
      </c>
      <c r="Z526" s="4">
        <f t="shared" si="34"/>
        <v>1.1918236230988952</v>
      </c>
      <c r="AA526" s="4">
        <f t="shared" si="35"/>
        <v>0.85169791111581739</v>
      </c>
    </row>
    <row r="527" spans="1:27" x14ac:dyDescent="0.3">
      <c r="A527" t="s">
        <v>135</v>
      </c>
      <c r="B527">
        <v>123917</v>
      </c>
      <c r="C527">
        <v>2012</v>
      </c>
      <c r="D527" t="s">
        <v>34</v>
      </c>
      <c r="E527" t="s">
        <v>116</v>
      </c>
      <c r="F527">
        <v>4</v>
      </c>
      <c r="G527" t="s">
        <v>56</v>
      </c>
      <c r="H527">
        <v>4</v>
      </c>
      <c r="I527" t="s">
        <v>23</v>
      </c>
      <c r="J527" t="s">
        <v>37</v>
      </c>
      <c r="L527" t="s">
        <v>128</v>
      </c>
      <c r="M527" t="s">
        <v>33</v>
      </c>
      <c r="N527">
        <v>0</v>
      </c>
      <c r="O527" t="s">
        <v>27</v>
      </c>
      <c r="S527" s="3">
        <v>5100</v>
      </c>
      <c r="T527" s="2">
        <v>6524.48095703125</v>
      </c>
      <c r="U527" s="2">
        <v>5221.8839401731111</v>
      </c>
      <c r="V527" s="2">
        <v>5563.4523916769867</v>
      </c>
      <c r="W527" s="2">
        <v>5752.994140625</v>
      </c>
      <c r="X527" s="4">
        <f t="shared" si="32"/>
        <v>0.7816713748706513</v>
      </c>
      <c r="Y527" s="4">
        <f t="shared" si="33"/>
        <v>0.97665901012555434</v>
      </c>
      <c r="Z527" s="4">
        <f t="shared" si="34"/>
        <v>0.91669697895315527</v>
      </c>
      <c r="AA527" s="4">
        <f t="shared" si="35"/>
        <v>0.886494906015312</v>
      </c>
    </row>
    <row r="528" spans="1:27" x14ac:dyDescent="0.3">
      <c r="A528" t="s">
        <v>296</v>
      </c>
      <c r="B528">
        <v>84156</v>
      </c>
      <c r="C528">
        <v>2015</v>
      </c>
      <c r="D528" t="s">
        <v>226</v>
      </c>
      <c r="E528" t="s">
        <v>338</v>
      </c>
      <c r="F528">
        <v>4</v>
      </c>
      <c r="G528" t="s">
        <v>99</v>
      </c>
      <c r="H528">
        <v>2</v>
      </c>
      <c r="I528" t="s">
        <v>23</v>
      </c>
      <c r="J528" t="s">
        <v>209</v>
      </c>
      <c r="K528" t="s">
        <v>27</v>
      </c>
      <c r="L528" t="s">
        <v>127</v>
      </c>
      <c r="M528" t="s">
        <v>23</v>
      </c>
      <c r="N528">
        <v>2.7</v>
      </c>
      <c r="O528" t="s">
        <v>27</v>
      </c>
      <c r="S528" s="3">
        <v>6500</v>
      </c>
      <c r="T528" s="2">
        <v>4602.92138671875</v>
      </c>
      <c r="U528" s="2">
        <v>10522.688837126379</v>
      </c>
      <c r="V528" s="2">
        <v>10088.37465139611</v>
      </c>
      <c r="W528" s="2">
        <v>8737.9462890625</v>
      </c>
      <c r="X528" s="4">
        <f t="shared" si="32"/>
        <v>1.4121466464222205</v>
      </c>
      <c r="Y528" s="4">
        <f t="shared" si="33"/>
        <v>0.61771283942812782</v>
      </c>
      <c r="Z528" s="4">
        <f t="shared" si="34"/>
        <v>0.64430596846445209</v>
      </c>
      <c r="AA528" s="4">
        <f t="shared" si="35"/>
        <v>0.74388188997410165</v>
      </c>
    </row>
    <row r="529" spans="1:27" x14ac:dyDescent="0.3">
      <c r="A529" t="s">
        <v>296</v>
      </c>
      <c r="B529">
        <v>116815</v>
      </c>
      <c r="C529">
        <v>2012</v>
      </c>
      <c r="D529" t="s">
        <v>44</v>
      </c>
      <c r="E529" t="s">
        <v>95</v>
      </c>
      <c r="F529">
        <v>4</v>
      </c>
      <c r="G529" t="s">
        <v>36</v>
      </c>
      <c r="H529">
        <v>4</v>
      </c>
      <c r="I529" t="s">
        <v>23</v>
      </c>
      <c r="J529" t="s">
        <v>145</v>
      </c>
      <c r="K529" t="s">
        <v>27</v>
      </c>
      <c r="L529" t="s">
        <v>96</v>
      </c>
      <c r="M529" t="s">
        <v>33</v>
      </c>
      <c r="N529">
        <v>2.1</v>
      </c>
      <c r="O529" t="s">
        <v>199</v>
      </c>
      <c r="S529" s="3">
        <v>700</v>
      </c>
      <c r="T529" s="2">
        <v>1423.464477539062</v>
      </c>
      <c r="U529" s="2">
        <v>1230.072840175415</v>
      </c>
      <c r="V529" s="2">
        <v>1238.720309369603</v>
      </c>
      <c r="W529" s="2">
        <v>1251.601684570312</v>
      </c>
      <c r="X529" s="4">
        <f t="shared" si="32"/>
        <v>0.49175796870617089</v>
      </c>
      <c r="Y529" s="4">
        <f t="shared" si="33"/>
        <v>0.56907199081005333</v>
      </c>
      <c r="Z529" s="4">
        <f t="shared" si="34"/>
        <v>0.56509931637129363</v>
      </c>
      <c r="AA529" s="4">
        <f t="shared" si="35"/>
        <v>0.55928336357290642</v>
      </c>
    </row>
    <row r="530" spans="1:27" x14ac:dyDescent="0.3">
      <c r="A530" t="s">
        <v>296</v>
      </c>
      <c r="B530">
        <v>7884</v>
      </c>
      <c r="C530">
        <v>2023</v>
      </c>
      <c r="D530" t="s">
        <v>125</v>
      </c>
      <c r="E530" t="s">
        <v>126</v>
      </c>
      <c r="F530">
        <v>4</v>
      </c>
      <c r="G530" t="s">
        <v>36</v>
      </c>
      <c r="H530">
        <v>4</v>
      </c>
      <c r="I530" t="s">
        <v>23</v>
      </c>
      <c r="J530" t="s">
        <v>31</v>
      </c>
      <c r="K530" t="s">
        <v>27</v>
      </c>
      <c r="L530" t="s">
        <v>127</v>
      </c>
      <c r="M530" t="s">
        <v>33</v>
      </c>
      <c r="N530">
        <v>2</v>
      </c>
      <c r="O530" t="s">
        <v>27</v>
      </c>
      <c r="S530" s="3">
        <v>11750</v>
      </c>
      <c r="T530" s="2">
        <v>21117.7734375</v>
      </c>
      <c r="U530" s="2">
        <v>23895.1963356821</v>
      </c>
      <c r="V530" s="2">
        <v>18402.121678608819</v>
      </c>
      <c r="W530" s="2">
        <v>21435.7421875</v>
      </c>
      <c r="X530" s="4">
        <f t="shared" si="32"/>
        <v>0.5564033554377884</v>
      </c>
      <c r="Y530" s="4">
        <f t="shared" si="33"/>
        <v>0.49173063217120416</v>
      </c>
      <c r="Z530" s="4">
        <f t="shared" si="34"/>
        <v>0.63851333043072711</v>
      </c>
      <c r="AA530" s="4">
        <f t="shared" si="35"/>
        <v>0.54814990296215982</v>
      </c>
    </row>
    <row r="531" spans="1:27" x14ac:dyDescent="0.3">
      <c r="A531" t="s">
        <v>296</v>
      </c>
      <c r="B531">
        <v>108966</v>
      </c>
      <c r="C531">
        <v>2021</v>
      </c>
      <c r="D531" t="s">
        <v>100</v>
      </c>
      <c r="E531" t="s">
        <v>192</v>
      </c>
      <c r="F531">
        <v>4</v>
      </c>
      <c r="G531" t="s">
        <v>36</v>
      </c>
      <c r="H531">
        <v>4</v>
      </c>
      <c r="I531" t="s">
        <v>23</v>
      </c>
      <c r="J531" t="s">
        <v>31</v>
      </c>
      <c r="K531" t="s">
        <v>27</v>
      </c>
      <c r="L531" t="s">
        <v>127</v>
      </c>
      <c r="M531" t="s">
        <v>33</v>
      </c>
      <c r="N531">
        <v>2.8</v>
      </c>
      <c r="O531" t="s">
        <v>27</v>
      </c>
      <c r="S531" s="3">
        <v>5800</v>
      </c>
      <c r="T531" s="2">
        <v>7120.28076171875</v>
      </c>
      <c r="U531" s="2">
        <v>8962.3755664789896</v>
      </c>
      <c r="V531" s="2">
        <v>9367.748908293619</v>
      </c>
      <c r="W531" s="2">
        <v>8554.6640625</v>
      </c>
      <c r="X531" s="4">
        <f t="shared" si="32"/>
        <v>0.81457462059402697</v>
      </c>
      <c r="Y531" s="4">
        <f t="shared" si="33"/>
        <v>0.64714984961053368</v>
      </c>
      <c r="Z531" s="4">
        <f t="shared" si="34"/>
        <v>0.61914554465321359</v>
      </c>
      <c r="AA531" s="4">
        <f t="shared" si="35"/>
        <v>0.67799272509422404</v>
      </c>
    </row>
    <row r="532" spans="1:27" x14ac:dyDescent="0.3">
      <c r="A532" t="s">
        <v>296</v>
      </c>
      <c r="B532">
        <v>94594</v>
      </c>
      <c r="C532">
        <v>2020</v>
      </c>
      <c r="D532" t="s">
        <v>40</v>
      </c>
      <c r="E532" t="s">
        <v>150</v>
      </c>
      <c r="F532">
        <v>6</v>
      </c>
      <c r="G532" t="s">
        <v>36</v>
      </c>
      <c r="H532">
        <v>4</v>
      </c>
      <c r="I532" t="s">
        <v>23</v>
      </c>
      <c r="J532" t="s">
        <v>24</v>
      </c>
      <c r="K532" t="s">
        <v>27</v>
      </c>
      <c r="L532" t="s">
        <v>26</v>
      </c>
      <c r="M532" t="s">
        <v>33</v>
      </c>
      <c r="N532">
        <v>0</v>
      </c>
      <c r="O532" t="s">
        <v>27</v>
      </c>
      <c r="S532" s="3">
        <v>8750</v>
      </c>
      <c r="T532" s="2">
        <v>19730.134765625</v>
      </c>
      <c r="U532" s="2">
        <v>17660.578312660309</v>
      </c>
      <c r="V532" s="2">
        <v>16826.91835362342</v>
      </c>
      <c r="W532" s="2">
        <v>18632.623046875</v>
      </c>
      <c r="X532" s="4">
        <f t="shared" si="32"/>
        <v>0.44348404630488203</v>
      </c>
      <c r="Y532" s="4">
        <f t="shared" si="33"/>
        <v>0.49545376403259694</v>
      </c>
      <c r="Z532" s="4">
        <f t="shared" si="34"/>
        <v>0.52000014596349553</v>
      </c>
      <c r="AA532" s="4">
        <f t="shared" si="35"/>
        <v>0.46960645197335865</v>
      </c>
    </row>
    <row r="533" spans="1:27" x14ac:dyDescent="0.3">
      <c r="A533" t="s">
        <v>296</v>
      </c>
      <c r="B533">
        <v>111736</v>
      </c>
      <c r="C533">
        <v>2015</v>
      </c>
      <c r="D533" t="s">
        <v>100</v>
      </c>
      <c r="E533" t="s">
        <v>363</v>
      </c>
      <c r="F533">
        <v>4</v>
      </c>
      <c r="G533" t="s">
        <v>364</v>
      </c>
      <c r="H533">
        <v>4</v>
      </c>
      <c r="I533" t="s">
        <v>23</v>
      </c>
      <c r="J533" t="s">
        <v>24</v>
      </c>
      <c r="K533" t="s">
        <v>27</v>
      </c>
      <c r="L533" t="s">
        <v>87</v>
      </c>
      <c r="M533" t="s">
        <v>33</v>
      </c>
      <c r="N533">
        <v>1.8</v>
      </c>
      <c r="O533" t="s">
        <v>27</v>
      </c>
      <c r="S533" s="3">
        <v>2600</v>
      </c>
      <c r="T533" s="2">
        <v>2969.580810546875</v>
      </c>
      <c r="U533" s="2">
        <v>4284.2576960744736</v>
      </c>
      <c r="V533" s="2">
        <v>4342.1456272994146</v>
      </c>
      <c r="W533" s="2">
        <v>3849.2587890625</v>
      </c>
      <c r="X533" s="4">
        <f t="shared" si="32"/>
        <v>0.87554445084159427</v>
      </c>
      <c r="Y533" s="4">
        <f t="shared" si="33"/>
        <v>0.60687292512359736</v>
      </c>
      <c r="Z533" s="4">
        <f t="shared" si="34"/>
        <v>0.59878231251701775</v>
      </c>
      <c r="AA533" s="4">
        <f t="shared" si="35"/>
        <v>0.67545471543451063</v>
      </c>
    </row>
    <row r="534" spans="1:27" x14ac:dyDescent="0.3">
      <c r="A534" t="s">
        <v>296</v>
      </c>
      <c r="B534">
        <v>38424</v>
      </c>
      <c r="C534">
        <v>2023</v>
      </c>
      <c r="D534" t="s">
        <v>100</v>
      </c>
      <c r="E534" t="s">
        <v>300</v>
      </c>
      <c r="F534">
        <v>4</v>
      </c>
      <c r="G534" t="s">
        <v>47</v>
      </c>
      <c r="H534">
        <v>4</v>
      </c>
      <c r="I534" t="s">
        <v>23</v>
      </c>
      <c r="J534" t="s">
        <v>24</v>
      </c>
      <c r="L534" t="s">
        <v>87</v>
      </c>
      <c r="M534" t="s">
        <v>33</v>
      </c>
      <c r="N534">
        <v>4.3</v>
      </c>
      <c r="O534" t="s">
        <v>27</v>
      </c>
      <c r="S534" s="3">
        <v>13400</v>
      </c>
      <c r="T534" s="2">
        <v>17815.357421875</v>
      </c>
      <c r="U534" s="2">
        <v>22375.080561761741</v>
      </c>
      <c r="V534" s="2">
        <v>21963.819827835821</v>
      </c>
      <c r="W534" s="2">
        <v>19442.669921875</v>
      </c>
      <c r="X534" s="4">
        <f t="shared" si="32"/>
        <v>0.75216004274752857</v>
      </c>
      <c r="Y534" s="4">
        <f t="shared" si="33"/>
        <v>0.59888052527954461</v>
      </c>
      <c r="Z534" s="4">
        <f t="shared" si="34"/>
        <v>0.61009424157711978</v>
      </c>
      <c r="AA534" s="4">
        <f t="shared" si="35"/>
        <v>0.68920575486001667</v>
      </c>
    </row>
    <row r="535" spans="1:27" x14ac:dyDescent="0.3">
      <c r="A535" t="s">
        <v>296</v>
      </c>
      <c r="B535">
        <v>58991</v>
      </c>
      <c r="C535">
        <v>2019</v>
      </c>
      <c r="D535" t="s">
        <v>239</v>
      </c>
      <c r="E535" t="s">
        <v>365</v>
      </c>
      <c r="F535">
        <v>4</v>
      </c>
      <c r="G535" t="s">
        <v>36</v>
      </c>
      <c r="H535">
        <v>4</v>
      </c>
      <c r="I535" t="s">
        <v>23</v>
      </c>
      <c r="J535" t="s">
        <v>31</v>
      </c>
      <c r="K535" t="s">
        <v>27</v>
      </c>
      <c r="L535" t="s">
        <v>127</v>
      </c>
      <c r="M535" t="s">
        <v>78</v>
      </c>
      <c r="N535">
        <v>3.5</v>
      </c>
      <c r="O535" t="s">
        <v>27</v>
      </c>
      <c r="S535" s="3">
        <v>14200</v>
      </c>
      <c r="T535" s="2">
        <v>17403.66015625</v>
      </c>
      <c r="U535" s="2">
        <v>15618.28595919381</v>
      </c>
      <c r="V535" s="2">
        <v>16616.282729450191</v>
      </c>
      <c r="W535" s="2">
        <v>17566.779296875</v>
      </c>
      <c r="X535" s="4">
        <f t="shared" si="32"/>
        <v>0.81592032207664655</v>
      </c>
      <c r="Y535" s="4">
        <f t="shared" si="33"/>
        <v>0.9091906779720007</v>
      </c>
      <c r="Z535" s="4">
        <f t="shared" si="34"/>
        <v>0.85458343669323555</v>
      </c>
      <c r="AA535" s="4">
        <f t="shared" si="35"/>
        <v>0.80834396334256187</v>
      </c>
    </row>
    <row r="536" spans="1:27" x14ac:dyDescent="0.3">
      <c r="A536" t="s">
        <v>296</v>
      </c>
      <c r="B536">
        <v>234728</v>
      </c>
      <c r="C536">
        <v>2014</v>
      </c>
      <c r="D536" t="s">
        <v>44</v>
      </c>
      <c r="E536" t="s">
        <v>366</v>
      </c>
      <c r="F536">
        <v>6</v>
      </c>
      <c r="G536" t="s">
        <v>66</v>
      </c>
      <c r="H536">
        <v>4</v>
      </c>
      <c r="I536" t="s">
        <v>23</v>
      </c>
      <c r="J536" t="s">
        <v>62</v>
      </c>
      <c r="K536" t="s">
        <v>27</v>
      </c>
      <c r="L536" t="s">
        <v>38</v>
      </c>
      <c r="M536" t="s">
        <v>33</v>
      </c>
      <c r="N536">
        <v>1.8</v>
      </c>
      <c r="O536" t="s">
        <v>39</v>
      </c>
      <c r="S536" s="3">
        <v>800</v>
      </c>
      <c r="T536" s="2">
        <v>1616.029052734375</v>
      </c>
      <c r="U536" s="2">
        <v>1282.2984167391421</v>
      </c>
      <c r="V536" s="2">
        <v>937.41003792668198</v>
      </c>
      <c r="W536" s="2">
        <v>1635.956665039062</v>
      </c>
      <c r="X536" s="4">
        <f t="shared" si="32"/>
        <v>0.4950406050227707</v>
      </c>
      <c r="Y536" s="4">
        <f t="shared" si="33"/>
        <v>0.62387973778707706</v>
      </c>
      <c r="Z536" s="4">
        <f t="shared" si="34"/>
        <v>0.85341522667007186</v>
      </c>
      <c r="AA536" s="4">
        <f t="shared" si="35"/>
        <v>0.48901050809979629</v>
      </c>
    </row>
    <row r="537" spans="1:27" x14ac:dyDescent="0.3">
      <c r="A537" t="s">
        <v>296</v>
      </c>
      <c r="B537">
        <v>15246</v>
      </c>
      <c r="C537">
        <v>2024</v>
      </c>
      <c r="D537" t="s">
        <v>119</v>
      </c>
      <c r="E537" t="s">
        <v>120</v>
      </c>
      <c r="F537">
        <v>3</v>
      </c>
      <c r="G537" t="s">
        <v>36</v>
      </c>
      <c r="H537">
        <v>4</v>
      </c>
      <c r="I537" t="s">
        <v>23</v>
      </c>
      <c r="J537" t="s">
        <v>31</v>
      </c>
      <c r="L537" t="s">
        <v>121</v>
      </c>
      <c r="M537" t="s">
        <v>33</v>
      </c>
      <c r="N537">
        <v>4.2</v>
      </c>
      <c r="O537" t="s">
        <v>27</v>
      </c>
      <c r="S537" s="3">
        <v>12500</v>
      </c>
      <c r="T537" s="2">
        <v>14035.0498046875</v>
      </c>
      <c r="U537" s="2">
        <v>19804.313354476781</v>
      </c>
      <c r="V537" s="2">
        <v>17122.583581244959</v>
      </c>
      <c r="W537" s="2">
        <v>15086.8154296875</v>
      </c>
      <c r="X537" s="4">
        <f t="shared" si="32"/>
        <v>0.89062740595513845</v>
      </c>
      <c r="Y537" s="4">
        <f t="shared" si="33"/>
        <v>0.63117563210917205</v>
      </c>
      <c r="Z537" s="4">
        <f t="shared" si="34"/>
        <v>0.73003001799867062</v>
      </c>
      <c r="AA537" s="4">
        <f t="shared" si="35"/>
        <v>0.82853800778942244</v>
      </c>
    </row>
    <row r="538" spans="1:27" x14ac:dyDescent="0.3">
      <c r="A538" t="s">
        <v>296</v>
      </c>
      <c r="B538">
        <v>104799</v>
      </c>
      <c r="C538">
        <v>2013</v>
      </c>
      <c r="D538" t="s">
        <v>100</v>
      </c>
      <c r="E538" t="s">
        <v>367</v>
      </c>
      <c r="F538">
        <v>6</v>
      </c>
      <c r="G538" t="s">
        <v>59</v>
      </c>
      <c r="H538">
        <v>4</v>
      </c>
      <c r="I538" t="s">
        <v>23</v>
      </c>
      <c r="J538" t="s">
        <v>31</v>
      </c>
      <c r="K538" t="s">
        <v>27</v>
      </c>
      <c r="L538" t="s">
        <v>53</v>
      </c>
      <c r="M538" t="s">
        <v>33</v>
      </c>
      <c r="N538">
        <v>1.3</v>
      </c>
      <c r="O538" t="s">
        <v>27</v>
      </c>
      <c r="S538" s="3">
        <v>1500</v>
      </c>
      <c r="T538" s="2">
        <v>3013.712646484375</v>
      </c>
      <c r="U538" s="2">
        <v>3050.9085998578139</v>
      </c>
      <c r="V538" s="2">
        <v>3852.429882356158</v>
      </c>
      <c r="W538" s="2">
        <v>4020.81591796875</v>
      </c>
      <c r="X538" s="4">
        <f t="shared" si="32"/>
        <v>0.49772495786876508</v>
      </c>
      <c r="Y538" s="4">
        <f t="shared" si="33"/>
        <v>0.49165681334075584</v>
      </c>
      <c r="Z538" s="4">
        <f t="shared" si="34"/>
        <v>0.38936464667920068</v>
      </c>
      <c r="AA538" s="4">
        <f t="shared" si="35"/>
        <v>0.37305861064084112</v>
      </c>
    </row>
    <row r="539" spans="1:27" x14ac:dyDescent="0.3">
      <c r="A539" t="s">
        <v>296</v>
      </c>
      <c r="B539">
        <v>78879</v>
      </c>
      <c r="C539">
        <v>2021</v>
      </c>
      <c r="D539" t="s">
        <v>44</v>
      </c>
      <c r="E539" t="s">
        <v>284</v>
      </c>
      <c r="F539">
        <v>4</v>
      </c>
      <c r="G539" t="s">
        <v>66</v>
      </c>
      <c r="H539">
        <v>4</v>
      </c>
      <c r="I539" t="s">
        <v>23</v>
      </c>
      <c r="J539" t="s">
        <v>285</v>
      </c>
      <c r="K539" t="s">
        <v>27</v>
      </c>
      <c r="L539" t="s">
        <v>69</v>
      </c>
      <c r="M539" t="s">
        <v>78</v>
      </c>
      <c r="N539">
        <v>1.4</v>
      </c>
      <c r="O539" t="s">
        <v>27</v>
      </c>
      <c r="S539" s="3">
        <v>12750</v>
      </c>
      <c r="T539" s="2">
        <v>15556.833984375</v>
      </c>
      <c r="U539" s="2">
        <v>17861.026142127572</v>
      </c>
      <c r="V539" s="2">
        <v>10975.61368545989</v>
      </c>
      <c r="W539" s="2">
        <v>16173.361328125</v>
      </c>
      <c r="X539" s="4">
        <f t="shared" si="32"/>
        <v>0.81957550056816619</v>
      </c>
      <c r="Y539" s="4">
        <f t="shared" si="33"/>
        <v>0.71384476449129952</v>
      </c>
      <c r="Z539" s="4">
        <f t="shared" si="34"/>
        <v>1.161666250780196</v>
      </c>
      <c r="AA539" s="4">
        <f t="shared" si="35"/>
        <v>0.78833334279301137</v>
      </c>
    </row>
    <row r="540" spans="1:27" x14ac:dyDescent="0.3">
      <c r="A540" t="s">
        <v>296</v>
      </c>
      <c r="B540">
        <v>63557</v>
      </c>
      <c r="C540">
        <v>2018</v>
      </c>
      <c r="D540" t="s">
        <v>40</v>
      </c>
      <c r="E540" t="s">
        <v>63</v>
      </c>
      <c r="F540">
        <v>4</v>
      </c>
      <c r="G540" t="s">
        <v>22</v>
      </c>
      <c r="H540">
        <v>4</v>
      </c>
      <c r="I540" t="s">
        <v>23</v>
      </c>
      <c r="J540" t="s">
        <v>24</v>
      </c>
      <c r="K540" t="s">
        <v>27</v>
      </c>
      <c r="L540" t="s">
        <v>107</v>
      </c>
      <c r="M540" t="s">
        <v>33</v>
      </c>
      <c r="N540">
        <v>2.2000000000000002</v>
      </c>
      <c r="O540" t="s">
        <v>27</v>
      </c>
      <c r="S540" s="3">
        <v>9600</v>
      </c>
      <c r="T540" s="2">
        <v>10566.13671875</v>
      </c>
      <c r="U540" s="2">
        <v>10808.99130357395</v>
      </c>
      <c r="V540" s="2">
        <v>10038.129265947649</v>
      </c>
      <c r="W540" s="2">
        <v>11025.1494140625</v>
      </c>
      <c r="X540" s="4">
        <f t="shared" si="32"/>
        <v>0.90856291713171244</v>
      </c>
      <c r="Y540" s="4">
        <f t="shared" si="33"/>
        <v>0.88814947948249323</v>
      </c>
      <c r="Z540" s="4">
        <f t="shared" si="34"/>
        <v>0.9563534943274824</v>
      </c>
      <c r="AA540" s="4">
        <f t="shared" si="35"/>
        <v>0.87073649884102866</v>
      </c>
    </row>
    <row r="541" spans="1:27" x14ac:dyDescent="0.3">
      <c r="A541" t="s">
        <v>296</v>
      </c>
      <c r="B541">
        <v>96440</v>
      </c>
      <c r="C541">
        <v>2016</v>
      </c>
      <c r="D541" t="s">
        <v>54</v>
      </c>
      <c r="E541" t="s">
        <v>180</v>
      </c>
      <c r="F541">
        <v>4</v>
      </c>
      <c r="G541" t="s">
        <v>47</v>
      </c>
      <c r="H541">
        <v>4</v>
      </c>
      <c r="I541" t="s">
        <v>23</v>
      </c>
      <c r="J541" t="s">
        <v>24</v>
      </c>
      <c r="L541" t="s">
        <v>60</v>
      </c>
      <c r="M541" t="s">
        <v>33</v>
      </c>
      <c r="N541">
        <v>3.2</v>
      </c>
      <c r="O541" t="s">
        <v>27</v>
      </c>
      <c r="S541" s="3">
        <v>5600</v>
      </c>
      <c r="T541" s="2">
        <v>10354.15625</v>
      </c>
      <c r="U541" s="2">
        <v>9809.7123837021827</v>
      </c>
      <c r="V541" s="2">
        <v>7382.7569556979752</v>
      </c>
      <c r="W541" s="2">
        <v>9834.306640625</v>
      </c>
      <c r="X541" s="4">
        <f t="shared" si="32"/>
        <v>0.54084561453281144</v>
      </c>
      <c r="Y541" s="4">
        <f t="shared" si="33"/>
        <v>0.57086281238008751</v>
      </c>
      <c r="Z541" s="4">
        <f t="shared" si="34"/>
        <v>0.75852422524595609</v>
      </c>
      <c r="AA541" s="4">
        <f t="shared" si="35"/>
        <v>0.56943516250212256</v>
      </c>
    </row>
    <row r="542" spans="1:27" x14ac:dyDescent="0.3">
      <c r="A542" t="s">
        <v>296</v>
      </c>
      <c r="B542">
        <v>75521</v>
      </c>
      <c r="C542">
        <v>2018</v>
      </c>
      <c r="D542" t="s">
        <v>50</v>
      </c>
      <c r="E542" t="s">
        <v>51</v>
      </c>
      <c r="F542">
        <v>4</v>
      </c>
      <c r="G542" t="s">
        <v>47</v>
      </c>
      <c r="H542">
        <v>4</v>
      </c>
      <c r="I542" t="s">
        <v>23</v>
      </c>
      <c r="J542" t="s">
        <v>31</v>
      </c>
      <c r="K542" t="s">
        <v>27</v>
      </c>
      <c r="L542" t="s">
        <v>127</v>
      </c>
      <c r="M542" t="s">
        <v>78</v>
      </c>
      <c r="N542">
        <v>3.7</v>
      </c>
      <c r="O542" t="s">
        <v>27</v>
      </c>
      <c r="S542" s="3">
        <v>13600</v>
      </c>
      <c r="T542" s="2">
        <v>15244.20703125</v>
      </c>
      <c r="U542" s="2">
        <v>16068.543056508701</v>
      </c>
      <c r="V542" s="2">
        <v>14842.47628919305</v>
      </c>
      <c r="W542" s="2">
        <v>15771.548828125</v>
      </c>
      <c r="X542" s="4">
        <f t="shared" si="32"/>
        <v>0.89214217388418804</v>
      </c>
      <c r="Y542" s="4">
        <f t="shared" si="33"/>
        <v>0.84637418290958266</v>
      </c>
      <c r="Z542" s="4">
        <f t="shared" si="34"/>
        <v>0.91628915115076126</v>
      </c>
      <c r="AA542" s="4">
        <f t="shared" si="35"/>
        <v>0.8623122654730947</v>
      </c>
    </row>
    <row r="543" spans="1:27" x14ac:dyDescent="0.3">
      <c r="A543" t="s">
        <v>296</v>
      </c>
      <c r="B543">
        <v>86765</v>
      </c>
      <c r="C543">
        <v>2019</v>
      </c>
      <c r="D543" t="s">
        <v>125</v>
      </c>
      <c r="E543" t="s">
        <v>297</v>
      </c>
      <c r="F543">
        <v>4</v>
      </c>
      <c r="G543" t="s">
        <v>47</v>
      </c>
      <c r="H543">
        <v>4</v>
      </c>
      <c r="I543" t="s">
        <v>23</v>
      </c>
      <c r="J543" t="s">
        <v>24</v>
      </c>
      <c r="K543" t="s">
        <v>27</v>
      </c>
      <c r="L543" t="s">
        <v>127</v>
      </c>
      <c r="M543" t="s">
        <v>33</v>
      </c>
      <c r="N543">
        <v>2</v>
      </c>
      <c r="O543" t="s">
        <v>27</v>
      </c>
      <c r="S543" s="3">
        <v>4200</v>
      </c>
      <c r="T543" s="2">
        <v>9870.953125</v>
      </c>
      <c r="U543" s="2">
        <v>10709.275872954409</v>
      </c>
      <c r="V543" s="2">
        <v>8801.9470229902126</v>
      </c>
      <c r="W543" s="2">
        <v>10904.486328125</v>
      </c>
      <c r="X543" s="4">
        <f t="shared" si="32"/>
        <v>0.4254908261455248</v>
      </c>
      <c r="Y543" s="4">
        <f t="shared" si="33"/>
        <v>0.39218337914021162</v>
      </c>
      <c r="Z543" s="4">
        <f t="shared" si="34"/>
        <v>0.47716715279356098</v>
      </c>
      <c r="AA543" s="4">
        <f t="shared" si="35"/>
        <v>0.38516257195603087</v>
      </c>
    </row>
    <row r="544" spans="1:27" x14ac:dyDescent="0.3">
      <c r="A544" t="s">
        <v>296</v>
      </c>
      <c r="B544">
        <v>124803</v>
      </c>
      <c r="C544">
        <v>2015</v>
      </c>
      <c r="D544" t="s">
        <v>141</v>
      </c>
      <c r="E544" t="s">
        <v>259</v>
      </c>
      <c r="F544">
        <v>4</v>
      </c>
      <c r="G544" t="s">
        <v>47</v>
      </c>
      <c r="H544">
        <v>4</v>
      </c>
      <c r="I544" t="s">
        <v>23</v>
      </c>
      <c r="J544" t="s">
        <v>31</v>
      </c>
      <c r="K544" t="s">
        <v>27</v>
      </c>
      <c r="L544" t="s">
        <v>60</v>
      </c>
      <c r="M544" t="s">
        <v>33</v>
      </c>
      <c r="N544">
        <v>1.6</v>
      </c>
      <c r="O544" t="s">
        <v>27</v>
      </c>
      <c r="S544" s="3">
        <v>1700</v>
      </c>
      <c r="T544" s="2">
        <v>4634.0517578125</v>
      </c>
      <c r="U544" s="2">
        <v>4893.9606527023288</v>
      </c>
      <c r="V544" s="2">
        <v>4288.912814055253</v>
      </c>
      <c r="W544" s="2">
        <v>4397.8955078125</v>
      </c>
      <c r="X544" s="4">
        <f t="shared" si="32"/>
        <v>0.36684959272066558</v>
      </c>
      <c r="Y544" s="4">
        <f t="shared" si="33"/>
        <v>0.34736691212694987</v>
      </c>
      <c r="Z544" s="4">
        <f t="shared" si="34"/>
        <v>0.39637084587705013</v>
      </c>
      <c r="AA544" s="4">
        <f t="shared" si="35"/>
        <v>0.38654852007740742</v>
      </c>
    </row>
    <row r="545" spans="1:27" x14ac:dyDescent="0.3">
      <c r="A545" t="s">
        <v>296</v>
      </c>
      <c r="B545">
        <v>208892</v>
      </c>
      <c r="C545">
        <v>2003</v>
      </c>
      <c r="D545" t="s">
        <v>44</v>
      </c>
      <c r="E545" t="s">
        <v>368</v>
      </c>
      <c r="F545">
        <v>8</v>
      </c>
      <c r="G545" t="s">
        <v>36</v>
      </c>
      <c r="H545">
        <v>4</v>
      </c>
      <c r="I545" t="s">
        <v>23</v>
      </c>
      <c r="J545" t="s">
        <v>42</v>
      </c>
      <c r="L545" t="s">
        <v>80</v>
      </c>
      <c r="M545">
        <v>4</v>
      </c>
      <c r="N545">
        <v>0</v>
      </c>
      <c r="O545" t="s">
        <v>27</v>
      </c>
      <c r="S545" s="3">
        <v>1100</v>
      </c>
      <c r="T545" s="2">
        <v>6111.2041015625</v>
      </c>
      <c r="U545" s="2">
        <v>12034.062556949249</v>
      </c>
      <c r="V545" s="2">
        <v>5148.9972052065114</v>
      </c>
      <c r="W545" s="2">
        <v>4612.5771484375</v>
      </c>
      <c r="X545" s="4">
        <f t="shared" si="32"/>
        <v>0.17999726105020028</v>
      </c>
      <c r="Y545" s="4">
        <f t="shared" si="33"/>
        <v>9.1407203078297819E-2</v>
      </c>
      <c r="Z545" s="4">
        <f t="shared" si="34"/>
        <v>0.21363383124149166</v>
      </c>
      <c r="AA545" s="4">
        <f t="shared" si="35"/>
        <v>0.23847839604647533</v>
      </c>
    </row>
    <row r="546" spans="1:27" x14ac:dyDescent="0.3">
      <c r="A546" t="s">
        <v>296</v>
      </c>
      <c r="B546">
        <v>104131</v>
      </c>
      <c r="C546">
        <v>2016</v>
      </c>
      <c r="D546" t="s">
        <v>50</v>
      </c>
      <c r="E546" t="s">
        <v>369</v>
      </c>
      <c r="F546">
        <v>6</v>
      </c>
      <c r="G546" t="s">
        <v>36</v>
      </c>
      <c r="H546">
        <v>4</v>
      </c>
      <c r="I546" t="s">
        <v>23</v>
      </c>
      <c r="J546" t="s">
        <v>31</v>
      </c>
      <c r="K546" t="s">
        <v>27</v>
      </c>
      <c r="L546" t="s">
        <v>218</v>
      </c>
      <c r="M546" t="s">
        <v>23</v>
      </c>
      <c r="N546">
        <v>0</v>
      </c>
      <c r="O546" t="s">
        <v>27</v>
      </c>
      <c r="S546" s="3">
        <v>14500</v>
      </c>
      <c r="T546" s="2">
        <v>10273.5888671875</v>
      </c>
      <c r="U546" s="2">
        <v>10069.28655124856</v>
      </c>
      <c r="V546" s="2">
        <v>9834.9735456618509</v>
      </c>
      <c r="W546" s="2">
        <v>11956.078125</v>
      </c>
      <c r="X546" s="4">
        <f t="shared" si="32"/>
        <v>1.4113860489698109</v>
      </c>
      <c r="Y546" s="4">
        <f t="shared" si="33"/>
        <v>1.4400225801699966</v>
      </c>
      <c r="Z546" s="4">
        <f t="shared" si="34"/>
        <v>1.47433035103545</v>
      </c>
      <c r="AA546" s="4">
        <f t="shared" si="35"/>
        <v>1.2127722693347656</v>
      </c>
    </row>
    <row r="547" spans="1:27" x14ac:dyDescent="0.3">
      <c r="A547" t="s">
        <v>296</v>
      </c>
      <c r="B547">
        <v>160025</v>
      </c>
      <c r="C547">
        <v>2017</v>
      </c>
      <c r="D547" t="s">
        <v>81</v>
      </c>
      <c r="E547" t="s">
        <v>105</v>
      </c>
      <c r="F547">
        <v>6</v>
      </c>
      <c r="G547" t="s">
        <v>36</v>
      </c>
      <c r="H547">
        <v>4</v>
      </c>
      <c r="I547" t="s">
        <v>23</v>
      </c>
      <c r="J547" t="s">
        <v>106</v>
      </c>
      <c r="K547" t="s">
        <v>27</v>
      </c>
      <c r="L547" t="s">
        <v>26</v>
      </c>
      <c r="M547" t="s">
        <v>33</v>
      </c>
      <c r="N547">
        <v>2.6</v>
      </c>
      <c r="O547" t="s">
        <v>27</v>
      </c>
      <c r="S547" s="3">
        <v>2400</v>
      </c>
      <c r="T547" s="2">
        <v>4582.94775390625</v>
      </c>
      <c r="U547" s="2">
        <v>5730.8572662693214</v>
      </c>
      <c r="V547" s="2">
        <v>3959.1922977148538</v>
      </c>
      <c r="W547" s="2">
        <v>4506.5869140625</v>
      </c>
      <c r="X547" s="4">
        <f t="shared" si="32"/>
        <v>0.5236804189954759</v>
      </c>
      <c r="Y547" s="4">
        <f t="shared" si="33"/>
        <v>0.41878551296782762</v>
      </c>
      <c r="Z547" s="4">
        <f t="shared" si="34"/>
        <v>0.60618424656595227</v>
      </c>
      <c r="AA547" s="4">
        <f t="shared" si="35"/>
        <v>0.53255380308121036</v>
      </c>
    </row>
    <row r="548" spans="1:27" x14ac:dyDescent="0.3">
      <c r="A548" t="s">
        <v>296</v>
      </c>
      <c r="B548">
        <v>80549</v>
      </c>
      <c r="C548">
        <v>2018</v>
      </c>
      <c r="D548" t="s">
        <v>125</v>
      </c>
      <c r="E548" t="s">
        <v>306</v>
      </c>
      <c r="F548">
        <v>4</v>
      </c>
      <c r="G548" t="s">
        <v>22</v>
      </c>
      <c r="H548">
        <v>4</v>
      </c>
      <c r="I548" t="s">
        <v>23</v>
      </c>
      <c r="J548" t="s">
        <v>24</v>
      </c>
      <c r="K548" t="s">
        <v>27</v>
      </c>
      <c r="L548" t="s">
        <v>60</v>
      </c>
      <c r="M548" t="s">
        <v>33</v>
      </c>
      <c r="N548">
        <v>3.2</v>
      </c>
      <c r="O548" t="s">
        <v>27</v>
      </c>
      <c r="S548" s="3">
        <v>8600</v>
      </c>
      <c r="T548" s="2">
        <v>11823.8955078125</v>
      </c>
      <c r="U548" s="2">
        <v>11485.116168672799</v>
      </c>
      <c r="V548" s="2">
        <v>8608.5004939780756</v>
      </c>
      <c r="W548" s="2">
        <v>12060.861328125</v>
      </c>
      <c r="X548" s="4">
        <f t="shared" si="32"/>
        <v>0.72734066317802382</v>
      </c>
      <c r="Y548" s="4">
        <f t="shared" si="33"/>
        <v>0.74879521231641155</v>
      </c>
      <c r="Z548" s="4">
        <f t="shared" si="34"/>
        <v>0.9990125464958709</v>
      </c>
      <c r="AA548" s="4">
        <f t="shared" si="35"/>
        <v>0.71305023464165551</v>
      </c>
    </row>
    <row r="549" spans="1:27" x14ac:dyDescent="0.3">
      <c r="A549" t="s">
        <v>296</v>
      </c>
      <c r="B549">
        <v>112920</v>
      </c>
      <c r="C549">
        <v>2015</v>
      </c>
      <c r="D549" t="s">
        <v>40</v>
      </c>
      <c r="E549" t="s">
        <v>208</v>
      </c>
      <c r="F549">
        <v>6</v>
      </c>
      <c r="G549" t="s">
        <v>66</v>
      </c>
      <c r="H549">
        <v>2</v>
      </c>
      <c r="I549" t="s">
        <v>23</v>
      </c>
      <c r="J549" t="s">
        <v>209</v>
      </c>
      <c r="L549" t="s">
        <v>26</v>
      </c>
      <c r="M549" t="s">
        <v>78</v>
      </c>
      <c r="N549">
        <v>1.9</v>
      </c>
      <c r="O549" t="s">
        <v>39</v>
      </c>
      <c r="S549" s="3">
        <v>5300</v>
      </c>
      <c r="T549" s="2">
        <v>5700.6767578125</v>
      </c>
      <c r="U549" s="2">
        <v>6721.3075278294973</v>
      </c>
      <c r="V549" s="2">
        <v>5121.0912473731123</v>
      </c>
      <c r="W549" s="2">
        <v>5972.52685546875</v>
      </c>
      <c r="X549" s="4">
        <f t="shared" si="32"/>
        <v>0.92971417695918435</v>
      </c>
      <c r="Y549" s="4">
        <f t="shared" si="33"/>
        <v>0.78853704849174222</v>
      </c>
      <c r="Z549" s="4">
        <f t="shared" si="34"/>
        <v>1.0349356697595771</v>
      </c>
      <c r="AA549" s="4">
        <f t="shared" si="35"/>
        <v>0.88739659582226071</v>
      </c>
    </row>
    <row r="550" spans="1:27" x14ac:dyDescent="0.3">
      <c r="A550" t="s">
        <v>135</v>
      </c>
      <c r="B550">
        <v>101670</v>
      </c>
      <c r="C550">
        <v>2021</v>
      </c>
      <c r="D550" t="s">
        <v>20</v>
      </c>
      <c r="E550" t="s">
        <v>151</v>
      </c>
      <c r="F550">
        <v>6</v>
      </c>
      <c r="G550" t="s">
        <v>66</v>
      </c>
      <c r="H550">
        <v>4</v>
      </c>
      <c r="I550" t="s">
        <v>23</v>
      </c>
      <c r="J550" t="s">
        <v>42</v>
      </c>
      <c r="K550" t="s">
        <v>27</v>
      </c>
      <c r="L550" t="s">
        <v>218</v>
      </c>
      <c r="M550">
        <v>4</v>
      </c>
      <c r="N550">
        <v>3.1</v>
      </c>
      <c r="O550" t="s">
        <v>27</v>
      </c>
      <c r="S550" s="3">
        <v>30750</v>
      </c>
      <c r="T550" s="2">
        <v>25049.1484375</v>
      </c>
      <c r="U550" s="2">
        <v>27382.983092597759</v>
      </c>
      <c r="V550" s="2">
        <v>32365.427037137</v>
      </c>
      <c r="W550" s="2">
        <v>27864.89453125</v>
      </c>
      <c r="X550" s="4">
        <f t="shared" si="32"/>
        <v>1.2275866413871979</v>
      </c>
      <c r="Y550" s="4">
        <f t="shared" si="33"/>
        <v>1.1229601937822626</v>
      </c>
      <c r="Z550" s="4">
        <f t="shared" si="34"/>
        <v>0.95008788126653132</v>
      </c>
      <c r="AA550" s="4">
        <f t="shared" si="35"/>
        <v>1.1035390772972209</v>
      </c>
    </row>
    <row r="551" spans="1:27" x14ac:dyDescent="0.3">
      <c r="A551" t="s">
        <v>135</v>
      </c>
      <c r="B551">
        <v>241791</v>
      </c>
      <c r="C551">
        <v>2013</v>
      </c>
      <c r="D551" t="s">
        <v>40</v>
      </c>
      <c r="E551" t="s">
        <v>41</v>
      </c>
      <c r="F551">
        <v>8</v>
      </c>
      <c r="G551" t="s">
        <v>30</v>
      </c>
      <c r="H551">
        <v>4</v>
      </c>
      <c r="I551" t="s">
        <v>23</v>
      </c>
      <c r="J551" t="s">
        <v>42</v>
      </c>
      <c r="K551" t="s">
        <v>27</v>
      </c>
      <c r="L551" t="s">
        <v>43</v>
      </c>
      <c r="M551" t="s">
        <v>78</v>
      </c>
      <c r="N551">
        <v>0</v>
      </c>
      <c r="O551" t="s">
        <v>27</v>
      </c>
      <c r="S551" s="3">
        <v>3000</v>
      </c>
      <c r="T551" s="2">
        <v>6180.8896484375</v>
      </c>
      <c r="U551" s="2">
        <v>12512.82679589972</v>
      </c>
      <c r="V551" s="2">
        <v>2012.370104608761</v>
      </c>
      <c r="W551" s="2">
        <v>7368.37255859375</v>
      </c>
      <c r="X551" s="4">
        <f t="shared" si="32"/>
        <v>0.48536702168083296</v>
      </c>
      <c r="Y551" s="4">
        <f t="shared" si="33"/>
        <v>0.23975397797267187</v>
      </c>
      <c r="Z551" s="4">
        <f t="shared" si="34"/>
        <v>1.4907794511205239</v>
      </c>
      <c r="AA551" s="4">
        <f t="shared" si="35"/>
        <v>0.40714553670350084</v>
      </c>
    </row>
    <row r="552" spans="1:27" x14ac:dyDescent="0.3">
      <c r="A552" t="s">
        <v>135</v>
      </c>
      <c r="B552">
        <v>115929</v>
      </c>
      <c r="C552">
        <v>2016</v>
      </c>
      <c r="D552" t="s">
        <v>159</v>
      </c>
      <c r="E552" t="s">
        <v>361</v>
      </c>
      <c r="F552">
        <v>6</v>
      </c>
      <c r="G552" t="s">
        <v>47</v>
      </c>
      <c r="H552">
        <v>4</v>
      </c>
      <c r="I552" t="s">
        <v>23</v>
      </c>
      <c r="J552" t="s">
        <v>62</v>
      </c>
      <c r="K552" t="s">
        <v>27</v>
      </c>
      <c r="L552" t="s">
        <v>198</v>
      </c>
      <c r="M552" t="s">
        <v>33</v>
      </c>
      <c r="N552">
        <v>4.5999999999999899</v>
      </c>
      <c r="O552" t="s">
        <v>27</v>
      </c>
      <c r="S552" s="3">
        <v>7800</v>
      </c>
      <c r="T552" s="2">
        <v>8480.9541015625</v>
      </c>
      <c r="U552" s="2">
        <v>10967.512934073309</v>
      </c>
      <c r="V552" s="2">
        <v>9229.4605372392798</v>
      </c>
      <c r="W552" s="2">
        <v>10398.3671875</v>
      </c>
      <c r="X552" s="4">
        <f t="shared" si="32"/>
        <v>0.91970784260734961</v>
      </c>
      <c r="Y552" s="4">
        <f t="shared" si="33"/>
        <v>0.71119131993611406</v>
      </c>
      <c r="Z552" s="4">
        <f t="shared" si="34"/>
        <v>0.845119816973955</v>
      </c>
      <c r="AA552" s="4">
        <f t="shared" si="35"/>
        <v>0.75011776939137831</v>
      </c>
    </row>
    <row r="553" spans="1:27" x14ac:dyDescent="0.3">
      <c r="A553" t="s">
        <v>135</v>
      </c>
      <c r="B553">
        <v>64013</v>
      </c>
      <c r="C553">
        <v>2016</v>
      </c>
      <c r="D553" t="s">
        <v>119</v>
      </c>
      <c r="E553" t="s">
        <v>370</v>
      </c>
      <c r="F553">
        <v>4</v>
      </c>
      <c r="G553" t="s">
        <v>36</v>
      </c>
      <c r="H553">
        <v>4</v>
      </c>
      <c r="I553" t="s">
        <v>23</v>
      </c>
      <c r="J553" t="s">
        <v>31</v>
      </c>
      <c r="K553" t="s">
        <v>27</v>
      </c>
      <c r="L553" t="s">
        <v>127</v>
      </c>
      <c r="M553" t="s">
        <v>33</v>
      </c>
      <c r="N553">
        <v>0</v>
      </c>
      <c r="O553" t="s">
        <v>27</v>
      </c>
      <c r="S553" s="3">
        <v>1700</v>
      </c>
      <c r="T553" s="2">
        <v>7706.19970703125</v>
      </c>
      <c r="U553" s="2">
        <v>8892.6263219076391</v>
      </c>
      <c r="V553" s="2">
        <v>8490.0950875978415</v>
      </c>
      <c r="W553" s="2">
        <v>8158.6162109375</v>
      </c>
      <c r="X553" s="4">
        <f t="shared" si="32"/>
        <v>0.22060160190877159</v>
      </c>
      <c r="Y553" s="4">
        <f t="shared" si="33"/>
        <v>0.19116962058913067</v>
      </c>
      <c r="Z553" s="4">
        <f t="shared" si="34"/>
        <v>0.20023332865651003</v>
      </c>
      <c r="AA553" s="4">
        <f t="shared" si="35"/>
        <v>0.20836866890747571</v>
      </c>
    </row>
    <row r="554" spans="1:27" x14ac:dyDescent="0.3">
      <c r="A554" t="s">
        <v>135</v>
      </c>
      <c r="B554">
        <v>104007</v>
      </c>
      <c r="C554">
        <v>2018</v>
      </c>
      <c r="D554" t="s">
        <v>44</v>
      </c>
      <c r="E554" t="s">
        <v>45</v>
      </c>
      <c r="F554">
        <v>8</v>
      </c>
      <c r="G554" t="s">
        <v>30</v>
      </c>
      <c r="H554">
        <v>4</v>
      </c>
      <c r="I554" t="s">
        <v>23</v>
      </c>
      <c r="J554" t="s">
        <v>156</v>
      </c>
      <c r="K554" t="s">
        <v>27</v>
      </c>
      <c r="L554" t="s">
        <v>48</v>
      </c>
      <c r="M554">
        <v>4</v>
      </c>
      <c r="N554">
        <v>4.5999999999999899</v>
      </c>
      <c r="O554" t="s">
        <v>27</v>
      </c>
      <c r="S554" s="3">
        <v>13000</v>
      </c>
      <c r="T554" s="2">
        <v>15430.5439453125</v>
      </c>
      <c r="U554" s="2">
        <v>24484.9357601796</v>
      </c>
      <c r="V554" s="2">
        <v>16520.595011981652</v>
      </c>
      <c r="W554" s="2">
        <v>15667.7236328125</v>
      </c>
      <c r="X554" s="4">
        <f t="shared" si="32"/>
        <v>0.84248488232646834</v>
      </c>
      <c r="Y554" s="4">
        <f t="shared" si="33"/>
        <v>0.53093870154816547</v>
      </c>
      <c r="Z554" s="4">
        <f t="shared" si="34"/>
        <v>0.78689659728185812</v>
      </c>
      <c r="AA554" s="4">
        <f t="shared" si="35"/>
        <v>0.82973125545656445</v>
      </c>
    </row>
    <row r="555" spans="1:27" x14ac:dyDescent="0.3">
      <c r="A555" t="s">
        <v>135</v>
      </c>
      <c r="B555">
        <v>105120</v>
      </c>
      <c r="C555">
        <v>2017</v>
      </c>
      <c r="D555" t="s">
        <v>40</v>
      </c>
      <c r="E555" t="s">
        <v>371</v>
      </c>
      <c r="F555">
        <v>8</v>
      </c>
      <c r="G555" t="s">
        <v>47</v>
      </c>
      <c r="H555">
        <v>3</v>
      </c>
      <c r="I555" t="s">
        <v>23</v>
      </c>
      <c r="J555" t="s">
        <v>113</v>
      </c>
      <c r="L555" t="s">
        <v>334</v>
      </c>
      <c r="M555" t="s">
        <v>78</v>
      </c>
      <c r="N555">
        <v>2.2000000000000002</v>
      </c>
      <c r="O555" t="s">
        <v>27</v>
      </c>
      <c r="S555" s="3">
        <v>14250</v>
      </c>
      <c r="T555" s="2">
        <v>14114.9130859375</v>
      </c>
      <c r="U555" s="2">
        <v>20753.542808451639</v>
      </c>
      <c r="V555" s="2">
        <v>12119.431578251881</v>
      </c>
      <c r="W555" s="2">
        <v>17463.25390625</v>
      </c>
      <c r="X555" s="4">
        <f t="shared" si="32"/>
        <v>1.0095705098033572</v>
      </c>
      <c r="Y555" s="4">
        <f t="shared" si="33"/>
        <v>0.6866297543278661</v>
      </c>
      <c r="Z555" s="4">
        <f t="shared" si="34"/>
        <v>1.1757977185639126</v>
      </c>
      <c r="AA555" s="4">
        <f t="shared" si="35"/>
        <v>0.81599913031671634</v>
      </c>
    </row>
    <row r="556" spans="1:27" x14ac:dyDescent="0.3">
      <c r="A556" t="s">
        <v>135</v>
      </c>
      <c r="B556">
        <v>89319</v>
      </c>
      <c r="C556">
        <v>2020</v>
      </c>
      <c r="D556" t="s">
        <v>44</v>
      </c>
      <c r="E556" t="s">
        <v>45</v>
      </c>
      <c r="F556">
        <v>8</v>
      </c>
      <c r="G556" t="s">
        <v>36</v>
      </c>
      <c r="H556">
        <v>4</v>
      </c>
      <c r="I556" t="s">
        <v>23</v>
      </c>
      <c r="J556" t="s">
        <v>46</v>
      </c>
      <c r="K556" t="s">
        <v>27</v>
      </c>
      <c r="L556" t="s">
        <v>48</v>
      </c>
      <c r="M556" t="s">
        <v>78</v>
      </c>
      <c r="N556">
        <v>4.5999999999999899</v>
      </c>
      <c r="O556" t="s">
        <v>27</v>
      </c>
      <c r="S556" s="3">
        <v>23250</v>
      </c>
      <c r="T556" s="2">
        <v>38128.59375</v>
      </c>
      <c r="U556" s="2">
        <v>35199.108952010931</v>
      </c>
      <c r="V556" s="2">
        <v>20109.557825147149</v>
      </c>
      <c r="W556" s="2">
        <v>27463.0625</v>
      </c>
      <c r="X556" s="4">
        <f t="shared" si="32"/>
        <v>0.60977858644472038</v>
      </c>
      <c r="Y556" s="4">
        <f t="shared" si="33"/>
        <v>0.66052808415400877</v>
      </c>
      <c r="Z556" s="4">
        <f t="shared" si="34"/>
        <v>1.1561666448441599</v>
      </c>
      <c r="AA556" s="4">
        <f t="shared" si="35"/>
        <v>0.84659167199579433</v>
      </c>
    </row>
    <row r="557" spans="1:27" x14ac:dyDescent="0.3">
      <c r="A557" t="s">
        <v>135</v>
      </c>
      <c r="B557">
        <v>78714</v>
      </c>
      <c r="C557">
        <v>2020</v>
      </c>
      <c r="D557" t="s">
        <v>81</v>
      </c>
      <c r="E557" t="s">
        <v>201</v>
      </c>
      <c r="F557">
        <v>4</v>
      </c>
      <c r="G557" t="s">
        <v>66</v>
      </c>
      <c r="H557">
        <v>4</v>
      </c>
      <c r="I557" t="s">
        <v>23</v>
      </c>
      <c r="J557" t="s">
        <v>24</v>
      </c>
      <c r="K557" t="s">
        <v>27</v>
      </c>
      <c r="L557" t="s">
        <v>60</v>
      </c>
      <c r="M557" t="s">
        <v>33</v>
      </c>
      <c r="N557">
        <v>4.4000000000000004</v>
      </c>
      <c r="O557" t="s">
        <v>27</v>
      </c>
      <c r="S557" s="3">
        <v>11750</v>
      </c>
      <c r="T557" s="2">
        <v>14051.6318359375</v>
      </c>
      <c r="U557" s="2">
        <v>14027.48006919836</v>
      </c>
      <c r="V557" s="2">
        <v>12113.9006530273</v>
      </c>
      <c r="W557" s="2">
        <v>14278.9951171875</v>
      </c>
      <c r="X557" s="4">
        <f t="shared" si="32"/>
        <v>0.83620181180302466</v>
      </c>
      <c r="Y557" s="4">
        <f t="shared" si="33"/>
        <v>0.83764153946657416</v>
      </c>
      <c r="Z557" s="4">
        <f t="shared" si="34"/>
        <v>0.96996007615958446</v>
      </c>
      <c r="AA557" s="4">
        <f t="shared" si="35"/>
        <v>0.82288703816815711</v>
      </c>
    </row>
    <row r="558" spans="1:27" x14ac:dyDescent="0.3">
      <c r="A558" t="s">
        <v>135</v>
      </c>
      <c r="B558">
        <v>138637</v>
      </c>
      <c r="C558">
        <v>2017</v>
      </c>
      <c r="D558" t="s">
        <v>34</v>
      </c>
      <c r="E558" t="s">
        <v>262</v>
      </c>
      <c r="F558">
        <v>8</v>
      </c>
      <c r="G558" t="s">
        <v>36</v>
      </c>
      <c r="H558">
        <v>4</v>
      </c>
      <c r="I558" t="s">
        <v>23</v>
      </c>
      <c r="J558" t="s">
        <v>46</v>
      </c>
      <c r="K558" t="s">
        <v>27</v>
      </c>
      <c r="L558" t="s">
        <v>354</v>
      </c>
      <c r="M558" t="s">
        <v>78</v>
      </c>
      <c r="N558">
        <v>0</v>
      </c>
      <c r="O558" t="s">
        <v>27</v>
      </c>
      <c r="S558" s="3">
        <v>21500</v>
      </c>
      <c r="T558" s="2">
        <v>19992.701171875</v>
      </c>
      <c r="U558" s="2">
        <v>18427.96730213919</v>
      </c>
      <c r="V558" s="2">
        <v>15319.982954548101</v>
      </c>
      <c r="W558" s="2">
        <v>17974.400390625</v>
      </c>
      <c r="X558" s="4">
        <f t="shared" si="32"/>
        <v>1.0753924552348841</v>
      </c>
      <c r="Y558" s="4">
        <f t="shared" si="33"/>
        <v>1.1667049136506877</v>
      </c>
      <c r="Z558" s="4">
        <f t="shared" si="34"/>
        <v>1.403395817331325</v>
      </c>
      <c r="AA558" s="4">
        <f t="shared" si="35"/>
        <v>1.1961456033445135</v>
      </c>
    </row>
    <row r="559" spans="1:27" x14ac:dyDescent="0.3">
      <c r="A559" t="s">
        <v>135</v>
      </c>
      <c r="B559">
        <v>112677</v>
      </c>
      <c r="C559">
        <v>2018</v>
      </c>
      <c r="D559" t="s">
        <v>141</v>
      </c>
      <c r="E559" t="s">
        <v>258</v>
      </c>
      <c r="F559">
        <v>6</v>
      </c>
      <c r="G559" t="s">
        <v>22</v>
      </c>
      <c r="H559">
        <v>4</v>
      </c>
      <c r="I559" t="s">
        <v>23</v>
      </c>
      <c r="J559" t="s">
        <v>106</v>
      </c>
      <c r="K559" t="s">
        <v>27</v>
      </c>
      <c r="L559" t="s">
        <v>26</v>
      </c>
      <c r="M559" t="s">
        <v>33</v>
      </c>
      <c r="N559">
        <v>0</v>
      </c>
      <c r="O559" t="s">
        <v>27</v>
      </c>
      <c r="S559" s="3">
        <v>4600</v>
      </c>
      <c r="T559" s="2">
        <v>12878.84375</v>
      </c>
      <c r="U559" s="2">
        <v>12214.9724008626</v>
      </c>
      <c r="V559" s="2">
        <v>11750.137434042819</v>
      </c>
      <c r="W559" s="2">
        <v>11261.1240234375</v>
      </c>
      <c r="X559" s="4">
        <f t="shared" si="32"/>
        <v>0.35717492107938648</v>
      </c>
      <c r="Y559" s="4">
        <f t="shared" si="33"/>
        <v>0.37658701542994533</v>
      </c>
      <c r="Z559" s="4">
        <f t="shared" si="34"/>
        <v>0.39148478269477549</v>
      </c>
      <c r="AA559" s="4">
        <f t="shared" si="35"/>
        <v>0.40848497809154161</v>
      </c>
    </row>
    <row r="560" spans="1:27" x14ac:dyDescent="0.3">
      <c r="A560" t="s">
        <v>296</v>
      </c>
      <c r="B560">
        <v>52884</v>
      </c>
      <c r="C560">
        <v>2023</v>
      </c>
      <c r="D560" t="s">
        <v>85</v>
      </c>
      <c r="E560" t="s">
        <v>372</v>
      </c>
      <c r="F560">
        <v>4</v>
      </c>
      <c r="G560" t="s">
        <v>36</v>
      </c>
      <c r="H560">
        <v>4</v>
      </c>
      <c r="I560" t="s">
        <v>23</v>
      </c>
      <c r="J560" t="s">
        <v>31</v>
      </c>
      <c r="K560" t="s">
        <v>27</v>
      </c>
      <c r="L560" t="s">
        <v>127</v>
      </c>
      <c r="M560" t="s">
        <v>33</v>
      </c>
      <c r="N560">
        <v>3.8</v>
      </c>
      <c r="O560" t="s">
        <v>27</v>
      </c>
      <c r="S560" s="3">
        <v>13250</v>
      </c>
      <c r="T560" s="2">
        <v>21704.462890625</v>
      </c>
      <c r="U560" s="2">
        <v>22279.18945452679</v>
      </c>
      <c r="V560" s="2">
        <v>16970.269818411121</v>
      </c>
      <c r="W560" s="2">
        <v>19057.65234375</v>
      </c>
      <c r="X560" s="4">
        <f t="shared" si="32"/>
        <v>0.61047352642498187</v>
      </c>
      <c r="Y560" s="4">
        <f t="shared" si="33"/>
        <v>0.59472540628302806</v>
      </c>
      <c r="Z560" s="4">
        <f t="shared" si="34"/>
        <v>0.78077721461004801</v>
      </c>
      <c r="AA560" s="4">
        <f t="shared" si="35"/>
        <v>0.69525877379882872</v>
      </c>
    </row>
    <row r="561" spans="1:27" x14ac:dyDescent="0.3">
      <c r="A561" t="s">
        <v>296</v>
      </c>
      <c r="B561">
        <v>81001</v>
      </c>
      <c r="C561">
        <v>2019</v>
      </c>
      <c r="D561" t="s">
        <v>44</v>
      </c>
      <c r="E561" t="s">
        <v>210</v>
      </c>
      <c r="F561">
        <v>4</v>
      </c>
      <c r="G561" t="s">
        <v>59</v>
      </c>
      <c r="H561">
        <v>4</v>
      </c>
      <c r="I561" t="s">
        <v>23</v>
      </c>
      <c r="J561" t="s">
        <v>37</v>
      </c>
      <c r="K561" t="s">
        <v>27</v>
      </c>
      <c r="L561" t="s">
        <v>200</v>
      </c>
      <c r="M561" t="s">
        <v>33</v>
      </c>
      <c r="N561">
        <v>1.8</v>
      </c>
      <c r="O561" t="s">
        <v>27</v>
      </c>
      <c r="S561" s="3">
        <v>7400</v>
      </c>
      <c r="T561" s="2">
        <v>7574.1435546875</v>
      </c>
      <c r="U561" s="2">
        <v>9137.1494504818256</v>
      </c>
      <c r="V561" s="2">
        <v>9217.0945962644491</v>
      </c>
      <c r="W561" s="2">
        <v>7708.05810546875</v>
      </c>
      <c r="X561" s="4">
        <f t="shared" si="32"/>
        <v>0.97700815235014582</v>
      </c>
      <c r="Y561" s="4">
        <f t="shared" si="33"/>
        <v>0.80988059132706636</v>
      </c>
      <c r="Z561" s="4">
        <f t="shared" si="34"/>
        <v>0.8028560326373464</v>
      </c>
      <c r="AA561" s="4">
        <f t="shared" si="35"/>
        <v>0.96003427825094012</v>
      </c>
    </row>
    <row r="562" spans="1:27" x14ac:dyDescent="0.3">
      <c r="A562" t="s">
        <v>296</v>
      </c>
      <c r="B562">
        <v>154659</v>
      </c>
      <c r="C562">
        <v>2013</v>
      </c>
      <c r="D562" t="s">
        <v>54</v>
      </c>
      <c r="E562" t="s">
        <v>219</v>
      </c>
      <c r="F562">
        <v>8</v>
      </c>
      <c r="G562" t="s">
        <v>22</v>
      </c>
      <c r="H562">
        <v>4</v>
      </c>
      <c r="I562" t="s">
        <v>23</v>
      </c>
      <c r="J562" t="s">
        <v>24</v>
      </c>
      <c r="K562" t="s">
        <v>27</v>
      </c>
      <c r="L562" t="s">
        <v>84</v>
      </c>
      <c r="M562" t="s">
        <v>78</v>
      </c>
      <c r="N562">
        <v>1.8</v>
      </c>
      <c r="O562" t="s">
        <v>27</v>
      </c>
      <c r="S562" s="3">
        <v>3200</v>
      </c>
      <c r="T562" s="2">
        <v>6015.0517578125</v>
      </c>
      <c r="U562" s="2">
        <v>7571.2497339836127</v>
      </c>
      <c r="V562" s="2">
        <v>3596.6227083068638</v>
      </c>
      <c r="W562" s="2">
        <v>6372.42333984375</v>
      </c>
      <c r="X562" s="4">
        <f t="shared" si="32"/>
        <v>0.53199874728322327</v>
      </c>
      <c r="Y562" s="4">
        <f t="shared" si="33"/>
        <v>0.42265149247907852</v>
      </c>
      <c r="Z562" s="4">
        <f t="shared" si="34"/>
        <v>0.88972357111831257</v>
      </c>
      <c r="AA562" s="4">
        <f t="shared" si="35"/>
        <v>0.50216374985508461</v>
      </c>
    </row>
    <row r="563" spans="1:27" x14ac:dyDescent="0.3">
      <c r="A563" t="s">
        <v>296</v>
      </c>
      <c r="B563">
        <v>112771</v>
      </c>
      <c r="C563">
        <v>2018</v>
      </c>
      <c r="D563" t="s">
        <v>373</v>
      </c>
      <c r="E563" t="s">
        <v>374</v>
      </c>
      <c r="F563">
        <v>4</v>
      </c>
      <c r="G563" t="s">
        <v>47</v>
      </c>
      <c r="H563">
        <v>4</v>
      </c>
      <c r="I563" t="s">
        <v>23</v>
      </c>
      <c r="J563" t="s">
        <v>24</v>
      </c>
      <c r="K563" t="s">
        <v>27</v>
      </c>
      <c r="L563" t="s">
        <v>127</v>
      </c>
      <c r="M563" t="s">
        <v>23</v>
      </c>
      <c r="N563">
        <v>3.7</v>
      </c>
      <c r="O563" t="s">
        <v>27</v>
      </c>
      <c r="S563" s="3">
        <v>6400</v>
      </c>
      <c r="T563" s="2">
        <v>11538.2431640625</v>
      </c>
      <c r="U563" s="2">
        <v>11632.960622611359</v>
      </c>
      <c r="V563" s="2">
        <v>10767.682158834679</v>
      </c>
      <c r="W563" s="2">
        <v>11086.720703125</v>
      </c>
      <c r="X563" s="4">
        <f t="shared" si="32"/>
        <v>0.55467716436534387</v>
      </c>
      <c r="Y563" s="4">
        <f t="shared" si="33"/>
        <v>0.55016089262436896</v>
      </c>
      <c r="Z563" s="4">
        <f t="shared" si="34"/>
        <v>0.5943711845867331</v>
      </c>
      <c r="AA563" s="4">
        <f t="shared" si="35"/>
        <v>0.57726718038419067</v>
      </c>
    </row>
    <row r="564" spans="1:27" x14ac:dyDescent="0.3">
      <c r="A564" t="s">
        <v>296</v>
      </c>
      <c r="B564">
        <v>69773</v>
      </c>
      <c r="C564">
        <v>2019</v>
      </c>
      <c r="D564" t="s">
        <v>20</v>
      </c>
      <c r="E564" t="s">
        <v>21</v>
      </c>
      <c r="F564">
        <v>4</v>
      </c>
      <c r="G564" t="s">
        <v>47</v>
      </c>
      <c r="H564">
        <v>4</v>
      </c>
      <c r="I564" t="s">
        <v>23</v>
      </c>
      <c r="J564" t="s">
        <v>24</v>
      </c>
      <c r="K564" t="s">
        <v>27</v>
      </c>
      <c r="L564" t="s">
        <v>127</v>
      </c>
      <c r="M564" t="s">
        <v>33</v>
      </c>
      <c r="N564">
        <v>3.3</v>
      </c>
      <c r="O564" t="s">
        <v>27</v>
      </c>
      <c r="S564" s="3">
        <v>10500</v>
      </c>
      <c r="T564" s="2">
        <v>15044.8994140625</v>
      </c>
      <c r="U564" s="2">
        <v>14383.68194788005</v>
      </c>
      <c r="V564" s="2">
        <v>15180.430662542611</v>
      </c>
      <c r="W564" s="2">
        <v>15366.0625</v>
      </c>
      <c r="X564" s="4">
        <f t="shared" si="32"/>
        <v>0.69791094716031321</v>
      </c>
      <c r="Y564" s="4">
        <f t="shared" si="33"/>
        <v>0.72999389433437456</v>
      </c>
      <c r="Z564" s="4">
        <f t="shared" si="34"/>
        <v>0.69167998151123122</v>
      </c>
      <c r="AA564" s="4">
        <f t="shared" si="35"/>
        <v>0.68332404609183384</v>
      </c>
    </row>
    <row r="565" spans="1:27" x14ac:dyDescent="0.3">
      <c r="A565" t="s">
        <v>296</v>
      </c>
      <c r="B565">
        <v>159168</v>
      </c>
      <c r="C565">
        <v>2012</v>
      </c>
      <c r="D565" t="s">
        <v>125</v>
      </c>
      <c r="E565" t="s">
        <v>230</v>
      </c>
      <c r="F565">
        <v>4</v>
      </c>
      <c r="G565" t="s">
        <v>47</v>
      </c>
      <c r="H565">
        <v>4</v>
      </c>
      <c r="I565" t="s">
        <v>23</v>
      </c>
      <c r="J565" t="s">
        <v>31</v>
      </c>
      <c r="K565" t="s">
        <v>27</v>
      </c>
      <c r="L565" t="s">
        <v>60</v>
      </c>
      <c r="M565" t="s">
        <v>33</v>
      </c>
      <c r="N565">
        <v>1.3</v>
      </c>
      <c r="O565" t="s">
        <v>27</v>
      </c>
      <c r="S565" s="3">
        <v>1400</v>
      </c>
      <c r="T565" s="2">
        <v>2725.7158203125</v>
      </c>
      <c r="U565" s="2">
        <v>2369.4467931389149</v>
      </c>
      <c r="V565" s="2">
        <v>1486.8890231265559</v>
      </c>
      <c r="W565" s="2">
        <v>2657.441650390625</v>
      </c>
      <c r="X565" s="4">
        <f t="shared" si="32"/>
        <v>0.51362654520583573</v>
      </c>
      <c r="Y565" s="4">
        <f t="shared" si="33"/>
        <v>0.59085521736715418</v>
      </c>
      <c r="Z565" s="4">
        <f t="shared" si="34"/>
        <v>0.94156320897181012</v>
      </c>
      <c r="AA565" s="4">
        <f t="shared" si="35"/>
        <v>0.52682247973128971</v>
      </c>
    </row>
    <row r="566" spans="1:27" x14ac:dyDescent="0.3">
      <c r="A566" t="s">
        <v>296</v>
      </c>
      <c r="B566">
        <v>158792</v>
      </c>
      <c r="C566">
        <v>2013</v>
      </c>
      <c r="D566" t="s">
        <v>44</v>
      </c>
      <c r="E566" t="s">
        <v>210</v>
      </c>
      <c r="F566">
        <v>4</v>
      </c>
      <c r="G566" t="s">
        <v>66</v>
      </c>
      <c r="H566">
        <v>4</v>
      </c>
      <c r="I566" t="s">
        <v>23</v>
      </c>
      <c r="J566" t="s">
        <v>37</v>
      </c>
      <c r="K566" t="s">
        <v>27</v>
      </c>
      <c r="L566" t="s">
        <v>118</v>
      </c>
      <c r="M566" t="s">
        <v>33</v>
      </c>
      <c r="N566">
        <v>1.3</v>
      </c>
      <c r="O566" t="s">
        <v>27</v>
      </c>
      <c r="S566" s="3">
        <v>1200</v>
      </c>
      <c r="T566" s="2">
        <v>3427.823486328125</v>
      </c>
      <c r="U566" s="2">
        <v>2399.781826659088</v>
      </c>
      <c r="V566" s="2">
        <v>2348.3970370781922</v>
      </c>
      <c r="W566" s="2">
        <v>2568.571533203125</v>
      </c>
      <c r="X566" s="4">
        <f t="shared" si="32"/>
        <v>0.35007636909724216</v>
      </c>
      <c r="Y566" s="4">
        <f t="shared" si="33"/>
        <v>0.50004545691164259</v>
      </c>
      <c r="Z566" s="4">
        <f t="shared" si="34"/>
        <v>0.51098684807276262</v>
      </c>
      <c r="AA566" s="4">
        <f t="shared" si="35"/>
        <v>0.46718574292674875</v>
      </c>
    </row>
    <row r="567" spans="1:27" x14ac:dyDescent="0.3">
      <c r="A567" t="s">
        <v>296</v>
      </c>
      <c r="B567">
        <v>89703</v>
      </c>
      <c r="C567">
        <v>2019</v>
      </c>
      <c r="D567" t="s">
        <v>85</v>
      </c>
      <c r="E567" t="s">
        <v>270</v>
      </c>
      <c r="F567">
        <v>6</v>
      </c>
      <c r="G567" t="s">
        <v>99</v>
      </c>
      <c r="H567">
        <v>4</v>
      </c>
      <c r="I567" t="s">
        <v>23</v>
      </c>
      <c r="J567" t="s">
        <v>24</v>
      </c>
      <c r="K567" t="s">
        <v>27</v>
      </c>
      <c r="L567" t="s">
        <v>194</v>
      </c>
      <c r="M567" t="s">
        <v>33</v>
      </c>
      <c r="N567">
        <v>3.7</v>
      </c>
      <c r="O567" t="s">
        <v>27</v>
      </c>
      <c r="S567" s="3">
        <v>11000</v>
      </c>
      <c r="T567" s="2">
        <v>15773.2060546875</v>
      </c>
      <c r="U567" s="2">
        <v>15070.666168231701</v>
      </c>
      <c r="V567" s="2">
        <v>12669.87513154913</v>
      </c>
      <c r="W567" s="2">
        <v>16587.216796875</v>
      </c>
      <c r="X567" s="4">
        <f t="shared" si="32"/>
        <v>0.69738517089434759</v>
      </c>
      <c r="Y567" s="4">
        <f t="shared" si="33"/>
        <v>0.72989474235634755</v>
      </c>
      <c r="Z567" s="4">
        <f t="shared" si="34"/>
        <v>0.86820113740576732</v>
      </c>
      <c r="AA567" s="4">
        <f t="shared" si="35"/>
        <v>0.66316128466304114</v>
      </c>
    </row>
    <row r="568" spans="1:27" x14ac:dyDescent="0.3">
      <c r="A568" t="s">
        <v>296</v>
      </c>
      <c r="B568">
        <v>127832</v>
      </c>
      <c r="C568">
        <v>2012</v>
      </c>
      <c r="D568" t="s">
        <v>100</v>
      </c>
      <c r="E568" t="s">
        <v>367</v>
      </c>
      <c r="F568">
        <v>6</v>
      </c>
      <c r="G568" t="s">
        <v>30</v>
      </c>
      <c r="H568">
        <v>4</v>
      </c>
      <c r="I568" t="s">
        <v>23</v>
      </c>
      <c r="J568" t="s">
        <v>31</v>
      </c>
      <c r="K568" t="s">
        <v>27</v>
      </c>
      <c r="L568" t="s">
        <v>53</v>
      </c>
      <c r="M568" t="s">
        <v>33</v>
      </c>
      <c r="N568">
        <v>2</v>
      </c>
      <c r="O568" t="s">
        <v>27</v>
      </c>
      <c r="S568" s="3">
        <v>1600</v>
      </c>
      <c r="T568" s="2">
        <v>2167.5888671875</v>
      </c>
      <c r="U568" s="2">
        <v>2580.450940521936</v>
      </c>
      <c r="V568" s="2">
        <v>3252.579537671857</v>
      </c>
      <c r="W568" s="2">
        <v>2960.699951171875</v>
      </c>
      <c r="X568" s="4">
        <f t="shared" si="32"/>
        <v>0.73814736005543313</v>
      </c>
      <c r="Y568" s="4">
        <f t="shared" si="33"/>
        <v>0.62004666505164219</v>
      </c>
      <c r="Z568" s="4">
        <f t="shared" si="34"/>
        <v>0.49191725566387035</v>
      </c>
      <c r="AA568" s="4">
        <f t="shared" si="35"/>
        <v>0.54041274914288551</v>
      </c>
    </row>
    <row r="569" spans="1:27" x14ac:dyDescent="0.3">
      <c r="A569" t="s">
        <v>296</v>
      </c>
      <c r="B569">
        <v>78953</v>
      </c>
      <c r="C569">
        <v>2020</v>
      </c>
      <c r="D569" t="s">
        <v>54</v>
      </c>
      <c r="E569" t="s">
        <v>275</v>
      </c>
      <c r="F569">
        <v>4</v>
      </c>
      <c r="G569" t="s">
        <v>66</v>
      </c>
      <c r="H569">
        <v>4</v>
      </c>
      <c r="I569" t="s">
        <v>23</v>
      </c>
      <c r="J569" t="s">
        <v>24</v>
      </c>
      <c r="L569" t="s">
        <v>60</v>
      </c>
      <c r="M569" t="s">
        <v>33</v>
      </c>
      <c r="N569">
        <v>4.4000000000000004</v>
      </c>
      <c r="O569" t="s">
        <v>27</v>
      </c>
      <c r="S569" s="3">
        <v>11000</v>
      </c>
      <c r="T569" s="2">
        <v>17908.3984375</v>
      </c>
      <c r="U569" s="2">
        <v>18075.78622232192</v>
      </c>
      <c r="V569" s="2">
        <v>13756.331813174271</v>
      </c>
      <c r="W569" s="2">
        <v>17678.759765625</v>
      </c>
      <c r="X569" s="4">
        <f t="shared" si="32"/>
        <v>0.6142369480101646</v>
      </c>
      <c r="Y569" s="4">
        <f t="shared" si="33"/>
        <v>0.60854890983475007</v>
      </c>
      <c r="Z569" s="4">
        <f t="shared" si="34"/>
        <v>0.79963177316393563</v>
      </c>
      <c r="AA569" s="4">
        <f t="shared" si="35"/>
        <v>0.62221559350496192</v>
      </c>
    </row>
    <row r="570" spans="1:27" x14ac:dyDescent="0.3">
      <c r="A570" t="s">
        <v>296</v>
      </c>
      <c r="B570">
        <v>57584</v>
      </c>
      <c r="C570">
        <v>2022</v>
      </c>
      <c r="D570" t="s">
        <v>44</v>
      </c>
      <c r="E570" t="s">
        <v>45</v>
      </c>
      <c r="F570">
        <v>6</v>
      </c>
      <c r="G570" t="s">
        <v>66</v>
      </c>
      <c r="H570">
        <v>4</v>
      </c>
      <c r="I570" t="s">
        <v>23</v>
      </c>
      <c r="J570" t="s">
        <v>46</v>
      </c>
      <c r="K570" t="s">
        <v>27</v>
      </c>
      <c r="L570" t="s">
        <v>38</v>
      </c>
      <c r="M570">
        <v>4</v>
      </c>
      <c r="N570">
        <v>4.0999999999999899</v>
      </c>
      <c r="O570" t="s">
        <v>27</v>
      </c>
      <c r="S570" s="3">
        <v>34750</v>
      </c>
      <c r="T570" s="2">
        <v>33653.87109375</v>
      </c>
      <c r="U570" s="2">
        <v>38637.743910983889</v>
      </c>
      <c r="V570" s="2">
        <v>38091.085845584879</v>
      </c>
      <c r="W570" s="2">
        <v>35048.265625</v>
      </c>
      <c r="X570" s="4">
        <f t="shared" si="32"/>
        <v>1.032570663362812</v>
      </c>
      <c r="Y570" s="4">
        <f t="shared" si="33"/>
        <v>0.89937963458889514</v>
      </c>
      <c r="Z570" s="4">
        <f t="shared" si="34"/>
        <v>0.91228693613174738</v>
      </c>
      <c r="AA570" s="4">
        <f t="shared" si="35"/>
        <v>0.99148986063415223</v>
      </c>
    </row>
    <row r="571" spans="1:27" x14ac:dyDescent="0.3">
      <c r="A571" t="s">
        <v>296</v>
      </c>
      <c r="B571">
        <v>102494</v>
      </c>
      <c r="C571">
        <v>2017</v>
      </c>
      <c r="D571" t="s">
        <v>119</v>
      </c>
      <c r="E571" t="s">
        <v>362</v>
      </c>
      <c r="F571">
        <v>4</v>
      </c>
      <c r="G571" t="s">
        <v>59</v>
      </c>
      <c r="H571">
        <v>4</v>
      </c>
      <c r="I571" t="s">
        <v>23</v>
      </c>
      <c r="J571" t="s">
        <v>24</v>
      </c>
      <c r="K571" t="s">
        <v>27</v>
      </c>
      <c r="L571" t="s">
        <v>127</v>
      </c>
      <c r="M571" t="s">
        <v>33</v>
      </c>
      <c r="N571">
        <v>2.5</v>
      </c>
      <c r="O571" t="s">
        <v>27</v>
      </c>
      <c r="S571" s="3">
        <v>6300</v>
      </c>
      <c r="T571" s="2">
        <v>4844.4013671875</v>
      </c>
      <c r="U571" s="2">
        <v>5029.2086622427814</v>
      </c>
      <c r="V571" s="2">
        <v>4998.4359635512574</v>
      </c>
      <c r="W571" s="2">
        <v>5247.1591796875</v>
      </c>
      <c r="X571" s="4">
        <f t="shared" si="32"/>
        <v>1.3004702795007204</v>
      </c>
      <c r="Y571" s="4">
        <f t="shared" si="33"/>
        <v>1.2526821659434801</v>
      </c>
      <c r="Z571" s="4">
        <f t="shared" si="34"/>
        <v>1.2603942605126455</v>
      </c>
      <c r="AA571" s="4">
        <f t="shared" si="35"/>
        <v>1.2006496819056294</v>
      </c>
    </row>
    <row r="572" spans="1:27" x14ac:dyDescent="0.3">
      <c r="A572" t="s">
        <v>296</v>
      </c>
      <c r="B572">
        <v>98333</v>
      </c>
      <c r="C572">
        <v>2015</v>
      </c>
      <c r="D572" t="s">
        <v>71</v>
      </c>
      <c r="E572" t="s">
        <v>212</v>
      </c>
      <c r="F572">
        <v>6</v>
      </c>
      <c r="G572" t="s">
        <v>47</v>
      </c>
      <c r="H572">
        <v>4</v>
      </c>
      <c r="I572" t="s">
        <v>23</v>
      </c>
      <c r="J572" t="s">
        <v>31</v>
      </c>
      <c r="K572" t="s">
        <v>27</v>
      </c>
      <c r="L572" t="s">
        <v>26</v>
      </c>
      <c r="M572" t="s">
        <v>33</v>
      </c>
      <c r="N572">
        <v>1.3</v>
      </c>
      <c r="O572" t="s">
        <v>27</v>
      </c>
      <c r="S572" s="3">
        <v>1600</v>
      </c>
      <c r="T572" s="2">
        <v>7638.3291015625</v>
      </c>
      <c r="U572" s="2">
        <v>6388.5589869141622</v>
      </c>
      <c r="V572" s="2">
        <v>5580.2733675792733</v>
      </c>
      <c r="W572" s="2">
        <v>6709.01220703125</v>
      </c>
      <c r="X572" s="4">
        <f t="shared" si="32"/>
        <v>0.20946989567033755</v>
      </c>
      <c r="Y572" s="4">
        <f t="shared" si="33"/>
        <v>0.25044771493498269</v>
      </c>
      <c r="Z572" s="4">
        <f t="shared" si="34"/>
        <v>0.2867243044571634</v>
      </c>
      <c r="AA572" s="4">
        <f t="shared" si="35"/>
        <v>0.23848518241227093</v>
      </c>
    </row>
    <row r="573" spans="1:27" x14ac:dyDescent="0.3">
      <c r="A573" t="s">
        <v>296</v>
      </c>
      <c r="B573">
        <v>29968</v>
      </c>
      <c r="C573">
        <v>2024</v>
      </c>
      <c r="D573" t="s">
        <v>40</v>
      </c>
      <c r="E573" t="s">
        <v>41</v>
      </c>
      <c r="F573">
        <v>8</v>
      </c>
      <c r="G573" t="s">
        <v>66</v>
      </c>
      <c r="H573">
        <v>4</v>
      </c>
      <c r="I573" t="s">
        <v>23</v>
      </c>
      <c r="J573" t="s">
        <v>42</v>
      </c>
      <c r="K573" t="s">
        <v>27</v>
      </c>
      <c r="L573" t="s">
        <v>43</v>
      </c>
      <c r="M573" t="s">
        <v>78</v>
      </c>
      <c r="N573">
        <v>4.3</v>
      </c>
      <c r="O573" t="s">
        <v>27</v>
      </c>
      <c r="S573" s="3">
        <v>34000</v>
      </c>
      <c r="T573" s="2">
        <v>54891.8828125</v>
      </c>
      <c r="U573" s="2">
        <v>63481.721313873721</v>
      </c>
      <c r="V573" s="2">
        <v>41282.658066157761</v>
      </c>
      <c r="W573" s="2">
        <v>93241.7734375</v>
      </c>
      <c r="X573" s="4">
        <f t="shared" si="32"/>
        <v>0.61939941313613511</v>
      </c>
      <c r="Y573" s="4">
        <f t="shared" si="33"/>
        <v>0.53558724143432157</v>
      </c>
      <c r="Z573" s="4">
        <f t="shared" si="34"/>
        <v>0.82359037893134457</v>
      </c>
      <c r="AA573" s="4">
        <f t="shared" si="35"/>
        <v>0.36464342908267627</v>
      </c>
    </row>
    <row r="574" spans="1:27" x14ac:dyDescent="0.3">
      <c r="A574" t="s">
        <v>296</v>
      </c>
      <c r="B574">
        <v>40929</v>
      </c>
      <c r="C574">
        <v>2023</v>
      </c>
      <c r="D574" t="s">
        <v>100</v>
      </c>
      <c r="E574" t="s">
        <v>101</v>
      </c>
      <c r="F574">
        <v>4</v>
      </c>
      <c r="G574" t="s">
        <v>66</v>
      </c>
      <c r="H574">
        <v>4</v>
      </c>
      <c r="I574" t="s">
        <v>23</v>
      </c>
      <c r="J574" t="s">
        <v>31</v>
      </c>
      <c r="K574" t="s">
        <v>27</v>
      </c>
      <c r="L574" t="s">
        <v>102</v>
      </c>
      <c r="M574" t="s">
        <v>23</v>
      </c>
      <c r="N574">
        <v>3.8</v>
      </c>
      <c r="O574" t="s">
        <v>27</v>
      </c>
      <c r="S574" s="3">
        <v>20600</v>
      </c>
      <c r="T574" s="2">
        <v>20844.607421875</v>
      </c>
      <c r="U574" s="2">
        <v>25508.001667857599</v>
      </c>
      <c r="V574" s="2">
        <v>22058.314460453959</v>
      </c>
      <c r="W574" s="2">
        <v>23096.40625</v>
      </c>
      <c r="X574" s="4">
        <f t="shared" si="32"/>
        <v>0.98826519411354796</v>
      </c>
      <c r="Y574" s="4">
        <f t="shared" si="33"/>
        <v>0.80758972295183251</v>
      </c>
      <c r="Z574" s="4">
        <f t="shared" si="34"/>
        <v>0.93388821874543415</v>
      </c>
      <c r="AA574" s="4">
        <f t="shared" si="35"/>
        <v>0.89191364998613154</v>
      </c>
    </row>
    <row r="575" spans="1:27" x14ac:dyDescent="0.3">
      <c r="A575" t="s">
        <v>296</v>
      </c>
      <c r="B575">
        <v>109678</v>
      </c>
      <c r="C575">
        <v>2018</v>
      </c>
      <c r="D575" t="s">
        <v>28</v>
      </c>
      <c r="E575" t="s">
        <v>137</v>
      </c>
      <c r="F575">
        <v>4</v>
      </c>
      <c r="G575" t="s">
        <v>47</v>
      </c>
      <c r="H575">
        <v>4</v>
      </c>
      <c r="I575" t="s">
        <v>23</v>
      </c>
      <c r="J575" t="s">
        <v>31</v>
      </c>
      <c r="K575" t="s">
        <v>27</v>
      </c>
      <c r="L575" t="s">
        <v>107</v>
      </c>
      <c r="M575" t="s">
        <v>33</v>
      </c>
      <c r="N575">
        <v>0</v>
      </c>
      <c r="O575" t="s">
        <v>312</v>
      </c>
      <c r="S575" s="3">
        <v>3100</v>
      </c>
      <c r="T575" s="2">
        <v>10723.65234375</v>
      </c>
      <c r="U575" s="2">
        <v>10564.55115405142</v>
      </c>
      <c r="V575" s="2">
        <v>9369.1535698288371</v>
      </c>
      <c r="W575" s="2">
        <v>11090.20703125</v>
      </c>
      <c r="X575" s="4">
        <f t="shared" si="32"/>
        <v>0.2890806136406272</v>
      </c>
      <c r="Y575" s="4">
        <f t="shared" si="33"/>
        <v>0.29343414166830695</v>
      </c>
      <c r="Z575" s="4">
        <f t="shared" si="34"/>
        <v>0.33087300543165643</v>
      </c>
      <c r="AA575" s="4">
        <f t="shared" si="35"/>
        <v>0.27952589083908136</v>
      </c>
    </row>
    <row r="576" spans="1:27" x14ac:dyDescent="0.3">
      <c r="A576" t="s">
        <v>296</v>
      </c>
      <c r="B576">
        <v>131167</v>
      </c>
      <c r="C576">
        <v>2011</v>
      </c>
      <c r="D576" t="s">
        <v>85</v>
      </c>
      <c r="E576" t="s">
        <v>228</v>
      </c>
      <c r="F576">
        <v>4</v>
      </c>
      <c r="G576" t="s">
        <v>36</v>
      </c>
      <c r="H576">
        <v>4</v>
      </c>
      <c r="I576" t="s">
        <v>23</v>
      </c>
      <c r="J576" t="s">
        <v>31</v>
      </c>
      <c r="K576" t="s">
        <v>27</v>
      </c>
      <c r="L576" t="s">
        <v>60</v>
      </c>
      <c r="M576" t="s">
        <v>33</v>
      </c>
      <c r="N576">
        <v>2.5</v>
      </c>
      <c r="O576" t="s">
        <v>27</v>
      </c>
      <c r="S576" s="3">
        <v>1600</v>
      </c>
      <c r="T576" s="2">
        <v>3265.8984375</v>
      </c>
      <c r="U576" s="2">
        <v>2396.535909975059</v>
      </c>
      <c r="V576" s="2">
        <v>2629.2846113264891</v>
      </c>
      <c r="W576" s="2">
        <v>3052.902587890625</v>
      </c>
      <c r="X576" s="4">
        <f t="shared" si="32"/>
        <v>0.48991113184302748</v>
      </c>
      <c r="Y576" s="4">
        <f t="shared" si="33"/>
        <v>0.66763030478297791</v>
      </c>
      <c r="Z576" s="4">
        <f t="shared" si="34"/>
        <v>0.60853054595439593</v>
      </c>
      <c r="AA576" s="4">
        <f t="shared" si="35"/>
        <v>0.52409140283296929</v>
      </c>
    </row>
    <row r="577" spans="1:27" x14ac:dyDescent="0.3">
      <c r="A577" t="s">
        <v>296</v>
      </c>
      <c r="B577">
        <v>58877</v>
      </c>
      <c r="C577">
        <v>2021</v>
      </c>
      <c r="D577" t="s">
        <v>85</v>
      </c>
      <c r="E577" t="s">
        <v>372</v>
      </c>
      <c r="F577">
        <v>4</v>
      </c>
      <c r="G577" t="s">
        <v>22</v>
      </c>
      <c r="H577">
        <v>4</v>
      </c>
      <c r="I577" t="s">
        <v>23</v>
      </c>
      <c r="J577" t="s">
        <v>31</v>
      </c>
      <c r="K577" t="s">
        <v>27</v>
      </c>
      <c r="L577" t="s">
        <v>127</v>
      </c>
      <c r="M577" t="s">
        <v>33</v>
      </c>
      <c r="N577">
        <v>1.9</v>
      </c>
      <c r="O577" t="s">
        <v>27</v>
      </c>
      <c r="S577" s="3">
        <v>8250</v>
      </c>
      <c r="T577" s="2">
        <v>12080.6513671875</v>
      </c>
      <c r="U577" s="2">
        <v>15295.569895979859</v>
      </c>
      <c r="V577" s="2">
        <v>10681.52755717471</v>
      </c>
      <c r="W577" s="2">
        <v>10653.583984375</v>
      </c>
      <c r="X577" s="4">
        <f t="shared" si="32"/>
        <v>0.68291019658161733</v>
      </c>
      <c r="Y577" s="4">
        <f t="shared" si="33"/>
        <v>0.53937186100979151</v>
      </c>
      <c r="Z577" s="4">
        <f t="shared" si="34"/>
        <v>0.77236143948891756</v>
      </c>
      <c r="AA577" s="4">
        <f t="shared" si="35"/>
        <v>0.77438728714203608</v>
      </c>
    </row>
    <row r="578" spans="1:27" x14ac:dyDescent="0.3">
      <c r="A578" t="s">
        <v>296</v>
      </c>
      <c r="B578">
        <v>56013</v>
      </c>
      <c r="C578">
        <v>2019</v>
      </c>
      <c r="D578" t="s">
        <v>28</v>
      </c>
      <c r="E578" t="s">
        <v>289</v>
      </c>
      <c r="F578">
        <v>4</v>
      </c>
      <c r="G578" t="s">
        <v>66</v>
      </c>
      <c r="H578">
        <v>4</v>
      </c>
      <c r="I578" t="s">
        <v>23</v>
      </c>
      <c r="J578" t="s">
        <v>31</v>
      </c>
      <c r="K578" t="s">
        <v>27</v>
      </c>
      <c r="L578" t="s">
        <v>127</v>
      </c>
      <c r="M578" t="s">
        <v>33</v>
      </c>
      <c r="N578">
        <v>4</v>
      </c>
      <c r="O578" t="s">
        <v>27</v>
      </c>
      <c r="S578" s="3">
        <v>15000</v>
      </c>
      <c r="T578" s="2">
        <v>20093.69140625</v>
      </c>
      <c r="U578" s="2">
        <v>18121.315278841459</v>
      </c>
      <c r="V578" s="2">
        <v>19187.082322218721</v>
      </c>
      <c r="W578" s="2">
        <v>18474.078125</v>
      </c>
      <c r="X578" s="4">
        <f t="shared" ref="X578:X641" si="36">S578/T578</f>
        <v>0.74650295442152337</v>
      </c>
      <c r="Y578" s="4">
        <f t="shared" ref="Y578:Y641" si="37">S578/U578</f>
        <v>0.82775448521190276</v>
      </c>
      <c r="Z578" s="4">
        <f t="shared" ref="Z578:Z641" si="38">S578/V578</f>
        <v>0.78177597552859501</v>
      </c>
      <c r="AA578" s="4">
        <f t="shared" ref="AA578:AA641" si="39">S578/W578</f>
        <v>0.81194849878334596</v>
      </c>
    </row>
    <row r="579" spans="1:27" x14ac:dyDescent="0.3">
      <c r="A579" t="s">
        <v>296</v>
      </c>
      <c r="B579">
        <v>186902</v>
      </c>
      <c r="C579">
        <v>2015</v>
      </c>
      <c r="D579" t="s">
        <v>40</v>
      </c>
      <c r="E579" t="s">
        <v>229</v>
      </c>
      <c r="F579">
        <v>4</v>
      </c>
      <c r="G579" t="s">
        <v>30</v>
      </c>
      <c r="H579">
        <v>4</v>
      </c>
      <c r="I579" t="s">
        <v>23</v>
      </c>
      <c r="J579" t="s">
        <v>31</v>
      </c>
      <c r="K579" t="s">
        <v>27</v>
      </c>
      <c r="L579" t="s">
        <v>102</v>
      </c>
      <c r="M579" t="s">
        <v>33</v>
      </c>
      <c r="N579">
        <v>0</v>
      </c>
      <c r="O579" t="s">
        <v>27</v>
      </c>
      <c r="S579" s="3">
        <v>1800</v>
      </c>
      <c r="T579" s="2">
        <v>4171.78466796875</v>
      </c>
      <c r="U579" s="2">
        <v>3906.001536995052</v>
      </c>
      <c r="V579" s="2">
        <v>3434.0593519193299</v>
      </c>
      <c r="W579" s="2">
        <v>3745.600341796875</v>
      </c>
      <c r="X579" s="4">
        <f t="shared" si="36"/>
        <v>0.43147001661435785</v>
      </c>
      <c r="Y579" s="4">
        <f t="shared" si="37"/>
        <v>0.46082931175310499</v>
      </c>
      <c r="Z579" s="4">
        <f t="shared" si="38"/>
        <v>0.52416100467045279</v>
      </c>
      <c r="AA579" s="4">
        <f t="shared" si="39"/>
        <v>0.4805638177447642</v>
      </c>
    </row>
    <row r="580" spans="1:27" x14ac:dyDescent="0.3">
      <c r="A580" t="s">
        <v>296</v>
      </c>
      <c r="B580">
        <v>108428</v>
      </c>
      <c r="C580">
        <v>2020</v>
      </c>
      <c r="D580" t="s">
        <v>74</v>
      </c>
      <c r="E580" t="s">
        <v>93</v>
      </c>
      <c r="F580">
        <v>8</v>
      </c>
      <c r="G580" t="s">
        <v>47</v>
      </c>
      <c r="H580">
        <v>2</v>
      </c>
      <c r="I580" t="s">
        <v>23</v>
      </c>
      <c r="J580" t="s">
        <v>76</v>
      </c>
      <c r="L580" t="s">
        <v>84</v>
      </c>
      <c r="M580" t="s">
        <v>78</v>
      </c>
      <c r="N580">
        <v>2.4</v>
      </c>
      <c r="O580" t="s">
        <v>27</v>
      </c>
      <c r="S580" s="3">
        <v>7600</v>
      </c>
      <c r="T580" s="2">
        <v>10861.177734375</v>
      </c>
      <c r="U580" s="2">
        <v>10239.516223817511</v>
      </c>
      <c r="V580" s="2">
        <v>17166.064091544089</v>
      </c>
      <c r="W580" s="2">
        <v>10397.005859375</v>
      </c>
      <c r="X580" s="4">
        <f t="shared" si="36"/>
        <v>0.69973995324157523</v>
      </c>
      <c r="Y580" s="4">
        <f t="shared" si="37"/>
        <v>0.74222256539055098</v>
      </c>
      <c r="Z580" s="4">
        <f t="shared" si="38"/>
        <v>0.44273398721281249</v>
      </c>
      <c r="AA580" s="4">
        <f t="shared" si="39"/>
        <v>0.73097967845685741</v>
      </c>
    </row>
    <row r="581" spans="1:27" x14ac:dyDescent="0.3">
      <c r="A581" t="s">
        <v>296</v>
      </c>
      <c r="B581">
        <v>191221</v>
      </c>
      <c r="C581">
        <v>2017</v>
      </c>
      <c r="D581" t="s">
        <v>20</v>
      </c>
      <c r="E581" t="s">
        <v>154</v>
      </c>
      <c r="F581">
        <v>4</v>
      </c>
      <c r="G581" t="s">
        <v>66</v>
      </c>
      <c r="H581">
        <v>4</v>
      </c>
      <c r="I581" t="s">
        <v>23</v>
      </c>
      <c r="J581" t="s">
        <v>24</v>
      </c>
      <c r="L581" t="s">
        <v>102</v>
      </c>
      <c r="M581" t="s">
        <v>33</v>
      </c>
      <c r="N581">
        <v>2.2000000000000002</v>
      </c>
      <c r="O581" t="s">
        <v>27</v>
      </c>
      <c r="S581" s="3">
        <v>4800</v>
      </c>
      <c r="T581" s="2">
        <v>5847.36669921875</v>
      </c>
      <c r="U581" s="2">
        <v>6134.4482942563927</v>
      </c>
      <c r="V581" s="2">
        <v>4813.714550974124</v>
      </c>
      <c r="W581" s="2">
        <v>6040.42333984375</v>
      </c>
      <c r="X581" s="4">
        <f t="shared" si="36"/>
        <v>0.82088232992832733</v>
      </c>
      <c r="Y581" s="4">
        <f t="shared" si="37"/>
        <v>0.78246645333928078</v>
      </c>
      <c r="Z581" s="4">
        <f t="shared" si="38"/>
        <v>0.99715094220297118</v>
      </c>
      <c r="AA581" s="4">
        <f t="shared" si="39"/>
        <v>0.7946462904906535</v>
      </c>
    </row>
    <row r="582" spans="1:27" x14ac:dyDescent="0.3">
      <c r="A582" t="s">
        <v>296</v>
      </c>
      <c r="B582">
        <v>143207</v>
      </c>
      <c r="C582">
        <v>2018</v>
      </c>
      <c r="D582" t="s">
        <v>44</v>
      </c>
      <c r="E582" t="s">
        <v>302</v>
      </c>
      <c r="F582">
        <v>3</v>
      </c>
      <c r="G582" t="s">
        <v>59</v>
      </c>
      <c r="H582">
        <v>4</v>
      </c>
      <c r="I582" t="s">
        <v>23</v>
      </c>
      <c r="J582" t="s">
        <v>62</v>
      </c>
      <c r="L582" t="s">
        <v>303</v>
      </c>
      <c r="M582" t="s">
        <v>33</v>
      </c>
      <c r="N582">
        <v>2.2000000000000002</v>
      </c>
      <c r="O582" t="s">
        <v>27</v>
      </c>
      <c r="S582" s="3">
        <v>2100</v>
      </c>
      <c r="T582" s="2">
        <v>4945.19384765625</v>
      </c>
      <c r="U582" s="2">
        <v>3756.754512298256</v>
      </c>
      <c r="V582" s="2">
        <v>2757.914535860431</v>
      </c>
      <c r="W582" s="2">
        <v>3406.469482421875</v>
      </c>
      <c r="X582" s="4">
        <f t="shared" si="36"/>
        <v>0.4246547384578836</v>
      </c>
      <c r="Y582" s="4">
        <f t="shared" si="37"/>
        <v>0.55899313972349252</v>
      </c>
      <c r="Z582" s="4">
        <f t="shared" si="38"/>
        <v>0.76144491524093916</v>
      </c>
      <c r="AA582" s="4">
        <f t="shared" si="39"/>
        <v>0.61647403883594365</v>
      </c>
    </row>
    <row r="583" spans="1:27" x14ac:dyDescent="0.3">
      <c r="A583" t="s">
        <v>296</v>
      </c>
      <c r="B583">
        <v>122900</v>
      </c>
      <c r="C583">
        <v>2018</v>
      </c>
      <c r="D583" t="s">
        <v>85</v>
      </c>
      <c r="E583" t="s">
        <v>292</v>
      </c>
      <c r="F583">
        <v>4</v>
      </c>
      <c r="G583" t="s">
        <v>59</v>
      </c>
      <c r="H583">
        <v>4</v>
      </c>
      <c r="I583" t="s">
        <v>23</v>
      </c>
      <c r="J583" t="s">
        <v>24</v>
      </c>
      <c r="K583" t="s">
        <v>27</v>
      </c>
      <c r="L583" t="s">
        <v>60</v>
      </c>
      <c r="M583" t="s">
        <v>33</v>
      </c>
      <c r="N583">
        <v>0</v>
      </c>
      <c r="O583" t="s">
        <v>27</v>
      </c>
      <c r="S583" s="3">
        <v>3400</v>
      </c>
      <c r="T583" s="2">
        <v>8089.8017578125</v>
      </c>
      <c r="U583" s="2">
        <v>7143.1859240029953</v>
      </c>
      <c r="V583" s="2">
        <v>7135.840706862251</v>
      </c>
      <c r="W583" s="2">
        <v>7598.0703125</v>
      </c>
      <c r="X583" s="4">
        <f t="shared" si="36"/>
        <v>0.42028223951428045</v>
      </c>
      <c r="Y583" s="4">
        <f t="shared" si="37"/>
        <v>0.47597809103289612</v>
      </c>
      <c r="Z583" s="4">
        <f t="shared" si="38"/>
        <v>0.47646803504601171</v>
      </c>
      <c r="AA583" s="4">
        <f t="shared" si="39"/>
        <v>0.44748203953923332</v>
      </c>
    </row>
    <row r="584" spans="1:27" x14ac:dyDescent="0.3">
      <c r="A584" t="s">
        <v>296</v>
      </c>
      <c r="B584">
        <v>94912</v>
      </c>
      <c r="C584">
        <v>2017</v>
      </c>
      <c r="D584" t="s">
        <v>28</v>
      </c>
      <c r="E584" t="s">
        <v>289</v>
      </c>
      <c r="F584">
        <v>4</v>
      </c>
      <c r="G584" t="s">
        <v>47</v>
      </c>
      <c r="H584">
        <v>4</v>
      </c>
      <c r="I584" t="s">
        <v>23</v>
      </c>
      <c r="J584" t="s">
        <v>31</v>
      </c>
      <c r="K584" t="s">
        <v>27</v>
      </c>
      <c r="L584" t="s">
        <v>127</v>
      </c>
      <c r="M584" t="s">
        <v>33</v>
      </c>
      <c r="N584">
        <v>3.7</v>
      </c>
      <c r="O584" t="s">
        <v>27</v>
      </c>
      <c r="S584" s="3">
        <v>11250</v>
      </c>
      <c r="T584" s="2">
        <v>11777.9287109375</v>
      </c>
      <c r="U584" s="2">
        <v>12884.99410375052</v>
      </c>
      <c r="V584" s="2">
        <v>13036.169162743539</v>
      </c>
      <c r="W584" s="2">
        <v>12525.458984375</v>
      </c>
      <c r="X584" s="4">
        <f t="shared" si="36"/>
        <v>0.95517643858319146</v>
      </c>
      <c r="Y584" s="4">
        <f t="shared" si="37"/>
        <v>0.87310866496441697</v>
      </c>
      <c r="Z584" s="4">
        <f t="shared" si="38"/>
        <v>0.86298358509735462</v>
      </c>
      <c r="AA584" s="4">
        <f t="shared" si="39"/>
        <v>0.89817067893750779</v>
      </c>
    </row>
    <row r="585" spans="1:27" x14ac:dyDescent="0.3">
      <c r="A585" t="s">
        <v>296</v>
      </c>
      <c r="B585">
        <v>192975</v>
      </c>
      <c r="C585">
        <v>2011</v>
      </c>
      <c r="D585" t="s">
        <v>40</v>
      </c>
      <c r="E585" t="s">
        <v>41</v>
      </c>
      <c r="F585">
        <v>8</v>
      </c>
      <c r="G585" t="s">
        <v>59</v>
      </c>
      <c r="H585">
        <v>2</v>
      </c>
      <c r="I585" t="s">
        <v>23</v>
      </c>
      <c r="J585" t="s">
        <v>49</v>
      </c>
      <c r="K585" t="s">
        <v>27</v>
      </c>
      <c r="L585" t="s">
        <v>43</v>
      </c>
      <c r="M585" t="s">
        <v>78</v>
      </c>
      <c r="N585">
        <v>1.3</v>
      </c>
      <c r="O585" t="s">
        <v>27</v>
      </c>
      <c r="S585" s="3">
        <v>3800</v>
      </c>
      <c r="T585" s="2">
        <v>3561.982421875</v>
      </c>
      <c r="U585" s="2">
        <v>9783.7111553987652</v>
      </c>
      <c r="V585" s="2">
        <v>1675.304251434656</v>
      </c>
      <c r="W585" s="2">
        <v>4907.71826171875</v>
      </c>
      <c r="X585" s="4">
        <f t="shared" si="36"/>
        <v>1.0668216599451126</v>
      </c>
      <c r="Y585" s="4">
        <f t="shared" si="37"/>
        <v>0.38840067328675337</v>
      </c>
      <c r="Z585" s="4">
        <f t="shared" si="38"/>
        <v>2.2682447064441273</v>
      </c>
      <c r="AA585" s="4">
        <f t="shared" si="39"/>
        <v>0.77429057605869744</v>
      </c>
    </row>
    <row r="586" spans="1:27" x14ac:dyDescent="0.3">
      <c r="A586" t="s">
        <v>296</v>
      </c>
      <c r="B586">
        <v>164298</v>
      </c>
      <c r="C586">
        <v>2015</v>
      </c>
      <c r="D586" t="s">
        <v>44</v>
      </c>
      <c r="E586" t="s">
        <v>366</v>
      </c>
      <c r="F586">
        <v>6</v>
      </c>
      <c r="G586" t="s">
        <v>22</v>
      </c>
      <c r="H586">
        <v>4</v>
      </c>
      <c r="I586" t="s">
        <v>23</v>
      </c>
      <c r="J586" t="s">
        <v>62</v>
      </c>
      <c r="K586" t="s">
        <v>27</v>
      </c>
      <c r="L586" t="s">
        <v>38</v>
      </c>
      <c r="M586" t="s">
        <v>33</v>
      </c>
      <c r="N586">
        <v>1.4</v>
      </c>
      <c r="O586" t="s">
        <v>27</v>
      </c>
      <c r="S586" s="3">
        <v>3000</v>
      </c>
      <c r="T586" s="2">
        <v>3840.01904296875</v>
      </c>
      <c r="U586" s="2">
        <v>3603.080054432513</v>
      </c>
      <c r="V586" s="2">
        <v>2695.7230124472899</v>
      </c>
      <c r="W586" s="2">
        <v>3734.92333984375</v>
      </c>
      <c r="X586" s="4">
        <f t="shared" si="36"/>
        <v>0.78124612571730256</v>
      </c>
      <c r="Y586" s="4">
        <f t="shared" si="37"/>
        <v>0.83262096724978307</v>
      </c>
      <c r="Z586" s="4">
        <f t="shared" si="38"/>
        <v>1.1128739808013417</v>
      </c>
      <c r="AA586" s="4">
        <f t="shared" si="39"/>
        <v>0.8032293375332048</v>
      </c>
    </row>
    <row r="587" spans="1:27" x14ac:dyDescent="0.3">
      <c r="A587" t="s">
        <v>296</v>
      </c>
      <c r="B587">
        <v>42295</v>
      </c>
      <c r="C587">
        <v>2024</v>
      </c>
      <c r="D587" t="s">
        <v>125</v>
      </c>
      <c r="E587" t="s">
        <v>297</v>
      </c>
      <c r="F587">
        <v>4</v>
      </c>
      <c r="G587" t="s">
        <v>59</v>
      </c>
      <c r="H587">
        <v>4</v>
      </c>
      <c r="I587" t="s">
        <v>23</v>
      </c>
      <c r="J587" t="s">
        <v>24</v>
      </c>
      <c r="K587" t="s">
        <v>27</v>
      </c>
      <c r="L587" t="s">
        <v>102</v>
      </c>
      <c r="M587" t="s">
        <v>33</v>
      </c>
      <c r="N587">
        <v>3.8</v>
      </c>
      <c r="O587" t="s">
        <v>27</v>
      </c>
      <c r="S587" s="3">
        <v>17100</v>
      </c>
      <c r="T587" s="2">
        <v>27271.14453125</v>
      </c>
      <c r="U587" s="2">
        <v>25440.6217405229</v>
      </c>
      <c r="V587" s="2">
        <v>20376.592886684619</v>
      </c>
      <c r="W587" s="2">
        <v>26371.806640625</v>
      </c>
      <c r="X587" s="4">
        <f t="shared" si="36"/>
        <v>0.62703638933837602</v>
      </c>
      <c r="Y587" s="4">
        <f t="shared" si="37"/>
        <v>0.67215338423755566</v>
      </c>
      <c r="Z587" s="4">
        <f t="shared" si="38"/>
        <v>0.83919819643519722</v>
      </c>
      <c r="AA587" s="4">
        <f t="shared" si="39"/>
        <v>0.64841973980113854</v>
      </c>
    </row>
    <row r="588" spans="1:27" x14ac:dyDescent="0.3">
      <c r="A588" t="s">
        <v>296</v>
      </c>
      <c r="B588">
        <v>108242</v>
      </c>
      <c r="C588">
        <v>2019</v>
      </c>
      <c r="D588" t="s">
        <v>74</v>
      </c>
      <c r="E588" t="s">
        <v>75</v>
      </c>
      <c r="F588">
        <v>8</v>
      </c>
      <c r="G588" t="s">
        <v>99</v>
      </c>
      <c r="H588">
        <v>4</v>
      </c>
      <c r="I588" t="s">
        <v>23</v>
      </c>
      <c r="J588" t="s">
        <v>42</v>
      </c>
      <c r="L588" t="s">
        <v>84</v>
      </c>
      <c r="M588">
        <v>4</v>
      </c>
      <c r="N588">
        <v>3.3</v>
      </c>
      <c r="O588" t="s">
        <v>27</v>
      </c>
      <c r="S588" s="3">
        <v>19000</v>
      </c>
      <c r="T588" s="2">
        <v>22964.748046875</v>
      </c>
      <c r="U588" s="2">
        <v>23413.515863243701</v>
      </c>
      <c r="V588" s="2">
        <v>28327.557169839001</v>
      </c>
      <c r="W588" s="2">
        <v>24767.568359375</v>
      </c>
      <c r="X588" s="4">
        <f t="shared" si="36"/>
        <v>0.82735503830556867</v>
      </c>
      <c r="Y588" s="4">
        <f t="shared" si="37"/>
        <v>0.81149709044029694</v>
      </c>
      <c r="Z588" s="4">
        <f t="shared" si="38"/>
        <v>0.67072497236823991</v>
      </c>
      <c r="AA588" s="4">
        <f t="shared" si="39"/>
        <v>0.76713223213162685</v>
      </c>
    </row>
    <row r="589" spans="1:27" x14ac:dyDescent="0.3">
      <c r="A589" t="s">
        <v>296</v>
      </c>
      <c r="B589">
        <v>111460</v>
      </c>
      <c r="C589">
        <v>2015</v>
      </c>
      <c r="D589" t="s">
        <v>34</v>
      </c>
      <c r="E589" t="s">
        <v>290</v>
      </c>
      <c r="F589">
        <v>6</v>
      </c>
      <c r="G589" t="s">
        <v>22</v>
      </c>
      <c r="H589">
        <v>4</v>
      </c>
      <c r="I589" t="s">
        <v>23</v>
      </c>
      <c r="J589" t="s">
        <v>291</v>
      </c>
      <c r="K589" t="s">
        <v>27</v>
      </c>
      <c r="L589" t="s">
        <v>38</v>
      </c>
      <c r="M589" t="s">
        <v>33</v>
      </c>
      <c r="N589">
        <v>3.5</v>
      </c>
      <c r="O589" t="s">
        <v>27</v>
      </c>
      <c r="S589" s="3">
        <v>8400</v>
      </c>
      <c r="T589" s="2">
        <v>10252.703125</v>
      </c>
      <c r="U589" s="2">
        <v>10354.842356073381</v>
      </c>
      <c r="V589" s="2">
        <v>8779.2135204032274</v>
      </c>
      <c r="W589" s="2">
        <v>10014.7041015625</v>
      </c>
      <c r="X589" s="4">
        <f t="shared" si="36"/>
        <v>0.81929613074600749</v>
      </c>
      <c r="Y589" s="4">
        <f t="shared" si="37"/>
        <v>0.81121466760652172</v>
      </c>
      <c r="Z589" s="4">
        <f t="shared" si="38"/>
        <v>0.95680552483181769</v>
      </c>
      <c r="AA589" s="4">
        <f t="shared" si="39"/>
        <v>0.83876666897122076</v>
      </c>
    </row>
    <row r="590" spans="1:27" x14ac:dyDescent="0.3">
      <c r="A590" t="s">
        <v>296</v>
      </c>
      <c r="B590">
        <v>103432</v>
      </c>
      <c r="C590">
        <v>2020</v>
      </c>
      <c r="D590" t="s">
        <v>40</v>
      </c>
      <c r="E590" t="s">
        <v>211</v>
      </c>
      <c r="F590">
        <v>4</v>
      </c>
      <c r="G590" t="s">
        <v>47</v>
      </c>
      <c r="H590">
        <v>4</v>
      </c>
      <c r="I590" t="s">
        <v>23</v>
      </c>
      <c r="J590" t="s">
        <v>31</v>
      </c>
      <c r="K590" t="s">
        <v>27</v>
      </c>
      <c r="L590" t="s">
        <v>73</v>
      </c>
      <c r="M590" t="s">
        <v>33</v>
      </c>
      <c r="N590">
        <v>2.4</v>
      </c>
      <c r="O590" t="s">
        <v>27</v>
      </c>
      <c r="S590" s="3">
        <v>3400</v>
      </c>
      <c r="T590" s="2">
        <v>6238.501953125</v>
      </c>
      <c r="U590" s="2">
        <v>5855.9179971200074</v>
      </c>
      <c r="V590" s="2">
        <v>4229.2905212290889</v>
      </c>
      <c r="W590" s="2">
        <v>6926.7236328125</v>
      </c>
      <c r="X590" s="4">
        <f t="shared" si="36"/>
        <v>0.54500263453421971</v>
      </c>
      <c r="Y590" s="4">
        <f t="shared" si="37"/>
        <v>0.58060922329720976</v>
      </c>
      <c r="Z590" s="4">
        <f t="shared" si="38"/>
        <v>0.80391734333065257</v>
      </c>
      <c r="AA590" s="4">
        <f t="shared" si="39"/>
        <v>0.49085255601853384</v>
      </c>
    </row>
    <row r="591" spans="1:27" x14ac:dyDescent="0.3">
      <c r="A591" t="s">
        <v>296</v>
      </c>
      <c r="B591">
        <v>107803</v>
      </c>
      <c r="C591">
        <v>2017</v>
      </c>
      <c r="D591" t="s">
        <v>54</v>
      </c>
      <c r="E591" t="s">
        <v>180</v>
      </c>
      <c r="F591">
        <v>4</v>
      </c>
      <c r="G591" t="s">
        <v>30</v>
      </c>
      <c r="H591">
        <v>4</v>
      </c>
      <c r="I591" t="s">
        <v>23</v>
      </c>
      <c r="J591" t="s">
        <v>24</v>
      </c>
      <c r="L591" t="s">
        <v>60</v>
      </c>
      <c r="M591" t="s">
        <v>33</v>
      </c>
      <c r="N591">
        <v>1.8</v>
      </c>
      <c r="O591" t="s">
        <v>27</v>
      </c>
      <c r="S591" s="3">
        <v>2900</v>
      </c>
      <c r="T591" s="2">
        <v>8193.87109375</v>
      </c>
      <c r="U591" s="2">
        <v>8204.2291584973555</v>
      </c>
      <c r="V591" s="2">
        <v>5642.6053167989121</v>
      </c>
      <c r="W591" s="2">
        <v>7713.0615234375</v>
      </c>
      <c r="X591" s="4">
        <f t="shared" si="36"/>
        <v>0.35392306845198224</v>
      </c>
      <c r="Y591" s="4">
        <f t="shared" si="37"/>
        <v>0.35347623085300911</v>
      </c>
      <c r="Z591" s="4">
        <f t="shared" si="38"/>
        <v>0.51394698675206818</v>
      </c>
      <c r="AA591" s="4">
        <f t="shared" si="39"/>
        <v>0.37598559160818795</v>
      </c>
    </row>
    <row r="592" spans="1:27" x14ac:dyDescent="0.3">
      <c r="A592" t="s">
        <v>296</v>
      </c>
      <c r="B592">
        <v>187168</v>
      </c>
      <c r="C592">
        <v>2017</v>
      </c>
      <c r="D592" t="s">
        <v>40</v>
      </c>
      <c r="E592" t="s">
        <v>41</v>
      </c>
      <c r="F592">
        <v>8</v>
      </c>
      <c r="G592" t="s">
        <v>47</v>
      </c>
      <c r="H592">
        <v>4</v>
      </c>
      <c r="I592" t="s">
        <v>23</v>
      </c>
      <c r="J592" t="s">
        <v>42</v>
      </c>
      <c r="K592" t="s">
        <v>27</v>
      </c>
      <c r="L592" t="s">
        <v>43</v>
      </c>
      <c r="M592">
        <v>4</v>
      </c>
      <c r="N592">
        <v>2.4</v>
      </c>
      <c r="O592" t="s">
        <v>27</v>
      </c>
      <c r="S592" s="3">
        <v>9200</v>
      </c>
      <c r="T592" s="2">
        <v>8341.51953125</v>
      </c>
      <c r="U592" s="2">
        <v>16557.828346247439</v>
      </c>
      <c r="V592" s="2">
        <v>7715.983414676437</v>
      </c>
      <c r="W592" s="2">
        <v>11321.923828125</v>
      </c>
      <c r="X592" s="4">
        <f t="shared" si="36"/>
        <v>1.1029165568136425</v>
      </c>
      <c r="Y592" s="4">
        <f t="shared" si="37"/>
        <v>0.55562841983955158</v>
      </c>
      <c r="Z592" s="4">
        <f t="shared" si="38"/>
        <v>1.1923301937768349</v>
      </c>
      <c r="AA592" s="4">
        <f t="shared" si="39"/>
        <v>0.81258275003989255</v>
      </c>
    </row>
    <row r="593" spans="1:27" x14ac:dyDescent="0.3">
      <c r="A593" t="s">
        <v>296</v>
      </c>
      <c r="B593">
        <v>46801</v>
      </c>
      <c r="C593">
        <v>2020</v>
      </c>
      <c r="D593" t="s">
        <v>340</v>
      </c>
      <c r="E593" t="s">
        <v>341</v>
      </c>
      <c r="F593">
        <v>4</v>
      </c>
      <c r="G593" t="s">
        <v>59</v>
      </c>
      <c r="H593">
        <v>4</v>
      </c>
      <c r="I593" t="s">
        <v>23</v>
      </c>
      <c r="J593" t="s">
        <v>24</v>
      </c>
      <c r="L593" t="s">
        <v>102</v>
      </c>
      <c r="M593" t="s">
        <v>23</v>
      </c>
      <c r="N593">
        <v>3.6</v>
      </c>
      <c r="O593" t="s">
        <v>27</v>
      </c>
      <c r="S593" s="3">
        <v>19500</v>
      </c>
      <c r="T593" s="2">
        <v>23891.49609375</v>
      </c>
      <c r="U593" s="2">
        <v>24564.661963838189</v>
      </c>
      <c r="V593" s="2">
        <v>21502.43983929187</v>
      </c>
      <c r="W593" s="2">
        <v>22895.890625</v>
      </c>
      <c r="X593" s="4">
        <f t="shared" si="36"/>
        <v>0.81618999176452522</v>
      </c>
      <c r="Y593" s="4">
        <f t="shared" si="37"/>
        <v>0.7938232583337026</v>
      </c>
      <c r="Z593" s="4">
        <f t="shared" si="38"/>
        <v>0.90687383132993271</v>
      </c>
      <c r="AA593" s="4">
        <f t="shared" si="39"/>
        <v>0.85168121735819136</v>
      </c>
    </row>
    <row r="594" spans="1:27" x14ac:dyDescent="0.3">
      <c r="A594" t="s">
        <v>296</v>
      </c>
      <c r="B594">
        <v>89413</v>
      </c>
      <c r="C594">
        <v>2021</v>
      </c>
      <c r="D594" t="s">
        <v>119</v>
      </c>
      <c r="E594" t="s">
        <v>362</v>
      </c>
      <c r="F594">
        <v>4</v>
      </c>
      <c r="G594" t="s">
        <v>47</v>
      </c>
      <c r="H594">
        <v>4</v>
      </c>
      <c r="I594" t="s">
        <v>23</v>
      </c>
      <c r="J594" t="s">
        <v>24</v>
      </c>
      <c r="K594" t="s">
        <v>27</v>
      </c>
      <c r="L594" t="s">
        <v>127</v>
      </c>
      <c r="M594" t="s">
        <v>33</v>
      </c>
      <c r="N594">
        <v>3.1</v>
      </c>
      <c r="O594" t="s">
        <v>27</v>
      </c>
      <c r="S594" s="3">
        <v>9000</v>
      </c>
      <c r="T594" s="2">
        <v>10569.859375</v>
      </c>
      <c r="U594" s="2">
        <v>11320.838873245941</v>
      </c>
      <c r="V594" s="2">
        <v>10918.023303446849</v>
      </c>
      <c r="W594" s="2">
        <v>12046.7216796875</v>
      </c>
      <c r="X594" s="4">
        <f t="shared" si="36"/>
        <v>0.85147774257876541</v>
      </c>
      <c r="Y594" s="4">
        <f t="shared" si="37"/>
        <v>0.79499409017023637</v>
      </c>
      <c r="Z594" s="4">
        <f t="shared" si="38"/>
        <v>0.82432504033570586</v>
      </c>
      <c r="AA594" s="4">
        <f t="shared" si="39"/>
        <v>0.74709122027574448</v>
      </c>
    </row>
    <row r="595" spans="1:27" x14ac:dyDescent="0.3">
      <c r="A595" t="s">
        <v>296</v>
      </c>
      <c r="B595">
        <v>201642</v>
      </c>
      <c r="C595">
        <v>2017</v>
      </c>
      <c r="D595" t="s">
        <v>340</v>
      </c>
      <c r="E595" t="s">
        <v>375</v>
      </c>
      <c r="F595">
        <v>4</v>
      </c>
      <c r="G595" t="s">
        <v>47</v>
      </c>
      <c r="H595">
        <v>4</v>
      </c>
      <c r="I595" t="s">
        <v>23</v>
      </c>
      <c r="J595" t="s">
        <v>31</v>
      </c>
      <c r="L595" t="s">
        <v>127</v>
      </c>
      <c r="M595" t="s">
        <v>33</v>
      </c>
      <c r="N595">
        <v>1.6</v>
      </c>
      <c r="O595" t="s">
        <v>27</v>
      </c>
      <c r="S595" s="3">
        <v>3400</v>
      </c>
      <c r="T595" s="2">
        <v>2640.627197265625</v>
      </c>
      <c r="U595" s="2">
        <v>4077.0169501540272</v>
      </c>
      <c r="V595" s="2">
        <v>3691.102370886199</v>
      </c>
      <c r="W595" s="2">
        <v>3752.15478515625</v>
      </c>
      <c r="X595" s="4">
        <f t="shared" si="36"/>
        <v>1.2875728931068753</v>
      </c>
      <c r="Y595" s="4">
        <f t="shared" si="37"/>
        <v>0.8339430621870606</v>
      </c>
      <c r="Z595" s="4">
        <f t="shared" si="38"/>
        <v>0.92113402944814338</v>
      </c>
      <c r="AA595" s="4">
        <f t="shared" si="39"/>
        <v>0.90614598668759738</v>
      </c>
    </row>
    <row r="596" spans="1:27" x14ac:dyDescent="0.3">
      <c r="A596" t="s">
        <v>296</v>
      </c>
      <c r="B596">
        <v>128701</v>
      </c>
      <c r="C596">
        <v>2021</v>
      </c>
      <c r="D596" t="s">
        <v>40</v>
      </c>
      <c r="E596" t="s">
        <v>376</v>
      </c>
      <c r="F596">
        <v>3</v>
      </c>
      <c r="G596" t="s">
        <v>36</v>
      </c>
      <c r="H596">
        <v>4</v>
      </c>
      <c r="I596" t="s">
        <v>23</v>
      </c>
      <c r="J596" t="s">
        <v>24</v>
      </c>
      <c r="K596" t="s">
        <v>27</v>
      </c>
      <c r="L596" t="s">
        <v>181</v>
      </c>
      <c r="M596" t="s">
        <v>33</v>
      </c>
      <c r="N596">
        <v>1.9</v>
      </c>
      <c r="O596" t="s">
        <v>39</v>
      </c>
      <c r="S596" s="3">
        <v>7000</v>
      </c>
      <c r="T596" s="2">
        <v>5624.0625</v>
      </c>
      <c r="U596" s="2">
        <v>5673.8920142106863</v>
      </c>
      <c r="V596" s="2">
        <v>8175.0969443515769</v>
      </c>
      <c r="W596" s="2">
        <v>6465.58349609375</v>
      </c>
      <c r="X596" s="4">
        <f t="shared" si="36"/>
        <v>1.2446518864255154</v>
      </c>
      <c r="Y596" s="4">
        <f t="shared" si="37"/>
        <v>1.233721047645598</v>
      </c>
      <c r="Z596" s="4">
        <f t="shared" si="38"/>
        <v>0.85625895908629102</v>
      </c>
      <c r="AA596" s="4">
        <f t="shared" si="39"/>
        <v>1.0826555722664666</v>
      </c>
    </row>
    <row r="597" spans="1:27" x14ac:dyDescent="0.3">
      <c r="A597" t="s">
        <v>296</v>
      </c>
      <c r="B597">
        <v>177341</v>
      </c>
      <c r="C597">
        <v>2009</v>
      </c>
      <c r="D597" t="s">
        <v>81</v>
      </c>
      <c r="E597" t="s">
        <v>377</v>
      </c>
      <c r="F597">
        <v>8</v>
      </c>
      <c r="G597" t="s">
        <v>246</v>
      </c>
      <c r="H597">
        <v>4</v>
      </c>
      <c r="I597" t="s">
        <v>23</v>
      </c>
      <c r="J597" t="s">
        <v>42</v>
      </c>
      <c r="L597" t="s">
        <v>77</v>
      </c>
      <c r="M597" t="s">
        <v>78</v>
      </c>
      <c r="N597">
        <v>1.5</v>
      </c>
      <c r="O597" t="s">
        <v>39</v>
      </c>
      <c r="S597" s="3">
        <v>2000</v>
      </c>
      <c r="T597" s="2">
        <v>2821.759033203125</v>
      </c>
      <c r="U597" s="2">
        <v>5598.3737326261726</v>
      </c>
      <c r="V597" s="2">
        <v>-1263.668780062415</v>
      </c>
      <c r="W597" s="2">
        <v>4063.13916015625</v>
      </c>
      <c r="X597" s="4">
        <f t="shared" si="36"/>
        <v>0.70877774340982491</v>
      </c>
      <c r="Y597" s="4">
        <f t="shared" si="37"/>
        <v>0.35724660330274322</v>
      </c>
      <c r="Z597" s="4">
        <f t="shared" si="38"/>
        <v>-1.58269321166676</v>
      </c>
      <c r="AA597" s="4">
        <f t="shared" si="39"/>
        <v>0.49223024887070049</v>
      </c>
    </row>
    <row r="598" spans="1:27" x14ac:dyDescent="0.3">
      <c r="A598" t="s">
        <v>296</v>
      </c>
      <c r="B598">
        <v>101837</v>
      </c>
      <c r="C598">
        <v>2013</v>
      </c>
      <c r="D598" t="s">
        <v>125</v>
      </c>
      <c r="E598" t="s">
        <v>167</v>
      </c>
      <c r="F598">
        <v>4</v>
      </c>
      <c r="G598" t="s">
        <v>66</v>
      </c>
      <c r="H598">
        <v>4</v>
      </c>
      <c r="I598" t="s">
        <v>23</v>
      </c>
      <c r="J598" t="s">
        <v>31</v>
      </c>
      <c r="L598" t="s">
        <v>87</v>
      </c>
      <c r="M598" t="s">
        <v>33</v>
      </c>
      <c r="N598">
        <v>0</v>
      </c>
      <c r="O598" t="s">
        <v>199</v>
      </c>
      <c r="S598" s="3">
        <v>500</v>
      </c>
      <c r="T598" s="2">
        <v>4937.1640625</v>
      </c>
      <c r="U598" s="2">
        <v>3992.7681907291221</v>
      </c>
      <c r="V598" s="2">
        <v>2283.2132737281172</v>
      </c>
      <c r="W598" s="2">
        <v>4758.86181640625</v>
      </c>
      <c r="X598" s="4">
        <f t="shared" si="36"/>
        <v>0.10127271317510526</v>
      </c>
      <c r="Y598" s="4">
        <f t="shared" si="37"/>
        <v>0.12522640336620561</v>
      </c>
      <c r="Z598" s="4">
        <f t="shared" si="38"/>
        <v>0.21898961684975712</v>
      </c>
      <c r="AA598" s="4">
        <f t="shared" si="39"/>
        <v>0.10506713985185329</v>
      </c>
    </row>
    <row r="599" spans="1:27" x14ac:dyDescent="0.3">
      <c r="A599" t="s">
        <v>296</v>
      </c>
      <c r="B599">
        <v>5509</v>
      </c>
      <c r="C599">
        <v>2025</v>
      </c>
      <c r="D599" t="s">
        <v>40</v>
      </c>
      <c r="E599" t="s">
        <v>63</v>
      </c>
      <c r="F599">
        <v>4</v>
      </c>
      <c r="G599" t="s">
        <v>36</v>
      </c>
      <c r="H599">
        <v>4</v>
      </c>
      <c r="I599" t="s">
        <v>23</v>
      </c>
      <c r="J599" t="s">
        <v>24</v>
      </c>
      <c r="K599" t="s">
        <v>27</v>
      </c>
      <c r="L599" t="s">
        <v>107</v>
      </c>
      <c r="M599" t="s">
        <v>33</v>
      </c>
      <c r="N599">
        <v>3</v>
      </c>
      <c r="O599" t="s">
        <v>27</v>
      </c>
      <c r="S599" s="3">
        <v>22400</v>
      </c>
      <c r="T599" s="2">
        <v>30751.7890625</v>
      </c>
      <c r="U599" s="2">
        <v>30074.332825583191</v>
      </c>
      <c r="V599" s="2">
        <v>22322.96502863495</v>
      </c>
      <c r="W599" s="2">
        <v>30651.8125</v>
      </c>
      <c r="X599" s="4">
        <f t="shared" si="36"/>
        <v>0.72841290483861587</v>
      </c>
      <c r="Y599" s="4">
        <f t="shared" si="37"/>
        <v>0.74482117790972568</v>
      </c>
      <c r="Z599" s="4">
        <f t="shared" si="38"/>
        <v>1.00345092917837</v>
      </c>
      <c r="AA599" s="4">
        <f t="shared" si="39"/>
        <v>0.73078875841355218</v>
      </c>
    </row>
    <row r="600" spans="1:27" x14ac:dyDescent="0.3">
      <c r="A600" t="s">
        <v>296</v>
      </c>
      <c r="B600">
        <v>85306</v>
      </c>
      <c r="C600">
        <v>2017</v>
      </c>
      <c r="D600" t="s">
        <v>103</v>
      </c>
      <c r="E600" t="s">
        <v>189</v>
      </c>
      <c r="F600">
        <v>6</v>
      </c>
      <c r="G600" t="s">
        <v>36</v>
      </c>
      <c r="H600">
        <v>4</v>
      </c>
      <c r="I600" t="s">
        <v>23</v>
      </c>
      <c r="J600" t="s">
        <v>31</v>
      </c>
      <c r="K600" t="s">
        <v>27</v>
      </c>
      <c r="L600" t="s">
        <v>218</v>
      </c>
      <c r="M600" t="s">
        <v>23</v>
      </c>
      <c r="N600">
        <v>2</v>
      </c>
      <c r="O600" t="s">
        <v>27</v>
      </c>
      <c r="S600" s="3">
        <v>6300</v>
      </c>
      <c r="T600" s="2">
        <v>10465.275390625</v>
      </c>
      <c r="U600" s="2">
        <v>10412.152920823781</v>
      </c>
      <c r="V600" s="2">
        <v>9046.4548865901234</v>
      </c>
      <c r="W600" s="2">
        <v>11386.2294921875</v>
      </c>
      <c r="X600" s="4">
        <f t="shared" si="36"/>
        <v>0.60199084733533759</v>
      </c>
      <c r="Y600" s="4">
        <f t="shared" si="37"/>
        <v>0.60506218530466627</v>
      </c>
      <c r="Z600" s="4">
        <f t="shared" si="38"/>
        <v>0.69640539625513531</v>
      </c>
      <c r="AA600" s="4">
        <f t="shared" si="39"/>
        <v>0.55329993166944824</v>
      </c>
    </row>
    <row r="601" spans="1:27" x14ac:dyDescent="0.3">
      <c r="A601" t="s">
        <v>296</v>
      </c>
      <c r="B601">
        <v>72733</v>
      </c>
      <c r="C601">
        <v>2021</v>
      </c>
      <c r="D601" t="s">
        <v>54</v>
      </c>
      <c r="E601" t="s">
        <v>219</v>
      </c>
      <c r="F601">
        <v>6</v>
      </c>
      <c r="G601" t="s">
        <v>47</v>
      </c>
      <c r="H601">
        <v>4</v>
      </c>
      <c r="I601" t="s">
        <v>23</v>
      </c>
      <c r="J601" t="s">
        <v>24</v>
      </c>
      <c r="L601" t="s">
        <v>26</v>
      </c>
      <c r="M601" t="s">
        <v>78</v>
      </c>
      <c r="N601">
        <v>4.4000000000000004</v>
      </c>
      <c r="O601" t="s">
        <v>27</v>
      </c>
      <c r="S601" s="3">
        <v>14600</v>
      </c>
      <c r="T601" s="2">
        <v>29770.880859375</v>
      </c>
      <c r="U601" s="2">
        <v>31048.365062713881</v>
      </c>
      <c r="V601" s="2">
        <v>26135.19486304728</v>
      </c>
      <c r="W601" s="2">
        <v>28776.642578125</v>
      </c>
      <c r="X601" s="4">
        <f t="shared" si="36"/>
        <v>0.49041209324521501</v>
      </c>
      <c r="Y601" s="4">
        <f t="shared" si="37"/>
        <v>0.47023409994406451</v>
      </c>
      <c r="Z601" s="4">
        <f t="shared" si="38"/>
        <v>0.5586336767912542</v>
      </c>
      <c r="AA601" s="4">
        <f t="shared" si="39"/>
        <v>0.50735592105169391</v>
      </c>
    </row>
    <row r="602" spans="1:27" x14ac:dyDescent="0.3">
      <c r="A602" t="s">
        <v>296</v>
      </c>
      <c r="B602">
        <v>4335</v>
      </c>
      <c r="C602">
        <v>2024</v>
      </c>
      <c r="D602" t="s">
        <v>34</v>
      </c>
      <c r="E602" t="s">
        <v>144</v>
      </c>
      <c r="F602">
        <v>4</v>
      </c>
      <c r="G602" t="s">
        <v>30</v>
      </c>
      <c r="H602">
        <v>4</v>
      </c>
      <c r="I602" t="s">
        <v>23</v>
      </c>
      <c r="J602" t="s">
        <v>145</v>
      </c>
      <c r="K602" t="s">
        <v>27</v>
      </c>
      <c r="L602" t="s">
        <v>96</v>
      </c>
      <c r="M602" t="s">
        <v>33</v>
      </c>
      <c r="N602">
        <v>4.7</v>
      </c>
      <c r="O602" t="s">
        <v>27</v>
      </c>
      <c r="S602" s="3">
        <v>22600</v>
      </c>
      <c r="T602" s="2">
        <v>22361.77734375</v>
      </c>
      <c r="U602" s="2">
        <v>23428.066679250329</v>
      </c>
      <c r="V602" s="2">
        <v>25282.52992401041</v>
      </c>
      <c r="W602" s="2">
        <v>24826.138671875</v>
      </c>
      <c r="X602" s="4">
        <f t="shared" si="36"/>
        <v>1.0106531181572909</v>
      </c>
      <c r="Y602" s="4">
        <f t="shared" si="37"/>
        <v>0.96465492903929084</v>
      </c>
      <c r="Z602" s="4">
        <f t="shared" si="38"/>
        <v>0.89389788395097058</v>
      </c>
      <c r="AA602" s="4">
        <f t="shared" si="39"/>
        <v>0.91033085324714857</v>
      </c>
    </row>
    <row r="603" spans="1:27" x14ac:dyDescent="0.3">
      <c r="A603" t="s">
        <v>296</v>
      </c>
      <c r="B603">
        <v>106614</v>
      </c>
      <c r="C603">
        <v>2020</v>
      </c>
      <c r="D603" t="s">
        <v>40</v>
      </c>
      <c r="E603" t="s">
        <v>229</v>
      </c>
      <c r="F603">
        <v>4</v>
      </c>
      <c r="G603" t="s">
        <v>22</v>
      </c>
      <c r="H603">
        <v>4</v>
      </c>
      <c r="I603" t="s">
        <v>23</v>
      </c>
      <c r="J603" t="s">
        <v>31</v>
      </c>
      <c r="K603" t="s">
        <v>27</v>
      </c>
      <c r="L603" t="s">
        <v>107</v>
      </c>
      <c r="M603" t="s">
        <v>33</v>
      </c>
      <c r="N603">
        <v>0</v>
      </c>
      <c r="O603" t="s">
        <v>27</v>
      </c>
      <c r="S603" s="3">
        <v>7800</v>
      </c>
      <c r="T603" s="2">
        <v>10669.4248046875</v>
      </c>
      <c r="U603" s="2">
        <v>11154.01893114204</v>
      </c>
      <c r="V603" s="2">
        <v>10674.53005796308</v>
      </c>
      <c r="W603" s="2">
        <v>11325.1298828125</v>
      </c>
      <c r="X603" s="4">
        <f t="shared" si="36"/>
        <v>0.73106096558955569</v>
      </c>
      <c r="Y603" s="4">
        <f t="shared" si="37"/>
        <v>0.69929951241362753</v>
      </c>
      <c r="Z603" s="4">
        <f t="shared" si="38"/>
        <v>0.73071132477455414</v>
      </c>
      <c r="AA603" s="4">
        <f t="shared" si="39"/>
        <v>0.68873382298578423</v>
      </c>
    </row>
    <row r="604" spans="1:27" x14ac:dyDescent="0.3">
      <c r="A604" t="s">
        <v>296</v>
      </c>
      <c r="B604">
        <v>137970</v>
      </c>
      <c r="C604">
        <v>2018</v>
      </c>
      <c r="D604" t="s">
        <v>34</v>
      </c>
      <c r="E604" t="s">
        <v>262</v>
      </c>
      <c r="F604">
        <v>8</v>
      </c>
      <c r="G604" t="s">
        <v>36</v>
      </c>
      <c r="H604">
        <v>4</v>
      </c>
      <c r="I604" t="s">
        <v>23</v>
      </c>
      <c r="J604" t="s">
        <v>46</v>
      </c>
      <c r="K604" t="s">
        <v>27</v>
      </c>
      <c r="L604" t="s">
        <v>378</v>
      </c>
      <c r="M604" t="s">
        <v>78</v>
      </c>
      <c r="N604">
        <v>2.5</v>
      </c>
      <c r="O604" t="s">
        <v>27</v>
      </c>
      <c r="S604" s="3">
        <v>17000</v>
      </c>
      <c r="T604" s="2">
        <v>17099.798828125</v>
      </c>
      <c r="U604" s="2">
        <v>14790.599450478971</v>
      </c>
      <c r="V604" s="2">
        <v>12783.81811776732</v>
      </c>
      <c r="W604" s="2">
        <v>15953.1826171875</v>
      </c>
      <c r="X604" s="4">
        <f t="shared" si="36"/>
        <v>0.99416374256047646</v>
      </c>
      <c r="Y604" s="4">
        <f t="shared" si="37"/>
        <v>1.1493787021221429</v>
      </c>
      <c r="Z604" s="4">
        <f t="shared" si="38"/>
        <v>1.3298061536383179</v>
      </c>
      <c r="AA604" s="4">
        <f t="shared" si="39"/>
        <v>1.0656180906300596</v>
      </c>
    </row>
    <row r="605" spans="1:27" x14ac:dyDescent="0.3">
      <c r="A605" t="s">
        <v>296</v>
      </c>
      <c r="B605">
        <v>99304</v>
      </c>
      <c r="C605">
        <v>2014</v>
      </c>
      <c r="D605" t="s">
        <v>54</v>
      </c>
      <c r="E605" t="s">
        <v>219</v>
      </c>
      <c r="F605">
        <v>6</v>
      </c>
      <c r="G605" t="s">
        <v>36</v>
      </c>
      <c r="H605">
        <v>4</v>
      </c>
      <c r="I605" t="s">
        <v>23</v>
      </c>
      <c r="J605" t="s">
        <v>24</v>
      </c>
      <c r="K605" t="s">
        <v>27</v>
      </c>
      <c r="L605" t="s">
        <v>26</v>
      </c>
      <c r="M605">
        <v>4</v>
      </c>
      <c r="N605">
        <v>0</v>
      </c>
      <c r="O605" t="s">
        <v>27</v>
      </c>
      <c r="S605" s="3">
        <v>6000</v>
      </c>
      <c r="T605" s="2">
        <v>8847.2314453125</v>
      </c>
      <c r="U605" s="2">
        <v>10048.573465757559</v>
      </c>
      <c r="V605" s="2">
        <v>11355.85841330218</v>
      </c>
      <c r="W605" s="2">
        <v>9491.8408203125</v>
      </c>
      <c r="X605" s="4">
        <f t="shared" si="36"/>
        <v>0.67817825690306321</v>
      </c>
      <c r="Y605" s="4">
        <f t="shared" si="37"/>
        <v>0.59709967991438295</v>
      </c>
      <c r="Z605" s="4">
        <f t="shared" si="38"/>
        <v>0.5283616422138232</v>
      </c>
      <c r="AA605" s="4">
        <f t="shared" si="39"/>
        <v>0.63212185218698835</v>
      </c>
    </row>
    <row r="606" spans="1:27" x14ac:dyDescent="0.3">
      <c r="A606" t="s">
        <v>296</v>
      </c>
      <c r="B606">
        <v>122634</v>
      </c>
      <c r="C606">
        <v>2019</v>
      </c>
      <c r="D606" t="s">
        <v>40</v>
      </c>
      <c r="E606" t="s">
        <v>146</v>
      </c>
      <c r="F606">
        <v>8</v>
      </c>
      <c r="G606" t="s">
        <v>36</v>
      </c>
      <c r="H606">
        <v>4</v>
      </c>
      <c r="I606" t="s">
        <v>23</v>
      </c>
      <c r="J606" t="s">
        <v>24</v>
      </c>
      <c r="K606" t="s">
        <v>27</v>
      </c>
      <c r="L606" t="s">
        <v>43</v>
      </c>
      <c r="M606" t="s">
        <v>78</v>
      </c>
      <c r="N606">
        <v>0</v>
      </c>
      <c r="O606" t="s">
        <v>27</v>
      </c>
      <c r="S606" s="3">
        <v>16600</v>
      </c>
      <c r="T606" s="2">
        <v>19120.87890625</v>
      </c>
      <c r="U606" s="2">
        <v>30010.087278427582</v>
      </c>
      <c r="V606" s="2">
        <v>17809.16372135514</v>
      </c>
      <c r="W606" s="2">
        <v>27691.99609375</v>
      </c>
      <c r="X606" s="4">
        <f t="shared" si="36"/>
        <v>0.8681609292852116</v>
      </c>
      <c r="Y606" s="4">
        <f t="shared" si="37"/>
        <v>0.55314734162511836</v>
      </c>
      <c r="Z606" s="4">
        <f t="shared" si="38"/>
        <v>0.93210440758061985</v>
      </c>
      <c r="AA606" s="4">
        <f t="shared" si="39"/>
        <v>0.59945118957121946</v>
      </c>
    </row>
    <row r="607" spans="1:27" x14ac:dyDescent="0.3">
      <c r="A607" t="s">
        <v>296</v>
      </c>
      <c r="B607">
        <v>152776</v>
      </c>
      <c r="C607">
        <v>2015</v>
      </c>
      <c r="D607" t="s">
        <v>34</v>
      </c>
      <c r="E607" t="s">
        <v>61</v>
      </c>
      <c r="F607">
        <v>6</v>
      </c>
      <c r="G607" t="s">
        <v>47</v>
      </c>
      <c r="H607">
        <v>4</v>
      </c>
      <c r="I607" t="s">
        <v>23</v>
      </c>
      <c r="J607" t="s">
        <v>62</v>
      </c>
      <c r="K607" t="s">
        <v>27</v>
      </c>
      <c r="L607" t="s">
        <v>38</v>
      </c>
      <c r="M607" t="s">
        <v>33</v>
      </c>
      <c r="N607">
        <v>0</v>
      </c>
      <c r="O607" t="s">
        <v>27</v>
      </c>
      <c r="S607" s="3">
        <v>11500</v>
      </c>
      <c r="T607" s="2">
        <v>9679.3115234375</v>
      </c>
      <c r="U607" s="2">
        <v>8126.9494792374144</v>
      </c>
      <c r="V607" s="2">
        <v>6717.7097552299956</v>
      </c>
      <c r="W607" s="2">
        <v>8497.2119140625</v>
      </c>
      <c r="X607" s="4">
        <f t="shared" si="36"/>
        <v>1.1881010309621591</v>
      </c>
      <c r="Y607" s="4">
        <f t="shared" si="37"/>
        <v>1.4150450952574511</v>
      </c>
      <c r="Z607" s="4">
        <f t="shared" si="38"/>
        <v>1.7118929544472812</v>
      </c>
      <c r="AA607" s="4">
        <f t="shared" si="39"/>
        <v>1.3533851004666628</v>
      </c>
    </row>
    <row r="608" spans="1:27" x14ac:dyDescent="0.3">
      <c r="A608" t="s">
        <v>296</v>
      </c>
      <c r="B608">
        <v>139746</v>
      </c>
      <c r="C608">
        <v>2013</v>
      </c>
      <c r="D608" t="s">
        <v>239</v>
      </c>
      <c r="E608" t="s">
        <v>379</v>
      </c>
      <c r="F608">
        <v>8</v>
      </c>
      <c r="G608" t="s">
        <v>36</v>
      </c>
      <c r="H608">
        <v>2</v>
      </c>
      <c r="I608" t="s">
        <v>23</v>
      </c>
      <c r="J608" t="s">
        <v>83</v>
      </c>
      <c r="K608" t="s">
        <v>27</v>
      </c>
      <c r="L608" t="s">
        <v>348</v>
      </c>
      <c r="M608" t="s">
        <v>78</v>
      </c>
      <c r="N608">
        <v>0</v>
      </c>
      <c r="O608" t="s">
        <v>27</v>
      </c>
      <c r="S608" s="3">
        <v>13500</v>
      </c>
      <c r="T608" s="2">
        <v>12900.4091796875</v>
      </c>
      <c r="U608" s="2">
        <v>20384.720204955189</v>
      </c>
      <c r="V608" s="2">
        <v>14436.322096114051</v>
      </c>
      <c r="W608" s="2">
        <v>17871.40625</v>
      </c>
      <c r="X608" s="4">
        <f t="shared" si="36"/>
        <v>1.0464784342853708</v>
      </c>
      <c r="Y608" s="4">
        <f t="shared" si="37"/>
        <v>0.66226074551263026</v>
      </c>
      <c r="Z608" s="4">
        <f t="shared" si="38"/>
        <v>0.93514122988665593</v>
      </c>
      <c r="AA608" s="4">
        <f t="shared" si="39"/>
        <v>0.75539662694422827</v>
      </c>
    </row>
    <row r="609" spans="1:27" x14ac:dyDescent="0.3">
      <c r="A609" t="s">
        <v>296</v>
      </c>
      <c r="B609">
        <v>167066</v>
      </c>
      <c r="C609">
        <v>2006</v>
      </c>
      <c r="D609" t="s">
        <v>40</v>
      </c>
      <c r="E609" t="s">
        <v>63</v>
      </c>
      <c r="F609">
        <v>6</v>
      </c>
      <c r="G609" t="s">
        <v>47</v>
      </c>
      <c r="H609">
        <v>4</v>
      </c>
      <c r="I609" t="s">
        <v>23</v>
      </c>
      <c r="J609" t="s">
        <v>24</v>
      </c>
      <c r="K609" t="s">
        <v>27</v>
      </c>
      <c r="L609" t="s">
        <v>380</v>
      </c>
      <c r="M609" t="s">
        <v>33</v>
      </c>
      <c r="N609">
        <v>0</v>
      </c>
      <c r="O609" t="s">
        <v>27</v>
      </c>
      <c r="S609" s="3">
        <v>1000</v>
      </c>
      <c r="T609" s="2">
        <v>2519.525634765625</v>
      </c>
      <c r="U609" s="2">
        <v>2158.6098304133652</v>
      </c>
      <c r="V609" s="2">
        <v>1536.758441911637</v>
      </c>
      <c r="W609" s="2">
        <v>2033.588623046875</v>
      </c>
      <c r="X609" s="4">
        <f t="shared" si="36"/>
        <v>0.39690010937039877</v>
      </c>
      <c r="Y609" s="4">
        <f t="shared" si="37"/>
        <v>0.46326111644201301</v>
      </c>
      <c r="Z609" s="4">
        <f t="shared" si="38"/>
        <v>0.65072035573532228</v>
      </c>
      <c r="AA609" s="4">
        <f t="shared" si="39"/>
        <v>0.49174153939832971</v>
      </c>
    </row>
    <row r="610" spans="1:27" x14ac:dyDescent="0.3">
      <c r="A610" t="s">
        <v>296</v>
      </c>
      <c r="B610">
        <v>53623</v>
      </c>
      <c r="C610">
        <v>2021</v>
      </c>
      <c r="D610" t="s">
        <v>141</v>
      </c>
      <c r="E610" t="s">
        <v>258</v>
      </c>
      <c r="F610">
        <v>6</v>
      </c>
      <c r="G610" t="s">
        <v>30</v>
      </c>
      <c r="H610">
        <v>4</v>
      </c>
      <c r="I610" t="s">
        <v>23</v>
      </c>
      <c r="J610" t="s">
        <v>106</v>
      </c>
      <c r="K610" t="s">
        <v>27</v>
      </c>
      <c r="L610" t="s">
        <v>26</v>
      </c>
      <c r="M610" t="s">
        <v>33</v>
      </c>
      <c r="N610">
        <v>0</v>
      </c>
      <c r="O610" t="s">
        <v>27</v>
      </c>
      <c r="S610" s="3">
        <v>19000</v>
      </c>
      <c r="T610" s="2">
        <v>27177.09375</v>
      </c>
      <c r="U610" s="2">
        <v>29409.340654152082</v>
      </c>
      <c r="V610" s="2">
        <v>22821.139746909801</v>
      </c>
      <c r="W610" s="2">
        <v>28207.330078125</v>
      </c>
      <c r="X610" s="4">
        <f t="shared" si="36"/>
        <v>0.69911816821841</v>
      </c>
      <c r="Y610" s="4">
        <f t="shared" si="37"/>
        <v>0.6460532462606412</v>
      </c>
      <c r="Z610" s="4">
        <f t="shared" si="38"/>
        <v>0.83256139748992075</v>
      </c>
      <c r="AA610" s="4">
        <f t="shared" si="39"/>
        <v>0.67358377937139979</v>
      </c>
    </row>
    <row r="611" spans="1:27" x14ac:dyDescent="0.3">
      <c r="A611" t="s">
        <v>296</v>
      </c>
      <c r="B611">
        <v>139515</v>
      </c>
      <c r="C611">
        <v>2017</v>
      </c>
      <c r="D611" t="s">
        <v>28</v>
      </c>
      <c r="E611" t="s">
        <v>58</v>
      </c>
      <c r="F611">
        <v>4</v>
      </c>
      <c r="G611" t="s">
        <v>66</v>
      </c>
      <c r="H611">
        <v>4</v>
      </c>
      <c r="I611" t="s">
        <v>23</v>
      </c>
      <c r="J611" t="s">
        <v>24</v>
      </c>
      <c r="K611" t="s">
        <v>27</v>
      </c>
      <c r="L611" t="s">
        <v>107</v>
      </c>
      <c r="M611" t="s">
        <v>23</v>
      </c>
      <c r="N611">
        <v>0</v>
      </c>
      <c r="O611" t="s">
        <v>27</v>
      </c>
      <c r="S611" s="3">
        <v>9600</v>
      </c>
      <c r="T611" s="2">
        <v>12542.1728515625</v>
      </c>
      <c r="U611" s="2">
        <v>11492.413135856141</v>
      </c>
      <c r="V611" s="2">
        <v>9658.8551087308024</v>
      </c>
      <c r="W611" s="2">
        <v>11704.4091796875</v>
      </c>
      <c r="X611" s="4">
        <f t="shared" si="36"/>
        <v>0.765417612531471</v>
      </c>
      <c r="Y611" s="4">
        <f t="shared" si="37"/>
        <v>0.83533370115699701</v>
      </c>
      <c r="Z611" s="4">
        <f t="shared" si="38"/>
        <v>0.99390661646041234</v>
      </c>
      <c r="AA611" s="4">
        <f t="shared" si="39"/>
        <v>0.82020372430762145</v>
      </c>
    </row>
    <row r="612" spans="1:27" x14ac:dyDescent="0.3">
      <c r="A612" t="s">
        <v>296</v>
      </c>
      <c r="B612">
        <v>108706</v>
      </c>
      <c r="C612">
        <v>2015</v>
      </c>
      <c r="D612" t="s">
        <v>324</v>
      </c>
      <c r="E612" t="s">
        <v>381</v>
      </c>
      <c r="F612">
        <v>6</v>
      </c>
      <c r="G612" t="s">
        <v>99</v>
      </c>
      <c r="H612">
        <v>4</v>
      </c>
      <c r="I612" t="s">
        <v>23</v>
      </c>
      <c r="J612" t="s">
        <v>24</v>
      </c>
      <c r="K612" t="s">
        <v>27</v>
      </c>
      <c r="L612" t="s">
        <v>26</v>
      </c>
      <c r="M612" t="s">
        <v>33</v>
      </c>
      <c r="N612">
        <v>0</v>
      </c>
      <c r="O612" t="s">
        <v>27</v>
      </c>
      <c r="S612" s="3">
        <v>7400</v>
      </c>
      <c r="T612" s="2">
        <v>9036.7392578125</v>
      </c>
      <c r="U612" s="2">
        <v>8624.2471780697488</v>
      </c>
      <c r="V612" s="2">
        <v>7581.7111659684961</v>
      </c>
      <c r="W612" s="2">
        <v>8818.83984375</v>
      </c>
      <c r="X612" s="4">
        <f t="shared" si="36"/>
        <v>0.81887944189631279</v>
      </c>
      <c r="Y612" s="4">
        <f t="shared" si="37"/>
        <v>0.85804590791613233</v>
      </c>
      <c r="Z612" s="4">
        <f t="shared" si="38"/>
        <v>0.97603296116262905</v>
      </c>
      <c r="AA612" s="4">
        <f t="shared" si="39"/>
        <v>0.83911264192471458</v>
      </c>
    </row>
    <row r="613" spans="1:27" x14ac:dyDescent="0.3">
      <c r="A613" t="s">
        <v>296</v>
      </c>
      <c r="B613">
        <v>138278</v>
      </c>
      <c r="C613">
        <v>2015</v>
      </c>
      <c r="D613" t="s">
        <v>20</v>
      </c>
      <c r="E613" t="s">
        <v>175</v>
      </c>
      <c r="F613">
        <v>8</v>
      </c>
      <c r="G613" t="s">
        <v>171</v>
      </c>
      <c r="H613">
        <v>4</v>
      </c>
      <c r="I613" t="s">
        <v>23</v>
      </c>
      <c r="J613" t="s">
        <v>24</v>
      </c>
      <c r="K613" t="s">
        <v>27</v>
      </c>
      <c r="L613" t="s">
        <v>166</v>
      </c>
      <c r="M613" t="s">
        <v>78</v>
      </c>
      <c r="N613">
        <v>0</v>
      </c>
      <c r="O613" t="s">
        <v>27</v>
      </c>
      <c r="S613" s="3">
        <v>13000</v>
      </c>
      <c r="T613" s="2">
        <v>14416.33984375</v>
      </c>
      <c r="U613" s="2">
        <v>13890.514261531251</v>
      </c>
      <c r="V613" s="2">
        <v>12798.722059596381</v>
      </c>
      <c r="W613" s="2">
        <v>16765.76171875</v>
      </c>
      <c r="X613" s="4">
        <f t="shared" si="36"/>
        <v>0.90175454663937915</v>
      </c>
      <c r="Y613" s="4">
        <f t="shared" si="37"/>
        <v>0.93589047570416717</v>
      </c>
      <c r="Z613" s="4">
        <f t="shared" si="38"/>
        <v>1.0157264092044802</v>
      </c>
      <c r="AA613" s="4">
        <f t="shared" si="39"/>
        <v>0.77538976266502957</v>
      </c>
    </row>
    <row r="614" spans="1:27" x14ac:dyDescent="0.3">
      <c r="A614" t="s">
        <v>296</v>
      </c>
      <c r="B614">
        <v>13510</v>
      </c>
      <c r="C614">
        <v>2025</v>
      </c>
      <c r="D614" t="s">
        <v>125</v>
      </c>
      <c r="E614" t="s">
        <v>126</v>
      </c>
      <c r="F614">
        <v>4</v>
      </c>
      <c r="G614" t="s">
        <v>22</v>
      </c>
      <c r="H614">
        <v>4</v>
      </c>
      <c r="I614" t="s">
        <v>23</v>
      </c>
      <c r="J614" t="s">
        <v>31</v>
      </c>
      <c r="K614" t="s">
        <v>27</v>
      </c>
      <c r="L614" t="s">
        <v>127</v>
      </c>
      <c r="M614" t="s">
        <v>33</v>
      </c>
      <c r="N614">
        <v>0</v>
      </c>
      <c r="O614" t="s">
        <v>27</v>
      </c>
      <c r="S614" s="3">
        <v>14250</v>
      </c>
      <c r="T614" s="2">
        <v>26188.15625</v>
      </c>
      <c r="U614" s="2">
        <v>27961.584685395399</v>
      </c>
      <c r="V614" s="2">
        <v>23354.347997558762</v>
      </c>
      <c r="W614" s="2">
        <v>26139.927734375</v>
      </c>
      <c r="X614" s="4">
        <f t="shared" si="36"/>
        <v>0.54413910868582049</v>
      </c>
      <c r="Y614" s="4">
        <f t="shared" si="37"/>
        <v>0.50962776825173683</v>
      </c>
      <c r="Z614" s="4">
        <f t="shared" si="38"/>
        <v>0.6101647539674222</v>
      </c>
      <c r="AA614" s="4">
        <f t="shared" si="39"/>
        <v>0.54514305260533324</v>
      </c>
    </row>
    <row r="615" spans="1:27" x14ac:dyDescent="0.3">
      <c r="A615" t="s">
        <v>296</v>
      </c>
      <c r="B615">
        <v>170960</v>
      </c>
      <c r="C615">
        <v>2016</v>
      </c>
      <c r="D615" t="s">
        <v>100</v>
      </c>
      <c r="E615" t="s">
        <v>138</v>
      </c>
      <c r="F615">
        <v>4</v>
      </c>
      <c r="G615" t="s">
        <v>36</v>
      </c>
      <c r="H615">
        <v>4</v>
      </c>
      <c r="I615" t="s">
        <v>23</v>
      </c>
      <c r="J615" t="s">
        <v>24</v>
      </c>
      <c r="K615" t="s">
        <v>27</v>
      </c>
      <c r="L615" t="s">
        <v>102</v>
      </c>
      <c r="M615" t="s">
        <v>33</v>
      </c>
      <c r="N615">
        <v>0</v>
      </c>
      <c r="O615" t="s">
        <v>27</v>
      </c>
      <c r="S615" s="3">
        <v>3100</v>
      </c>
      <c r="T615" s="2">
        <v>3417.45751953125</v>
      </c>
      <c r="U615" s="2">
        <v>3654.555037491773</v>
      </c>
      <c r="V615" s="2">
        <v>5367.0120184517928</v>
      </c>
      <c r="W615" s="2">
        <v>3658.487060546875</v>
      </c>
      <c r="X615" s="4">
        <f t="shared" si="36"/>
        <v>0.90710710587712196</v>
      </c>
      <c r="Y615" s="4">
        <f t="shared" si="37"/>
        <v>0.8482564821701577</v>
      </c>
      <c r="Z615" s="4">
        <f t="shared" si="38"/>
        <v>0.57760258209636883</v>
      </c>
      <c r="AA615" s="4">
        <f t="shared" si="39"/>
        <v>0.84734480365679044</v>
      </c>
    </row>
    <row r="616" spans="1:27" x14ac:dyDescent="0.3">
      <c r="A616" t="s">
        <v>296</v>
      </c>
      <c r="B616">
        <v>40414</v>
      </c>
      <c r="C616">
        <v>2024</v>
      </c>
      <c r="D616" t="s">
        <v>54</v>
      </c>
      <c r="E616" t="s">
        <v>382</v>
      </c>
      <c r="F616">
        <v>6</v>
      </c>
      <c r="G616" t="s">
        <v>30</v>
      </c>
      <c r="H616">
        <v>4</v>
      </c>
      <c r="I616" t="s">
        <v>23</v>
      </c>
      <c r="J616" t="s">
        <v>24</v>
      </c>
      <c r="K616" t="s">
        <v>27</v>
      </c>
      <c r="L616" t="s">
        <v>26</v>
      </c>
      <c r="M616">
        <v>4</v>
      </c>
      <c r="N616">
        <v>4.5999999999999899</v>
      </c>
      <c r="O616" t="s">
        <v>27</v>
      </c>
      <c r="S616" s="3">
        <v>29750</v>
      </c>
      <c r="T616" s="2">
        <v>39299.921875</v>
      </c>
      <c r="U616" s="2">
        <v>43019.169158733843</v>
      </c>
      <c r="V616" s="2">
        <v>47282.953697904893</v>
      </c>
      <c r="W616" s="2">
        <v>42246.41796875</v>
      </c>
      <c r="X616" s="4">
        <f t="shared" si="36"/>
        <v>0.75699896031918001</v>
      </c>
      <c r="Y616" s="4">
        <f t="shared" si="37"/>
        <v>0.69155217503683686</v>
      </c>
      <c r="Z616" s="4">
        <f t="shared" si="38"/>
        <v>0.6291908113455742</v>
      </c>
      <c r="AA616" s="4">
        <f t="shared" si="39"/>
        <v>0.70420171532664155</v>
      </c>
    </row>
    <row r="617" spans="1:27" x14ac:dyDescent="0.3">
      <c r="A617" t="s">
        <v>296</v>
      </c>
      <c r="B617">
        <v>100965</v>
      </c>
      <c r="C617">
        <v>2020</v>
      </c>
      <c r="D617" t="s">
        <v>40</v>
      </c>
      <c r="E617" t="s">
        <v>41</v>
      </c>
      <c r="F617">
        <v>8</v>
      </c>
      <c r="G617" t="s">
        <v>30</v>
      </c>
      <c r="H617">
        <v>4</v>
      </c>
      <c r="I617" t="s">
        <v>23</v>
      </c>
      <c r="J617" t="s">
        <v>42</v>
      </c>
      <c r="L617" t="s">
        <v>43</v>
      </c>
      <c r="M617">
        <v>4</v>
      </c>
      <c r="N617">
        <v>0</v>
      </c>
      <c r="O617" t="s">
        <v>27</v>
      </c>
      <c r="S617" s="3">
        <v>23000</v>
      </c>
      <c r="T617" s="2">
        <v>41706.58984375</v>
      </c>
      <c r="U617" s="2">
        <v>34683.536842104979</v>
      </c>
      <c r="V617" s="2">
        <v>31691.515304488588</v>
      </c>
      <c r="W617" s="2">
        <v>30427.328125</v>
      </c>
      <c r="X617" s="4">
        <f t="shared" si="36"/>
        <v>0.55147160403589546</v>
      </c>
      <c r="Y617" s="4">
        <f t="shared" si="37"/>
        <v>0.66313882879668007</v>
      </c>
      <c r="Z617" s="4">
        <f t="shared" si="38"/>
        <v>0.72574630083221114</v>
      </c>
      <c r="AA617" s="4">
        <f t="shared" si="39"/>
        <v>0.75589943045648211</v>
      </c>
    </row>
    <row r="618" spans="1:27" x14ac:dyDescent="0.3">
      <c r="A618" t="s">
        <v>296</v>
      </c>
      <c r="B618">
        <v>188039</v>
      </c>
      <c r="C618">
        <v>2014</v>
      </c>
      <c r="D618" t="s">
        <v>40</v>
      </c>
      <c r="E618" t="s">
        <v>146</v>
      </c>
      <c r="F618">
        <v>8</v>
      </c>
      <c r="G618" t="s">
        <v>47</v>
      </c>
      <c r="H618">
        <v>4</v>
      </c>
      <c r="I618" t="s">
        <v>23</v>
      </c>
      <c r="J618" t="s">
        <v>24</v>
      </c>
      <c r="L618" t="s">
        <v>43</v>
      </c>
      <c r="M618" t="s">
        <v>78</v>
      </c>
      <c r="N618">
        <v>0</v>
      </c>
      <c r="O618" t="s">
        <v>27</v>
      </c>
      <c r="S618" s="3">
        <v>3400</v>
      </c>
      <c r="T618" s="2">
        <v>8462.904296875</v>
      </c>
      <c r="U618" s="2">
        <v>18371.508382990371</v>
      </c>
      <c r="V618" s="2">
        <v>6573.1943470482729</v>
      </c>
      <c r="W618" s="2">
        <v>11013.380859375</v>
      </c>
      <c r="X618" s="4">
        <f t="shared" si="36"/>
        <v>0.40175333203938973</v>
      </c>
      <c r="Y618" s="4">
        <f t="shared" si="37"/>
        <v>0.18506918044617165</v>
      </c>
      <c r="Z618" s="4">
        <f t="shared" si="38"/>
        <v>0.51725231607168098</v>
      </c>
      <c r="AA618" s="4">
        <f t="shared" si="39"/>
        <v>0.30871537481660716</v>
      </c>
    </row>
    <row r="619" spans="1:27" x14ac:dyDescent="0.3">
      <c r="A619" t="s">
        <v>296</v>
      </c>
      <c r="B619">
        <v>253922</v>
      </c>
      <c r="C619">
        <v>2015</v>
      </c>
      <c r="D619" t="s">
        <v>159</v>
      </c>
      <c r="E619" t="s">
        <v>383</v>
      </c>
      <c r="F619">
        <v>6</v>
      </c>
      <c r="G619" t="s">
        <v>47</v>
      </c>
      <c r="H619">
        <v>4</v>
      </c>
      <c r="I619" t="s">
        <v>23</v>
      </c>
      <c r="J619" t="s">
        <v>62</v>
      </c>
      <c r="K619" t="s">
        <v>27</v>
      </c>
      <c r="L619" t="s">
        <v>38</v>
      </c>
      <c r="M619" t="s">
        <v>78</v>
      </c>
      <c r="N619">
        <v>0</v>
      </c>
      <c r="O619" t="s">
        <v>27</v>
      </c>
      <c r="S619" s="3">
        <v>4500</v>
      </c>
      <c r="T619" s="2">
        <v>4399.99462890625</v>
      </c>
      <c r="U619" s="2">
        <v>3825.1138932916929</v>
      </c>
      <c r="V619" s="2">
        <v>3862.5576893108941</v>
      </c>
      <c r="W619" s="2">
        <v>4694.6982421875</v>
      </c>
      <c r="X619" s="4">
        <f t="shared" si="36"/>
        <v>1.0227285211751747</v>
      </c>
      <c r="Y619" s="4">
        <f t="shared" si="37"/>
        <v>1.176435558661898</v>
      </c>
      <c r="Z619" s="4">
        <f t="shared" si="38"/>
        <v>1.1650311430825075</v>
      </c>
      <c r="AA619" s="4">
        <f t="shared" si="39"/>
        <v>0.95852806034732918</v>
      </c>
    </row>
    <row r="620" spans="1:27" x14ac:dyDescent="0.3">
      <c r="A620" t="s">
        <v>296</v>
      </c>
      <c r="B620">
        <v>123029</v>
      </c>
      <c r="C620">
        <v>2012</v>
      </c>
      <c r="D620" t="s">
        <v>384</v>
      </c>
      <c r="E620" t="s">
        <v>385</v>
      </c>
      <c r="F620">
        <v>4</v>
      </c>
      <c r="G620" t="s">
        <v>59</v>
      </c>
      <c r="H620">
        <v>4</v>
      </c>
      <c r="I620" t="s">
        <v>23</v>
      </c>
      <c r="J620" t="s">
        <v>281</v>
      </c>
      <c r="L620" t="s">
        <v>295</v>
      </c>
      <c r="M620" t="s">
        <v>33</v>
      </c>
      <c r="N620">
        <v>0</v>
      </c>
      <c r="O620" t="s">
        <v>27</v>
      </c>
      <c r="S620" s="3">
        <v>4700</v>
      </c>
      <c r="T620" s="2">
        <v>4412.232421875</v>
      </c>
      <c r="U620" s="2">
        <v>4065.737753545463</v>
      </c>
      <c r="V620" s="2">
        <v>2329.819684641252</v>
      </c>
      <c r="W620" s="2">
        <v>4235.16552734375</v>
      </c>
      <c r="X620" s="4">
        <f t="shared" si="36"/>
        <v>1.065220403326512</v>
      </c>
      <c r="Y620" s="4">
        <f t="shared" si="37"/>
        <v>1.156001760295887</v>
      </c>
      <c r="Z620" s="4">
        <f t="shared" si="38"/>
        <v>2.0173234997470249</v>
      </c>
      <c r="AA620" s="4">
        <f t="shared" si="39"/>
        <v>1.1097559161867727</v>
      </c>
    </row>
    <row r="621" spans="1:27" x14ac:dyDescent="0.3">
      <c r="A621" t="s">
        <v>296</v>
      </c>
      <c r="B621">
        <v>198993</v>
      </c>
      <c r="C621">
        <v>2011</v>
      </c>
      <c r="D621" t="s">
        <v>34</v>
      </c>
      <c r="E621" t="s">
        <v>262</v>
      </c>
      <c r="F621">
        <v>8</v>
      </c>
      <c r="G621" t="s">
        <v>36</v>
      </c>
      <c r="H621">
        <v>4</v>
      </c>
      <c r="I621" t="s">
        <v>23</v>
      </c>
      <c r="J621" t="s">
        <v>46</v>
      </c>
      <c r="K621" t="s">
        <v>27</v>
      </c>
      <c r="L621" t="s">
        <v>354</v>
      </c>
      <c r="M621">
        <v>4</v>
      </c>
      <c r="N621">
        <v>0</v>
      </c>
      <c r="O621" t="s">
        <v>27</v>
      </c>
      <c r="S621" s="3">
        <v>6900</v>
      </c>
      <c r="T621" s="2">
        <v>7960.0634765625</v>
      </c>
      <c r="U621" s="2">
        <v>7692.231033229893</v>
      </c>
      <c r="V621" s="2">
        <v>11458.44397027489</v>
      </c>
      <c r="W621" s="2">
        <v>8380.2734375</v>
      </c>
      <c r="X621" s="4">
        <f t="shared" si="36"/>
        <v>0.86682725839012009</v>
      </c>
      <c r="Y621" s="4">
        <f t="shared" si="37"/>
        <v>0.89700893930414838</v>
      </c>
      <c r="Z621" s="4">
        <f t="shared" si="38"/>
        <v>0.60217600381864655</v>
      </c>
      <c r="AA621" s="4">
        <f t="shared" si="39"/>
        <v>0.82336215535926538</v>
      </c>
    </row>
    <row r="622" spans="1:27" x14ac:dyDescent="0.3">
      <c r="A622" t="s">
        <v>296</v>
      </c>
      <c r="B622">
        <v>124734</v>
      </c>
      <c r="C622">
        <v>2018</v>
      </c>
      <c r="D622" t="s">
        <v>44</v>
      </c>
      <c r="E622" t="s">
        <v>117</v>
      </c>
      <c r="F622">
        <v>4</v>
      </c>
      <c r="G622" t="s">
        <v>22</v>
      </c>
      <c r="H622">
        <v>4</v>
      </c>
      <c r="I622" t="s">
        <v>23</v>
      </c>
      <c r="J622" t="s">
        <v>62</v>
      </c>
      <c r="K622" t="s">
        <v>27</v>
      </c>
      <c r="L622" t="s">
        <v>200</v>
      </c>
      <c r="M622" t="s">
        <v>33</v>
      </c>
      <c r="N622">
        <v>0</v>
      </c>
      <c r="O622" t="s">
        <v>27</v>
      </c>
      <c r="S622" s="3">
        <v>4800</v>
      </c>
      <c r="T622" s="2">
        <v>6209.599609375</v>
      </c>
      <c r="U622" s="2">
        <v>5664.717195064828</v>
      </c>
      <c r="V622" s="2">
        <v>6049.6364222993752</v>
      </c>
      <c r="W622" s="2">
        <v>5549.7724609375</v>
      </c>
      <c r="X622" s="4">
        <f t="shared" si="36"/>
        <v>0.77299669897446466</v>
      </c>
      <c r="Y622" s="4">
        <f t="shared" si="37"/>
        <v>0.84735033271949034</v>
      </c>
      <c r="Z622" s="4">
        <f t="shared" si="38"/>
        <v>0.79343611168216166</v>
      </c>
      <c r="AA622" s="4">
        <f t="shared" si="39"/>
        <v>0.8649003240736749</v>
      </c>
    </row>
    <row r="623" spans="1:27" x14ac:dyDescent="0.3">
      <c r="A623" t="s">
        <v>296</v>
      </c>
      <c r="B623">
        <v>59510</v>
      </c>
      <c r="C623">
        <v>2019</v>
      </c>
      <c r="D623" t="s">
        <v>34</v>
      </c>
      <c r="E623" t="s">
        <v>173</v>
      </c>
      <c r="F623">
        <v>4</v>
      </c>
      <c r="G623" t="s">
        <v>36</v>
      </c>
      <c r="H623">
        <v>4</v>
      </c>
      <c r="I623" t="s">
        <v>23</v>
      </c>
      <c r="J623" t="s">
        <v>62</v>
      </c>
      <c r="L623" t="s">
        <v>128</v>
      </c>
      <c r="M623" t="s">
        <v>33</v>
      </c>
      <c r="N623">
        <v>0</v>
      </c>
      <c r="S623" s="3">
        <v>20800</v>
      </c>
      <c r="T623" s="2">
        <v>16874.923828125</v>
      </c>
      <c r="U623" s="2">
        <v>16407.66592591631</v>
      </c>
      <c r="V623" s="2">
        <v>15222.62002865789</v>
      </c>
      <c r="W623" s="2">
        <v>17994.2578125</v>
      </c>
      <c r="X623" s="4">
        <f t="shared" si="36"/>
        <v>1.2325981564037152</v>
      </c>
      <c r="Y623" s="4">
        <f t="shared" si="37"/>
        <v>1.2677001161478971</v>
      </c>
      <c r="Z623" s="4">
        <f t="shared" si="38"/>
        <v>1.3663876494875529</v>
      </c>
      <c r="AA623" s="4">
        <f t="shared" si="39"/>
        <v>1.1559243074505106</v>
      </c>
    </row>
    <row r="624" spans="1:27" x14ac:dyDescent="0.3">
      <c r="A624" t="s">
        <v>386</v>
      </c>
      <c r="B624">
        <v>10231</v>
      </c>
      <c r="C624">
        <v>2020</v>
      </c>
      <c r="D624" t="s">
        <v>226</v>
      </c>
      <c r="E624" t="s">
        <v>260</v>
      </c>
      <c r="F624">
        <v>4</v>
      </c>
      <c r="G624" t="s">
        <v>22</v>
      </c>
      <c r="H624">
        <v>4</v>
      </c>
      <c r="I624" t="s">
        <v>23</v>
      </c>
      <c r="J624" t="s">
        <v>165</v>
      </c>
      <c r="K624" t="s">
        <v>25</v>
      </c>
      <c r="L624" t="s">
        <v>127</v>
      </c>
      <c r="M624" t="s">
        <v>23</v>
      </c>
      <c r="S624" s="3">
        <v>23500</v>
      </c>
      <c r="T624" s="2">
        <v>30848.736328125</v>
      </c>
      <c r="U624" s="2">
        <v>31475.13381555349</v>
      </c>
      <c r="V624" s="2">
        <v>31238.047382406981</v>
      </c>
      <c r="W624" s="2">
        <v>33585.2109375</v>
      </c>
      <c r="X624" s="4">
        <f t="shared" si="36"/>
        <v>0.76178160914082216</v>
      </c>
      <c r="Y624" s="4">
        <f t="shared" si="37"/>
        <v>0.7466211307539361</v>
      </c>
      <c r="Z624" s="4">
        <f t="shared" si="38"/>
        <v>0.75228773784481207</v>
      </c>
      <c r="AA624" s="4">
        <f t="shared" si="39"/>
        <v>0.69971274093624258</v>
      </c>
    </row>
    <row r="625" spans="1:27" x14ac:dyDescent="0.3">
      <c r="A625" t="s">
        <v>296</v>
      </c>
      <c r="B625">
        <v>80776</v>
      </c>
      <c r="C625">
        <v>2020</v>
      </c>
      <c r="D625" t="s">
        <v>40</v>
      </c>
      <c r="E625" t="s">
        <v>63</v>
      </c>
      <c r="F625">
        <v>4</v>
      </c>
      <c r="G625" t="s">
        <v>30</v>
      </c>
      <c r="H625">
        <v>4</v>
      </c>
      <c r="I625" t="s">
        <v>23</v>
      </c>
      <c r="J625" t="s">
        <v>24</v>
      </c>
      <c r="K625" t="s">
        <v>27</v>
      </c>
      <c r="L625" t="s">
        <v>107</v>
      </c>
      <c r="M625" t="s">
        <v>33</v>
      </c>
      <c r="N625">
        <v>3.7</v>
      </c>
      <c r="O625" t="s">
        <v>27</v>
      </c>
      <c r="S625" s="3">
        <v>10250</v>
      </c>
      <c r="T625" s="2">
        <v>13989.0966796875</v>
      </c>
      <c r="U625" s="2">
        <v>15595.899132064291</v>
      </c>
      <c r="V625" s="2">
        <v>13917.10944644273</v>
      </c>
      <c r="W625" s="2">
        <v>14581.9091796875</v>
      </c>
      <c r="X625" s="4">
        <f t="shared" si="36"/>
        <v>0.73271350071396979</v>
      </c>
      <c r="Y625" s="4">
        <f t="shared" si="37"/>
        <v>0.65722405057920497</v>
      </c>
      <c r="Z625" s="4">
        <f t="shared" si="38"/>
        <v>0.73650351313576412</v>
      </c>
      <c r="AA625" s="4">
        <f t="shared" si="39"/>
        <v>0.7029257879536227</v>
      </c>
    </row>
    <row r="626" spans="1:27" x14ac:dyDescent="0.3">
      <c r="A626" t="s">
        <v>296</v>
      </c>
      <c r="B626">
        <v>48097</v>
      </c>
      <c r="C626">
        <v>2020</v>
      </c>
      <c r="D626" t="s">
        <v>81</v>
      </c>
      <c r="E626" t="s">
        <v>82</v>
      </c>
      <c r="F626">
        <v>6</v>
      </c>
      <c r="G626" t="s">
        <v>47</v>
      </c>
      <c r="H626">
        <v>2</v>
      </c>
      <c r="I626" t="s">
        <v>23</v>
      </c>
      <c r="J626" t="s">
        <v>83</v>
      </c>
      <c r="K626" t="s">
        <v>27</v>
      </c>
      <c r="L626" t="s">
        <v>26</v>
      </c>
      <c r="M626" t="s">
        <v>78</v>
      </c>
      <c r="N626">
        <v>3.9</v>
      </c>
      <c r="O626" t="s">
        <v>27</v>
      </c>
      <c r="S626" s="3">
        <v>18000</v>
      </c>
      <c r="T626" s="2">
        <v>24092.939453125</v>
      </c>
      <c r="U626" s="2">
        <v>27348.075662328349</v>
      </c>
      <c r="V626" s="2">
        <v>21249.083657565119</v>
      </c>
      <c r="W626" s="2">
        <v>26642.814453125</v>
      </c>
      <c r="X626" s="4">
        <f t="shared" si="36"/>
        <v>0.74710684576369912</v>
      </c>
      <c r="Y626" s="4">
        <f t="shared" si="37"/>
        <v>0.65818159282025046</v>
      </c>
      <c r="Z626" s="4">
        <f t="shared" si="38"/>
        <v>0.84709535197258368</v>
      </c>
      <c r="AA626" s="4">
        <f t="shared" si="39"/>
        <v>0.6756042996759577</v>
      </c>
    </row>
    <row r="627" spans="1:27" x14ac:dyDescent="0.3">
      <c r="A627" t="s">
        <v>296</v>
      </c>
      <c r="B627">
        <v>47748</v>
      </c>
      <c r="C627">
        <v>2021</v>
      </c>
      <c r="D627" t="s">
        <v>54</v>
      </c>
      <c r="E627" t="s">
        <v>124</v>
      </c>
      <c r="F627">
        <v>4</v>
      </c>
      <c r="G627" t="s">
        <v>22</v>
      </c>
      <c r="H627">
        <v>4</v>
      </c>
      <c r="I627" t="s">
        <v>23</v>
      </c>
      <c r="J627" t="s">
        <v>24</v>
      </c>
      <c r="K627" t="s">
        <v>27</v>
      </c>
      <c r="L627" t="s">
        <v>60</v>
      </c>
      <c r="M627">
        <v>4</v>
      </c>
      <c r="N627">
        <v>3.7</v>
      </c>
      <c r="O627" t="s">
        <v>27</v>
      </c>
      <c r="S627" s="3">
        <v>13500</v>
      </c>
      <c r="T627" s="2">
        <v>23301.5078125</v>
      </c>
      <c r="U627" s="2">
        <v>24109.153877567471</v>
      </c>
      <c r="V627" s="2">
        <v>23330.397611148961</v>
      </c>
      <c r="W627" s="2">
        <v>24311.67578125</v>
      </c>
      <c r="X627" s="4">
        <f t="shared" si="36"/>
        <v>0.57936164941042911</v>
      </c>
      <c r="Y627" s="4">
        <f t="shared" si="37"/>
        <v>0.55995328863702543</v>
      </c>
      <c r="Z627" s="4">
        <f t="shared" si="38"/>
        <v>0.57864423165890311</v>
      </c>
      <c r="AA627" s="4">
        <f t="shared" si="39"/>
        <v>0.55528874773871673</v>
      </c>
    </row>
    <row r="628" spans="1:27" x14ac:dyDescent="0.3">
      <c r="A628" t="s">
        <v>296</v>
      </c>
      <c r="B628">
        <v>142155</v>
      </c>
      <c r="C628">
        <v>2017</v>
      </c>
      <c r="D628" t="s">
        <v>44</v>
      </c>
      <c r="E628" t="s">
        <v>210</v>
      </c>
      <c r="F628">
        <v>4</v>
      </c>
      <c r="G628" t="s">
        <v>30</v>
      </c>
      <c r="H628">
        <v>4</v>
      </c>
      <c r="I628" t="s">
        <v>23</v>
      </c>
      <c r="J628" t="s">
        <v>37</v>
      </c>
      <c r="K628" t="s">
        <v>27</v>
      </c>
      <c r="L628" t="s">
        <v>200</v>
      </c>
      <c r="M628" t="s">
        <v>33</v>
      </c>
      <c r="N628">
        <v>0</v>
      </c>
      <c r="O628" t="s">
        <v>27</v>
      </c>
      <c r="S628" s="3">
        <v>3600</v>
      </c>
      <c r="T628" s="2">
        <v>5370.65283203125</v>
      </c>
      <c r="U628" s="2">
        <v>5097.9637200370107</v>
      </c>
      <c r="V628" s="2">
        <v>4995.8215990078606</v>
      </c>
      <c r="W628" s="2">
        <v>4863.583984375</v>
      </c>
      <c r="X628" s="4">
        <f t="shared" si="36"/>
        <v>0.67030957177666495</v>
      </c>
      <c r="Y628" s="4">
        <f t="shared" si="37"/>
        <v>0.70616430357293014</v>
      </c>
      <c r="Z628" s="4">
        <f t="shared" si="38"/>
        <v>0.72060219298362016</v>
      </c>
      <c r="AA628" s="4">
        <f t="shared" si="39"/>
        <v>0.74019488746684448</v>
      </c>
    </row>
    <row r="629" spans="1:27" x14ac:dyDescent="0.3">
      <c r="A629" t="s">
        <v>296</v>
      </c>
      <c r="B629">
        <v>146706</v>
      </c>
      <c r="C629">
        <v>2012</v>
      </c>
      <c r="D629" t="s">
        <v>71</v>
      </c>
      <c r="E629" t="s">
        <v>170</v>
      </c>
      <c r="F629">
        <v>6</v>
      </c>
      <c r="G629" t="s">
        <v>22</v>
      </c>
      <c r="H629">
        <v>4</v>
      </c>
      <c r="I629" t="s">
        <v>23</v>
      </c>
      <c r="J629" t="s">
        <v>24</v>
      </c>
      <c r="K629" t="s">
        <v>27</v>
      </c>
      <c r="L629" t="s">
        <v>26</v>
      </c>
      <c r="M629" t="s">
        <v>33</v>
      </c>
      <c r="N629">
        <v>0</v>
      </c>
      <c r="O629" t="s">
        <v>27</v>
      </c>
      <c r="S629" s="3">
        <v>3000</v>
      </c>
      <c r="T629" s="2">
        <v>5518.2001953125</v>
      </c>
      <c r="U629" s="2">
        <v>4637.1707171385751</v>
      </c>
      <c r="V629" s="2">
        <v>4871.2808181448599</v>
      </c>
      <c r="W629" s="2">
        <v>4344.70751953125</v>
      </c>
      <c r="X629" s="4">
        <f t="shared" si="36"/>
        <v>0.54365552060767663</v>
      </c>
      <c r="Y629" s="4">
        <f t="shared" si="37"/>
        <v>0.64694620556285842</v>
      </c>
      <c r="Z629" s="4">
        <f t="shared" si="38"/>
        <v>0.61585445635271263</v>
      </c>
      <c r="AA629" s="4">
        <f t="shared" si="39"/>
        <v>0.69049527189431381</v>
      </c>
    </row>
    <row r="630" spans="1:27" x14ac:dyDescent="0.3">
      <c r="A630" t="s">
        <v>296</v>
      </c>
      <c r="B630">
        <v>87232</v>
      </c>
      <c r="C630">
        <v>2015</v>
      </c>
      <c r="D630" t="s">
        <v>226</v>
      </c>
      <c r="E630" t="s">
        <v>227</v>
      </c>
      <c r="F630">
        <v>4</v>
      </c>
      <c r="G630" t="s">
        <v>36</v>
      </c>
      <c r="H630">
        <v>2</v>
      </c>
      <c r="I630" t="s">
        <v>23</v>
      </c>
      <c r="J630" t="s">
        <v>209</v>
      </c>
      <c r="K630" t="s">
        <v>27</v>
      </c>
      <c r="L630" t="s">
        <v>127</v>
      </c>
      <c r="M630" t="s">
        <v>23</v>
      </c>
      <c r="N630">
        <v>0</v>
      </c>
      <c r="O630" t="s">
        <v>27</v>
      </c>
      <c r="S630" s="3">
        <v>8500</v>
      </c>
      <c r="T630" s="2">
        <v>5705.16943359375</v>
      </c>
      <c r="U630" s="2">
        <v>9912.7328142125443</v>
      </c>
      <c r="V630" s="2">
        <v>10346.929472940519</v>
      </c>
      <c r="W630" s="2">
        <v>10360.3388671875</v>
      </c>
      <c r="X630" s="4">
        <f t="shared" si="36"/>
        <v>1.4898768737610926</v>
      </c>
      <c r="Y630" s="4">
        <f t="shared" si="37"/>
        <v>0.85748301293998208</v>
      </c>
      <c r="Z630" s="4">
        <f t="shared" si="38"/>
        <v>0.82149975238831552</v>
      </c>
      <c r="AA630" s="4">
        <f t="shared" si="39"/>
        <v>0.82043648465211616</v>
      </c>
    </row>
    <row r="631" spans="1:27" x14ac:dyDescent="0.3">
      <c r="A631" t="s">
        <v>296</v>
      </c>
      <c r="B631">
        <v>146194</v>
      </c>
      <c r="C631">
        <v>2012</v>
      </c>
      <c r="D631" t="s">
        <v>40</v>
      </c>
      <c r="E631" t="s">
        <v>150</v>
      </c>
      <c r="F631">
        <v>6</v>
      </c>
      <c r="G631" t="s">
        <v>47</v>
      </c>
      <c r="H631">
        <v>4</v>
      </c>
      <c r="I631" t="s">
        <v>23</v>
      </c>
      <c r="J631" t="s">
        <v>24</v>
      </c>
      <c r="L631" t="s">
        <v>26</v>
      </c>
      <c r="M631" t="s">
        <v>33</v>
      </c>
      <c r="N631">
        <v>0</v>
      </c>
      <c r="O631" t="s">
        <v>27</v>
      </c>
      <c r="S631" s="3">
        <v>2600</v>
      </c>
      <c r="T631" s="2">
        <v>5557.95751953125</v>
      </c>
      <c r="U631" s="2">
        <v>4899.302601191388</v>
      </c>
      <c r="V631" s="2">
        <v>4174.9948229995443</v>
      </c>
      <c r="W631" s="2">
        <v>4384.615234375</v>
      </c>
      <c r="X631" s="4">
        <f t="shared" si="36"/>
        <v>0.46779774599991547</v>
      </c>
      <c r="Y631" s="4">
        <f t="shared" si="37"/>
        <v>0.53068777571888393</v>
      </c>
      <c r="Z631" s="4">
        <f t="shared" si="38"/>
        <v>0.62275526323455843</v>
      </c>
      <c r="AA631" s="4">
        <f t="shared" si="39"/>
        <v>0.59298247645910351</v>
      </c>
    </row>
    <row r="632" spans="1:27" x14ac:dyDescent="0.3">
      <c r="A632" t="s">
        <v>296</v>
      </c>
      <c r="B632">
        <v>114116</v>
      </c>
      <c r="C632">
        <v>2019</v>
      </c>
      <c r="D632" t="s">
        <v>20</v>
      </c>
      <c r="E632" t="s">
        <v>151</v>
      </c>
      <c r="F632">
        <v>8</v>
      </c>
      <c r="G632" t="s">
        <v>36</v>
      </c>
      <c r="H632">
        <v>4</v>
      </c>
      <c r="I632" t="s">
        <v>23</v>
      </c>
      <c r="J632" t="s">
        <v>42</v>
      </c>
      <c r="K632" t="s">
        <v>27</v>
      </c>
      <c r="L632" t="s">
        <v>166</v>
      </c>
      <c r="M632">
        <v>4</v>
      </c>
      <c r="N632">
        <v>0</v>
      </c>
      <c r="O632" t="s">
        <v>27</v>
      </c>
      <c r="S632" s="3">
        <v>27000</v>
      </c>
      <c r="T632" s="2">
        <v>24391.447265625</v>
      </c>
      <c r="U632" s="2">
        <v>23138.056461648961</v>
      </c>
      <c r="V632" s="2">
        <v>27378.744955376791</v>
      </c>
      <c r="W632" s="2">
        <v>25266.447265625</v>
      </c>
      <c r="X632" s="4">
        <f t="shared" si="36"/>
        <v>1.106945385649635</v>
      </c>
      <c r="Y632" s="4">
        <f t="shared" si="37"/>
        <v>1.1669087265281837</v>
      </c>
      <c r="Z632" s="4">
        <f t="shared" si="38"/>
        <v>0.98616646029633248</v>
      </c>
      <c r="AA632" s="4">
        <f t="shared" si="39"/>
        <v>1.0686108623088255</v>
      </c>
    </row>
    <row r="633" spans="1:27" x14ac:dyDescent="0.3">
      <c r="A633" t="s">
        <v>296</v>
      </c>
      <c r="B633">
        <v>104334</v>
      </c>
      <c r="C633">
        <v>2018</v>
      </c>
      <c r="D633" t="s">
        <v>28</v>
      </c>
      <c r="E633" t="s">
        <v>387</v>
      </c>
      <c r="F633">
        <v>4</v>
      </c>
      <c r="G633" t="s">
        <v>59</v>
      </c>
      <c r="H633">
        <v>4</v>
      </c>
      <c r="I633" t="s">
        <v>337</v>
      </c>
      <c r="J633" t="s">
        <v>31</v>
      </c>
      <c r="K633" t="s">
        <v>27</v>
      </c>
      <c r="L633" t="s">
        <v>127</v>
      </c>
      <c r="M633" t="s">
        <v>33</v>
      </c>
      <c r="N633">
        <v>0</v>
      </c>
      <c r="O633" t="s">
        <v>27</v>
      </c>
      <c r="S633" s="3">
        <v>18600</v>
      </c>
      <c r="T633" s="2">
        <v>18426.259765625</v>
      </c>
      <c r="U633" s="2">
        <v>22248.986607735329</v>
      </c>
      <c r="V633" s="2">
        <v>27162.345843015799</v>
      </c>
      <c r="W633" s="2">
        <v>18617.177734375</v>
      </c>
      <c r="X633" s="4">
        <f t="shared" si="36"/>
        <v>1.009428947414446</v>
      </c>
      <c r="Y633" s="4">
        <f t="shared" si="37"/>
        <v>0.83599313208869108</v>
      </c>
      <c r="Z633" s="4">
        <f t="shared" si="38"/>
        <v>0.68477148871818017</v>
      </c>
      <c r="AA633" s="4">
        <f t="shared" si="39"/>
        <v>0.99907731802209299</v>
      </c>
    </row>
    <row r="634" spans="1:27" x14ac:dyDescent="0.3">
      <c r="A634" t="s">
        <v>296</v>
      </c>
      <c r="B634">
        <v>119966</v>
      </c>
      <c r="C634">
        <v>2015</v>
      </c>
      <c r="D634" t="s">
        <v>40</v>
      </c>
      <c r="E634" t="s">
        <v>229</v>
      </c>
      <c r="F634">
        <v>4</v>
      </c>
      <c r="G634" t="s">
        <v>30</v>
      </c>
      <c r="H634">
        <v>4</v>
      </c>
      <c r="I634" t="s">
        <v>23</v>
      </c>
      <c r="J634" t="s">
        <v>31</v>
      </c>
      <c r="K634" t="s">
        <v>27</v>
      </c>
      <c r="L634" t="s">
        <v>102</v>
      </c>
      <c r="M634" t="s">
        <v>33</v>
      </c>
      <c r="N634">
        <v>2.7</v>
      </c>
      <c r="O634" t="s">
        <v>27</v>
      </c>
      <c r="S634" s="3">
        <v>3100</v>
      </c>
      <c r="T634" s="2">
        <v>5449.96337890625</v>
      </c>
      <c r="U634" s="2">
        <v>6305.791602012001</v>
      </c>
      <c r="V634" s="2">
        <v>5204.5076382351281</v>
      </c>
      <c r="W634" s="2">
        <v>5564.73388671875</v>
      </c>
      <c r="X634" s="4">
        <f t="shared" si="36"/>
        <v>0.56881116155722444</v>
      </c>
      <c r="Y634" s="4">
        <f t="shared" si="37"/>
        <v>0.49161155262582368</v>
      </c>
      <c r="Z634" s="4">
        <f t="shared" si="38"/>
        <v>0.59563751568461987</v>
      </c>
      <c r="AA634" s="4">
        <f t="shared" si="39"/>
        <v>0.55707964892961259</v>
      </c>
    </row>
    <row r="635" spans="1:27" x14ac:dyDescent="0.3">
      <c r="A635" t="s">
        <v>296</v>
      </c>
      <c r="B635">
        <v>72882</v>
      </c>
      <c r="C635">
        <v>2019</v>
      </c>
      <c r="D635" t="s">
        <v>100</v>
      </c>
      <c r="E635" t="s">
        <v>192</v>
      </c>
      <c r="F635">
        <v>4</v>
      </c>
      <c r="G635" t="s">
        <v>30</v>
      </c>
      <c r="H635">
        <v>4</v>
      </c>
      <c r="I635" t="s">
        <v>23</v>
      </c>
      <c r="J635" t="s">
        <v>31</v>
      </c>
      <c r="K635" t="s">
        <v>27</v>
      </c>
      <c r="L635" t="s">
        <v>32</v>
      </c>
      <c r="M635" t="s">
        <v>33</v>
      </c>
      <c r="N635">
        <v>0</v>
      </c>
      <c r="O635" t="s">
        <v>27</v>
      </c>
      <c r="S635" s="3">
        <v>5000</v>
      </c>
      <c r="T635" s="2">
        <v>8367.4130859375</v>
      </c>
      <c r="U635" s="2">
        <v>9687.5212784028954</v>
      </c>
      <c r="V635" s="2">
        <v>11023.362852351989</v>
      </c>
      <c r="W635" s="2">
        <v>10076.197265625</v>
      </c>
      <c r="X635" s="4">
        <f t="shared" si="36"/>
        <v>0.5975562516930274</v>
      </c>
      <c r="Y635" s="4">
        <f t="shared" si="37"/>
        <v>0.51612789859330355</v>
      </c>
      <c r="Z635" s="4">
        <f t="shared" si="38"/>
        <v>0.45358209350181916</v>
      </c>
      <c r="AA635" s="4">
        <f t="shared" si="39"/>
        <v>0.49621894730639371</v>
      </c>
    </row>
    <row r="636" spans="1:27" x14ac:dyDescent="0.3">
      <c r="A636" t="s">
        <v>296</v>
      </c>
      <c r="B636">
        <v>146421</v>
      </c>
      <c r="C636">
        <v>2016</v>
      </c>
      <c r="D636" t="s">
        <v>28</v>
      </c>
      <c r="E636" t="s">
        <v>289</v>
      </c>
      <c r="F636">
        <v>4</v>
      </c>
      <c r="G636" t="s">
        <v>59</v>
      </c>
      <c r="H636">
        <v>4</v>
      </c>
      <c r="I636" t="s">
        <v>23</v>
      </c>
      <c r="J636" t="s">
        <v>31</v>
      </c>
      <c r="K636" t="s">
        <v>27</v>
      </c>
      <c r="L636" t="s">
        <v>127</v>
      </c>
      <c r="M636" t="s">
        <v>33</v>
      </c>
      <c r="N636">
        <v>0</v>
      </c>
      <c r="O636" t="s">
        <v>27</v>
      </c>
      <c r="S636" s="3">
        <v>5000</v>
      </c>
      <c r="T636" s="2">
        <v>7865.50146484375</v>
      </c>
      <c r="U636" s="2">
        <v>6961.3995181965774</v>
      </c>
      <c r="V636" s="2">
        <v>7548.7426610552156</v>
      </c>
      <c r="W636" s="2">
        <v>9081.08984375</v>
      </c>
      <c r="X636" s="4">
        <f t="shared" si="36"/>
        <v>0.63568737763871563</v>
      </c>
      <c r="Y636" s="4">
        <f t="shared" si="37"/>
        <v>0.71824637947159531</v>
      </c>
      <c r="Z636" s="4">
        <f t="shared" si="38"/>
        <v>0.66236196205171272</v>
      </c>
      <c r="AA636" s="4">
        <f t="shared" si="39"/>
        <v>0.55059470680616784</v>
      </c>
    </row>
    <row r="637" spans="1:27" x14ac:dyDescent="0.3">
      <c r="A637" t="s">
        <v>296</v>
      </c>
      <c r="B637">
        <v>101695</v>
      </c>
      <c r="C637">
        <v>2020</v>
      </c>
      <c r="D637" t="s">
        <v>40</v>
      </c>
      <c r="E637" t="s">
        <v>122</v>
      </c>
      <c r="F637">
        <v>4</v>
      </c>
      <c r="G637" t="s">
        <v>30</v>
      </c>
      <c r="H637">
        <v>4</v>
      </c>
      <c r="I637" t="s">
        <v>23</v>
      </c>
      <c r="J637" t="s">
        <v>24</v>
      </c>
      <c r="K637" t="s">
        <v>27</v>
      </c>
      <c r="L637" t="s">
        <v>73</v>
      </c>
      <c r="M637" t="s">
        <v>33</v>
      </c>
      <c r="N637">
        <v>0</v>
      </c>
      <c r="O637" t="s">
        <v>27</v>
      </c>
      <c r="S637" s="3">
        <v>4400</v>
      </c>
      <c r="T637" s="2">
        <v>9671.447265625</v>
      </c>
      <c r="U637" s="2">
        <v>9205.0346165433475</v>
      </c>
      <c r="V637" s="2">
        <v>8051.5896621486008</v>
      </c>
      <c r="W637" s="2">
        <v>9767.3984375</v>
      </c>
      <c r="X637" s="4">
        <f t="shared" si="36"/>
        <v>0.45494742194777998</v>
      </c>
      <c r="Y637" s="4">
        <f t="shared" si="37"/>
        <v>0.47799928879053771</v>
      </c>
      <c r="Z637" s="4">
        <f t="shared" si="38"/>
        <v>0.54647593638370306</v>
      </c>
      <c r="AA637" s="4">
        <f t="shared" si="39"/>
        <v>0.45047819316012211</v>
      </c>
    </row>
    <row r="638" spans="1:27" x14ac:dyDescent="0.3">
      <c r="A638" t="s">
        <v>296</v>
      </c>
      <c r="B638">
        <v>1</v>
      </c>
      <c r="C638">
        <v>2011</v>
      </c>
      <c r="D638" t="s">
        <v>44</v>
      </c>
      <c r="E638" t="s">
        <v>388</v>
      </c>
      <c r="F638">
        <v>8</v>
      </c>
      <c r="G638" t="s">
        <v>36</v>
      </c>
      <c r="H638">
        <v>4</v>
      </c>
      <c r="I638" t="s">
        <v>23</v>
      </c>
      <c r="J638" t="s">
        <v>37</v>
      </c>
      <c r="L638" t="s">
        <v>378</v>
      </c>
      <c r="M638" t="s">
        <v>78</v>
      </c>
      <c r="N638">
        <v>0</v>
      </c>
      <c r="O638" t="s">
        <v>27</v>
      </c>
      <c r="S638" s="3">
        <v>300</v>
      </c>
      <c r="T638" s="2">
        <v>70468.609375</v>
      </c>
      <c r="U638" s="2">
        <v>54216.604244664901</v>
      </c>
      <c r="V638" s="2">
        <v>27234.51932441596</v>
      </c>
      <c r="W638" s="2">
        <v>93241.7734375</v>
      </c>
      <c r="X638" s="4">
        <f t="shared" si="36"/>
        <v>4.2572147039761279E-3</v>
      </c>
      <c r="Y638" s="4">
        <f t="shared" si="37"/>
        <v>5.5333601980341847E-3</v>
      </c>
      <c r="Z638" s="4">
        <f t="shared" si="38"/>
        <v>1.1015432158960399E-2</v>
      </c>
      <c r="AA638" s="4">
        <f t="shared" si="39"/>
        <v>3.2174420213177319E-3</v>
      </c>
    </row>
    <row r="639" spans="1:27" x14ac:dyDescent="0.3">
      <c r="A639" t="s">
        <v>296</v>
      </c>
      <c r="B639">
        <v>276292</v>
      </c>
      <c r="C639">
        <v>2021</v>
      </c>
      <c r="D639" t="s">
        <v>34</v>
      </c>
      <c r="E639" t="s">
        <v>173</v>
      </c>
      <c r="F639">
        <v>4</v>
      </c>
      <c r="G639" t="s">
        <v>22</v>
      </c>
      <c r="H639">
        <v>4</v>
      </c>
      <c r="I639" t="s">
        <v>23</v>
      </c>
      <c r="J639" t="s">
        <v>62</v>
      </c>
      <c r="K639" t="s">
        <v>27</v>
      </c>
      <c r="L639" t="s">
        <v>128</v>
      </c>
      <c r="M639" t="s">
        <v>33</v>
      </c>
      <c r="N639">
        <v>0</v>
      </c>
      <c r="O639" t="s">
        <v>27</v>
      </c>
      <c r="S639" s="3">
        <v>13200</v>
      </c>
      <c r="T639" s="2">
        <v>6825.302734375</v>
      </c>
      <c r="U639" s="2">
        <v>7592.9978551206259</v>
      </c>
      <c r="V639" s="2">
        <v>8618.6229703823265</v>
      </c>
      <c r="W639" s="2">
        <v>7733.26318359375</v>
      </c>
      <c r="X639" s="4">
        <f t="shared" si="36"/>
        <v>1.9339801491176989</v>
      </c>
      <c r="Y639" s="4">
        <f t="shared" si="37"/>
        <v>1.7384437941198785</v>
      </c>
      <c r="Z639" s="4">
        <f t="shared" si="38"/>
        <v>1.5315671709229486</v>
      </c>
      <c r="AA639" s="4">
        <f t="shared" si="39"/>
        <v>1.7069120352717371</v>
      </c>
    </row>
    <row r="640" spans="1:27" x14ac:dyDescent="0.3">
      <c r="A640" t="s">
        <v>296</v>
      </c>
      <c r="B640">
        <v>101715</v>
      </c>
      <c r="C640">
        <v>2015</v>
      </c>
      <c r="D640" t="s">
        <v>125</v>
      </c>
      <c r="E640" t="s">
        <v>297</v>
      </c>
      <c r="F640">
        <v>4</v>
      </c>
      <c r="G640" t="s">
        <v>47</v>
      </c>
      <c r="H640">
        <v>4</v>
      </c>
      <c r="I640" t="s">
        <v>23</v>
      </c>
      <c r="J640" t="s">
        <v>24</v>
      </c>
      <c r="K640" t="s">
        <v>27</v>
      </c>
      <c r="L640" t="s">
        <v>127</v>
      </c>
      <c r="M640" t="s">
        <v>33</v>
      </c>
      <c r="N640">
        <v>0</v>
      </c>
      <c r="O640" t="s">
        <v>27</v>
      </c>
      <c r="S640" s="3">
        <v>5000</v>
      </c>
      <c r="T640" s="2">
        <v>6542.33251953125</v>
      </c>
      <c r="U640" s="2">
        <v>6814.6432348613034</v>
      </c>
      <c r="V640" s="2">
        <v>5967.6093100506532</v>
      </c>
      <c r="W640" s="2">
        <v>6742.57763671875</v>
      </c>
      <c r="X640" s="4">
        <f t="shared" si="36"/>
        <v>0.7642534195675893</v>
      </c>
      <c r="Y640" s="4">
        <f t="shared" si="37"/>
        <v>0.73371412525629653</v>
      </c>
      <c r="Z640" s="4">
        <f t="shared" si="38"/>
        <v>0.83785645812620391</v>
      </c>
      <c r="AA640" s="4">
        <f t="shared" si="39"/>
        <v>0.7415561628494991</v>
      </c>
    </row>
    <row r="641" spans="1:27" x14ac:dyDescent="0.3">
      <c r="A641" t="s">
        <v>296</v>
      </c>
      <c r="B641">
        <v>81937</v>
      </c>
      <c r="C641">
        <v>2014</v>
      </c>
      <c r="D641" t="s">
        <v>119</v>
      </c>
      <c r="E641" t="s">
        <v>389</v>
      </c>
      <c r="F641">
        <v>3</v>
      </c>
      <c r="G641" t="s">
        <v>59</v>
      </c>
      <c r="H641">
        <v>4</v>
      </c>
      <c r="I641" t="s">
        <v>23</v>
      </c>
      <c r="J641" t="s">
        <v>31</v>
      </c>
      <c r="L641" t="s">
        <v>121</v>
      </c>
      <c r="M641" t="s">
        <v>33</v>
      </c>
      <c r="N641">
        <v>0</v>
      </c>
      <c r="O641" t="s">
        <v>27</v>
      </c>
      <c r="S641" s="3">
        <v>2800</v>
      </c>
      <c r="T641" s="2">
        <v>5318.8212890625</v>
      </c>
      <c r="U641" s="2">
        <v>3997.431316630044</v>
      </c>
      <c r="V641" s="2">
        <v>6606.9488504442152</v>
      </c>
      <c r="W641" s="2">
        <v>3911.257080078125</v>
      </c>
      <c r="X641" s="4">
        <f t="shared" si="36"/>
        <v>0.52643242700367743</v>
      </c>
      <c r="Y641" s="4">
        <f t="shared" si="37"/>
        <v>0.70044980844360949</v>
      </c>
      <c r="Z641" s="4">
        <f t="shared" si="38"/>
        <v>0.42379622778701298</v>
      </c>
      <c r="AA641" s="4">
        <f t="shared" si="39"/>
        <v>0.71588237302572599</v>
      </c>
    </row>
    <row r="642" spans="1:27" x14ac:dyDescent="0.3">
      <c r="A642" t="s">
        <v>296</v>
      </c>
      <c r="B642">
        <v>130487</v>
      </c>
      <c r="C642">
        <v>2016</v>
      </c>
      <c r="D642" t="s">
        <v>159</v>
      </c>
      <c r="E642" t="s">
        <v>383</v>
      </c>
      <c r="F642">
        <v>6</v>
      </c>
      <c r="G642" t="s">
        <v>66</v>
      </c>
      <c r="H642">
        <v>4</v>
      </c>
      <c r="I642" t="s">
        <v>23</v>
      </c>
      <c r="J642" t="s">
        <v>62</v>
      </c>
      <c r="K642" t="s">
        <v>27</v>
      </c>
      <c r="L642" t="s">
        <v>38</v>
      </c>
      <c r="M642" t="s">
        <v>78</v>
      </c>
      <c r="N642">
        <v>0</v>
      </c>
      <c r="O642" t="s">
        <v>27</v>
      </c>
      <c r="S642" s="3">
        <v>10000</v>
      </c>
      <c r="T642" s="2">
        <v>10242.6416015625</v>
      </c>
      <c r="U642" s="2">
        <v>9260.8059848187786</v>
      </c>
      <c r="V642" s="2">
        <v>9434.497595420351</v>
      </c>
      <c r="W642" s="2">
        <v>9609.62890625</v>
      </c>
      <c r="X642" s="4">
        <f t="shared" ref="X642:X705" si="40">S642/T642</f>
        <v>0.97631064221504293</v>
      </c>
      <c r="Y642" s="4">
        <f t="shared" ref="Y642:Y705" si="41">S642/U642</f>
        <v>1.0798196200625496</v>
      </c>
      <c r="Z642" s="4">
        <f t="shared" ref="Z642:Z705" si="42">S642/V642</f>
        <v>1.0599398535915843</v>
      </c>
      <c r="AA642" s="4">
        <f t="shared" ref="AA642:AA705" si="43">S642/W642</f>
        <v>1.0406229103702545</v>
      </c>
    </row>
    <row r="643" spans="1:27" x14ac:dyDescent="0.3">
      <c r="A643" t="s">
        <v>296</v>
      </c>
      <c r="B643">
        <v>121292</v>
      </c>
      <c r="C643">
        <v>2017</v>
      </c>
      <c r="D643" t="s">
        <v>100</v>
      </c>
      <c r="E643" t="s">
        <v>367</v>
      </c>
      <c r="F643">
        <v>6</v>
      </c>
      <c r="G643" t="s">
        <v>66</v>
      </c>
      <c r="H643">
        <v>4</v>
      </c>
      <c r="I643" t="s">
        <v>23</v>
      </c>
      <c r="J643" t="s">
        <v>31</v>
      </c>
      <c r="K643" t="s">
        <v>27</v>
      </c>
      <c r="L643" t="s">
        <v>53</v>
      </c>
      <c r="M643" t="s">
        <v>33</v>
      </c>
      <c r="N643">
        <v>0</v>
      </c>
      <c r="O643" t="s">
        <v>27</v>
      </c>
      <c r="S643" s="3">
        <v>9600</v>
      </c>
      <c r="T643" s="2">
        <v>7170.8349609375</v>
      </c>
      <c r="U643" s="2">
        <v>8369.0480780058624</v>
      </c>
      <c r="V643" s="2">
        <v>8172.7762921094964</v>
      </c>
      <c r="W643" s="2">
        <v>8110.87841796875</v>
      </c>
      <c r="X643" s="4">
        <f t="shared" si="40"/>
        <v>1.3387562330321594</v>
      </c>
      <c r="Y643" s="4">
        <f t="shared" si="41"/>
        <v>1.1470838631252605</v>
      </c>
      <c r="Z643" s="4">
        <f t="shared" si="42"/>
        <v>1.1746314418600241</v>
      </c>
      <c r="AA643" s="4">
        <f t="shared" si="43"/>
        <v>1.1835955990577132</v>
      </c>
    </row>
    <row r="644" spans="1:27" x14ac:dyDescent="0.3">
      <c r="A644" t="s">
        <v>296</v>
      </c>
      <c r="B644">
        <v>143485</v>
      </c>
      <c r="C644">
        <v>2016</v>
      </c>
      <c r="D644" t="s">
        <v>44</v>
      </c>
      <c r="E644" t="s">
        <v>182</v>
      </c>
      <c r="F644">
        <v>6</v>
      </c>
      <c r="G644" t="s">
        <v>30</v>
      </c>
      <c r="H644">
        <v>2</v>
      </c>
      <c r="I644" t="s">
        <v>23</v>
      </c>
      <c r="J644" t="s">
        <v>183</v>
      </c>
      <c r="K644" t="s">
        <v>27</v>
      </c>
      <c r="L644" t="s">
        <v>198</v>
      </c>
      <c r="M644" t="s">
        <v>78</v>
      </c>
      <c r="N644">
        <v>0</v>
      </c>
      <c r="O644" t="s">
        <v>27</v>
      </c>
      <c r="S644" s="3">
        <v>7600</v>
      </c>
      <c r="T644" s="2">
        <v>9108.6220703125</v>
      </c>
      <c r="U644" s="2">
        <v>8124.4793974669519</v>
      </c>
      <c r="V644" s="2">
        <v>4708.604716986767</v>
      </c>
      <c r="W644" s="2">
        <v>8376.169921875</v>
      </c>
      <c r="X644" s="4">
        <f t="shared" si="40"/>
        <v>0.83437428200808617</v>
      </c>
      <c r="Y644" s="4">
        <f t="shared" si="41"/>
        <v>0.935444553206637</v>
      </c>
      <c r="Z644" s="4">
        <f t="shared" si="42"/>
        <v>1.6140662588605563</v>
      </c>
      <c r="AA644" s="4">
        <f t="shared" si="43"/>
        <v>0.90733593884622932</v>
      </c>
    </row>
    <row r="645" spans="1:27" x14ac:dyDescent="0.3">
      <c r="A645" t="s">
        <v>296</v>
      </c>
      <c r="B645">
        <v>132773</v>
      </c>
      <c r="C645">
        <v>2017</v>
      </c>
      <c r="D645" t="s">
        <v>74</v>
      </c>
      <c r="E645" t="s">
        <v>75</v>
      </c>
      <c r="F645">
        <v>6</v>
      </c>
      <c r="G645" t="s">
        <v>66</v>
      </c>
      <c r="H645">
        <v>4</v>
      </c>
      <c r="I645" t="s">
        <v>23</v>
      </c>
      <c r="J645" t="s">
        <v>42</v>
      </c>
      <c r="K645" t="s">
        <v>27</v>
      </c>
      <c r="L645" t="s">
        <v>26</v>
      </c>
      <c r="M645" t="s">
        <v>78</v>
      </c>
      <c r="N645">
        <v>0</v>
      </c>
      <c r="O645" t="s">
        <v>27</v>
      </c>
      <c r="S645" s="3">
        <v>11000</v>
      </c>
      <c r="T645" s="2">
        <v>10504.6767578125</v>
      </c>
      <c r="U645" s="2">
        <v>10518.99338809015</v>
      </c>
      <c r="V645" s="2">
        <v>9454.671755636924</v>
      </c>
      <c r="W645" s="2">
        <v>11415.3310546875</v>
      </c>
      <c r="X645" s="4">
        <f t="shared" si="40"/>
        <v>1.047152640067589</v>
      </c>
      <c r="Y645" s="4">
        <f t="shared" si="41"/>
        <v>1.0457274374232859</v>
      </c>
      <c r="Z645" s="4">
        <f t="shared" si="42"/>
        <v>1.1634459962548931</v>
      </c>
      <c r="AA645" s="4">
        <f t="shared" si="43"/>
        <v>0.96361638110206604</v>
      </c>
    </row>
    <row r="646" spans="1:27" x14ac:dyDescent="0.3">
      <c r="A646" t="s">
        <v>296</v>
      </c>
      <c r="B646">
        <v>123979</v>
      </c>
      <c r="C646">
        <v>2009</v>
      </c>
      <c r="D646" t="s">
        <v>226</v>
      </c>
      <c r="E646" t="s">
        <v>353</v>
      </c>
      <c r="F646">
        <v>4</v>
      </c>
      <c r="G646" t="s">
        <v>59</v>
      </c>
      <c r="H646">
        <v>4</v>
      </c>
      <c r="I646" t="s">
        <v>23</v>
      </c>
      <c r="J646" t="s">
        <v>52</v>
      </c>
      <c r="K646" t="s">
        <v>27</v>
      </c>
      <c r="L646" t="s">
        <v>127</v>
      </c>
      <c r="M646" t="s">
        <v>23</v>
      </c>
      <c r="N646">
        <v>0</v>
      </c>
      <c r="O646" t="s">
        <v>27</v>
      </c>
      <c r="S646" s="3">
        <v>4700</v>
      </c>
      <c r="T646" s="2">
        <v>-1327.762939453125</v>
      </c>
      <c r="U646" s="2">
        <v>3457.0930343740588</v>
      </c>
      <c r="V646" s="2">
        <v>3599.411203403522</v>
      </c>
      <c r="W646" s="2">
        <v>3993.3359375</v>
      </c>
      <c r="X646" s="4">
        <f t="shared" si="40"/>
        <v>-3.5397885121991894</v>
      </c>
      <c r="Y646" s="4">
        <f t="shared" si="41"/>
        <v>1.359523725068331</v>
      </c>
      <c r="Z646" s="4">
        <f t="shared" si="42"/>
        <v>1.3057691201149193</v>
      </c>
      <c r="AA646" s="4">
        <f t="shared" si="43"/>
        <v>1.1769608351413585</v>
      </c>
    </row>
    <row r="647" spans="1:27" x14ac:dyDescent="0.3">
      <c r="A647" t="s">
        <v>296</v>
      </c>
      <c r="B647">
        <v>117474</v>
      </c>
      <c r="C647">
        <v>2021</v>
      </c>
      <c r="D647" t="s">
        <v>20</v>
      </c>
      <c r="E647" t="s">
        <v>390</v>
      </c>
      <c r="F647">
        <v>8</v>
      </c>
      <c r="G647" t="s">
        <v>47</v>
      </c>
      <c r="H647">
        <v>4</v>
      </c>
      <c r="I647" t="s">
        <v>23</v>
      </c>
      <c r="J647" t="s">
        <v>24</v>
      </c>
      <c r="K647" t="s">
        <v>27</v>
      </c>
      <c r="L647" t="s">
        <v>166</v>
      </c>
      <c r="M647">
        <v>4</v>
      </c>
      <c r="N647">
        <v>0</v>
      </c>
      <c r="O647" t="s">
        <v>27</v>
      </c>
      <c r="S647" s="3">
        <v>28500</v>
      </c>
      <c r="T647" s="2">
        <v>44352.16015625</v>
      </c>
      <c r="U647" s="2">
        <v>36054.518078298453</v>
      </c>
      <c r="V647" s="2">
        <v>34502.869498410233</v>
      </c>
      <c r="W647" s="2">
        <v>41997.87890625</v>
      </c>
      <c r="X647" s="4">
        <f t="shared" si="40"/>
        <v>0.64258425969775113</v>
      </c>
      <c r="Y647" s="4">
        <f t="shared" si="41"/>
        <v>0.79046958658849509</v>
      </c>
      <c r="Z647" s="4">
        <f t="shared" si="42"/>
        <v>0.82601825338942247</v>
      </c>
      <c r="AA647" s="4">
        <f t="shared" si="43"/>
        <v>0.67860569967400697</v>
      </c>
    </row>
    <row r="648" spans="1:27" x14ac:dyDescent="0.3">
      <c r="A648" t="s">
        <v>296</v>
      </c>
      <c r="B648">
        <v>99336</v>
      </c>
      <c r="C648">
        <v>2020</v>
      </c>
      <c r="D648" t="s">
        <v>40</v>
      </c>
      <c r="E648" t="s">
        <v>229</v>
      </c>
      <c r="F648">
        <v>4</v>
      </c>
      <c r="G648" t="s">
        <v>36</v>
      </c>
      <c r="H648">
        <v>4</v>
      </c>
      <c r="I648" t="s">
        <v>23</v>
      </c>
      <c r="J648" t="s">
        <v>31</v>
      </c>
      <c r="K648" t="s">
        <v>27</v>
      </c>
      <c r="L648" t="s">
        <v>107</v>
      </c>
      <c r="M648" t="s">
        <v>33</v>
      </c>
      <c r="N648">
        <v>0</v>
      </c>
      <c r="O648" t="s">
        <v>27</v>
      </c>
      <c r="S648" s="3">
        <v>8000</v>
      </c>
      <c r="T648" s="2">
        <v>11417.185546875</v>
      </c>
      <c r="U648" s="2">
        <v>11784.159542560799</v>
      </c>
      <c r="V648" s="2">
        <v>11177.721469330811</v>
      </c>
      <c r="W648" s="2">
        <v>12060.861328125</v>
      </c>
      <c r="X648" s="4">
        <f t="shared" si="40"/>
        <v>0.70069808072705642</v>
      </c>
      <c r="Y648" s="4">
        <f t="shared" si="41"/>
        <v>0.67887743467036687</v>
      </c>
      <c r="Z648" s="4">
        <f t="shared" si="42"/>
        <v>0.71570937081857211</v>
      </c>
      <c r="AA648" s="4">
        <f t="shared" si="43"/>
        <v>0.66330254385270282</v>
      </c>
    </row>
    <row r="649" spans="1:27" x14ac:dyDescent="0.3">
      <c r="A649" t="s">
        <v>296</v>
      </c>
      <c r="B649">
        <v>112261</v>
      </c>
      <c r="C649">
        <v>2020</v>
      </c>
      <c r="D649" t="s">
        <v>44</v>
      </c>
      <c r="E649" t="s">
        <v>276</v>
      </c>
      <c r="F649">
        <v>6</v>
      </c>
      <c r="G649" t="s">
        <v>47</v>
      </c>
      <c r="H649">
        <v>3</v>
      </c>
      <c r="I649" t="s">
        <v>23</v>
      </c>
      <c r="J649" t="s">
        <v>197</v>
      </c>
      <c r="L649" t="s">
        <v>38</v>
      </c>
      <c r="M649" t="s">
        <v>78</v>
      </c>
      <c r="N649">
        <v>0</v>
      </c>
      <c r="O649" t="s">
        <v>27</v>
      </c>
      <c r="S649" s="3">
        <v>13750</v>
      </c>
      <c r="T649" s="2">
        <v>20317.251953125</v>
      </c>
      <c r="U649" s="2">
        <v>18183.311254730179</v>
      </c>
      <c r="V649" s="2">
        <v>21662.753522775529</v>
      </c>
      <c r="W649" s="2">
        <v>20857.51953125</v>
      </c>
      <c r="X649" s="4">
        <f t="shared" si="40"/>
        <v>0.67676475301499173</v>
      </c>
      <c r="Y649" s="4">
        <f t="shared" si="41"/>
        <v>0.75618790259794377</v>
      </c>
      <c r="Z649" s="4">
        <f t="shared" si="42"/>
        <v>0.63473002107251453</v>
      </c>
      <c r="AA649" s="4">
        <f t="shared" si="43"/>
        <v>0.65923466975058642</v>
      </c>
    </row>
    <row r="650" spans="1:27" x14ac:dyDescent="0.3">
      <c r="A650" t="s">
        <v>296</v>
      </c>
      <c r="B650">
        <v>112757</v>
      </c>
      <c r="C650">
        <v>2019</v>
      </c>
      <c r="D650" t="s">
        <v>40</v>
      </c>
      <c r="E650" t="s">
        <v>63</v>
      </c>
      <c r="F650">
        <v>4</v>
      </c>
      <c r="G650" t="s">
        <v>30</v>
      </c>
      <c r="H650">
        <v>4</v>
      </c>
      <c r="I650" t="s">
        <v>23</v>
      </c>
      <c r="J650" t="s">
        <v>24</v>
      </c>
      <c r="K650" t="s">
        <v>27</v>
      </c>
      <c r="L650" t="s">
        <v>107</v>
      </c>
      <c r="M650" t="s">
        <v>33</v>
      </c>
      <c r="N650">
        <v>0</v>
      </c>
      <c r="O650" t="s">
        <v>27</v>
      </c>
      <c r="S650" s="3">
        <v>6800</v>
      </c>
      <c r="T650" s="2">
        <v>10632.6962890625</v>
      </c>
      <c r="U650" s="2">
        <v>10440.9933472595</v>
      </c>
      <c r="V650" s="2">
        <v>9029.5740317321979</v>
      </c>
      <c r="W650" s="2">
        <v>9874.6484375</v>
      </c>
      <c r="X650" s="4">
        <f t="shared" si="40"/>
        <v>0.63953674732484678</v>
      </c>
      <c r="Y650" s="4">
        <f t="shared" si="41"/>
        <v>0.65127902813814453</v>
      </c>
      <c r="Z650" s="4">
        <f t="shared" si="42"/>
        <v>0.75308092896775491</v>
      </c>
      <c r="AA650" s="4">
        <f t="shared" si="43"/>
        <v>0.68863211111155065</v>
      </c>
    </row>
    <row r="651" spans="1:27" x14ac:dyDescent="0.3">
      <c r="A651" t="s">
        <v>296</v>
      </c>
      <c r="B651">
        <v>107487</v>
      </c>
      <c r="C651">
        <v>2014</v>
      </c>
      <c r="D651" t="s">
        <v>28</v>
      </c>
      <c r="E651" t="s">
        <v>137</v>
      </c>
      <c r="F651">
        <v>4</v>
      </c>
      <c r="G651" t="s">
        <v>22</v>
      </c>
      <c r="H651">
        <v>4</v>
      </c>
      <c r="I651" t="s">
        <v>23</v>
      </c>
      <c r="J651" t="s">
        <v>31</v>
      </c>
      <c r="K651" t="s">
        <v>27</v>
      </c>
      <c r="L651" t="s">
        <v>60</v>
      </c>
      <c r="M651" t="s">
        <v>33</v>
      </c>
      <c r="N651">
        <v>0</v>
      </c>
      <c r="O651" t="s">
        <v>27</v>
      </c>
      <c r="S651" s="3">
        <v>7500</v>
      </c>
      <c r="T651" s="2">
        <v>9524.4189453125</v>
      </c>
      <c r="U651" s="2">
        <v>8802.1096236333524</v>
      </c>
      <c r="V651" s="2">
        <v>9330.7770821292834</v>
      </c>
      <c r="W651" s="2">
        <v>10968.8271484375</v>
      </c>
      <c r="X651" s="4">
        <f t="shared" si="40"/>
        <v>0.78744961168378358</v>
      </c>
      <c r="Y651" s="4">
        <f t="shared" si="41"/>
        <v>0.85206846093608812</v>
      </c>
      <c r="Z651" s="4">
        <f t="shared" si="42"/>
        <v>0.80379157426923542</v>
      </c>
      <c r="AA651" s="4">
        <f t="shared" si="43"/>
        <v>0.68375587458029807</v>
      </c>
    </row>
    <row r="652" spans="1:27" x14ac:dyDescent="0.3">
      <c r="A652" t="s">
        <v>296</v>
      </c>
      <c r="B652">
        <v>124136</v>
      </c>
      <c r="C652">
        <v>2013</v>
      </c>
      <c r="D652" t="s">
        <v>44</v>
      </c>
      <c r="E652" t="s">
        <v>117</v>
      </c>
      <c r="F652">
        <v>4</v>
      </c>
      <c r="G652" t="s">
        <v>30</v>
      </c>
      <c r="H652">
        <v>4</v>
      </c>
      <c r="I652" t="s">
        <v>23</v>
      </c>
      <c r="J652" t="s">
        <v>62</v>
      </c>
      <c r="L652" t="s">
        <v>96</v>
      </c>
      <c r="M652">
        <v>4</v>
      </c>
      <c r="N652">
        <v>0</v>
      </c>
      <c r="O652" t="s">
        <v>27</v>
      </c>
      <c r="S652" s="3">
        <v>1500</v>
      </c>
      <c r="T652" s="2">
        <v>5825.84912109375</v>
      </c>
      <c r="U652" s="2">
        <v>4478.275030419275</v>
      </c>
      <c r="V652" s="2">
        <v>4287.3753505235991</v>
      </c>
      <c r="W652" s="2">
        <v>4621.333984375</v>
      </c>
      <c r="X652" s="4">
        <f t="shared" si="40"/>
        <v>0.25747319726645934</v>
      </c>
      <c r="Y652" s="4">
        <f t="shared" si="41"/>
        <v>0.33495039715315644</v>
      </c>
      <c r="Z652" s="4">
        <f t="shared" si="42"/>
        <v>0.34986439893041121</v>
      </c>
      <c r="AA652" s="4">
        <f t="shared" si="43"/>
        <v>0.32458160459113916</v>
      </c>
    </row>
    <row r="653" spans="1:27" x14ac:dyDescent="0.3">
      <c r="A653" t="s">
        <v>296</v>
      </c>
      <c r="B653">
        <v>116910</v>
      </c>
      <c r="C653">
        <v>2017</v>
      </c>
      <c r="D653" t="s">
        <v>28</v>
      </c>
      <c r="E653" t="s">
        <v>329</v>
      </c>
      <c r="F653">
        <v>4</v>
      </c>
      <c r="G653" t="s">
        <v>47</v>
      </c>
      <c r="H653">
        <v>4</v>
      </c>
      <c r="I653" t="s">
        <v>23</v>
      </c>
      <c r="J653" t="s">
        <v>24</v>
      </c>
      <c r="K653" t="s">
        <v>27</v>
      </c>
      <c r="L653" t="s">
        <v>32</v>
      </c>
      <c r="M653" t="s">
        <v>33</v>
      </c>
      <c r="N653">
        <v>0</v>
      </c>
      <c r="O653" t="s">
        <v>27</v>
      </c>
      <c r="S653" s="3">
        <v>7300</v>
      </c>
      <c r="T653" s="2">
        <v>9870.9873046875</v>
      </c>
      <c r="U653" s="2">
        <v>8251.5883341667686</v>
      </c>
      <c r="V653" s="2">
        <v>10135.130971709639</v>
      </c>
      <c r="W653" s="2">
        <v>10065.1640625</v>
      </c>
      <c r="X653" s="4">
        <f t="shared" si="40"/>
        <v>0.73954101800266747</v>
      </c>
      <c r="Y653" s="4">
        <f t="shared" si="41"/>
        <v>0.8846781618725944</v>
      </c>
      <c r="Z653" s="4">
        <f t="shared" si="42"/>
        <v>0.7202669625460798</v>
      </c>
      <c r="AA653" s="4">
        <f t="shared" si="43"/>
        <v>0.72527382113896866</v>
      </c>
    </row>
    <row r="654" spans="1:27" x14ac:dyDescent="0.3">
      <c r="A654" t="s">
        <v>296</v>
      </c>
      <c r="B654">
        <v>114820</v>
      </c>
      <c r="C654">
        <v>2016</v>
      </c>
      <c r="D654" t="s">
        <v>44</v>
      </c>
      <c r="E654" t="s">
        <v>45</v>
      </c>
      <c r="F654">
        <v>6</v>
      </c>
      <c r="G654" t="s">
        <v>47</v>
      </c>
      <c r="H654">
        <v>4</v>
      </c>
      <c r="I654" t="s">
        <v>23</v>
      </c>
      <c r="J654" t="s">
        <v>46</v>
      </c>
      <c r="K654" t="s">
        <v>27</v>
      </c>
      <c r="L654" t="s">
        <v>38</v>
      </c>
      <c r="M654" t="s">
        <v>78</v>
      </c>
      <c r="N654">
        <v>0</v>
      </c>
      <c r="O654" t="s">
        <v>27</v>
      </c>
      <c r="S654" s="3">
        <v>11200</v>
      </c>
      <c r="T654" s="2">
        <v>14652.98828125</v>
      </c>
      <c r="U654" s="2">
        <v>13537.51360981285</v>
      </c>
      <c r="V654" s="2">
        <v>15350.360279067259</v>
      </c>
      <c r="W654" s="2">
        <v>13404.1640625</v>
      </c>
      <c r="X654" s="4">
        <f t="shared" si="40"/>
        <v>0.76434920884578528</v>
      </c>
      <c r="Y654" s="4">
        <f t="shared" si="41"/>
        <v>0.82733065486128332</v>
      </c>
      <c r="Z654" s="4">
        <f t="shared" si="42"/>
        <v>0.72962456883002558</v>
      </c>
      <c r="AA654" s="4">
        <f t="shared" si="43"/>
        <v>0.8355612440863468</v>
      </c>
    </row>
    <row r="655" spans="1:27" x14ac:dyDescent="0.3">
      <c r="A655" t="s">
        <v>296</v>
      </c>
      <c r="B655">
        <v>31942</v>
      </c>
      <c r="C655">
        <v>2024</v>
      </c>
      <c r="D655" t="s">
        <v>90</v>
      </c>
      <c r="E655" t="s">
        <v>268</v>
      </c>
      <c r="F655">
        <v>4</v>
      </c>
      <c r="G655" t="s">
        <v>47</v>
      </c>
      <c r="H655">
        <v>4</v>
      </c>
      <c r="I655" t="s">
        <v>23</v>
      </c>
      <c r="J655" t="s">
        <v>24</v>
      </c>
      <c r="K655" t="s">
        <v>27</v>
      </c>
      <c r="L655" t="s">
        <v>127</v>
      </c>
      <c r="M655" t="s">
        <v>23</v>
      </c>
      <c r="N655">
        <v>4.3</v>
      </c>
      <c r="O655" t="s">
        <v>27</v>
      </c>
      <c r="S655" s="3">
        <v>28250</v>
      </c>
      <c r="T655" s="2">
        <v>25352.7421875</v>
      </c>
      <c r="U655" s="2">
        <v>24378.371222438171</v>
      </c>
      <c r="V655" s="2">
        <v>25299.148046526119</v>
      </c>
      <c r="W655" s="2">
        <v>27196.98046875</v>
      </c>
      <c r="X655" s="4">
        <f t="shared" si="40"/>
        <v>1.1142778872231216</v>
      </c>
      <c r="Y655" s="4">
        <f t="shared" si="41"/>
        <v>1.1588140873824389</v>
      </c>
      <c r="Z655" s="4">
        <f t="shared" si="42"/>
        <v>1.1166383922512786</v>
      </c>
      <c r="AA655" s="4">
        <f t="shared" si="43"/>
        <v>1.0387182515522246</v>
      </c>
    </row>
    <row r="656" spans="1:27" x14ac:dyDescent="0.3">
      <c r="A656" t="s">
        <v>296</v>
      </c>
      <c r="B656">
        <v>188774</v>
      </c>
      <c r="C656">
        <v>2015</v>
      </c>
      <c r="D656" t="s">
        <v>44</v>
      </c>
      <c r="E656" t="s">
        <v>45</v>
      </c>
      <c r="F656">
        <v>6</v>
      </c>
      <c r="G656" t="s">
        <v>99</v>
      </c>
      <c r="H656">
        <v>4</v>
      </c>
      <c r="I656" t="s">
        <v>23</v>
      </c>
      <c r="J656" t="s">
        <v>46</v>
      </c>
      <c r="K656" t="s">
        <v>27</v>
      </c>
      <c r="L656" t="s">
        <v>38</v>
      </c>
      <c r="M656">
        <v>4</v>
      </c>
      <c r="N656">
        <v>0</v>
      </c>
      <c r="O656" t="s">
        <v>27</v>
      </c>
      <c r="S656" s="3">
        <v>14000</v>
      </c>
      <c r="T656" s="2">
        <v>6705.80615234375</v>
      </c>
      <c r="U656" s="2">
        <v>7786.5141332848116</v>
      </c>
      <c r="V656" s="2">
        <v>16218.93282892215</v>
      </c>
      <c r="W656" s="2">
        <v>7651.23876953125</v>
      </c>
      <c r="X656" s="4">
        <f t="shared" si="40"/>
        <v>2.0877430217852111</v>
      </c>
      <c r="Y656" s="4">
        <f t="shared" si="41"/>
        <v>1.7979804262031145</v>
      </c>
      <c r="Z656" s="4">
        <f t="shared" si="42"/>
        <v>0.86318872811623748</v>
      </c>
      <c r="AA656" s="4">
        <f t="shared" si="43"/>
        <v>1.8297690637692261</v>
      </c>
    </row>
    <row r="657" spans="1:27" x14ac:dyDescent="0.3">
      <c r="A657" t="s">
        <v>296</v>
      </c>
      <c r="B657">
        <v>109199</v>
      </c>
      <c r="C657">
        <v>2018</v>
      </c>
      <c r="D657" t="s">
        <v>40</v>
      </c>
      <c r="E657" t="s">
        <v>214</v>
      </c>
      <c r="F657">
        <v>8</v>
      </c>
      <c r="G657" t="s">
        <v>47</v>
      </c>
      <c r="H657">
        <v>4</v>
      </c>
      <c r="I657" t="s">
        <v>23</v>
      </c>
      <c r="J657" t="s">
        <v>24</v>
      </c>
      <c r="K657" t="s">
        <v>27</v>
      </c>
      <c r="L657" t="s">
        <v>43</v>
      </c>
      <c r="M657" t="s">
        <v>78</v>
      </c>
      <c r="N657">
        <v>0</v>
      </c>
      <c r="O657" t="s">
        <v>27</v>
      </c>
      <c r="S657" s="3">
        <v>22000</v>
      </c>
      <c r="T657" s="2">
        <v>20608.080078125</v>
      </c>
      <c r="U657" s="2">
        <v>27688.403029059729</v>
      </c>
      <c r="V657" s="2">
        <v>18652.710326895362</v>
      </c>
      <c r="W657" s="2">
        <v>21874.7109375</v>
      </c>
      <c r="X657" s="4">
        <f t="shared" si="40"/>
        <v>1.0675424356174008</v>
      </c>
      <c r="Y657" s="4">
        <f t="shared" si="41"/>
        <v>0.79455647828119247</v>
      </c>
      <c r="Z657" s="4">
        <f t="shared" si="42"/>
        <v>1.1794532598449341</v>
      </c>
      <c r="AA657" s="4">
        <f t="shared" si="43"/>
        <v>1.0057275756858215</v>
      </c>
    </row>
    <row r="658" spans="1:27" x14ac:dyDescent="0.3">
      <c r="A658" t="s">
        <v>296</v>
      </c>
      <c r="B658">
        <v>240636</v>
      </c>
      <c r="C658">
        <v>2015</v>
      </c>
      <c r="D658" t="s">
        <v>44</v>
      </c>
      <c r="E658" t="s">
        <v>267</v>
      </c>
      <c r="F658">
        <v>8</v>
      </c>
      <c r="G658" t="s">
        <v>47</v>
      </c>
      <c r="H658">
        <v>4</v>
      </c>
      <c r="I658" t="s">
        <v>23</v>
      </c>
      <c r="J658" t="s">
        <v>46</v>
      </c>
      <c r="K658" t="s">
        <v>27</v>
      </c>
      <c r="L658" t="s">
        <v>140</v>
      </c>
      <c r="M658">
        <v>4</v>
      </c>
      <c r="N658">
        <v>0</v>
      </c>
      <c r="O658" t="s">
        <v>27</v>
      </c>
      <c r="S658" s="3">
        <v>17750</v>
      </c>
      <c r="T658" s="2">
        <v>7612.14404296875</v>
      </c>
      <c r="U658" s="2">
        <v>18168.118151926261</v>
      </c>
      <c r="V658" s="2">
        <v>10492.75053866696</v>
      </c>
      <c r="W658" s="2">
        <v>11319.3388671875</v>
      </c>
      <c r="X658" s="4">
        <f t="shared" si="40"/>
        <v>2.3318003311295024</v>
      </c>
      <c r="Y658" s="4">
        <f t="shared" si="41"/>
        <v>0.97698616067829069</v>
      </c>
      <c r="Z658" s="4">
        <f t="shared" si="42"/>
        <v>1.6916441436960941</v>
      </c>
      <c r="AA658" s="4">
        <f t="shared" si="43"/>
        <v>1.5681127854077856</v>
      </c>
    </row>
    <row r="659" spans="1:27" x14ac:dyDescent="0.3">
      <c r="A659" t="s">
        <v>296</v>
      </c>
      <c r="B659">
        <v>134663</v>
      </c>
      <c r="C659">
        <v>2014</v>
      </c>
      <c r="D659" t="s">
        <v>40</v>
      </c>
      <c r="E659" t="s">
        <v>150</v>
      </c>
      <c r="F659">
        <v>6</v>
      </c>
      <c r="G659" t="s">
        <v>47</v>
      </c>
      <c r="H659">
        <v>4</v>
      </c>
      <c r="I659" t="s">
        <v>23</v>
      </c>
      <c r="J659" t="s">
        <v>24</v>
      </c>
      <c r="L659" t="s">
        <v>26</v>
      </c>
      <c r="M659" t="s">
        <v>33</v>
      </c>
      <c r="N659">
        <v>0</v>
      </c>
      <c r="O659" t="s">
        <v>27</v>
      </c>
      <c r="S659" s="3">
        <v>3600</v>
      </c>
      <c r="T659" s="2">
        <v>7869.04296875</v>
      </c>
      <c r="U659" s="2">
        <v>7160.3217771170484</v>
      </c>
      <c r="V659" s="2">
        <v>5880.4731041772393</v>
      </c>
      <c r="W659" s="2">
        <v>7331.193359375</v>
      </c>
      <c r="X659" s="4">
        <f t="shared" si="40"/>
        <v>0.45748892391317836</v>
      </c>
      <c r="Y659" s="4">
        <f t="shared" si="41"/>
        <v>0.50277070110241107</v>
      </c>
      <c r="Z659" s="4">
        <f t="shared" si="42"/>
        <v>0.61219564076276656</v>
      </c>
      <c r="AA659" s="4">
        <f t="shared" si="43"/>
        <v>0.4910523871801013</v>
      </c>
    </row>
    <row r="660" spans="1:27" x14ac:dyDescent="0.3">
      <c r="A660" t="s">
        <v>296</v>
      </c>
      <c r="B660">
        <v>144381</v>
      </c>
      <c r="C660">
        <v>2017</v>
      </c>
      <c r="D660" t="s">
        <v>100</v>
      </c>
      <c r="E660" t="s">
        <v>192</v>
      </c>
      <c r="F660">
        <v>4</v>
      </c>
      <c r="G660" t="s">
        <v>47</v>
      </c>
      <c r="H660">
        <v>4</v>
      </c>
      <c r="I660" t="s">
        <v>23</v>
      </c>
      <c r="J660" t="s">
        <v>31</v>
      </c>
      <c r="L660" t="s">
        <v>32</v>
      </c>
      <c r="M660" t="s">
        <v>33</v>
      </c>
      <c r="N660">
        <v>0</v>
      </c>
      <c r="O660" t="s">
        <v>27</v>
      </c>
      <c r="S660" s="3">
        <v>1400</v>
      </c>
      <c r="T660" s="2">
        <v>3777.703857421875</v>
      </c>
      <c r="U660" s="2">
        <v>4732.5973051155997</v>
      </c>
      <c r="V660" s="2">
        <v>5821.9231201112707</v>
      </c>
      <c r="W660" s="2">
        <v>4973.046875</v>
      </c>
      <c r="X660" s="4">
        <f t="shared" si="40"/>
        <v>0.37059548679272108</v>
      </c>
      <c r="Y660" s="4">
        <f t="shared" si="41"/>
        <v>0.29582064767832666</v>
      </c>
      <c r="Z660" s="4">
        <f t="shared" si="42"/>
        <v>0.24047036883119177</v>
      </c>
      <c r="AA660" s="4">
        <f t="shared" si="43"/>
        <v>0.28151755557301078</v>
      </c>
    </row>
    <row r="661" spans="1:27" x14ac:dyDescent="0.3">
      <c r="A661" t="s">
        <v>296</v>
      </c>
      <c r="B661">
        <v>13866</v>
      </c>
      <c r="C661">
        <v>2024</v>
      </c>
      <c r="D661" t="s">
        <v>74</v>
      </c>
      <c r="E661" t="s">
        <v>75</v>
      </c>
      <c r="F661">
        <v>8</v>
      </c>
      <c r="G661" t="s">
        <v>22</v>
      </c>
      <c r="H661">
        <v>4</v>
      </c>
      <c r="I661" t="s">
        <v>23</v>
      </c>
      <c r="J661" t="s">
        <v>42</v>
      </c>
      <c r="L661" t="s">
        <v>84</v>
      </c>
      <c r="M661">
        <v>4</v>
      </c>
      <c r="N661">
        <v>0</v>
      </c>
      <c r="S661" s="3">
        <v>40800</v>
      </c>
      <c r="T661" s="2">
        <v>69481.1640625</v>
      </c>
      <c r="U661" s="2">
        <v>64693.639050499383</v>
      </c>
      <c r="V661" s="2">
        <v>62576.024226496767</v>
      </c>
      <c r="W661" s="2">
        <v>93241.7734375</v>
      </c>
      <c r="X661" s="4">
        <f t="shared" si="40"/>
        <v>0.58720950563377727</v>
      </c>
      <c r="Y661" s="4">
        <f t="shared" si="41"/>
        <v>0.63066478557732419</v>
      </c>
      <c r="Z661" s="4">
        <f t="shared" si="42"/>
        <v>0.65200690686775731</v>
      </c>
      <c r="AA661" s="4">
        <f t="shared" si="43"/>
        <v>0.43757211489921155</v>
      </c>
    </row>
    <row r="662" spans="1:27" x14ac:dyDescent="0.3">
      <c r="A662" t="s">
        <v>296</v>
      </c>
      <c r="B662">
        <v>24284</v>
      </c>
      <c r="C662">
        <v>2024</v>
      </c>
      <c r="D662" t="s">
        <v>81</v>
      </c>
      <c r="E662" t="s">
        <v>278</v>
      </c>
      <c r="F662">
        <v>6</v>
      </c>
      <c r="G662" t="s">
        <v>22</v>
      </c>
      <c r="H662">
        <v>4</v>
      </c>
      <c r="I662" t="s">
        <v>23</v>
      </c>
      <c r="J662" t="s">
        <v>24</v>
      </c>
      <c r="L662" t="s">
        <v>26</v>
      </c>
      <c r="M662" t="s">
        <v>78</v>
      </c>
      <c r="N662">
        <v>0</v>
      </c>
      <c r="S662" s="3">
        <v>28600</v>
      </c>
      <c r="T662" s="2">
        <v>41145.7421875</v>
      </c>
      <c r="U662" s="2">
        <v>44387.299640160913</v>
      </c>
      <c r="V662" s="2">
        <v>40309.00275084142</v>
      </c>
      <c r="W662" s="2">
        <v>44643.4140625</v>
      </c>
      <c r="X662" s="4">
        <f t="shared" si="40"/>
        <v>0.69509014735159225</v>
      </c>
      <c r="Y662" s="4">
        <f t="shared" si="41"/>
        <v>0.64432845052198628</v>
      </c>
      <c r="Z662" s="4">
        <f t="shared" si="42"/>
        <v>0.70951891756744079</v>
      </c>
      <c r="AA662" s="4">
        <f t="shared" si="43"/>
        <v>0.64063200811569876</v>
      </c>
    </row>
    <row r="663" spans="1:27" x14ac:dyDescent="0.3">
      <c r="A663" t="s">
        <v>296</v>
      </c>
      <c r="B663">
        <v>121548</v>
      </c>
      <c r="C663">
        <v>2018</v>
      </c>
      <c r="D663" t="s">
        <v>44</v>
      </c>
      <c r="E663" t="s">
        <v>391</v>
      </c>
      <c r="F663">
        <v>4</v>
      </c>
      <c r="G663" t="s">
        <v>59</v>
      </c>
      <c r="H663">
        <v>4</v>
      </c>
      <c r="I663" t="s">
        <v>337</v>
      </c>
      <c r="J663" t="s">
        <v>145</v>
      </c>
      <c r="K663" t="s">
        <v>27</v>
      </c>
      <c r="L663" t="s">
        <v>96</v>
      </c>
      <c r="M663" t="s">
        <v>33</v>
      </c>
      <c r="N663">
        <v>0</v>
      </c>
      <c r="O663" t="s">
        <v>27</v>
      </c>
      <c r="S663" s="3">
        <v>9700</v>
      </c>
      <c r="T663" s="2">
        <v>8987.89453125</v>
      </c>
      <c r="U663" s="2">
        <v>7165.5362091580846</v>
      </c>
      <c r="V663" s="2">
        <v>8899.6277100158313</v>
      </c>
      <c r="W663" s="2">
        <v>8289.3818359375</v>
      </c>
      <c r="X663" s="4">
        <f t="shared" si="40"/>
        <v>1.0792293975273164</v>
      </c>
      <c r="Y663" s="4">
        <f t="shared" si="41"/>
        <v>1.3537019026716637</v>
      </c>
      <c r="Z663" s="4">
        <f t="shared" si="42"/>
        <v>1.0899332327220175</v>
      </c>
      <c r="AA663" s="4">
        <f t="shared" si="43"/>
        <v>1.1701716957888169</v>
      </c>
    </row>
    <row r="664" spans="1:27" x14ac:dyDescent="0.3">
      <c r="A664" t="s">
        <v>386</v>
      </c>
      <c r="B664">
        <v>1</v>
      </c>
      <c r="C664">
        <v>2023</v>
      </c>
      <c r="D664" t="s">
        <v>392</v>
      </c>
      <c r="E664" t="s">
        <v>393</v>
      </c>
      <c r="F664">
        <v>1</v>
      </c>
      <c r="G664" t="s">
        <v>47</v>
      </c>
      <c r="H664">
        <v>2</v>
      </c>
      <c r="I664" t="s">
        <v>23</v>
      </c>
      <c r="M664" t="s">
        <v>78</v>
      </c>
      <c r="N664">
        <v>0</v>
      </c>
      <c r="O664" t="s">
        <v>27</v>
      </c>
      <c r="S664" s="3">
        <v>8100</v>
      </c>
      <c r="T664" s="2">
        <v>18306.611328125</v>
      </c>
      <c r="U664" s="2">
        <v>33643.930754896923</v>
      </c>
      <c r="V664" s="2">
        <v>-2358.6649099066331</v>
      </c>
      <c r="W664" s="2">
        <v>18698.103515625</v>
      </c>
      <c r="X664" s="4">
        <f t="shared" si="40"/>
        <v>0.44246310006897482</v>
      </c>
      <c r="Y664" s="4">
        <f t="shared" si="41"/>
        <v>0.24075664817557127</v>
      </c>
      <c r="Z664" s="4">
        <f t="shared" si="42"/>
        <v>-3.4341461417343235</v>
      </c>
      <c r="AA664" s="4">
        <f t="shared" si="43"/>
        <v>0.43319901364495417</v>
      </c>
    </row>
    <row r="665" spans="1:27" x14ac:dyDescent="0.3">
      <c r="A665" t="s">
        <v>394</v>
      </c>
      <c r="B665">
        <v>9874</v>
      </c>
      <c r="C665">
        <v>2018</v>
      </c>
      <c r="D665" t="s">
        <v>44</v>
      </c>
      <c r="E665" t="s">
        <v>182</v>
      </c>
      <c r="F665">
        <v>8</v>
      </c>
      <c r="G665" t="s">
        <v>66</v>
      </c>
      <c r="H665">
        <v>2</v>
      </c>
      <c r="I665" t="s">
        <v>337</v>
      </c>
      <c r="J665" t="s">
        <v>183</v>
      </c>
      <c r="K665" t="s">
        <v>27</v>
      </c>
      <c r="L665" t="s">
        <v>48</v>
      </c>
      <c r="M665" t="s">
        <v>78</v>
      </c>
      <c r="N665">
        <v>0</v>
      </c>
      <c r="S665" s="3">
        <v>36000</v>
      </c>
      <c r="T665" s="2">
        <v>64880.296875</v>
      </c>
      <c r="U665" s="2">
        <v>63531.128470903343</v>
      </c>
      <c r="V665" s="2">
        <v>43735.682724989667</v>
      </c>
      <c r="W665" s="2">
        <v>93241.7734375</v>
      </c>
      <c r="X665" s="4">
        <f t="shared" si="40"/>
        <v>0.55486799126949893</v>
      </c>
      <c r="Y665" s="4">
        <f t="shared" si="41"/>
        <v>0.56665135448503268</v>
      </c>
      <c r="Z665" s="4">
        <f t="shared" si="42"/>
        <v>0.82312651265485659</v>
      </c>
      <c r="AA665" s="4">
        <f t="shared" si="43"/>
        <v>0.38609304255812782</v>
      </c>
    </row>
    <row r="666" spans="1:27" x14ac:dyDescent="0.3">
      <c r="A666" t="s">
        <v>395</v>
      </c>
      <c r="B666">
        <v>166398</v>
      </c>
      <c r="C666">
        <v>2015</v>
      </c>
      <c r="D666" t="s">
        <v>100</v>
      </c>
      <c r="E666" t="s">
        <v>358</v>
      </c>
      <c r="F666">
        <v>6</v>
      </c>
      <c r="G666" t="s">
        <v>36</v>
      </c>
      <c r="H666">
        <v>4</v>
      </c>
      <c r="I666" t="s">
        <v>23</v>
      </c>
      <c r="J666" t="s">
        <v>24</v>
      </c>
      <c r="K666" t="s">
        <v>27</v>
      </c>
      <c r="L666" t="s">
        <v>53</v>
      </c>
      <c r="M666" t="s">
        <v>33</v>
      </c>
      <c r="N666">
        <v>1.5</v>
      </c>
      <c r="O666" t="s">
        <v>27</v>
      </c>
      <c r="S666" s="3">
        <v>1600</v>
      </c>
      <c r="T666" s="2">
        <v>1918.779907226562</v>
      </c>
      <c r="U666" s="2">
        <v>2591.743967727431</v>
      </c>
      <c r="V666" s="2">
        <v>2895.6186133246752</v>
      </c>
      <c r="W666" s="2">
        <v>2610.18115234375</v>
      </c>
      <c r="X666" s="4">
        <f t="shared" si="40"/>
        <v>0.83386322421557346</v>
      </c>
      <c r="Y666" s="4">
        <f t="shared" si="41"/>
        <v>0.61734493064257379</v>
      </c>
      <c r="Z666" s="4">
        <f t="shared" si="42"/>
        <v>0.55255895670698185</v>
      </c>
      <c r="AA666" s="4">
        <f t="shared" si="43"/>
        <v>0.61298427450651005</v>
      </c>
    </row>
    <row r="667" spans="1:27" x14ac:dyDescent="0.3">
      <c r="A667" t="s">
        <v>395</v>
      </c>
      <c r="B667">
        <v>85893</v>
      </c>
      <c r="C667">
        <v>2021</v>
      </c>
      <c r="D667" t="s">
        <v>34</v>
      </c>
      <c r="E667" t="s">
        <v>88</v>
      </c>
      <c r="F667">
        <v>4</v>
      </c>
      <c r="G667" t="s">
        <v>22</v>
      </c>
      <c r="H667">
        <v>4</v>
      </c>
      <c r="I667" t="s">
        <v>23</v>
      </c>
      <c r="J667" t="s">
        <v>37</v>
      </c>
      <c r="L667" t="s">
        <v>89</v>
      </c>
      <c r="M667" t="s">
        <v>33</v>
      </c>
      <c r="N667">
        <v>2.2999999999999901</v>
      </c>
      <c r="O667" t="s">
        <v>27</v>
      </c>
      <c r="S667" s="3">
        <v>6600</v>
      </c>
      <c r="T667" s="2">
        <v>10306.359375</v>
      </c>
      <c r="U667" s="2">
        <v>7814.26010925226</v>
      </c>
      <c r="V667" s="2">
        <v>9169.4321136701401</v>
      </c>
      <c r="W667" s="2">
        <v>9425.9462890625</v>
      </c>
      <c r="X667" s="4">
        <f t="shared" si="40"/>
        <v>0.64038131796660736</v>
      </c>
      <c r="Y667" s="4">
        <f t="shared" si="41"/>
        <v>0.84460971451224809</v>
      </c>
      <c r="Z667" s="4">
        <f t="shared" si="42"/>
        <v>0.71978285221834704</v>
      </c>
      <c r="AA667" s="4">
        <f t="shared" si="43"/>
        <v>0.70019495100013274</v>
      </c>
    </row>
    <row r="668" spans="1:27" x14ac:dyDescent="0.3">
      <c r="A668" t="s">
        <v>395</v>
      </c>
      <c r="B668">
        <v>133484</v>
      </c>
      <c r="C668">
        <v>2016</v>
      </c>
      <c r="D668" t="s">
        <v>20</v>
      </c>
      <c r="E668" t="s">
        <v>154</v>
      </c>
      <c r="F668">
        <v>6</v>
      </c>
      <c r="G668" t="s">
        <v>47</v>
      </c>
      <c r="H668">
        <v>4</v>
      </c>
      <c r="I668" t="s">
        <v>23</v>
      </c>
      <c r="J668" t="s">
        <v>24</v>
      </c>
      <c r="L668" t="s">
        <v>26</v>
      </c>
      <c r="M668" t="s">
        <v>23</v>
      </c>
      <c r="N668">
        <v>1.7</v>
      </c>
      <c r="O668" t="s">
        <v>27</v>
      </c>
      <c r="S668" s="3">
        <v>1600</v>
      </c>
      <c r="T668" s="2">
        <v>7569.1513671875</v>
      </c>
      <c r="U668" s="2">
        <v>9016.1807971197577</v>
      </c>
      <c r="V668" s="2">
        <v>3884.9888461294672</v>
      </c>
      <c r="W668" s="2">
        <v>8047.5908203125</v>
      </c>
      <c r="X668" s="4">
        <f t="shared" si="40"/>
        <v>0.21138433126546372</v>
      </c>
      <c r="Y668" s="4">
        <f t="shared" si="41"/>
        <v>0.17745873069793855</v>
      </c>
      <c r="Z668" s="4">
        <f t="shared" si="42"/>
        <v>0.41184159424139566</v>
      </c>
      <c r="AA668" s="4">
        <f t="shared" si="43"/>
        <v>0.19881726540588077</v>
      </c>
    </row>
    <row r="669" spans="1:27" x14ac:dyDescent="0.3">
      <c r="A669" t="s">
        <v>395</v>
      </c>
      <c r="B669">
        <v>157447</v>
      </c>
      <c r="C669">
        <v>2017</v>
      </c>
      <c r="D669" t="s">
        <v>81</v>
      </c>
      <c r="E669" t="s">
        <v>201</v>
      </c>
      <c r="F669">
        <v>4</v>
      </c>
      <c r="G669" t="s">
        <v>30</v>
      </c>
      <c r="H669">
        <v>4</v>
      </c>
      <c r="I669" t="s">
        <v>23</v>
      </c>
      <c r="J669" t="s">
        <v>24</v>
      </c>
      <c r="L669" t="s">
        <v>60</v>
      </c>
      <c r="M669" t="s">
        <v>33</v>
      </c>
      <c r="N669">
        <v>0.9</v>
      </c>
      <c r="O669" t="s">
        <v>39</v>
      </c>
      <c r="S669" s="3">
        <v>500</v>
      </c>
      <c r="T669" s="2">
        <v>3581.965576171875</v>
      </c>
      <c r="U669" s="2">
        <v>2343.2201748767779</v>
      </c>
      <c r="V669" s="2">
        <v>1775.289912470136</v>
      </c>
      <c r="W669" s="2">
        <v>2280.76123046875</v>
      </c>
      <c r="X669" s="4">
        <f t="shared" si="40"/>
        <v>0.13958816447766115</v>
      </c>
      <c r="Y669" s="4">
        <f t="shared" si="41"/>
        <v>0.21338157009777936</v>
      </c>
      <c r="Z669" s="4">
        <f t="shared" si="42"/>
        <v>0.28164413963480517</v>
      </c>
      <c r="AA669" s="4">
        <f t="shared" si="43"/>
        <v>0.21922505228538905</v>
      </c>
    </row>
    <row r="670" spans="1:27" x14ac:dyDescent="0.3">
      <c r="A670" t="s">
        <v>395</v>
      </c>
      <c r="B670">
        <v>1</v>
      </c>
      <c r="C670">
        <v>2014</v>
      </c>
      <c r="D670" t="s">
        <v>103</v>
      </c>
      <c r="E670" t="s">
        <v>189</v>
      </c>
      <c r="F670">
        <v>6</v>
      </c>
      <c r="G670" t="s">
        <v>22</v>
      </c>
      <c r="H670">
        <v>4</v>
      </c>
      <c r="I670" t="s">
        <v>23</v>
      </c>
      <c r="J670" t="s">
        <v>31</v>
      </c>
      <c r="K670" t="s">
        <v>27</v>
      </c>
      <c r="L670" t="s">
        <v>57</v>
      </c>
      <c r="M670" t="s">
        <v>78</v>
      </c>
      <c r="N670">
        <v>0.9</v>
      </c>
      <c r="O670" t="s">
        <v>39</v>
      </c>
      <c r="S670" s="3">
        <v>400</v>
      </c>
      <c r="T670" s="2">
        <v>19333.755859375</v>
      </c>
      <c r="U670" s="2">
        <v>13528.05445053513</v>
      </c>
      <c r="V670" s="2">
        <v>5539.2626893383194</v>
      </c>
      <c r="W670" s="2">
        <v>23072.400390625</v>
      </c>
      <c r="X670" s="4">
        <f t="shared" si="40"/>
        <v>2.0689203014117856E-2</v>
      </c>
      <c r="Y670" s="4">
        <f t="shared" si="41"/>
        <v>2.9568183766748305E-2</v>
      </c>
      <c r="Z670" s="4">
        <f t="shared" si="42"/>
        <v>7.2211776626860263E-2</v>
      </c>
      <c r="AA670" s="4">
        <f t="shared" si="43"/>
        <v>1.7336731039156717E-2</v>
      </c>
    </row>
    <row r="671" spans="1:27" x14ac:dyDescent="0.3">
      <c r="A671" t="s">
        <v>395</v>
      </c>
      <c r="B671">
        <v>84893</v>
      </c>
      <c r="C671">
        <v>2015</v>
      </c>
      <c r="D671" t="s">
        <v>100</v>
      </c>
      <c r="E671" t="s">
        <v>101</v>
      </c>
      <c r="F671">
        <v>4</v>
      </c>
      <c r="G671" t="s">
        <v>66</v>
      </c>
      <c r="H671">
        <v>4</v>
      </c>
      <c r="I671" t="s">
        <v>23</v>
      </c>
      <c r="J671" t="s">
        <v>31</v>
      </c>
      <c r="K671" t="s">
        <v>27</v>
      </c>
      <c r="L671" t="s">
        <v>102</v>
      </c>
      <c r="M671" t="s">
        <v>33</v>
      </c>
      <c r="N671">
        <v>3.3</v>
      </c>
      <c r="O671" t="s">
        <v>27</v>
      </c>
      <c r="S671" s="3">
        <v>4600</v>
      </c>
      <c r="T671" s="2">
        <v>6007.1533203125</v>
      </c>
      <c r="U671" s="2">
        <v>6454.5846722192773</v>
      </c>
      <c r="V671" s="2">
        <v>8657.0897012948044</v>
      </c>
      <c r="W671" s="2">
        <v>6348.61328125</v>
      </c>
      <c r="X671" s="4">
        <f t="shared" si="40"/>
        <v>0.76575371972705064</v>
      </c>
      <c r="Y671" s="4">
        <f t="shared" si="41"/>
        <v>0.71267172616055929</v>
      </c>
      <c r="Z671" s="4">
        <f t="shared" si="42"/>
        <v>0.53135639790263434</v>
      </c>
      <c r="AA671" s="4">
        <f t="shared" si="43"/>
        <v>0.72456768056508403</v>
      </c>
    </row>
    <row r="672" spans="1:27" x14ac:dyDescent="0.3">
      <c r="A672" t="s">
        <v>395</v>
      </c>
      <c r="B672">
        <v>191114</v>
      </c>
      <c r="C672">
        <v>2011</v>
      </c>
      <c r="D672" t="s">
        <v>396</v>
      </c>
      <c r="E672" t="s">
        <v>397</v>
      </c>
      <c r="F672">
        <v>6</v>
      </c>
      <c r="G672" t="s">
        <v>22</v>
      </c>
      <c r="H672">
        <v>4</v>
      </c>
      <c r="I672" t="s">
        <v>23</v>
      </c>
      <c r="J672" t="s">
        <v>24</v>
      </c>
      <c r="K672" t="s">
        <v>27</v>
      </c>
      <c r="L672" t="s">
        <v>57</v>
      </c>
      <c r="M672" t="s">
        <v>23</v>
      </c>
      <c r="N672">
        <v>0</v>
      </c>
      <c r="O672" t="s">
        <v>199</v>
      </c>
      <c r="S672" s="3">
        <v>600</v>
      </c>
      <c r="T672" s="2">
        <v>1269.567993164062</v>
      </c>
      <c r="U672" s="2">
        <v>1192.7911526421669</v>
      </c>
      <c r="V672" s="2">
        <v>1091.303057211871</v>
      </c>
      <c r="W672" s="2">
        <v>991.62640380859375</v>
      </c>
      <c r="X672" s="4">
        <f t="shared" si="40"/>
        <v>0.47260170643138133</v>
      </c>
      <c r="Y672" s="4">
        <f t="shared" si="41"/>
        <v>0.50302183971681236</v>
      </c>
      <c r="Z672" s="4">
        <f t="shared" si="42"/>
        <v>0.54980144702693068</v>
      </c>
      <c r="AA672" s="4">
        <f t="shared" si="43"/>
        <v>0.60506658323694007</v>
      </c>
    </row>
    <row r="673" spans="1:27" x14ac:dyDescent="0.3">
      <c r="A673" t="s">
        <v>395</v>
      </c>
      <c r="B673">
        <v>108229</v>
      </c>
      <c r="C673">
        <v>2011</v>
      </c>
      <c r="D673" t="s">
        <v>340</v>
      </c>
      <c r="E673" t="s">
        <v>398</v>
      </c>
      <c r="F673">
        <v>4</v>
      </c>
      <c r="G673" t="s">
        <v>36</v>
      </c>
      <c r="H673">
        <v>4</v>
      </c>
      <c r="I673" t="s">
        <v>23</v>
      </c>
      <c r="J673" t="s">
        <v>31</v>
      </c>
      <c r="L673" t="s">
        <v>102</v>
      </c>
      <c r="M673" t="s">
        <v>33</v>
      </c>
      <c r="N673">
        <v>0</v>
      </c>
      <c r="S673" s="3">
        <v>5600</v>
      </c>
      <c r="T673" s="2">
        <v>3766.022705078125</v>
      </c>
      <c r="U673" s="2">
        <v>4255.0562604463557</v>
      </c>
      <c r="V673" s="2">
        <v>3819.003406162456</v>
      </c>
      <c r="W673" s="2">
        <v>3756.498291015625</v>
      </c>
      <c r="X673" s="4">
        <f t="shared" si="40"/>
        <v>1.48697988263558</v>
      </c>
      <c r="Y673" s="4">
        <f t="shared" si="41"/>
        <v>1.3160813059173417</v>
      </c>
      <c r="Z673" s="4">
        <f t="shared" si="42"/>
        <v>1.4663511404477083</v>
      </c>
      <c r="AA673" s="4">
        <f t="shared" si="43"/>
        <v>1.4907500459652696</v>
      </c>
    </row>
    <row r="674" spans="1:27" x14ac:dyDescent="0.3">
      <c r="A674" t="s">
        <v>395</v>
      </c>
      <c r="B674">
        <v>95950</v>
      </c>
      <c r="C674">
        <v>2018</v>
      </c>
      <c r="D674" t="s">
        <v>100</v>
      </c>
      <c r="E674" t="s">
        <v>138</v>
      </c>
      <c r="F674">
        <v>4</v>
      </c>
      <c r="G674" t="s">
        <v>36</v>
      </c>
      <c r="H674">
        <v>4</v>
      </c>
      <c r="I674" t="s">
        <v>23</v>
      </c>
      <c r="J674" t="s">
        <v>24</v>
      </c>
      <c r="K674" t="s">
        <v>27</v>
      </c>
      <c r="L674" t="s">
        <v>102</v>
      </c>
      <c r="M674" t="s">
        <v>33</v>
      </c>
      <c r="N674">
        <v>0</v>
      </c>
      <c r="O674" t="s">
        <v>27</v>
      </c>
      <c r="S674" s="3">
        <v>8500</v>
      </c>
      <c r="T674" s="2">
        <v>8491.4736328125</v>
      </c>
      <c r="U674" s="2">
        <v>8975.9749824645478</v>
      </c>
      <c r="V674" s="2">
        <v>10312.20440794808</v>
      </c>
      <c r="W674" s="2">
        <v>8951.7041015625</v>
      </c>
      <c r="X674" s="4">
        <f t="shared" si="40"/>
        <v>1.001004109246074</v>
      </c>
      <c r="Y674" s="4">
        <f t="shared" si="41"/>
        <v>0.94697233633177325</v>
      </c>
      <c r="Z674" s="4">
        <f t="shared" si="42"/>
        <v>0.82426605056903912</v>
      </c>
      <c r="AA674" s="4">
        <f t="shared" si="43"/>
        <v>0.94953987571107767</v>
      </c>
    </row>
    <row r="675" spans="1:27" x14ac:dyDescent="0.3">
      <c r="A675" t="s">
        <v>296</v>
      </c>
      <c r="B675">
        <v>124198</v>
      </c>
      <c r="C675">
        <v>2014</v>
      </c>
      <c r="D675" t="s">
        <v>40</v>
      </c>
      <c r="E675" t="s">
        <v>41</v>
      </c>
      <c r="F675">
        <v>8</v>
      </c>
      <c r="G675" t="s">
        <v>66</v>
      </c>
      <c r="H675">
        <v>4</v>
      </c>
      <c r="I675" t="s">
        <v>23</v>
      </c>
      <c r="J675" t="s">
        <v>42</v>
      </c>
      <c r="K675" t="s">
        <v>27</v>
      </c>
      <c r="L675" t="s">
        <v>43</v>
      </c>
      <c r="M675">
        <v>4</v>
      </c>
      <c r="N675">
        <v>0</v>
      </c>
      <c r="O675" t="s">
        <v>27</v>
      </c>
      <c r="S675" s="3">
        <v>14800</v>
      </c>
      <c r="T675" s="2">
        <v>12313.0673828125</v>
      </c>
      <c r="U675" s="2">
        <v>18908.68381405501</v>
      </c>
      <c r="V675" s="2">
        <v>13157.610511669</v>
      </c>
      <c r="W675" s="2">
        <v>12918.9560546875</v>
      </c>
      <c r="X675" s="4">
        <f t="shared" si="40"/>
        <v>1.2019750676146665</v>
      </c>
      <c r="Y675" s="4">
        <f t="shared" si="41"/>
        <v>0.78270915868819035</v>
      </c>
      <c r="Z675" s="4">
        <f t="shared" si="42"/>
        <v>1.12482429745693</v>
      </c>
      <c r="AA675" s="4">
        <f t="shared" si="43"/>
        <v>1.1456034014938834</v>
      </c>
    </row>
    <row r="676" spans="1:27" x14ac:dyDescent="0.3">
      <c r="A676" t="s">
        <v>296</v>
      </c>
      <c r="B676">
        <v>194237</v>
      </c>
      <c r="C676">
        <v>2017</v>
      </c>
      <c r="D676" t="s">
        <v>74</v>
      </c>
      <c r="E676" t="s">
        <v>217</v>
      </c>
      <c r="F676">
        <v>8</v>
      </c>
      <c r="G676" t="s">
        <v>36</v>
      </c>
      <c r="H676">
        <v>4</v>
      </c>
      <c r="I676" t="s">
        <v>23</v>
      </c>
      <c r="J676" t="s">
        <v>42</v>
      </c>
      <c r="K676" t="s">
        <v>27</v>
      </c>
      <c r="L676" t="s">
        <v>288</v>
      </c>
      <c r="M676">
        <v>4</v>
      </c>
      <c r="N676">
        <v>0</v>
      </c>
      <c r="O676" t="s">
        <v>27</v>
      </c>
      <c r="S676" s="3">
        <v>10500</v>
      </c>
      <c r="T676" s="2">
        <v>10932.17578125</v>
      </c>
      <c r="U676" s="2">
        <v>11946.8184834033</v>
      </c>
      <c r="V676" s="2">
        <v>21258.243068623811</v>
      </c>
      <c r="W676" s="2">
        <v>11977.994140625</v>
      </c>
      <c r="X676" s="4">
        <f t="shared" si="40"/>
        <v>0.96046754187842154</v>
      </c>
      <c r="Y676" s="4">
        <f t="shared" si="41"/>
        <v>0.87889508111190928</v>
      </c>
      <c r="Z676" s="4">
        <f t="shared" si="42"/>
        <v>0.49392604864404421</v>
      </c>
      <c r="AA676" s="4">
        <f t="shared" si="43"/>
        <v>0.87660754185776557</v>
      </c>
    </row>
    <row r="677" spans="1:27" x14ac:dyDescent="0.3">
      <c r="A677" t="s">
        <v>296</v>
      </c>
      <c r="B677">
        <v>124033</v>
      </c>
      <c r="C677">
        <v>2019</v>
      </c>
      <c r="D677" t="s">
        <v>44</v>
      </c>
      <c r="E677" t="s">
        <v>210</v>
      </c>
      <c r="F677">
        <v>4</v>
      </c>
      <c r="G677" t="s">
        <v>36</v>
      </c>
      <c r="H677">
        <v>4</v>
      </c>
      <c r="I677" t="s">
        <v>23</v>
      </c>
      <c r="J677" t="s">
        <v>37</v>
      </c>
      <c r="K677" t="s">
        <v>27</v>
      </c>
      <c r="L677" t="s">
        <v>200</v>
      </c>
      <c r="M677" t="s">
        <v>33</v>
      </c>
      <c r="N677">
        <v>1.1000000000000001</v>
      </c>
      <c r="O677" t="s">
        <v>123</v>
      </c>
      <c r="S677" s="3">
        <v>1700</v>
      </c>
      <c r="T677" s="2">
        <v>4101.43701171875</v>
      </c>
      <c r="U677" s="2">
        <v>4041.915905968543</v>
      </c>
      <c r="V677" s="2">
        <v>3795.6197509297908</v>
      </c>
      <c r="W677" s="2">
        <v>3100.221923828125</v>
      </c>
      <c r="X677" s="4">
        <f t="shared" si="40"/>
        <v>0.41448887186191291</v>
      </c>
      <c r="Y677" s="4">
        <f t="shared" si="41"/>
        <v>0.42059261982409751</v>
      </c>
      <c r="Z677" s="4">
        <f t="shared" si="42"/>
        <v>0.44788469645400092</v>
      </c>
      <c r="AA677" s="4">
        <f t="shared" si="43"/>
        <v>0.54834784146705728</v>
      </c>
    </row>
    <row r="678" spans="1:27" x14ac:dyDescent="0.3">
      <c r="A678" t="s">
        <v>296</v>
      </c>
      <c r="B678">
        <v>37392</v>
      </c>
      <c r="C678">
        <v>2024</v>
      </c>
      <c r="D678" t="s">
        <v>119</v>
      </c>
      <c r="E678" t="s">
        <v>120</v>
      </c>
      <c r="F678">
        <v>3</v>
      </c>
      <c r="G678" t="s">
        <v>59</v>
      </c>
      <c r="H678">
        <v>4</v>
      </c>
      <c r="I678" t="s">
        <v>23</v>
      </c>
      <c r="J678" t="s">
        <v>31</v>
      </c>
      <c r="L678" t="s">
        <v>121</v>
      </c>
      <c r="M678" t="s">
        <v>33</v>
      </c>
      <c r="N678">
        <v>2.8</v>
      </c>
      <c r="O678" t="s">
        <v>27</v>
      </c>
      <c r="S678" s="3">
        <v>7400</v>
      </c>
      <c r="T678" s="2">
        <v>8072.9501953125</v>
      </c>
      <c r="U678" s="2">
        <v>16964.56733494658</v>
      </c>
      <c r="V678" s="2">
        <v>13315.108284274111</v>
      </c>
      <c r="W678" s="2">
        <v>11395.560546875</v>
      </c>
      <c r="X678" s="4">
        <f t="shared" si="40"/>
        <v>0.91664135427179472</v>
      </c>
      <c r="Y678" s="4">
        <f t="shared" si="41"/>
        <v>0.43620328499366956</v>
      </c>
      <c r="Z678" s="4">
        <f t="shared" si="42"/>
        <v>0.555759656024714</v>
      </c>
      <c r="AA678" s="4">
        <f t="shared" si="43"/>
        <v>0.64937569060868172</v>
      </c>
    </row>
    <row r="679" spans="1:27" x14ac:dyDescent="0.3">
      <c r="A679" t="s">
        <v>296</v>
      </c>
      <c r="B679">
        <v>121887</v>
      </c>
      <c r="C679">
        <v>2019</v>
      </c>
      <c r="D679" t="s">
        <v>125</v>
      </c>
      <c r="E679" t="s">
        <v>126</v>
      </c>
      <c r="F679">
        <v>4</v>
      </c>
      <c r="G679" t="s">
        <v>66</v>
      </c>
      <c r="H679">
        <v>4</v>
      </c>
      <c r="I679" t="s">
        <v>23</v>
      </c>
      <c r="J679" t="s">
        <v>31</v>
      </c>
      <c r="K679" t="s">
        <v>27</v>
      </c>
      <c r="L679" t="s">
        <v>127</v>
      </c>
      <c r="M679" t="s">
        <v>33</v>
      </c>
      <c r="N679">
        <v>0</v>
      </c>
      <c r="O679" t="s">
        <v>27</v>
      </c>
      <c r="S679" s="3">
        <v>2900</v>
      </c>
      <c r="T679" s="2">
        <v>7542.68115234375</v>
      </c>
      <c r="U679" s="2">
        <v>8811.4475375312886</v>
      </c>
      <c r="V679" s="2">
        <v>6166.462574958613</v>
      </c>
      <c r="W679" s="2">
        <v>8444.779296875</v>
      </c>
      <c r="X679" s="4">
        <f t="shared" si="40"/>
        <v>0.38447866765505234</v>
      </c>
      <c r="Y679" s="4">
        <f t="shared" si="41"/>
        <v>0.32911732012791345</v>
      </c>
      <c r="Z679" s="4">
        <f t="shared" si="42"/>
        <v>0.47028583482799519</v>
      </c>
      <c r="AA679" s="4">
        <f t="shared" si="43"/>
        <v>0.34340743529829704</v>
      </c>
    </row>
    <row r="680" spans="1:27" x14ac:dyDescent="0.3">
      <c r="A680" t="s">
        <v>296</v>
      </c>
      <c r="B680">
        <v>115309</v>
      </c>
      <c r="C680">
        <v>2019</v>
      </c>
      <c r="D680" t="s">
        <v>74</v>
      </c>
      <c r="E680" t="s">
        <v>75</v>
      </c>
      <c r="F680">
        <v>8</v>
      </c>
      <c r="G680" t="s">
        <v>66</v>
      </c>
      <c r="H680">
        <v>4</v>
      </c>
      <c r="I680" t="s">
        <v>23</v>
      </c>
      <c r="J680" t="s">
        <v>42</v>
      </c>
      <c r="K680" t="s">
        <v>27</v>
      </c>
      <c r="L680" t="s">
        <v>84</v>
      </c>
      <c r="M680">
        <v>4</v>
      </c>
      <c r="N680">
        <v>0</v>
      </c>
      <c r="O680" t="s">
        <v>27</v>
      </c>
      <c r="S680" s="3">
        <v>21500</v>
      </c>
      <c r="T680" s="2">
        <v>21063.462890625</v>
      </c>
      <c r="U680" s="2">
        <v>22723.5273245151</v>
      </c>
      <c r="V680" s="2">
        <v>27071.966562183421</v>
      </c>
      <c r="W680" s="2">
        <v>20874.646484375</v>
      </c>
      <c r="X680" s="4">
        <f t="shared" si="40"/>
        <v>1.0207248500230841</v>
      </c>
      <c r="Y680" s="4">
        <f t="shared" si="41"/>
        <v>0.94615592434035944</v>
      </c>
      <c r="Z680" s="4">
        <f t="shared" si="42"/>
        <v>0.79417946792358818</v>
      </c>
      <c r="AA680" s="4">
        <f t="shared" si="43"/>
        <v>1.0299575619684427</v>
      </c>
    </row>
    <row r="681" spans="1:27" x14ac:dyDescent="0.3">
      <c r="A681" t="s">
        <v>296</v>
      </c>
      <c r="B681">
        <v>182475</v>
      </c>
      <c r="C681">
        <v>2014</v>
      </c>
      <c r="D681" t="s">
        <v>74</v>
      </c>
      <c r="E681" t="s">
        <v>399</v>
      </c>
      <c r="F681">
        <v>8</v>
      </c>
      <c r="G681" t="s">
        <v>47</v>
      </c>
      <c r="H681">
        <v>4</v>
      </c>
      <c r="I681" t="s">
        <v>23</v>
      </c>
      <c r="J681" t="s">
        <v>42</v>
      </c>
      <c r="L681" t="s">
        <v>288</v>
      </c>
      <c r="M681">
        <v>4</v>
      </c>
      <c r="N681">
        <v>0</v>
      </c>
      <c r="O681" t="s">
        <v>27</v>
      </c>
      <c r="S681" s="3">
        <v>9000</v>
      </c>
      <c r="T681" s="2">
        <v>8037.7470703125</v>
      </c>
      <c r="U681" s="2">
        <v>8550.0253426128002</v>
      </c>
      <c r="V681" s="2">
        <v>16610.999201858289</v>
      </c>
      <c r="W681" s="2">
        <v>9173.984375</v>
      </c>
      <c r="X681" s="4">
        <f t="shared" si="40"/>
        <v>1.1197167466542448</v>
      </c>
      <c r="Y681" s="4">
        <f t="shared" si="41"/>
        <v>1.0526284589057946</v>
      </c>
      <c r="Z681" s="4">
        <f t="shared" si="42"/>
        <v>0.54180967024507243</v>
      </c>
      <c r="AA681" s="4">
        <f t="shared" si="43"/>
        <v>0.98103502601616321</v>
      </c>
    </row>
    <row r="682" spans="1:27" x14ac:dyDescent="0.3">
      <c r="A682" t="s">
        <v>296</v>
      </c>
      <c r="B682">
        <v>240098</v>
      </c>
      <c r="C682">
        <v>2004</v>
      </c>
      <c r="D682" t="s">
        <v>28</v>
      </c>
      <c r="E682" t="s">
        <v>310</v>
      </c>
      <c r="F682">
        <v>4</v>
      </c>
      <c r="G682" t="s">
        <v>36</v>
      </c>
      <c r="H682">
        <v>4</v>
      </c>
      <c r="I682" t="s">
        <v>23</v>
      </c>
      <c r="J682" t="s">
        <v>31</v>
      </c>
      <c r="K682" t="s">
        <v>27</v>
      </c>
      <c r="L682" t="s">
        <v>60</v>
      </c>
      <c r="M682" t="s">
        <v>33</v>
      </c>
      <c r="N682">
        <v>0</v>
      </c>
      <c r="O682" t="s">
        <v>27</v>
      </c>
      <c r="S682" s="3">
        <v>700</v>
      </c>
      <c r="T682" s="2">
        <v>1913.888916015625</v>
      </c>
      <c r="U682" s="2">
        <v>1765.4271687779351</v>
      </c>
      <c r="V682" s="2">
        <v>587.21099766354928</v>
      </c>
      <c r="W682" s="2">
        <v>1632.217895507812</v>
      </c>
      <c r="X682" s="4">
        <f t="shared" si="40"/>
        <v>0.36574745490311683</v>
      </c>
      <c r="Y682" s="4">
        <f t="shared" si="41"/>
        <v>0.39650460374672625</v>
      </c>
      <c r="Z682" s="4">
        <f t="shared" si="42"/>
        <v>1.1920757662666848</v>
      </c>
      <c r="AA682" s="4">
        <f t="shared" si="43"/>
        <v>0.42886430906470213</v>
      </c>
    </row>
    <row r="683" spans="1:27" x14ac:dyDescent="0.3">
      <c r="A683" t="s">
        <v>296</v>
      </c>
      <c r="B683">
        <v>155289</v>
      </c>
      <c r="C683">
        <v>2012</v>
      </c>
      <c r="D683" t="s">
        <v>44</v>
      </c>
      <c r="E683" t="s">
        <v>45</v>
      </c>
      <c r="F683">
        <v>6</v>
      </c>
      <c r="G683" t="s">
        <v>47</v>
      </c>
      <c r="H683">
        <v>4</v>
      </c>
      <c r="I683" t="s">
        <v>23</v>
      </c>
      <c r="J683" t="s">
        <v>156</v>
      </c>
      <c r="K683" t="s">
        <v>27</v>
      </c>
      <c r="L683" t="s">
        <v>38</v>
      </c>
      <c r="M683" t="s">
        <v>78</v>
      </c>
      <c r="N683">
        <v>0</v>
      </c>
      <c r="O683" t="s">
        <v>27</v>
      </c>
      <c r="S683" s="3">
        <v>4100</v>
      </c>
      <c r="T683" s="2">
        <v>4104.57568359375</v>
      </c>
      <c r="U683" s="2">
        <v>4540.3129113513914</v>
      </c>
      <c r="V683" s="2">
        <v>3485.4488185542859</v>
      </c>
      <c r="W683" s="2">
        <v>4655.302734375</v>
      </c>
      <c r="X683" s="4">
        <f t="shared" si="40"/>
        <v>0.99888522372433297</v>
      </c>
      <c r="Y683" s="4">
        <f t="shared" si="41"/>
        <v>0.90302146130709404</v>
      </c>
      <c r="Z683" s="4">
        <f t="shared" si="42"/>
        <v>1.1763190950256504</v>
      </c>
      <c r="AA683" s="4">
        <f t="shared" si="43"/>
        <v>0.88071608527741596</v>
      </c>
    </row>
    <row r="684" spans="1:27" x14ac:dyDescent="0.3">
      <c r="A684" t="s">
        <v>296</v>
      </c>
      <c r="B684">
        <v>141162</v>
      </c>
      <c r="C684">
        <v>2018</v>
      </c>
      <c r="D684" t="s">
        <v>40</v>
      </c>
      <c r="E684" t="s">
        <v>41</v>
      </c>
      <c r="F684">
        <v>8</v>
      </c>
      <c r="G684" t="s">
        <v>36</v>
      </c>
      <c r="H684">
        <v>4</v>
      </c>
      <c r="I684" t="s">
        <v>23</v>
      </c>
      <c r="J684" t="s">
        <v>42</v>
      </c>
      <c r="K684" t="s">
        <v>27</v>
      </c>
      <c r="L684" t="s">
        <v>43</v>
      </c>
      <c r="M684" t="s">
        <v>78</v>
      </c>
      <c r="N684">
        <v>0</v>
      </c>
      <c r="O684" t="s">
        <v>27</v>
      </c>
      <c r="S684" s="3">
        <v>11000</v>
      </c>
      <c r="T684" s="2">
        <v>15242.3017578125</v>
      </c>
      <c r="U684" s="2">
        <v>23518.084259234751</v>
      </c>
      <c r="V684" s="2">
        <v>12713.43744813026</v>
      </c>
      <c r="W684" s="2">
        <v>17699.9765625</v>
      </c>
      <c r="X684" s="4">
        <f t="shared" si="40"/>
        <v>0.72167577933968585</v>
      </c>
      <c r="Y684" s="4">
        <f t="shared" si="41"/>
        <v>0.46772517177629697</v>
      </c>
      <c r="Z684" s="4">
        <f t="shared" si="42"/>
        <v>0.86522626511351164</v>
      </c>
      <c r="AA684" s="4">
        <f t="shared" si="43"/>
        <v>0.62146974947442113</v>
      </c>
    </row>
    <row r="685" spans="1:27" x14ac:dyDescent="0.3">
      <c r="A685" t="s">
        <v>296</v>
      </c>
      <c r="B685">
        <v>123862</v>
      </c>
      <c r="C685">
        <v>2011</v>
      </c>
      <c r="D685" t="s">
        <v>28</v>
      </c>
      <c r="E685" t="s">
        <v>220</v>
      </c>
      <c r="F685">
        <v>6</v>
      </c>
      <c r="G685" t="s">
        <v>272</v>
      </c>
      <c r="H685">
        <v>4</v>
      </c>
      <c r="I685" t="s">
        <v>23</v>
      </c>
      <c r="J685" t="s">
        <v>24</v>
      </c>
      <c r="K685" t="s">
        <v>27</v>
      </c>
      <c r="L685" t="s">
        <v>53</v>
      </c>
      <c r="M685" t="s">
        <v>33</v>
      </c>
      <c r="N685">
        <v>0</v>
      </c>
      <c r="O685" t="s">
        <v>39</v>
      </c>
      <c r="S685" s="3">
        <v>1400</v>
      </c>
      <c r="T685" s="2">
        <v>5102.38525390625</v>
      </c>
      <c r="U685" s="2">
        <v>4132.0500211873014</v>
      </c>
      <c r="V685" s="2">
        <v>2060.4246682729631</v>
      </c>
      <c r="W685" s="2">
        <v>4198.65087890625</v>
      </c>
      <c r="X685" s="4">
        <f t="shared" si="40"/>
        <v>0.27438147657082484</v>
      </c>
      <c r="Y685" s="4">
        <f t="shared" si="41"/>
        <v>0.33881487223567652</v>
      </c>
      <c r="Z685" s="4">
        <f t="shared" si="42"/>
        <v>0.67947157765950861</v>
      </c>
      <c r="AA685" s="4">
        <f t="shared" si="43"/>
        <v>0.33344044084101143</v>
      </c>
    </row>
    <row r="686" spans="1:27" x14ac:dyDescent="0.3">
      <c r="A686" t="s">
        <v>296</v>
      </c>
      <c r="B686">
        <v>160707</v>
      </c>
      <c r="C686">
        <v>2010</v>
      </c>
      <c r="D686" t="s">
        <v>28</v>
      </c>
      <c r="E686" t="s">
        <v>400</v>
      </c>
      <c r="F686">
        <v>6</v>
      </c>
      <c r="G686" t="s">
        <v>36</v>
      </c>
      <c r="H686">
        <v>2</v>
      </c>
      <c r="I686" t="s">
        <v>23</v>
      </c>
      <c r="J686" t="s">
        <v>83</v>
      </c>
      <c r="K686" t="s">
        <v>27</v>
      </c>
      <c r="L686" t="s">
        <v>53</v>
      </c>
      <c r="M686" t="s">
        <v>33</v>
      </c>
      <c r="N686">
        <v>0</v>
      </c>
      <c r="O686" t="s">
        <v>27</v>
      </c>
      <c r="S686" s="3">
        <v>1300</v>
      </c>
      <c r="T686" s="2">
        <v>4370.27783203125</v>
      </c>
      <c r="U686" s="2">
        <v>3902.1530769342698</v>
      </c>
      <c r="V686" s="2">
        <v>3040.033377779986</v>
      </c>
      <c r="W686" s="2">
        <v>3711.699951171875</v>
      </c>
      <c r="X686" s="4">
        <f t="shared" si="40"/>
        <v>0.29746392562776186</v>
      </c>
      <c r="Y686" s="4">
        <f t="shared" si="41"/>
        <v>0.33314941120181429</v>
      </c>
      <c r="Z686" s="4">
        <f t="shared" si="42"/>
        <v>0.42762688380393299</v>
      </c>
      <c r="AA686" s="4">
        <f t="shared" si="43"/>
        <v>0.35024382819240496</v>
      </c>
    </row>
    <row r="687" spans="1:27" x14ac:dyDescent="0.3">
      <c r="A687" t="s">
        <v>296</v>
      </c>
      <c r="B687">
        <v>177372</v>
      </c>
      <c r="C687">
        <v>2003</v>
      </c>
      <c r="D687" t="s">
        <v>81</v>
      </c>
      <c r="E687" t="s">
        <v>401</v>
      </c>
      <c r="F687">
        <v>8</v>
      </c>
      <c r="G687" t="s">
        <v>30</v>
      </c>
      <c r="H687">
        <v>2</v>
      </c>
      <c r="I687" t="s">
        <v>23</v>
      </c>
      <c r="J687" t="s">
        <v>49</v>
      </c>
      <c r="L687" t="s">
        <v>77</v>
      </c>
      <c r="M687">
        <v>4</v>
      </c>
      <c r="N687">
        <v>0</v>
      </c>
      <c r="O687" t="s">
        <v>27</v>
      </c>
      <c r="S687" s="3">
        <v>1800</v>
      </c>
      <c r="T687" s="2">
        <v>2868.51708984375</v>
      </c>
      <c r="U687" s="2">
        <v>9867.0970465997398</v>
      </c>
      <c r="V687" s="2">
        <v>2358.0687218992898</v>
      </c>
      <c r="W687" s="2">
        <v>2960.699951171875</v>
      </c>
      <c r="X687" s="4">
        <f t="shared" si="40"/>
        <v>0.62750192647380987</v>
      </c>
      <c r="Y687" s="4">
        <f t="shared" si="41"/>
        <v>0.18242447515201957</v>
      </c>
      <c r="Z687" s="4">
        <f t="shared" si="42"/>
        <v>0.76333653183364503</v>
      </c>
      <c r="AA687" s="4">
        <f t="shared" si="43"/>
        <v>0.60796434278574629</v>
      </c>
    </row>
    <row r="688" spans="1:27" x14ac:dyDescent="0.3">
      <c r="A688" t="s">
        <v>296</v>
      </c>
      <c r="B688">
        <v>100050</v>
      </c>
      <c r="C688">
        <v>2015</v>
      </c>
      <c r="D688" t="s">
        <v>187</v>
      </c>
      <c r="E688" t="s">
        <v>188</v>
      </c>
      <c r="F688">
        <v>4</v>
      </c>
      <c r="G688" t="s">
        <v>36</v>
      </c>
      <c r="H688">
        <v>4</v>
      </c>
      <c r="I688" t="s">
        <v>23</v>
      </c>
      <c r="J688" t="s">
        <v>24</v>
      </c>
      <c r="K688" t="s">
        <v>27</v>
      </c>
      <c r="L688" t="s">
        <v>102</v>
      </c>
      <c r="M688" t="s">
        <v>23</v>
      </c>
      <c r="N688">
        <v>0</v>
      </c>
      <c r="O688" t="s">
        <v>27</v>
      </c>
      <c r="S688" s="3">
        <v>7000</v>
      </c>
      <c r="T688" s="2">
        <v>8352.427734375</v>
      </c>
      <c r="U688" s="2">
        <v>7836.46843304711</v>
      </c>
      <c r="V688" s="2">
        <v>7572.8065394708037</v>
      </c>
      <c r="W688" s="2">
        <v>7379.74267578125</v>
      </c>
      <c r="X688" s="4">
        <f t="shared" si="40"/>
        <v>0.83807968444803305</v>
      </c>
      <c r="Y688" s="4">
        <f t="shared" si="41"/>
        <v>0.89325951604428777</v>
      </c>
      <c r="Z688" s="4">
        <f t="shared" si="42"/>
        <v>0.92436007225521544</v>
      </c>
      <c r="AA688" s="4">
        <f t="shared" si="43"/>
        <v>0.94854255866840931</v>
      </c>
    </row>
    <row r="689" spans="1:27" x14ac:dyDescent="0.3">
      <c r="A689" t="s">
        <v>296</v>
      </c>
      <c r="B689">
        <v>59559</v>
      </c>
      <c r="C689">
        <v>2021</v>
      </c>
      <c r="D689" t="s">
        <v>44</v>
      </c>
      <c r="E689" t="s">
        <v>45</v>
      </c>
      <c r="F689">
        <v>6</v>
      </c>
      <c r="G689" t="s">
        <v>22</v>
      </c>
      <c r="H689">
        <v>4</v>
      </c>
      <c r="I689" t="s">
        <v>23</v>
      </c>
      <c r="J689" t="s">
        <v>46</v>
      </c>
      <c r="K689" t="s">
        <v>27</v>
      </c>
      <c r="L689" t="s">
        <v>242</v>
      </c>
      <c r="M689" t="s">
        <v>78</v>
      </c>
      <c r="N689">
        <v>0</v>
      </c>
      <c r="O689" t="s">
        <v>27</v>
      </c>
      <c r="S689" s="3">
        <v>21000</v>
      </c>
      <c r="T689" s="2">
        <v>30690.458984375</v>
      </c>
      <c r="U689" s="2">
        <v>34852.916814258373</v>
      </c>
      <c r="V689" s="2">
        <v>26587.81827627647</v>
      </c>
      <c r="W689" s="2">
        <v>28200.099609375</v>
      </c>
      <c r="X689" s="4">
        <f t="shared" si="40"/>
        <v>0.68425174125585519</v>
      </c>
      <c r="Y689" s="4">
        <f t="shared" si="41"/>
        <v>0.60253206673964443</v>
      </c>
      <c r="Z689" s="4">
        <f t="shared" si="42"/>
        <v>0.78983539686434834</v>
      </c>
      <c r="AA689" s="4">
        <f t="shared" si="43"/>
        <v>0.74467822067616529</v>
      </c>
    </row>
    <row r="690" spans="1:27" x14ac:dyDescent="0.3">
      <c r="A690" t="s">
        <v>296</v>
      </c>
      <c r="B690">
        <v>138422</v>
      </c>
      <c r="C690">
        <v>2019</v>
      </c>
      <c r="D690" t="s">
        <v>44</v>
      </c>
      <c r="E690" t="s">
        <v>45</v>
      </c>
      <c r="F690">
        <v>8</v>
      </c>
      <c r="G690" t="s">
        <v>47</v>
      </c>
      <c r="H690">
        <v>4</v>
      </c>
      <c r="I690" t="s">
        <v>23</v>
      </c>
      <c r="J690" t="s">
        <v>46</v>
      </c>
      <c r="K690" t="s">
        <v>27</v>
      </c>
      <c r="L690" t="s">
        <v>48</v>
      </c>
      <c r="M690">
        <v>4</v>
      </c>
      <c r="N690">
        <v>0</v>
      </c>
      <c r="O690" t="s">
        <v>27</v>
      </c>
      <c r="S690" s="3">
        <v>19000</v>
      </c>
      <c r="T690" s="2">
        <v>15540.6181640625</v>
      </c>
      <c r="U690" s="2">
        <v>22056.93943891826</v>
      </c>
      <c r="V690" s="2">
        <v>14701.27022122243</v>
      </c>
      <c r="W690" s="2">
        <v>15851.9775390625</v>
      </c>
      <c r="X690" s="4">
        <f t="shared" si="40"/>
        <v>1.2226025888685226</v>
      </c>
      <c r="Y690" s="4">
        <f t="shared" si="41"/>
        <v>0.86140690790833574</v>
      </c>
      <c r="Z690" s="4">
        <f t="shared" si="42"/>
        <v>1.2924053305660634</v>
      </c>
      <c r="AA690" s="4">
        <f t="shared" si="43"/>
        <v>1.1985886273923951</v>
      </c>
    </row>
    <row r="691" spans="1:27" x14ac:dyDescent="0.3">
      <c r="A691" t="s">
        <v>296</v>
      </c>
      <c r="B691">
        <v>173296</v>
      </c>
      <c r="C691">
        <v>2019</v>
      </c>
      <c r="D691" t="s">
        <v>20</v>
      </c>
      <c r="E691" t="s">
        <v>151</v>
      </c>
      <c r="F691">
        <v>8</v>
      </c>
      <c r="G691" t="s">
        <v>47</v>
      </c>
      <c r="H691">
        <v>4</v>
      </c>
      <c r="I691" t="s">
        <v>23</v>
      </c>
      <c r="J691" t="s">
        <v>42</v>
      </c>
      <c r="K691" t="s">
        <v>27</v>
      </c>
      <c r="L691" t="s">
        <v>43</v>
      </c>
      <c r="M691" t="s">
        <v>78</v>
      </c>
      <c r="N691">
        <v>0</v>
      </c>
      <c r="O691" t="s">
        <v>27</v>
      </c>
      <c r="S691" s="3">
        <v>11750</v>
      </c>
      <c r="T691" s="2">
        <v>15109.138671875</v>
      </c>
      <c r="U691" s="2">
        <v>17090.11615800473</v>
      </c>
      <c r="V691" s="2">
        <v>15346.62408884756</v>
      </c>
      <c r="W691" s="2">
        <v>20191.953125</v>
      </c>
      <c r="X691" s="4">
        <f t="shared" si="40"/>
        <v>0.77767503860905784</v>
      </c>
      <c r="Y691" s="4">
        <f t="shared" si="41"/>
        <v>0.68753189804953385</v>
      </c>
      <c r="Z691" s="4">
        <f t="shared" si="42"/>
        <v>0.76564069934695034</v>
      </c>
      <c r="AA691" s="4">
        <f t="shared" si="43"/>
        <v>0.58191498005470932</v>
      </c>
    </row>
    <row r="692" spans="1:27" x14ac:dyDescent="0.3">
      <c r="A692" t="s">
        <v>296</v>
      </c>
      <c r="B692">
        <v>73473</v>
      </c>
      <c r="C692">
        <v>2021</v>
      </c>
      <c r="D692" t="s">
        <v>74</v>
      </c>
      <c r="E692" t="s">
        <v>112</v>
      </c>
      <c r="F692">
        <v>6</v>
      </c>
      <c r="G692" t="s">
        <v>47</v>
      </c>
      <c r="H692">
        <v>3</v>
      </c>
      <c r="I692" t="s">
        <v>23</v>
      </c>
      <c r="J692" t="s">
        <v>113</v>
      </c>
      <c r="L692" t="s">
        <v>26</v>
      </c>
      <c r="M692" t="s">
        <v>33</v>
      </c>
      <c r="N692">
        <v>0</v>
      </c>
      <c r="O692" t="s">
        <v>27</v>
      </c>
      <c r="S692" s="3">
        <v>18000</v>
      </c>
      <c r="T692" s="2">
        <v>22805.302734375</v>
      </c>
      <c r="U692" s="2">
        <v>22381.196214920641</v>
      </c>
      <c r="V692" s="2">
        <v>21864.870966676812</v>
      </c>
      <c r="W692" s="2">
        <v>22895.890625</v>
      </c>
      <c r="X692" s="4">
        <f t="shared" si="40"/>
        <v>0.78929011421839856</v>
      </c>
      <c r="Y692" s="4">
        <f t="shared" si="41"/>
        <v>0.80424655711655513</v>
      </c>
      <c r="Z692" s="4">
        <f t="shared" si="42"/>
        <v>0.8232383363905017</v>
      </c>
      <c r="AA692" s="4">
        <f t="shared" si="43"/>
        <v>0.78616727756140736</v>
      </c>
    </row>
    <row r="693" spans="1:27" x14ac:dyDescent="0.3">
      <c r="A693" t="s">
        <v>296</v>
      </c>
      <c r="B693">
        <v>94741</v>
      </c>
      <c r="C693">
        <v>2012</v>
      </c>
      <c r="D693" t="s">
        <v>28</v>
      </c>
      <c r="E693" t="s">
        <v>58</v>
      </c>
      <c r="F693">
        <v>4</v>
      </c>
      <c r="G693" t="s">
        <v>22</v>
      </c>
      <c r="H693">
        <v>4</v>
      </c>
      <c r="I693" t="s">
        <v>23</v>
      </c>
      <c r="J693" t="s">
        <v>24</v>
      </c>
      <c r="K693" t="s">
        <v>27</v>
      </c>
      <c r="L693" t="s">
        <v>60</v>
      </c>
      <c r="M693" t="s">
        <v>33</v>
      </c>
      <c r="N693">
        <v>0</v>
      </c>
      <c r="O693" t="s">
        <v>27</v>
      </c>
      <c r="S693" s="3">
        <v>7000</v>
      </c>
      <c r="T693" s="2">
        <v>9844.2822265625</v>
      </c>
      <c r="U693" s="2">
        <v>8530.917816906629</v>
      </c>
      <c r="V693" s="2">
        <v>8478.835166696761</v>
      </c>
      <c r="W693" s="2">
        <v>9805.6552734375</v>
      </c>
      <c r="X693" s="4">
        <f t="shared" si="40"/>
        <v>0.71107266521800161</v>
      </c>
      <c r="Y693" s="4">
        <f t="shared" si="41"/>
        <v>0.82054477023883099</v>
      </c>
      <c r="Z693" s="4">
        <f t="shared" si="42"/>
        <v>0.8255851024790124</v>
      </c>
      <c r="AA693" s="4">
        <f t="shared" si="43"/>
        <v>0.71387376007009662</v>
      </c>
    </row>
    <row r="694" spans="1:27" x14ac:dyDescent="0.3">
      <c r="A694" t="s">
        <v>296</v>
      </c>
      <c r="B694">
        <v>88503</v>
      </c>
      <c r="C694">
        <v>2018</v>
      </c>
      <c r="D694" t="s">
        <v>340</v>
      </c>
      <c r="E694" t="s">
        <v>402</v>
      </c>
      <c r="F694">
        <v>4</v>
      </c>
      <c r="G694" t="s">
        <v>22</v>
      </c>
      <c r="H694">
        <v>4</v>
      </c>
      <c r="I694" t="s">
        <v>23</v>
      </c>
      <c r="J694" t="s">
        <v>31</v>
      </c>
      <c r="L694" t="s">
        <v>102</v>
      </c>
      <c r="M694" t="s">
        <v>33</v>
      </c>
      <c r="N694">
        <v>0</v>
      </c>
      <c r="O694" t="s">
        <v>27</v>
      </c>
      <c r="S694" s="3">
        <v>11500</v>
      </c>
      <c r="T694" s="2">
        <v>11902.478515625</v>
      </c>
      <c r="U694" s="2">
        <v>11371.61732646475</v>
      </c>
      <c r="V694" s="2">
        <v>13098.02788551218</v>
      </c>
      <c r="W694" s="2">
        <v>12538.4814453125</v>
      </c>
      <c r="X694" s="4">
        <f t="shared" si="40"/>
        <v>0.96618531887315351</v>
      </c>
      <c r="Y694" s="4">
        <f t="shared" si="41"/>
        <v>1.0112897462031605</v>
      </c>
      <c r="Z694" s="4">
        <f t="shared" si="42"/>
        <v>0.87799477146633886</v>
      </c>
      <c r="AA694" s="4">
        <f t="shared" si="43"/>
        <v>0.91717645794333924</v>
      </c>
    </row>
    <row r="695" spans="1:27" x14ac:dyDescent="0.3">
      <c r="A695" t="s">
        <v>296</v>
      </c>
      <c r="B695">
        <v>144707</v>
      </c>
      <c r="C695">
        <v>2015</v>
      </c>
      <c r="D695" t="s">
        <v>90</v>
      </c>
      <c r="E695" t="s">
        <v>91</v>
      </c>
      <c r="F695">
        <v>4</v>
      </c>
      <c r="G695" t="s">
        <v>36</v>
      </c>
      <c r="H695">
        <v>4</v>
      </c>
      <c r="I695" t="s">
        <v>23</v>
      </c>
      <c r="J695" t="s">
        <v>31</v>
      </c>
      <c r="L695" t="s">
        <v>127</v>
      </c>
      <c r="M695" t="s">
        <v>33</v>
      </c>
      <c r="N695">
        <v>0</v>
      </c>
      <c r="O695" t="s">
        <v>27</v>
      </c>
      <c r="S695" s="3">
        <v>3000</v>
      </c>
      <c r="T695" s="2">
        <v>4434.36083984375</v>
      </c>
      <c r="U695" s="2">
        <v>3296.6218960163678</v>
      </c>
      <c r="V695" s="2">
        <v>3755.4238147137098</v>
      </c>
      <c r="W695" s="2">
        <v>4172.21533203125</v>
      </c>
      <c r="X695" s="4">
        <f t="shared" si="40"/>
        <v>0.67653492991465902</v>
      </c>
      <c r="Y695" s="4">
        <f t="shared" si="41"/>
        <v>0.91002246985776403</v>
      </c>
      <c r="Z695" s="4">
        <f t="shared" si="42"/>
        <v>0.79884459065473046</v>
      </c>
      <c r="AA695" s="4">
        <f t="shared" si="43"/>
        <v>0.71904246575390562</v>
      </c>
    </row>
    <row r="696" spans="1:27" x14ac:dyDescent="0.3">
      <c r="A696" t="s">
        <v>296</v>
      </c>
      <c r="B696">
        <v>104059</v>
      </c>
      <c r="C696">
        <v>2012</v>
      </c>
      <c r="D696" t="s">
        <v>100</v>
      </c>
      <c r="E696" t="s">
        <v>101</v>
      </c>
      <c r="F696">
        <v>4</v>
      </c>
      <c r="G696" t="s">
        <v>22</v>
      </c>
      <c r="H696">
        <v>2</v>
      </c>
      <c r="I696" t="s">
        <v>23</v>
      </c>
      <c r="J696" t="s">
        <v>83</v>
      </c>
      <c r="K696" t="s">
        <v>27</v>
      </c>
      <c r="L696" t="s">
        <v>102</v>
      </c>
      <c r="M696" t="s">
        <v>33</v>
      </c>
      <c r="N696">
        <v>0</v>
      </c>
      <c r="O696" t="s">
        <v>27</v>
      </c>
      <c r="S696" s="3">
        <v>800</v>
      </c>
      <c r="T696" s="2">
        <v>4234.05322265625</v>
      </c>
      <c r="U696" s="2">
        <v>4209.9469193322993</v>
      </c>
      <c r="V696" s="2">
        <v>5469.4353816137718</v>
      </c>
      <c r="W696" s="2">
        <v>4464.95068359375</v>
      </c>
      <c r="X696" s="4">
        <f t="shared" si="40"/>
        <v>0.18894424749297714</v>
      </c>
      <c r="Y696" s="4">
        <f t="shared" si="41"/>
        <v>0.1900261488633877</v>
      </c>
      <c r="Z696" s="4">
        <f t="shared" si="42"/>
        <v>0.14626738304456535</v>
      </c>
      <c r="AA696" s="4">
        <f t="shared" si="43"/>
        <v>0.17917331157532426</v>
      </c>
    </row>
    <row r="697" spans="1:27" x14ac:dyDescent="0.3">
      <c r="A697" t="s">
        <v>296</v>
      </c>
      <c r="B697">
        <v>294159</v>
      </c>
      <c r="C697">
        <v>2005</v>
      </c>
      <c r="D697" t="s">
        <v>40</v>
      </c>
      <c r="E697" t="s">
        <v>41</v>
      </c>
      <c r="F697">
        <v>8</v>
      </c>
      <c r="G697" t="s">
        <v>47</v>
      </c>
      <c r="H697">
        <v>2</v>
      </c>
      <c r="I697" t="s">
        <v>23</v>
      </c>
      <c r="J697" t="s">
        <v>49</v>
      </c>
      <c r="K697" t="s">
        <v>27</v>
      </c>
      <c r="L697" t="s">
        <v>43</v>
      </c>
      <c r="M697">
        <v>4</v>
      </c>
      <c r="N697">
        <v>0</v>
      </c>
      <c r="O697" t="s">
        <v>27</v>
      </c>
      <c r="S697" s="3">
        <v>2600</v>
      </c>
      <c r="T697" s="2">
        <v>2256.97265625</v>
      </c>
      <c r="U697" s="2">
        <v>9113.411731317412</v>
      </c>
      <c r="V697" s="2">
        <v>1650.110147843041</v>
      </c>
      <c r="W697" s="2">
        <v>6003.70751953125</v>
      </c>
      <c r="X697" s="4">
        <f t="shared" si="40"/>
        <v>1.1519856001799977</v>
      </c>
      <c r="Y697" s="4">
        <f t="shared" si="41"/>
        <v>0.28529381494587103</v>
      </c>
      <c r="Z697" s="4">
        <f t="shared" si="42"/>
        <v>1.5756523910834788</v>
      </c>
      <c r="AA697" s="4">
        <f t="shared" si="43"/>
        <v>0.43306573338919074</v>
      </c>
    </row>
    <row r="698" spans="1:27" x14ac:dyDescent="0.3">
      <c r="A698" t="s">
        <v>296</v>
      </c>
      <c r="B698">
        <v>172424</v>
      </c>
      <c r="C698">
        <v>2014</v>
      </c>
      <c r="D698" t="s">
        <v>34</v>
      </c>
      <c r="E698" t="s">
        <v>262</v>
      </c>
      <c r="F698">
        <v>8</v>
      </c>
      <c r="G698" t="s">
        <v>47</v>
      </c>
      <c r="H698">
        <v>4</v>
      </c>
      <c r="I698" t="s">
        <v>23</v>
      </c>
      <c r="J698" t="s">
        <v>152</v>
      </c>
      <c r="L698" t="s">
        <v>378</v>
      </c>
      <c r="M698">
        <v>4</v>
      </c>
      <c r="N698">
        <v>0</v>
      </c>
      <c r="O698" t="s">
        <v>27</v>
      </c>
      <c r="S698" s="3">
        <v>11000</v>
      </c>
      <c r="T698" s="2">
        <v>8587.5244140625</v>
      </c>
      <c r="U698" s="2">
        <v>8018.8003755028967</v>
      </c>
      <c r="V698" s="2">
        <v>10154.50119372014</v>
      </c>
      <c r="W698" s="2">
        <v>8768.2451171875</v>
      </c>
      <c r="X698" s="4">
        <f t="shared" si="40"/>
        <v>1.2809279449601274</v>
      </c>
      <c r="Y698" s="4">
        <f t="shared" si="41"/>
        <v>1.3717762613974709</v>
      </c>
      <c r="Z698" s="4">
        <f t="shared" si="42"/>
        <v>1.0832634503802849</v>
      </c>
      <c r="AA698" s="4">
        <f t="shared" si="43"/>
        <v>1.2545269723855939</v>
      </c>
    </row>
    <row r="699" spans="1:27" x14ac:dyDescent="0.3">
      <c r="A699" t="s">
        <v>296</v>
      </c>
      <c r="B699">
        <v>175798</v>
      </c>
      <c r="C699">
        <v>2010</v>
      </c>
      <c r="D699" t="s">
        <v>44</v>
      </c>
      <c r="E699" t="s">
        <v>45</v>
      </c>
      <c r="F699">
        <v>8</v>
      </c>
      <c r="G699" t="s">
        <v>36</v>
      </c>
      <c r="H699">
        <v>4</v>
      </c>
      <c r="I699" t="s">
        <v>23</v>
      </c>
      <c r="J699" t="s">
        <v>42</v>
      </c>
      <c r="L699" t="s">
        <v>161</v>
      </c>
      <c r="M699" t="s">
        <v>78</v>
      </c>
      <c r="N699">
        <v>0</v>
      </c>
      <c r="O699" t="s">
        <v>27</v>
      </c>
      <c r="S699" s="3">
        <v>4500</v>
      </c>
      <c r="T699" s="2">
        <v>6115.45556640625</v>
      </c>
      <c r="U699" s="2">
        <v>13131.39781279055</v>
      </c>
      <c r="V699" s="2">
        <v>3009.7927350495402</v>
      </c>
      <c r="W699" s="2">
        <v>5755.5517578125</v>
      </c>
      <c r="X699" s="4">
        <f t="shared" si="40"/>
        <v>0.73584051934244155</v>
      </c>
      <c r="Y699" s="4">
        <f t="shared" si="41"/>
        <v>0.34269009774548181</v>
      </c>
      <c r="Z699" s="4">
        <f t="shared" si="42"/>
        <v>1.4951195634160275</v>
      </c>
      <c r="AA699" s="4">
        <f t="shared" si="43"/>
        <v>0.78185379775132191</v>
      </c>
    </row>
    <row r="700" spans="1:27" x14ac:dyDescent="0.3">
      <c r="A700" t="s">
        <v>296</v>
      </c>
      <c r="B700">
        <v>18806</v>
      </c>
      <c r="C700">
        <v>2025</v>
      </c>
      <c r="D700" t="s">
        <v>100</v>
      </c>
      <c r="E700" t="s">
        <v>192</v>
      </c>
      <c r="F700">
        <v>4</v>
      </c>
      <c r="G700" t="s">
        <v>47</v>
      </c>
      <c r="H700">
        <v>4</v>
      </c>
      <c r="I700" t="s">
        <v>23</v>
      </c>
      <c r="J700" t="s">
        <v>31</v>
      </c>
      <c r="L700" t="s">
        <v>127</v>
      </c>
      <c r="M700" t="s">
        <v>33</v>
      </c>
      <c r="N700">
        <v>4.8</v>
      </c>
      <c r="O700" t="s">
        <v>27</v>
      </c>
      <c r="S700" s="3">
        <v>16200</v>
      </c>
      <c r="T700" s="2">
        <v>18985.087890625</v>
      </c>
      <c r="U700" s="2">
        <v>24611.292608253509</v>
      </c>
      <c r="V700" s="2">
        <v>25927.525370660391</v>
      </c>
      <c r="W700" s="2">
        <v>21385.037109375</v>
      </c>
      <c r="X700" s="4">
        <f t="shared" si="40"/>
        <v>0.85330129064083504</v>
      </c>
      <c r="Y700" s="4">
        <f t="shared" si="41"/>
        <v>0.65823442343565719</v>
      </c>
      <c r="Z700" s="4">
        <f t="shared" si="42"/>
        <v>0.62481859600576972</v>
      </c>
      <c r="AA700" s="4">
        <f t="shared" si="43"/>
        <v>0.7575390174515092</v>
      </c>
    </row>
    <row r="701" spans="1:27" x14ac:dyDescent="0.3">
      <c r="A701" t="s">
        <v>296</v>
      </c>
      <c r="B701">
        <v>137651</v>
      </c>
      <c r="C701">
        <v>2020</v>
      </c>
      <c r="D701" t="s">
        <v>40</v>
      </c>
      <c r="E701" t="s">
        <v>211</v>
      </c>
      <c r="F701">
        <v>4</v>
      </c>
      <c r="G701" t="s">
        <v>47</v>
      </c>
      <c r="H701">
        <v>4</v>
      </c>
      <c r="I701" t="s">
        <v>23</v>
      </c>
      <c r="J701" t="s">
        <v>31</v>
      </c>
      <c r="K701" t="s">
        <v>27</v>
      </c>
      <c r="L701" t="s">
        <v>73</v>
      </c>
      <c r="M701" t="s">
        <v>33</v>
      </c>
      <c r="N701">
        <v>3.7</v>
      </c>
      <c r="O701" t="s">
        <v>27</v>
      </c>
      <c r="S701" s="3">
        <v>3200</v>
      </c>
      <c r="T701" s="2">
        <v>7089.1484375</v>
      </c>
      <c r="U701" s="2">
        <v>6888.8749306716527</v>
      </c>
      <c r="V701" s="2">
        <v>4438.8303926884328</v>
      </c>
      <c r="W701" s="2">
        <v>6058.81640625</v>
      </c>
      <c r="X701" s="4">
        <f t="shared" si="40"/>
        <v>0.45139413121507233</v>
      </c>
      <c r="Y701" s="4">
        <f t="shared" si="41"/>
        <v>0.46451707023341265</v>
      </c>
      <c r="Z701" s="4">
        <f t="shared" si="42"/>
        <v>0.7209106266531351</v>
      </c>
      <c r="AA701" s="4">
        <f t="shared" si="43"/>
        <v>0.52815596074161042</v>
      </c>
    </row>
    <row r="702" spans="1:27" x14ac:dyDescent="0.3">
      <c r="A702" t="s">
        <v>296</v>
      </c>
      <c r="B702">
        <v>147932</v>
      </c>
      <c r="C702">
        <v>2014</v>
      </c>
      <c r="D702" t="s">
        <v>44</v>
      </c>
      <c r="E702" t="s">
        <v>45</v>
      </c>
      <c r="F702">
        <v>6</v>
      </c>
      <c r="G702" t="s">
        <v>36</v>
      </c>
      <c r="H702">
        <v>4</v>
      </c>
      <c r="I702" t="s">
        <v>23</v>
      </c>
      <c r="J702" t="s">
        <v>46</v>
      </c>
      <c r="K702" t="s">
        <v>27</v>
      </c>
      <c r="L702" t="s">
        <v>38</v>
      </c>
      <c r="M702">
        <v>4</v>
      </c>
      <c r="N702">
        <v>0</v>
      </c>
      <c r="O702" t="s">
        <v>27</v>
      </c>
      <c r="S702" s="3">
        <v>9600</v>
      </c>
      <c r="T702" s="2">
        <v>7461.6572265625</v>
      </c>
      <c r="U702" s="2">
        <v>8174.4247441369262</v>
      </c>
      <c r="V702" s="2">
        <v>16368.215916830421</v>
      </c>
      <c r="W702" s="2">
        <v>9113.044921875</v>
      </c>
      <c r="X702" s="4">
        <f t="shared" si="40"/>
        <v>1.286577459739813</v>
      </c>
      <c r="Y702" s="4">
        <f t="shared" si="41"/>
        <v>1.1743945660378807</v>
      </c>
      <c r="Z702" s="4">
        <f t="shared" si="42"/>
        <v>0.58650252714035356</v>
      </c>
      <c r="AA702" s="4">
        <f t="shared" si="43"/>
        <v>1.0534349476272316</v>
      </c>
    </row>
    <row r="703" spans="1:27" x14ac:dyDescent="0.3">
      <c r="A703" t="s">
        <v>296</v>
      </c>
      <c r="B703">
        <v>78924</v>
      </c>
      <c r="C703">
        <v>2020</v>
      </c>
      <c r="D703" t="s">
        <v>85</v>
      </c>
      <c r="E703" t="s">
        <v>403</v>
      </c>
      <c r="F703">
        <v>6</v>
      </c>
      <c r="G703" t="s">
        <v>36</v>
      </c>
      <c r="H703">
        <v>4</v>
      </c>
      <c r="I703" t="s">
        <v>23</v>
      </c>
      <c r="J703" t="s">
        <v>24</v>
      </c>
      <c r="K703" t="s">
        <v>27</v>
      </c>
      <c r="L703" t="s">
        <v>143</v>
      </c>
      <c r="M703" t="s">
        <v>33</v>
      </c>
      <c r="N703">
        <v>4</v>
      </c>
      <c r="O703" t="s">
        <v>27</v>
      </c>
      <c r="S703" s="3">
        <v>16000</v>
      </c>
      <c r="T703" s="2">
        <v>23536.232421875</v>
      </c>
      <c r="U703" s="2">
        <v>22553.66267167337</v>
      </c>
      <c r="V703" s="2">
        <v>21281.444302423301</v>
      </c>
      <c r="W703" s="2">
        <v>24090.775390625</v>
      </c>
      <c r="X703" s="4">
        <f t="shared" si="40"/>
        <v>0.6798029401311193</v>
      </c>
      <c r="Y703" s="4">
        <f t="shared" si="41"/>
        <v>0.70941914104689763</v>
      </c>
      <c r="Z703" s="4">
        <f t="shared" si="42"/>
        <v>0.75182867161784195</v>
      </c>
      <c r="AA703" s="4">
        <f t="shared" si="43"/>
        <v>0.66415462933693903</v>
      </c>
    </row>
    <row r="704" spans="1:27" x14ac:dyDescent="0.3">
      <c r="A704" t="s">
        <v>296</v>
      </c>
      <c r="B704">
        <v>122225</v>
      </c>
      <c r="C704">
        <v>2016</v>
      </c>
      <c r="D704" t="s">
        <v>20</v>
      </c>
      <c r="E704" t="s">
        <v>404</v>
      </c>
      <c r="F704">
        <v>6</v>
      </c>
      <c r="G704" t="s">
        <v>36</v>
      </c>
      <c r="H704">
        <v>2</v>
      </c>
      <c r="I704" t="s">
        <v>23</v>
      </c>
      <c r="J704" t="s">
        <v>49</v>
      </c>
      <c r="K704" t="s">
        <v>27</v>
      </c>
      <c r="L704" t="s">
        <v>26</v>
      </c>
      <c r="M704" t="s">
        <v>78</v>
      </c>
      <c r="N704">
        <v>3.1</v>
      </c>
      <c r="O704" t="s">
        <v>27</v>
      </c>
      <c r="S704" s="3">
        <v>8800</v>
      </c>
      <c r="T704" s="2">
        <v>10151.6259765625</v>
      </c>
      <c r="U704" s="2">
        <v>9509.4093836850916</v>
      </c>
      <c r="V704" s="2">
        <v>8460.2666625783313</v>
      </c>
      <c r="W704" s="2">
        <v>10230.53515625</v>
      </c>
      <c r="X704" s="4">
        <f t="shared" si="40"/>
        <v>0.86685620809089525</v>
      </c>
      <c r="Y704" s="4">
        <f t="shared" si="41"/>
        <v>0.92539921723191387</v>
      </c>
      <c r="Z704" s="4">
        <f t="shared" si="42"/>
        <v>1.0401563391523325</v>
      </c>
      <c r="AA704" s="4">
        <f t="shared" si="43"/>
        <v>0.86017005616992936</v>
      </c>
    </row>
    <row r="705" spans="1:27" x14ac:dyDescent="0.3">
      <c r="A705" t="s">
        <v>296</v>
      </c>
      <c r="B705">
        <v>147813</v>
      </c>
      <c r="C705">
        <v>2019</v>
      </c>
      <c r="D705" t="s">
        <v>85</v>
      </c>
      <c r="E705" t="s">
        <v>270</v>
      </c>
      <c r="F705">
        <v>4</v>
      </c>
      <c r="G705" t="s">
        <v>30</v>
      </c>
      <c r="H705">
        <v>4</v>
      </c>
      <c r="I705" t="s">
        <v>23</v>
      </c>
      <c r="J705" t="s">
        <v>24</v>
      </c>
      <c r="K705" t="s">
        <v>27</v>
      </c>
      <c r="L705" t="s">
        <v>60</v>
      </c>
      <c r="M705" t="s">
        <v>33</v>
      </c>
      <c r="N705">
        <v>3.9</v>
      </c>
      <c r="O705" t="s">
        <v>27</v>
      </c>
      <c r="S705" s="3">
        <v>6000</v>
      </c>
      <c r="T705" s="2">
        <v>7081.16650390625</v>
      </c>
      <c r="U705" s="2">
        <v>8070.7474098850471</v>
      </c>
      <c r="V705" s="2">
        <v>6441.1858228240571</v>
      </c>
      <c r="W705" s="2">
        <v>7565.93115234375</v>
      </c>
      <c r="X705" s="4">
        <f t="shared" si="40"/>
        <v>0.84731802262948686</v>
      </c>
      <c r="Y705" s="4">
        <f t="shared" si="41"/>
        <v>0.7434255708029226</v>
      </c>
      <c r="Z705" s="4">
        <f t="shared" si="42"/>
        <v>0.93150549682005224</v>
      </c>
      <c r="AA705" s="4">
        <f t="shared" si="43"/>
        <v>0.79302862783007733</v>
      </c>
    </row>
    <row r="706" spans="1:27" x14ac:dyDescent="0.3">
      <c r="A706" t="s">
        <v>296</v>
      </c>
      <c r="B706">
        <v>162229</v>
      </c>
      <c r="C706">
        <v>2006</v>
      </c>
      <c r="D706" t="s">
        <v>20</v>
      </c>
      <c r="E706" t="s">
        <v>151</v>
      </c>
      <c r="F706">
        <v>8</v>
      </c>
      <c r="G706" t="s">
        <v>47</v>
      </c>
      <c r="H706">
        <v>2</v>
      </c>
      <c r="I706" t="s">
        <v>23</v>
      </c>
      <c r="J706" t="s">
        <v>49</v>
      </c>
      <c r="K706" t="s">
        <v>27</v>
      </c>
      <c r="L706" t="s">
        <v>43</v>
      </c>
      <c r="M706">
        <v>4</v>
      </c>
      <c r="N706">
        <v>0</v>
      </c>
      <c r="O706" t="s">
        <v>27</v>
      </c>
      <c r="S706" s="3">
        <v>3800</v>
      </c>
      <c r="T706" s="2">
        <v>3583.76904296875</v>
      </c>
      <c r="U706" s="2">
        <v>3961.6811097174759</v>
      </c>
      <c r="V706" s="2">
        <v>1419.986229631033</v>
      </c>
      <c r="W706" s="2">
        <v>4080.12353515625</v>
      </c>
      <c r="X706" s="4">
        <f t="shared" ref="X706:X769" si="44">S706/T706</f>
        <v>1.0603361864112</v>
      </c>
      <c r="Y706" s="4">
        <f t="shared" ref="Y706:Y769" si="45">S706/U706</f>
        <v>0.95918876223507898</v>
      </c>
      <c r="Z706" s="4">
        <f t="shared" ref="Z706:Z769" si="46">S706/V706</f>
        <v>2.6760822891834564</v>
      </c>
      <c r="AA706" s="4">
        <f t="shared" ref="AA706:AA769" si="47">S706/W706</f>
        <v>0.93134434956623868</v>
      </c>
    </row>
    <row r="707" spans="1:27" x14ac:dyDescent="0.3">
      <c r="A707" t="s">
        <v>296</v>
      </c>
      <c r="B707">
        <v>142051</v>
      </c>
      <c r="C707">
        <v>2017</v>
      </c>
      <c r="D707" t="s">
        <v>44</v>
      </c>
      <c r="E707" t="s">
        <v>405</v>
      </c>
      <c r="F707">
        <v>4</v>
      </c>
      <c r="G707" t="s">
        <v>47</v>
      </c>
      <c r="H707">
        <v>4</v>
      </c>
      <c r="I707" t="s">
        <v>23</v>
      </c>
      <c r="J707" t="s">
        <v>406</v>
      </c>
      <c r="L707" t="s">
        <v>128</v>
      </c>
      <c r="M707" t="s">
        <v>33</v>
      </c>
      <c r="N707">
        <v>3.7</v>
      </c>
      <c r="O707" t="s">
        <v>27</v>
      </c>
      <c r="S707" s="3">
        <v>5500</v>
      </c>
      <c r="T707" s="2">
        <v>8267.30859375</v>
      </c>
      <c r="U707" s="2">
        <v>8437.5611656165365</v>
      </c>
      <c r="V707" s="2">
        <v>6674.5443822328643</v>
      </c>
      <c r="W707" s="2">
        <v>8025.56591796875</v>
      </c>
      <c r="X707" s="4">
        <f t="shared" si="44"/>
        <v>0.66527092071510951</v>
      </c>
      <c r="Y707" s="4">
        <f t="shared" si="45"/>
        <v>0.6518471264436887</v>
      </c>
      <c r="Z707" s="4">
        <f t="shared" si="46"/>
        <v>0.82402628329816585</v>
      </c>
      <c r="AA707" s="4">
        <f t="shared" si="47"/>
        <v>0.68530992782525624</v>
      </c>
    </row>
    <row r="708" spans="1:27" x14ac:dyDescent="0.3">
      <c r="A708" t="s">
        <v>296</v>
      </c>
      <c r="B708">
        <v>191318</v>
      </c>
      <c r="C708">
        <v>2004</v>
      </c>
      <c r="D708" t="s">
        <v>103</v>
      </c>
      <c r="E708" t="s">
        <v>407</v>
      </c>
      <c r="F708">
        <v>6</v>
      </c>
      <c r="G708" t="s">
        <v>30</v>
      </c>
      <c r="H708">
        <v>4</v>
      </c>
      <c r="I708" t="s">
        <v>23</v>
      </c>
      <c r="J708" t="s">
        <v>31</v>
      </c>
      <c r="L708" t="s">
        <v>53</v>
      </c>
      <c r="M708" t="s">
        <v>33</v>
      </c>
      <c r="N708">
        <v>0</v>
      </c>
      <c r="O708" t="s">
        <v>27</v>
      </c>
      <c r="S708" s="3">
        <v>300</v>
      </c>
      <c r="T708" s="2">
        <v>2494.4306640625</v>
      </c>
      <c r="U708" s="2">
        <v>2482.2740956761518</v>
      </c>
      <c r="V708" s="2">
        <v>995.14211051200255</v>
      </c>
      <c r="W708" s="2">
        <v>1941.954223632812</v>
      </c>
      <c r="X708" s="4">
        <f t="shared" si="44"/>
        <v>0.12026792499071173</v>
      </c>
      <c r="Y708" s="4">
        <f t="shared" si="45"/>
        <v>0.12085691927517875</v>
      </c>
      <c r="Z708" s="4">
        <f t="shared" si="46"/>
        <v>0.301464481133905</v>
      </c>
      <c r="AA708" s="4">
        <f t="shared" si="47"/>
        <v>0.15448355906082598</v>
      </c>
    </row>
    <row r="709" spans="1:27" x14ac:dyDescent="0.3">
      <c r="A709" t="s">
        <v>296</v>
      </c>
      <c r="B709">
        <v>152226</v>
      </c>
      <c r="C709">
        <v>2010</v>
      </c>
      <c r="D709" t="s">
        <v>44</v>
      </c>
      <c r="E709" t="s">
        <v>45</v>
      </c>
      <c r="F709">
        <v>8</v>
      </c>
      <c r="G709" t="s">
        <v>66</v>
      </c>
      <c r="H709">
        <v>4</v>
      </c>
      <c r="I709" t="s">
        <v>23</v>
      </c>
      <c r="J709" t="s">
        <v>42</v>
      </c>
      <c r="L709" t="s">
        <v>311</v>
      </c>
      <c r="M709">
        <v>4</v>
      </c>
      <c r="N709">
        <v>0</v>
      </c>
      <c r="O709" t="s">
        <v>27</v>
      </c>
      <c r="S709" s="3">
        <v>6400</v>
      </c>
      <c r="T709" s="2">
        <v>6852.6728515625</v>
      </c>
      <c r="U709" s="2">
        <v>13135.21250172516</v>
      </c>
      <c r="V709" s="2">
        <v>4740.2683628283912</v>
      </c>
      <c r="W709" s="2">
        <v>6691.8251953125</v>
      </c>
      <c r="X709" s="4">
        <f t="shared" si="44"/>
        <v>0.93394214763086425</v>
      </c>
      <c r="Y709" s="4">
        <f t="shared" si="45"/>
        <v>0.48723992848683895</v>
      </c>
      <c r="Z709" s="4">
        <f t="shared" si="46"/>
        <v>1.3501345303963532</v>
      </c>
      <c r="AA709" s="4">
        <f t="shared" si="47"/>
        <v>0.95639079222856593</v>
      </c>
    </row>
    <row r="710" spans="1:27" x14ac:dyDescent="0.3">
      <c r="A710" t="s">
        <v>296</v>
      </c>
      <c r="B710">
        <v>102500</v>
      </c>
      <c r="C710">
        <v>2017</v>
      </c>
      <c r="D710" t="s">
        <v>20</v>
      </c>
      <c r="E710" t="s">
        <v>151</v>
      </c>
      <c r="F710">
        <v>8</v>
      </c>
      <c r="G710" t="s">
        <v>47</v>
      </c>
      <c r="H710">
        <v>4</v>
      </c>
      <c r="I710" t="s">
        <v>23</v>
      </c>
      <c r="J710" t="s">
        <v>42</v>
      </c>
      <c r="K710" t="s">
        <v>27</v>
      </c>
      <c r="L710" t="s">
        <v>43</v>
      </c>
      <c r="M710" t="s">
        <v>78</v>
      </c>
      <c r="N710">
        <v>0</v>
      </c>
      <c r="O710" t="s">
        <v>27</v>
      </c>
      <c r="S710" s="3">
        <v>22000</v>
      </c>
      <c r="T710" s="2">
        <v>20788.931640625</v>
      </c>
      <c r="U710" s="2">
        <v>19208.475804709331</v>
      </c>
      <c r="V710" s="2">
        <v>18673.189935564769</v>
      </c>
      <c r="W710" s="2">
        <v>22304.224609375</v>
      </c>
      <c r="X710" s="4">
        <f t="shared" si="44"/>
        <v>1.0582554399769333</v>
      </c>
      <c r="Y710" s="4">
        <f t="shared" si="45"/>
        <v>1.145327730511875</v>
      </c>
      <c r="Z710" s="4">
        <f t="shared" si="46"/>
        <v>1.1781597078975254</v>
      </c>
      <c r="AA710" s="4">
        <f t="shared" si="47"/>
        <v>0.98636022481377239</v>
      </c>
    </row>
    <row r="711" spans="1:27" x14ac:dyDescent="0.3">
      <c r="A711" t="s">
        <v>296</v>
      </c>
      <c r="B711">
        <v>112943</v>
      </c>
      <c r="C711">
        <v>2018</v>
      </c>
      <c r="D711" t="s">
        <v>44</v>
      </c>
      <c r="E711" t="s">
        <v>408</v>
      </c>
      <c r="F711">
        <v>6</v>
      </c>
      <c r="G711" t="s">
        <v>22</v>
      </c>
      <c r="H711">
        <v>4</v>
      </c>
      <c r="I711" t="s">
        <v>23</v>
      </c>
      <c r="J711" t="s">
        <v>62</v>
      </c>
      <c r="K711" t="s">
        <v>27</v>
      </c>
      <c r="L711" t="s">
        <v>38</v>
      </c>
      <c r="M711" t="s">
        <v>78</v>
      </c>
      <c r="N711">
        <v>0</v>
      </c>
      <c r="O711" t="s">
        <v>27</v>
      </c>
      <c r="S711" s="3">
        <v>14500</v>
      </c>
      <c r="T711" s="2">
        <v>15430.453125</v>
      </c>
      <c r="U711" s="2">
        <v>14358.84421320004</v>
      </c>
      <c r="V711" s="2">
        <v>15749.99164199784</v>
      </c>
      <c r="W711" s="2">
        <v>14824.0078125</v>
      </c>
      <c r="X711" s="4">
        <f t="shared" si="44"/>
        <v>0.93970020728085391</v>
      </c>
      <c r="Y711" s="4">
        <f t="shared" si="45"/>
        <v>1.0098305813966695</v>
      </c>
      <c r="Z711" s="4">
        <f t="shared" si="46"/>
        <v>0.92063540918557074</v>
      </c>
      <c r="AA711" s="4">
        <f t="shared" si="47"/>
        <v>0.9781430355003734</v>
      </c>
    </row>
    <row r="712" spans="1:27" x14ac:dyDescent="0.3">
      <c r="A712" t="s">
        <v>296</v>
      </c>
      <c r="B712">
        <v>94183</v>
      </c>
      <c r="C712">
        <v>2017</v>
      </c>
      <c r="D712" t="s">
        <v>20</v>
      </c>
      <c r="E712" t="s">
        <v>151</v>
      </c>
      <c r="F712">
        <v>8</v>
      </c>
      <c r="G712" t="s">
        <v>22</v>
      </c>
      <c r="H712">
        <v>4</v>
      </c>
      <c r="I712" t="s">
        <v>23</v>
      </c>
      <c r="J712" t="s">
        <v>42</v>
      </c>
      <c r="K712" t="s">
        <v>27</v>
      </c>
      <c r="L712" t="s">
        <v>166</v>
      </c>
      <c r="M712">
        <v>4</v>
      </c>
      <c r="N712">
        <v>0</v>
      </c>
      <c r="O712" t="s">
        <v>27</v>
      </c>
      <c r="S712" s="3">
        <v>25000</v>
      </c>
      <c r="T712" s="2">
        <v>22154.107421875</v>
      </c>
      <c r="U712" s="2">
        <v>20735.28771209453</v>
      </c>
      <c r="V712" s="2">
        <v>25168.52377136096</v>
      </c>
      <c r="W712" s="2">
        <v>21445.404296875</v>
      </c>
      <c r="X712" s="4">
        <f t="shared" si="44"/>
        <v>1.1284589139129551</v>
      </c>
      <c r="Y712" s="4">
        <f t="shared" si="45"/>
        <v>1.2056741313224189</v>
      </c>
      <c r="Z712" s="4">
        <f t="shared" si="46"/>
        <v>0.99330418530336206</v>
      </c>
      <c r="AA712" s="4">
        <f t="shared" si="47"/>
        <v>1.1657509298457465</v>
      </c>
    </row>
    <row r="713" spans="1:27" x14ac:dyDescent="0.3">
      <c r="A713" t="s">
        <v>296</v>
      </c>
      <c r="B713">
        <v>109401</v>
      </c>
      <c r="C713">
        <v>2017</v>
      </c>
      <c r="D713" t="s">
        <v>103</v>
      </c>
      <c r="E713" t="s">
        <v>356</v>
      </c>
      <c r="F713">
        <v>6</v>
      </c>
      <c r="G713" t="s">
        <v>47</v>
      </c>
      <c r="H713">
        <v>4</v>
      </c>
      <c r="I713" t="s">
        <v>23</v>
      </c>
      <c r="J713" t="s">
        <v>24</v>
      </c>
      <c r="K713" t="s">
        <v>27</v>
      </c>
      <c r="L713" t="s">
        <v>53</v>
      </c>
      <c r="M713" t="s">
        <v>33</v>
      </c>
      <c r="N713">
        <v>0</v>
      </c>
      <c r="O713" t="s">
        <v>27</v>
      </c>
      <c r="S713" s="3">
        <v>7200</v>
      </c>
      <c r="T713" s="2">
        <v>9262.4658203125</v>
      </c>
      <c r="U713" s="2">
        <v>10155.50812486179</v>
      </c>
      <c r="V713" s="2">
        <v>8475.0157725249737</v>
      </c>
      <c r="W713" s="2">
        <v>9874.6484375</v>
      </c>
      <c r="X713" s="4">
        <f t="shared" si="44"/>
        <v>0.77733080366250507</v>
      </c>
      <c r="Y713" s="4">
        <f t="shared" si="45"/>
        <v>0.70897486481977356</v>
      </c>
      <c r="Z713" s="4">
        <f t="shared" si="46"/>
        <v>0.84955594104515675</v>
      </c>
      <c r="AA713" s="4">
        <f t="shared" si="47"/>
        <v>0.72913988235340654</v>
      </c>
    </row>
    <row r="714" spans="1:27" x14ac:dyDescent="0.3">
      <c r="A714" t="s">
        <v>296</v>
      </c>
      <c r="B714">
        <v>84996</v>
      </c>
      <c r="C714">
        <v>2022</v>
      </c>
      <c r="D714" t="s">
        <v>44</v>
      </c>
      <c r="E714" t="s">
        <v>267</v>
      </c>
      <c r="F714">
        <v>8</v>
      </c>
      <c r="G714" t="s">
        <v>66</v>
      </c>
      <c r="H714">
        <v>4</v>
      </c>
      <c r="I714" t="s">
        <v>23</v>
      </c>
      <c r="J714" t="s">
        <v>46</v>
      </c>
      <c r="K714" t="s">
        <v>27</v>
      </c>
      <c r="L714" t="s">
        <v>409</v>
      </c>
      <c r="M714">
        <v>4</v>
      </c>
      <c r="N714">
        <v>0</v>
      </c>
      <c r="O714" t="s">
        <v>27</v>
      </c>
      <c r="S714" s="3">
        <v>44000</v>
      </c>
      <c r="T714" s="2">
        <v>56660.609375</v>
      </c>
      <c r="U714" s="2">
        <v>51708.854408437473</v>
      </c>
      <c r="V714" s="2">
        <v>47206.265106605162</v>
      </c>
      <c r="W714" s="2">
        <v>48631.30859375</v>
      </c>
      <c r="X714" s="4">
        <f t="shared" si="44"/>
        <v>0.77655359667582113</v>
      </c>
      <c r="Y714" s="4">
        <f t="shared" si="45"/>
        <v>0.8509180971686815</v>
      </c>
      <c r="Z714" s="4">
        <f t="shared" si="46"/>
        <v>0.93207966994710334</v>
      </c>
      <c r="AA714" s="4">
        <f t="shared" si="47"/>
        <v>0.90476693455982371</v>
      </c>
    </row>
    <row r="715" spans="1:27" x14ac:dyDescent="0.3">
      <c r="A715" t="s">
        <v>296</v>
      </c>
      <c r="B715">
        <v>149658</v>
      </c>
      <c r="C715">
        <v>2015</v>
      </c>
      <c r="D715" t="s">
        <v>20</v>
      </c>
      <c r="E715" t="s">
        <v>410</v>
      </c>
      <c r="F715">
        <v>8</v>
      </c>
      <c r="G715" t="s">
        <v>30</v>
      </c>
      <c r="H715">
        <v>4</v>
      </c>
      <c r="I715" t="s">
        <v>23</v>
      </c>
      <c r="J715" t="s">
        <v>42</v>
      </c>
      <c r="K715" t="s">
        <v>27</v>
      </c>
      <c r="L715" t="s">
        <v>80</v>
      </c>
      <c r="M715">
        <v>4</v>
      </c>
      <c r="N715">
        <v>0</v>
      </c>
      <c r="O715" t="s">
        <v>27</v>
      </c>
      <c r="S715" s="3">
        <v>14400</v>
      </c>
      <c r="T715" s="2">
        <v>16156.23828125</v>
      </c>
      <c r="U715" s="2">
        <v>20203.433527034511</v>
      </c>
      <c r="V715" s="2">
        <v>24522.37407000866</v>
      </c>
      <c r="W715" s="2">
        <v>21561.12109375</v>
      </c>
      <c r="X715" s="4">
        <f t="shared" si="44"/>
        <v>0.89129658459616867</v>
      </c>
      <c r="Y715" s="4">
        <f t="shared" si="45"/>
        <v>0.71275013629396944</v>
      </c>
      <c r="Z715" s="4">
        <f t="shared" si="46"/>
        <v>0.58721883773934758</v>
      </c>
      <c r="AA715" s="4">
        <f t="shared" si="47"/>
        <v>0.66786879668210664</v>
      </c>
    </row>
    <row r="716" spans="1:27" x14ac:dyDescent="0.3">
      <c r="A716" t="s">
        <v>296</v>
      </c>
      <c r="B716">
        <v>111950</v>
      </c>
      <c r="C716">
        <v>2017</v>
      </c>
      <c r="D716" t="s">
        <v>44</v>
      </c>
      <c r="E716" t="s">
        <v>68</v>
      </c>
      <c r="F716">
        <v>6</v>
      </c>
      <c r="G716" t="s">
        <v>22</v>
      </c>
      <c r="H716">
        <v>4</v>
      </c>
      <c r="I716" t="s">
        <v>23</v>
      </c>
      <c r="J716" t="s">
        <v>62</v>
      </c>
      <c r="K716" t="s">
        <v>27</v>
      </c>
      <c r="L716" t="s">
        <v>38</v>
      </c>
      <c r="M716" t="s">
        <v>33</v>
      </c>
      <c r="N716">
        <v>0</v>
      </c>
      <c r="O716" t="s">
        <v>27</v>
      </c>
      <c r="S716" s="3">
        <v>8750</v>
      </c>
      <c r="T716" s="2">
        <v>9822.7060546875</v>
      </c>
      <c r="U716" s="2">
        <v>10929.85993557771</v>
      </c>
      <c r="V716" s="2">
        <v>9034.5237300816443</v>
      </c>
      <c r="W716" s="2">
        <v>11154.501953125</v>
      </c>
      <c r="X716" s="4">
        <f t="shared" si="44"/>
        <v>0.89079322452333864</v>
      </c>
      <c r="Y716" s="4">
        <f t="shared" si="45"/>
        <v>0.80055920675780456</v>
      </c>
      <c r="Z716" s="4">
        <f t="shared" si="46"/>
        <v>0.96850705819341809</v>
      </c>
      <c r="AA716" s="4">
        <f t="shared" si="47"/>
        <v>0.78443663704309408</v>
      </c>
    </row>
    <row r="717" spans="1:27" x14ac:dyDescent="0.3">
      <c r="A717" t="s">
        <v>296</v>
      </c>
      <c r="B717">
        <v>100617</v>
      </c>
      <c r="C717">
        <v>2015</v>
      </c>
      <c r="D717" t="s">
        <v>54</v>
      </c>
      <c r="E717" t="s">
        <v>219</v>
      </c>
      <c r="F717">
        <v>6</v>
      </c>
      <c r="G717" t="s">
        <v>36</v>
      </c>
      <c r="H717">
        <v>4</v>
      </c>
      <c r="I717" t="s">
        <v>23</v>
      </c>
      <c r="J717" t="s">
        <v>24</v>
      </c>
      <c r="K717" t="s">
        <v>27</v>
      </c>
      <c r="L717" t="s">
        <v>26</v>
      </c>
      <c r="M717">
        <v>4</v>
      </c>
      <c r="N717">
        <v>0</v>
      </c>
      <c r="O717" t="s">
        <v>27</v>
      </c>
      <c r="S717" s="3">
        <v>10500</v>
      </c>
      <c r="T717" s="2">
        <v>10753.7353515625</v>
      </c>
      <c r="U717" s="2">
        <v>11956.159935341389</v>
      </c>
      <c r="V717" s="2">
        <v>12310.034527671411</v>
      </c>
      <c r="W717" s="2">
        <v>10661.634765625</v>
      </c>
      <c r="X717" s="4">
        <f t="shared" si="44"/>
        <v>0.97640491017610609</v>
      </c>
      <c r="Y717" s="4">
        <f t="shared" si="45"/>
        <v>0.87820839272673956</v>
      </c>
      <c r="Z717" s="4">
        <f t="shared" si="46"/>
        <v>0.85296267661941316</v>
      </c>
      <c r="AA717" s="4">
        <f t="shared" si="47"/>
        <v>0.98483958893938672</v>
      </c>
    </row>
    <row r="718" spans="1:27" x14ac:dyDescent="0.3">
      <c r="A718" t="s">
        <v>296</v>
      </c>
      <c r="B718">
        <v>174539</v>
      </c>
      <c r="C718">
        <v>2015</v>
      </c>
      <c r="D718" t="s">
        <v>103</v>
      </c>
      <c r="E718" t="s">
        <v>189</v>
      </c>
      <c r="F718">
        <v>6</v>
      </c>
      <c r="G718" t="s">
        <v>22</v>
      </c>
      <c r="H718">
        <v>4</v>
      </c>
      <c r="I718" t="s">
        <v>23</v>
      </c>
      <c r="J718" t="s">
        <v>31</v>
      </c>
      <c r="K718" t="s">
        <v>27</v>
      </c>
      <c r="L718" t="s">
        <v>57</v>
      </c>
      <c r="M718" t="s">
        <v>78</v>
      </c>
      <c r="N718">
        <v>0</v>
      </c>
      <c r="O718" t="s">
        <v>27</v>
      </c>
      <c r="S718" s="3">
        <v>2000</v>
      </c>
      <c r="T718" s="2">
        <v>5215.10107421875</v>
      </c>
      <c r="U718" s="2">
        <v>4571.634909563566</v>
      </c>
      <c r="V718" s="2">
        <v>4938.146661469983</v>
      </c>
      <c r="W718" s="2">
        <v>5423.6533203125</v>
      </c>
      <c r="X718" s="4">
        <f t="shared" si="44"/>
        <v>0.38350167552593611</v>
      </c>
      <c r="Y718" s="4">
        <f t="shared" si="45"/>
        <v>0.43748025368695315</v>
      </c>
      <c r="Z718" s="4">
        <f t="shared" si="46"/>
        <v>0.40501024718545758</v>
      </c>
      <c r="AA718" s="4">
        <f t="shared" si="47"/>
        <v>0.36875513272754018</v>
      </c>
    </row>
    <row r="719" spans="1:27" x14ac:dyDescent="0.3">
      <c r="A719" t="s">
        <v>296</v>
      </c>
      <c r="B719">
        <v>110868</v>
      </c>
      <c r="C719">
        <v>2016</v>
      </c>
      <c r="D719" t="s">
        <v>141</v>
      </c>
      <c r="E719" t="s">
        <v>215</v>
      </c>
      <c r="F719">
        <v>6</v>
      </c>
      <c r="G719" t="s">
        <v>30</v>
      </c>
      <c r="H719">
        <v>4</v>
      </c>
      <c r="I719" t="s">
        <v>23</v>
      </c>
      <c r="J719" t="s">
        <v>31</v>
      </c>
      <c r="K719" t="s">
        <v>27</v>
      </c>
      <c r="L719" t="s">
        <v>26</v>
      </c>
      <c r="M719" t="s">
        <v>78</v>
      </c>
      <c r="N719">
        <v>0</v>
      </c>
      <c r="O719" t="s">
        <v>27</v>
      </c>
      <c r="S719" s="3">
        <v>8200</v>
      </c>
      <c r="T719" s="2">
        <v>10276.8740234375</v>
      </c>
      <c r="U719" s="2">
        <v>9584.7174088531083</v>
      </c>
      <c r="V719" s="2">
        <v>9395.3313897659427</v>
      </c>
      <c r="W719" s="2">
        <v>9212.99609375</v>
      </c>
      <c r="X719" s="4">
        <f t="shared" si="44"/>
        <v>0.79790800016610408</v>
      </c>
      <c r="Y719" s="4">
        <f t="shared" si="45"/>
        <v>0.8555286139605861</v>
      </c>
      <c r="Z719" s="4">
        <f t="shared" si="46"/>
        <v>0.87277389799491456</v>
      </c>
      <c r="AA719" s="4">
        <f t="shared" si="47"/>
        <v>0.89004705055316302</v>
      </c>
    </row>
    <row r="720" spans="1:27" x14ac:dyDescent="0.3">
      <c r="A720" t="s">
        <v>296</v>
      </c>
      <c r="B720">
        <v>167009</v>
      </c>
      <c r="C720">
        <v>2017</v>
      </c>
      <c r="D720" t="s">
        <v>44</v>
      </c>
      <c r="E720" t="s">
        <v>267</v>
      </c>
      <c r="F720">
        <v>8</v>
      </c>
      <c r="G720" t="s">
        <v>66</v>
      </c>
      <c r="H720">
        <v>4</v>
      </c>
      <c r="I720" t="s">
        <v>23</v>
      </c>
      <c r="J720" t="s">
        <v>46</v>
      </c>
      <c r="K720" t="s">
        <v>27</v>
      </c>
      <c r="L720" t="s">
        <v>140</v>
      </c>
      <c r="M720">
        <v>4</v>
      </c>
      <c r="N720">
        <v>0</v>
      </c>
      <c r="O720" t="s">
        <v>27</v>
      </c>
      <c r="S720" s="3">
        <v>34200</v>
      </c>
      <c r="T720" s="2">
        <v>20731.900390625</v>
      </c>
      <c r="U720" s="2">
        <v>25014.335929018151</v>
      </c>
      <c r="V720" s="2">
        <v>23916.099264108841</v>
      </c>
      <c r="W720" s="2">
        <v>18474.078125</v>
      </c>
      <c r="X720" s="4">
        <f t="shared" si="44"/>
        <v>1.6496316958702588</v>
      </c>
      <c r="Y720" s="4">
        <f t="shared" si="45"/>
        <v>1.3672159875460024</v>
      </c>
      <c r="Z720" s="4">
        <f t="shared" si="46"/>
        <v>1.4299990823053792</v>
      </c>
      <c r="AA720" s="4">
        <f t="shared" si="47"/>
        <v>1.8512425772260288</v>
      </c>
    </row>
    <row r="721" spans="1:27" x14ac:dyDescent="0.3">
      <c r="A721" t="s">
        <v>296</v>
      </c>
      <c r="B721">
        <v>131055</v>
      </c>
      <c r="C721">
        <v>2015</v>
      </c>
      <c r="D721" t="s">
        <v>100</v>
      </c>
      <c r="E721" t="s">
        <v>101</v>
      </c>
      <c r="F721">
        <v>4</v>
      </c>
      <c r="G721" t="s">
        <v>47</v>
      </c>
      <c r="H721">
        <v>4</v>
      </c>
      <c r="I721" t="s">
        <v>23</v>
      </c>
      <c r="J721" t="s">
        <v>31</v>
      </c>
      <c r="K721" t="s">
        <v>27</v>
      </c>
      <c r="L721" t="s">
        <v>102</v>
      </c>
      <c r="M721" t="s">
        <v>33</v>
      </c>
      <c r="N721">
        <v>0</v>
      </c>
      <c r="O721" t="s">
        <v>27</v>
      </c>
      <c r="S721" s="3">
        <v>1500</v>
      </c>
      <c r="T721" s="2">
        <v>3983.40234375</v>
      </c>
      <c r="U721" s="2">
        <v>4692.5291056322994</v>
      </c>
      <c r="V721" s="2">
        <v>6587.7351611281674</v>
      </c>
      <c r="W721" s="2">
        <v>4357.1806640625</v>
      </c>
      <c r="X721" s="4">
        <f t="shared" si="44"/>
        <v>0.37656251379013111</v>
      </c>
      <c r="Y721" s="4">
        <f t="shared" si="45"/>
        <v>0.3196570476674499</v>
      </c>
      <c r="Z721" s="4">
        <f t="shared" si="46"/>
        <v>0.22769585651392837</v>
      </c>
      <c r="AA721" s="4">
        <f t="shared" si="47"/>
        <v>0.34425930794465764</v>
      </c>
    </row>
    <row r="722" spans="1:27" x14ac:dyDescent="0.3">
      <c r="A722" t="s">
        <v>296</v>
      </c>
      <c r="B722">
        <v>132566</v>
      </c>
      <c r="C722">
        <v>2017</v>
      </c>
      <c r="D722" t="s">
        <v>34</v>
      </c>
      <c r="E722" t="s">
        <v>317</v>
      </c>
      <c r="F722">
        <v>6</v>
      </c>
      <c r="G722" t="s">
        <v>66</v>
      </c>
      <c r="H722">
        <v>4</v>
      </c>
      <c r="I722" t="s">
        <v>23</v>
      </c>
      <c r="J722" t="s">
        <v>152</v>
      </c>
      <c r="K722" t="s">
        <v>27</v>
      </c>
      <c r="L722" t="s">
        <v>38</v>
      </c>
      <c r="M722">
        <v>4</v>
      </c>
      <c r="N722">
        <v>0</v>
      </c>
      <c r="O722" t="s">
        <v>27</v>
      </c>
      <c r="S722" s="3">
        <v>23000</v>
      </c>
      <c r="T722" s="2">
        <v>13052.5810546875</v>
      </c>
      <c r="U722" s="2">
        <v>13859.71742613298</v>
      </c>
      <c r="V722" s="2">
        <v>15728.650496251419</v>
      </c>
      <c r="W722" s="2">
        <v>14338.5166015625</v>
      </c>
      <c r="X722" s="4">
        <f t="shared" si="44"/>
        <v>1.7621035949621733</v>
      </c>
      <c r="Y722" s="4">
        <f t="shared" si="45"/>
        <v>1.6594854925853466</v>
      </c>
      <c r="Z722" s="4">
        <f t="shared" si="46"/>
        <v>1.4622996426477624</v>
      </c>
      <c r="AA722" s="4">
        <f t="shared" si="47"/>
        <v>1.6040710932045537</v>
      </c>
    </row>
    <row r="723" spans="1:27" x14ac:dyDescent="0.3">
      <c r="A723" t="s">
        <v>296</v>
      </c>
      <c r="B723">
        <v>180471</v>
      </c>
      <c r="C723">
        <v>2011</v>
      </c>
      <c r="D723" t="s">
        <v>44</v>
      </c>
      <c r="E723" t="s">
        <v>45</v>
      </c>
      <c r="F723">
        <v>8</v>
      </c>
      <c r="G723" t="s">
        <v>36</v>
      </c>
      <c r="H723">
        <v>4</v>
      </c>
      <c r="I723" t="s">
        <v>23</v>
      </c>
      <c r="J723" t="s">
        <v>46</v>
      </c>
      <c r="K723" t="s">
        <v>27</v>
      </c>
      <c r="L723" t="s">
        <v>48</v>
      </c>
      <c r="M723">
        <v>4</v>
      </c>
      <c r="N723">
        <v>0</v>
      </c>
      <c r="O723" t="s">
        <v>27</v>
      </c>
      <c r="S723" s="3">
        <v>6500</v>
      </c>
      <c r="T723" s="2">
        <v>4792.27099609375</v>
      </c>
      <c r="U723" s="2">
        <v>12175.13827337124</v>
      </c>
      <c r="V723" s="2">
        <v>2351.153774417684</v>
      </c>
      <c r="W723" s="2">
        <v>5748.19580078125</v>
      </c>
      <c r="X723" s="4">
        <f t="shared" si="44"/>
        <v>1.3563506749301626</v>
      </c>
      <c r="Y723" s="4">
        <f t="shared" si="45"/>
        <v>0.53387484019104947</v>
      </c>
      <c r="Z723" s="4">
        <f t="shared" si="46"/>
        <v>2.7646001170680004</v>
      </c>
      <c r="AA723" s="4">
        <f t="shared" si="47"/>
        <v>1.1307895947310234</v>
      </c>
    </row>
    <row r="724" spans="1:27" x14ac:dyDescent="0.3">
      <c r="A724" t="s">
        <v>296</v>
      </c>
      <c r="B724">
        <v>149815</v>
      </c>
      <c r="C724">
        <v>2020</v>
      </c>
      <c r="D724" t="s">
        <v>81</v>
      </c>
      <c r="E724" t="s">
        <v>278</v>
      </c>
      <c r="F724">
        <v>6</v>
      </c>
      <c r="G724" t="s">
        <v>22</v>
      </c>
      <c r="H724">
        <v>4</v>
      </c>
      <c r="I724" t="s">
        <v>23</v>
      </c>
      <c r="J724" t="s">
        <v>24</v>
      </c>
      <c r="L724" t="s">
        <v>26</v>
      </c>
      <c r="M724" t="s">
        <v>78</v>
      </c>
      <c r="N724">
        <v>0</v>
      </c>
      <c r="O724" t="s">
        <v>27</v>
      </c>
      <c r="S724" s="3">
        <v>10250</v>
      </c>
      <c r="T724" s="2">
        <v>13258.7783203125</v>
      </c>
      <c r="U724" s="2">
        <v>14525.087744928131</v>
      </c>
      <c r="V724" s="2">
        <v>13049.381370344439</v>
      </c>
      <c r="W724" s="2">
        <v>14951.98046875</v>
      </c>
      <c r="X724" s="4">
        <f t="shared" si="44"/>
        <v>0.77307273357885165</v>
      </c>
      <c r="Y724" s="4">
        <f t="shared" si="45"/>
        <v>0.70567559934907065</v>
      </c>
      <c r="Z724" s="4">
        <f t="shared" si="46"/>
        <v>0.78547784826748845</v>
      </c>
      <c r="AA724" s="4">
        <f t="shared" si="47"/>
        <v>0.68552791527669177</v>
      </c>
    </row>
    <row r="725" spans="1:27" x14ac:dyDescent="0.3">
      <c r="A725" t="s">
        <v>296</v>
      </c>
      <c r="B725">
        <v>163122</v>
      </c>
      <c r="C725">
        <v>2011</v>
      </c>
      <c r="D725" t="s">
        <v>187</v>
      </c>
      <c r="E725" t="s">
        <v>411</v>
      </c>
      <c r="F725">
        <v>4</v>
      </c>
      <c r="G725" t="s">
        <v>47</v>
      </c>
      <c r="H725">
        <v>4</v>
      </c>
      <c r="I725" t="s">
        <v>23</v>
      </c>
      <c r="J725" t="s">
        <v>52</v>
      </c>
      <c r="K725" t="s">
        <v>27</v>
      </c>
      <c r="L725" t="s">
        <v>102</v>
      </c>
      <c r="M725" t="s">
        <v>23</v>
      </c>
      <c r="N725">
        <v>0</v>
      </c>
      <c r="O725" t="s">
        <v>27</v>
      </c>
      <c r="S725" s="3">
        <v>2000</v>
      </c>
      <c r="T725" s="2">
        <v>3258.5888671875</v>
      </c>
      <c r="U725" s="2">
        <v>2522.5106177061102</v>
      </c>
      <c r="V725" s="2">
        <v>3361.8558032879032</v>
      </c>
      <c r="W725" s="2">
        <v>2885.060302734375</v>
      </c>
      <c r="X725" s="4">
        <f t="shared" si="44"/>
        <v>0.6137626075320779</v>
      </c>
      <c r="Y725" s="4">
        <f t="shared" si="45"/>
        <v>0.79286088469222593</v>
      </c>
      <c r="Z725" s="4">
        <f t="shared" si="46"/>
        <v>0.59490951338364817</v>
      </c>
      <c r="AA725" s="4">
        <f t="shared" si="47"/>
        <v>0.69322641128313989</v>
      </c>
    </row>
    <row r="726" spans="1:27" x14ac:dyDescent="0.3">
      <c r="A726" t="s">
        <v>296</v>
      </c>
      <c r="B726">
        <v>112151</v>
      </c>
      <c r="C726">
        <v>2021</v>
      </c>
      <c r="D726" t="s">
        <v>54</v>
      </c>
      <c r="E726" t="s">
        <v>206</v>
      </c>
      <c r="F726">
        <v>4</v>
      </c>
      <c r="G726" t="s">
        <v>47</v>
      </c>
      <c r="H726">
        <v>4</v>
      </c>
      <c r="I726" t="s">
        <v>23</v>
      </c>
      <c r="J726" t="s">
        <v>24</v>
      </c>
      <c r="K726" t="s">
        <v>27</v>
      </c>
      <c r="L726" t="s">
        <v>127</v>
      </c>
      <c r="M726">
        <v>4</v>
      </c>
      <c r="N726">
        <v>0</v>
      </c>
      <c r="O726" t="s">
        <v>27</v>
      </c>
      <c r="S726" s="3">
        <v>13500</v>
      </c>
      <c r="T726" s="2">
        <v>19143.802734375</v>
      </c>
      <c r="U726" s="2">
        <v>19609.02346063681</v>
      </c>
      <c r="V726" s="2">
        <v>24066.933284687049</v>
      </c>
      <c r="W726" s="2">
        <v>18559.6953125</v>
      </c>
      <c r="X726" s="4">
        <f t="shared" si="44"/>
        <v>0.70518904667561821</v>
      </c>
      <c r="Y726" s="4">
        <f t="shared" si="45"/>
        <v>0.68845855720964</v>
      </c>
      <c r="Z726" s="4">
        <f t="shared" si="46"/>
        <v>0.56093561403561043</v>
      </c>
      <c r="AA726" s="4">
        <f t="shared" si="47"/>
        <v>0.72738263062474506</v>
      </c>
    </row>
    <row r="727" spans="1:27" x14ac:dyDescent="0.3">
      <c r="A727" t="s">
        <v>296</v>
      </c>
      <c r="B727">
        <v>175953</v>
      </c>
      <c r="C727">
        <v>2019</v>
      </c>
      <c r="D727" t="s">
        <v>44</v>
      </c>
      <c r="E727" t="s">
        <v>267</v>
      </c>
      <c r="F727">
        <v>8</v>
      </c>
      <c r="G727" t="s">
        <v>47</v>
      </c>
      <c r="H727">
        <v>4</v>
      </c>
      <c r="I727" t="s">
        <v>23</v>
      </c>
      <c r="J727" t="s">
        <v>46</v>
      </c>
      <c r="K727" t="s">
        <v>27</v>
      </c>
      <c r="L727" t="s">
        <v>313</v>
      </c>
      <c r="M727">
        <v>4</v>
      </c>
      <c r="N727">
        <v>0</v>
      </c>
      <c r="O727" t="s">
        <v>27</v>
      </c>
      <c r="S727" s="3">
        <v>13750</v>
      </c>
      <c r="T727" s="2">
        <v>13641.6923828125</v>
      </c>
      <c r="U727" s="2">
        <v>24835.020314275509</v>
      </c>
      <c r="V727" s="2">
        <v>23890.48647338204</v>
      </c>
      <c r="W727" s="2">
        <v>19554.009765625</v>
      </c>
      <c r="X727" s="4">
        <f t="shared" si="44"/>
        <v>1.0079394560548778</v>
      </c>
      <c r="Y727" s="4">
        <f t="shared" si="45"/>
        <v>0.55365366430146679</v>
      </c>
      <c r="Z727" s="4">
        <f t="shared" si="46"/>
        <v>0.57554290555446741</v>
      </c>
      <c r="AA727" s="4">
        <f t="shared" si="47"/>
        <v>0.70318058366585423</v>
      </c>
    </row>
    <row r="728" spans="1:27" x14ac:dyDescent="0.3">
      <c r="A728" t="s">
        <v>296</v>
      </c>
      <c r="B728">
        <v>107800</v>
      </c>
      <c r="C728">
        <v>2019</v>
      </c>
      <c r="D728" t="s">
        <v>100</v>
      </c>
      <c r="E728" t="s">
        <v>412</v>
      </c>
      <c r="F728">
        <v>6</v>
      </c>
      <c r="G728" t="s">
        <v>22</v>
      </c>
      <c r="H728">
        <v>4</v>
      </c>
      <c r="I728" t="s">
        <v>23</v>
      </c>
      <c r="J728" t="s">
        <v>24</v>
      </c>
      <c r="K728" t="s">
        <v>27</v>
      </c>
      <c r="L728" t="s">
        <v>53</v>
      </c>
      <c r="M728">
        <v>4</v>
      </c>
      <c r="N728">
        <v>0</v>
      </c>
      <c r="O728" t="s">
        <v>27</v>
      </c>
      <c r="S728" s="3">
        <v>3000</v>
      </c>
      <c r="T728" s="2">
        <v>10966.3017578125</v>
      </c>
      <c r="U728" s="2">
        <v>12801.664477044989</v>
      </c>
      <c r="V728" s="2">
        <v>16477.394161660952</v>
      </c>
      <c r="W728" s="2">
        <v>12684.5556640625</v>
      </c>
      <c r="X728" s="4">
        <f t="shared" si="44"/>
        <v>0.27356533371542241</v>
      </c>
      <c r="Y728" s="4">
        <f t="shared" si="45"/>
        <v>0.23434452647773898</v>
      </c>
      <c r="Z728" s="4">
        <f t="shared" si="46"/>
        <v>0.18206762371323856</v>
      </c>
      <c r="AA728" s="4">
        <f t="shared" si="47"/>
        <v>0.23650808742946428</v>
      </c>
    </row>
    <row r="729" spans="1:27" x14ac:dyDescent="0.3">
      <c r="A729" t="s">
        <v>296</v>
      </c>
      <c r="B729">
        <v>98909</v>
      </c>
      <c r="C729">
        <v>2022</v>
      </c>
      <c r="D729" t="s">
        <v>54</v>
      </c>
      <c r="E729" t="s">
        <v>413</v>
      </c>
      <c r="F729">
        <v>8</v>
      </c>
      <c r="G729" t="s">
        <v>47</v>
      </c>
      <c r="H729">
        <v>4</v>
      </c>
      <c r="I729" t="s">
        <v>23</v>
      </c>
      <c r="J729" t="s">
        <v>24</v>
      </c>
      <c r="K729" t="s">
        <v>27</v>
      </c>
      <c r="L729" t="s">
        <v>84</v>
      </c>
      <c r="M729">
        <v>4</v>
      </c>
      <c r="N729">
        <v>0</v>
      </c>
      <c r="O729" t="s">
        <v>27</v>
      </c>
      <c r="S729" s="3">
        <v>30250</v>
      </c>
      <c r="T729" s="2">
        <v>39566.05078125</v>
      </c>
      <c r="U729" s="2">
        <v>45649.267966713916</v>
      </c>
      <c r="V729" s="2">
        <v>37970.740883705417</v>
      </c>
      <c r="W729" s="2">
        <v>42489.08984375</v>
      </c>
      <c r="X729" s="4">
        <f t="shared" si="44"/>
        <v>0.76454433542645117</v>
      </c>
      <c r="Y729" s="4">
        <f t="shared" si="45"/>
        <v>0.66266122869828703</v>
      </c>
      <c r="Z729" s="4">
        <f t="shared" si="46"/>
        <v>0.79666604590750401</v>
      </c>
      <c r="AA729" s="4">
        <f t="shared" si="47"/>
        <v>0.71194746960318034</v>
      </c>
    </row>
    <row r="730" spans="1:27" x14ac:dyDescent="0.3">
      <c r="A730" t="s">
        <v>296</v>
      </c>
      <c r="B730">
        <v>128616</v>
      </c>
      <c r="C730">
        <v>2018</v>
      </c>
      <c r="D730" t="s">
        <v>159</v>
      </c>
      <c r="E730" t="s">
        <v>414</v>
      </c>
      <c r="F730">
        <v>6</v>
      </c>
      <c r="G730" t="s">
        <v>148</v>
      </c>
      <c r="H730">
        <v>4</v>
      </c>
      <c r="I730" t="s">
        <v>23</v>
      </c>
      <c r="J730" t="s">
        <v>62</v>
      </c>
      <c r="K730" t="s">
        <v>27</v>
      </c>
      <c r="L730" t="s">
        <v>38</v>
      </c>
      <c r="M730">
        <v>4</v>
      </c>
      <c r="N730">
        <v>0</v>
      </c>
      <c r="O730" t="s">
        <v>27</v>
      </c>
      <c r="S730" s="3">
        <v>18000</v>
      </c>
      <c r="T730" s="2">
        <v>13905.47265625</v>
      </c>
      <c r="U730" s="2">
        <v>13916.131362519091</v>
      </c>
      <c r="V730" s="2">
        <v>18663.23875646765</v>
      </c>
      <c r="W730" s="2">
        <v>16225.859375</v>
      </c>
      <c r="X730" s="4">
        <f t="shared" si="44"/>
        <v>1.2944543810173659</v>
      </c>
      <c r="Y730" s="4">
        <f t="shared" si="45"/>
        <v>1.2934629266636679</v>
      </c>
      <c r="Z730" s="4">
        <f t="shared" si="46"/>
        <v>0.96446282635494829</v>
      </c>
      <c r="AA730" s="4">
        <f t="shared" si="47"/>
        <v>1.1093403180686694</v>
      </c>
    </row>
    <row r="731" spans="1:27" x14ac:dyDescent="0.3">
      <c r="A731" t="s">
        <v>296</v>
      </c>
      <c r="B731">
        <v>235765</v>
      </c>
      <c r="C731">
        <v>2008</v>
      </c>
      <c r="D731" t="s">
        <v>44</v>
      </c>
      <c r="E731" t="s">
        <v>352</v>
      </c>
      <c r="F731">
        <v>8</v>
      </c>
      <c r="G731" t="s">
        <v>47</v>
      </c>
      <c r="H731">
        <v>4</v>
      </c>
      <c r="I731" t="s">
        <v>23</v>
      </c>
      <c r="J731" t="s">
        <v>24</v>
      </c>
      <c r="L731" t="s">
        <v>311</v>
      </c>
      <c r="M731" t="s">
        <v>78</v>
      </c>
      <c r="N731">
        <v>0</v>
      </c>
      <c r="O731" t="s">
        <v>27</v>
      </c>
      <c r="S731" s="3">
        <v>2000</v>
      </c>
      <c r="T731" s="2">
        <v>3281.132568359375</v>
      </c>
      <c r="U731" s="2">
        <v>9446.0643592011547</v>
      </c>
      <c r="V731" s="2">
        <v>1471.442489360408</v>
      </c>
      <c r="W731" s="2">
        <v>4316.306640625</v>
      </c>
      <c r="X731" s="4">
        <f t="shared" si="44"/>
        <v>0.60954562436349102</v>
      </c>
      <c r="Y731" s="4">
        <f t="shared" si="45"/>
        <v>0.21172839014714676</v>
      </c>
      <c r="Z731" s="4">
        <f t="shared" si="46"/>
        <v>1.35921044448658</v>
      </c>
      <c r="AA731" s="4">
        <f t="shared" si="47"/>
        <v>0.46335910919211259</v>
      </c>
    </row>
    <row r="732" spans="1:27" x14ac:dyDescent="0.3">
      <c r="A732" t="s">
        <v>296</v>
      </c>
      <c r="B732">
        <v>139184</v>
      </c>
      <c r="C732">
        <v>2005</v>
      </c>
      <c r="D732" t="s">
        <v>324</v>
      </c>
      <c r="E732" t="s">
        <v>415</v>
      </c>
      <c r="F732">
        <v>8</v>
      </c>
      <c r="G732" t="s">
        <v>171</v>
      </c>
      <c r="H732">
        <v>4</v>
      </c>
      <c r="I732" t="s">
        <v>23</v>
      </c>
      <c r="J732" t="s">
        <v>31</v>
      </c>
      <c r="L732" t="s">
        <v>161</v>
      </c>
      <c r="M732" t="s">
        <v>78</v>
      </c>
      <c r="N732">
        <v>0</v>
      </c>
      <c r="O732" t="s">
        <v>27</v>
      </c>
      <c r="S732" s="3">
        <v>700</v>
      </c>
      <c r="T732" s="2">
        <v>3510.12353515625</v>
      </c>
      <c r="U732" s="2">
        <v>12977.634140070029</v>
      </c>
      <c r="V732" s="2">
        <v>2255.836502193401</v>
      </c>
      <c r="W732" s="2">
        <v>5499.5302734375</v>
      </c>
      <c r="X732" s="4">
        <f t="shared" si="44"/>
        <v>0.19942318069122891</v>
      </c>
      <c r="Y732" s="4">
        <f t="shared" si="45"/>
        <v>5.3938953159317737E-2</v>
      </c>
      <c r="Z732" s="4">
        <f t="shared" si="46"/>
        <v>0.31030617658654525</v>
      </c>
      <c r="AA732" s="4">
        <f t="shared" si="47"/>
        <v>0.12728359790671043</v>
      </c>
    </row>
    <row r="733" spans="1:27" x14ac:dyDescent="0.3">
      <c r="A733" t="s">
        <v>296</v>
      </c>
      <c r="B733">
        <v>173808</v>
      </c>
      <c r="C733">
        <v>2015</v>
      </c>
      <c r="D733" t="s">
        <v>81</v>
      </c>
      <c r="E733" t="s">
        <v>201</v>
      </c>
      <c r="F733">
        <v>6</v>
      </c>
      <c r="G733" t="s">
        <v>47</v>
      </c>
      <c r="H733">
        <v>4</v>
      </c>
      <c r="I733" t="s">
        <v>23</v>
      </c>
      <c r="J733" t="s">
        <v>24</v>
      </c>
      <c r="L733" t="s">
        <v>26</v>
      </c>
      <c r="M733" t="s">
        <v>33</v>
      </c>
      <c r="N733">
        <v>0</v>
      </c>
      <c r="O733" t="s">
        <v>27</v>
      </c>
      <c r="S733" s="3">
        <v>2400</v>
      </c>
      <c r="T733" s="2">
        <v>4820.6689453125</v>
      </c>
      <c r="U733" s="2">
        <v>5682.6789321814585</v>
      </c>
      <c r="V733" s="2">
        <v>3502.3684183694359</v>
      </c>
      <c r="W733" s="2">
        <v>4559.990234375</v>
      </c>
      <c r="X733" s="4">
        <f t="shared" si="44"/>
        <v>0.49785621606181879</v>
      </c>
      <c r="Y733" s="4">
        <f t="shared" si="45"/>
        <v>0.42233601944473953</v>
      </c>
      <c r="Z733" s="4">
        <f t="shared" si="46"/>
        <v>0.68525058283769735</v>
      </c>
      <c r="AA733" s="4">
        <f t="shared" si="47"/>
        <v>0.52631691662579805</v>
      </c>
    </row>
    <row r="734" spans="1:27" x14ac:dyDescent="0.3">
      <c r="A734" t="s">
        <v>296</v>
      </c>
      <c r="B734">
        <v>10585</v>
      </c>
      <c r="C734">
        <v>2020</v>
      </c>
      <c r="D734" t="s">
        <v>74</v>
      </c>
      <c r="E734" t="s">
        <v>399</v>
      </c>
      <c r="F734">
        <v>6</v>
      </c>
      <c r="G734" t="s">
        <v>47</v>
      </c>
      <c r="H734">
        <v>4</v>
      </c>
      <c r="I734" t="s">
        <v>23</v>
      </c>
      <c r="J734" t="s">
        <v>42</v>
      </c>
      <c r="L734" t="s">
        <v>255</v>
      </c>
      <c r="M734">
        <v>4</v>
      </c>
      <c r="N734">
        <v>0</v>
      </c>
      <c r="O734" t="s">
        <v>27</v>
      </c>
      <c r="S734" s="3">
        <v>44250</v>
      </c>
      <c r="T734" s="2">
        <v>42091.65234375</v>
      </c>
      <c r="U734" s="2">
        <v>43555.159265169932</v>
      </c>
      <c r="V734" s="2">
        <v>60978.845790160813</v>
      </c>
      <c r="W734" s="2">
        <v>44643.4140625</v>
      </c>
      <c r="X734" s="4">
        <f t="shared" si="44"/>
        <v>1.051277332584224</v>
      </c>
      <c r="Y734" s="4">
        <f t="shared" si="45"/>
        <v>1.0159531212043051</v>
      </c>
      <c r="Z734" s="4">
        <f t="shared" si="46"/>
        <v>0.72566148844916178</v>
      </c>
      <c r="AA734" s="4">
        <f t="shared" si="47"/>
        <v>0.99118763493425421</v>
      </c>
    </row>
    <row r="735" spans="1:27" x14ac:dyDescent="0.3">
      <c r="A735" t="s">
        <v>416</v>
      </c>
      <c r="B735">
        <v>30297</v>
      </c>
      <c r="C735">
        <v>2022</v>
      </c>
      <c r="D735" t="s">
        <v>85</v>
      </c>
      <c r="E735" t="s">
        <v>92</v>
      </c>
      <c r="F735">
        <v>4</v>
      </c>
      <c r="G735" t="s">
        <v>36</v>
      </c>
      <c r="H735">
        <v>4</v>
      </c>
      <c r="I735" t="s">
        <v>23</v>
      </c>
      <c r="J735" t="s">
        <v>31</v>
      </c>
      <c r="K735" t="s">
        <v>25</v>
      </c>
      <c r="L735" t="s">
        <v>87</v>
      </c>
      <c r="M735" t="s">
        <v>33</v>
      </c>
      <c r="N735">
        <v>1.5</v>
      </c>
      <c r="O735" t="s">
        <v>199</v>
      </c>
      <c r="S735" s="3">
        <v>2400</v>
      </c>
      <c r="T735" s="2">
        <v>9666.0703125</v>
      </c>
      <c r="U735" s="2">
        <v>14513.66203072628</v>
      </c>
      <c r="V735" s="2">
        <v>5811.057693458768</v>
      </c>
      <c r="W735" s="2">
        <v>8534.6396484375</v>
      </c>
      <c r="X735" s="4">
        <f t="shared" si="44"/>
        <v>0.24829117960132777</v>
      </c>
      <c r="Y735" s="4">
        <f t="shared" si="45"/>
        <v>0.16536143634315434</v>
      </c>
      <c r="Z735" s="4">
        <f t="shared" si="46"/>
        <v>0.41300570853074925</v>
      </c>
      <c r="AA735" s="4">
        <f t="shared" si="47"/>
        <v>0.28120695177087951</v>
      </c>
    </row>
    <row r="736" spans="1:27" x14ac:dyDescent="0.3">
      <c r="A736" t="s">
        <v>395</v>
      </c>
      <c r="B736">
        <v>178639</v>
      </c>
      <c r="C736">
        <v>2016</v>
      </c>
      <c r="D736" t="s">
        <v>100</v>
      </c>
      <c r="E736" t="s">
        <v>367</v>
      </c>
      <c r="F736">
        <v>6</v>
      </c>
      <c r="G736" t="s">
        <v>36</v>
      </c>
      <c r="H736">
        <v>4</v>
      </c>
      <c r="I736" t="s">
        <v>23</v>
      </c>
      <c r="J736" t="s">
        <v>31</v>
      </c>
      <c r="K736" t="s">
        <v>27</v>
      </c>
      <c r="L736" t="s">
        <v>53</v>
      </c>
      <c r="M736" t="s">
        <v>33</v>
      </c>
      <c r="N736">
        <v>0.9</v>
      </c>
      <c r="O736" t="s">
        <v>39</v>
      </c>
      <c r="S736" s="3">
        <v>1300</v>
      </c>
      <c r="T736" s="2">
        <v>803.62994384765625</v>
      </c>
      <c r="U736" s="2">
        <v>1416.814098107581</v>
      </c>
      <c r="V736" s="2">
        <v>1674.93518655753</v>
      </c>
      <c r="W736" s="2">
        <v>1805.986694335938</v>
      </c>
      <c r="X736" s="4">
        <f t="shared" si="44"/>
        <v>1.6176599813787431</v>
      </c>
      <c r="Y736" s="4">
        <f t="shared" si="45"/>
        <v>0.91755156991760034</v>
      </c>
      <c r="Z736" s="4">
        <f t="shared" si="46"/>
        <v>0.77614943577122597</v>
      </c>
      <c r="AA736" s="4">
        <f t="shared" si="47"/>
        <v>0.71982811616339759</v>
      </c>
    </row>
    <row r="737" spans="1:27" x14ac:dyDescent="0.3">
      <c r="A737" t="s">
        <v>395</v>
      </c>
      <c r="B737">
        <v>74004</v>
      </c>
      <c r="C737">
        <v>2014</v>
      </c>
      <c r="D737" t="s">
        <v>74</v>
      </c>
      <c r="E737" t="s">
        <v>75</v>
      </c>
      <c r="F737">
        <v>8</v>
      </c>
      <c r="G737" t="s">
        <v>36</v>
      </c>
      <c r="H737">
        <v>2</v>
      </c>
      <c r="I737" t="s">
        <v>23</v>
      </c>
      <c r="J737" t="s">
        <v>76</v>
      </c>
      <c r="L737" t="s">
        <v>84</v>
      </c>
      <c r="M737" t="s">
        <v>78</v>
      </c>
      <c r="N737">
        <v>2.5</v>
      </c>
      <c r="O737" t="s">
        <v>27</v>
      </c>
      <c r="S737" s="3">
        <v>7800</v>
      </c>
      <c r="T737" s="2">
        <v>11411.6064453125</v>
      </c>
      <c r="U737" s="2">
        <v>9319.2293696138477</v>
      </c>
      <c r="V737" s="2">
        <v>11626.74324009864</v>
      </c>
      <c r="W737" s="2">
        <v>10941.130859375</v>
      </c>
      <c r="X737" s="4">
        <f t="shared" si="44"/>
        <v>0.68351463375289945</v>
      </c>
      <c r="Y737" s="4">
        <f t="shared" si="45"/>
        <v>0.83697907741519639</v>
      </c>
      <c r="Z737" s="4">
        <f t="shared" si="46"/>
        <v>0.67086714129018865</v>
      </c>
      <c r="AA737" s="4">
        <f t="shared" si="47"/>
        <v>0.71290619774614106</v>
      </c>
    </row>
    <row r="738" spans="1:27" x14ac:dyDescent="0.3">
      <c r="A738" t="s">
        <v>395</v>
      </c>
      <c r="B738">
        <v>123093</v>
      </c>
      <c r="C738">
        <v>2015</v>
      </c>
      <c r="D738" t="s">
        <v>125</v>
      </c>
      <c r="E738" t="s">
        <v>336</v>
      </c>
      <c r="F738">
        <v>4</v>
      </c>
      <c r="G738" t="s">
        <v>22</v>
      </c>
      <c r="H738">
        <v>4</v>
      </c>
      <c r="I738" t="s">
        <v>23</v>
      </c>
      <c r="J738" t="s">
        <v>31</v>
      </c>
      <c r="K738" t="s">
        <v>27</v>
      </c>
      <c r="L738" t="s">
        <v>60</v>
      </c>
      <c r="M738" t="s">
        <v>33</v>
      </c>
      <c r="N738">
        <v>0.9</v>
      </c>
      <c r="O738" t="s">
        <v>39</v>
      </c>
      <c r="S738" s="3">
        <v>500</v>
      </c>
      <c r="T738" s="2">
        <v>2016.754638671875</v>
      </c>
      <c r="U738" s="2">
        <v>2068.8871369398512</v>
      </c>
      <c r="V738" s="2">
        <v>1886.3786660338901</v>
      </c>
      <c r="W738" s="2">
        <v>3696.108642578125</v>
      </c>
      <c r="X738" s="4">
        <f t="shared" si="44"/>
        <v>0.24792306927791316</v>
      </c>
      <c r="Y738" s="4">
        <f t="shared" si="45"/>
        <v>0.24167582226818035</v>
      </c>
      <c r="Z738" s="4">
        <f t="shared" si="46"/>
        <v>0.26505812910365961</v>
      </c>
      <c r="AA738" s="4">
        <f t="shared" si="47"/>
        <v>0.13527740885106612</v>
      </c>
    </row>
    <row r="739" spans="1:27" x14ac:dyDescent="0.3">
      <c r="A739" t="s">
        <v>395</v>
      </c>
      <c r="B739">
        <v>153519</v>
      </c>
      <c r="C739">
        <v>2015</v>
      </c>
      <c r="D739" t="s">
        <v>44</v>
      </c>
      <c r="E739" t="s">
        <v>210</v>
      </c>
      <c r="F739">
        <v>4</v>
      </c>
      <c r="G739" t="s">
        <v>22</v>
      </c>
      <c r="H739">
        <v>4</v>
      </c>
      <c r="I739" t="s">
        <v>23</v>
      </c>
      <c r="J739" t="s">
        <v>37</v>
      </c>
      <c r="K739" t="s">
        <v>27</v>
      </c>
      <c r="L739" t="s">
        <v>200</v>
      </c>
      <c r="M739" t="s">
        <v>33</v>
      </c>
      <c r="N739">
        <v>2.4</v>
      </c>
      <c r="O739" t="s">
        <v>27</v>
      </c>
      <c r="S739" s="3">
        <v>1600</v>
      </c>
      <c r="T739" s="2">
        <v>3270.926513671875</v>
      </c>
      <c r="U739" s="2">
        <v>3185.6092403880989</v>
      </c>
      <c r="V739" s="2">
        <v>2978.5654940458148</v>
      </c>
      <c r="W739" s="2">
        <v>2722.669189453125</v>
      </c>
      <c r="X739" s="4">
        <f t="shared" si="44"/>
        <v>0.48915803926266532</v>
      </c>
      <c r="Y739" s="4">
        <f t="shared" si="45"/>
        <v>0.50225871387950705</v>
      </c>
      <c r="Z739" s="4">
        <f t="shared" si="46"/>
        <v>0.53717133405272355</v>
      </c>
      <c r="AA739" s="4">
        <f t="shared" si="47"/>
        <v>0.58765861317194246</v>
      </c>
    </row>
    <row r="740" spans="1:27" x14ac:dyDescent="0.3">
      <c r="A740" t="s">
        <v>395</v>
      </c>
      <c r="B740">
        <v>96613</v>
      </c>
      <c r="C740">
        <v>2021</v>
      </c>
      <c r="D740" t="s">
        <v>44</v>
      </c>
      <c r="E740" t="s">
        <v>68</v>
      </c>
      <c r="F740">
        <v>4</v>
      </c>
      <c r="G740" t="s">
        <v>36</v>
      </c>
      <c r="H740">
        <v>4</v>
      </c>
      <c r="I740" t="s">
        <v>23</v>
      </c>
      <c r="J740" t="s">
        <v>62</v>
      </c>
      <c r="L740" t="s">
        <v>69</v>
      </c>
      <c r="M740" t="s">
        <v>78</v>
      </c>
      <c r="N740">
        <v>0.9</v>
      </c>
      <c r="O740" t="s">
        <v>27</v>
      </c>
      <c r="S740" s="3">
        <v>9800</v>
      </c>
      <c r="T740" s="2">
        <v>12631.3427734375</v>
      </c>
      <c r="U740" s="2">
        <v>12648.73956634414</v>
      </c>
      <c r="V740" s="2">
        <v>14568.90657443348</v>
      </c>
      <c r="W740" s="2">
        <v>13138.666015625</v>
      </c>
      <c r="X740" s="4">
        <f t="shared" si="44"/>
        <v>0.77584783944019464</v>
      </c>
      <c r="Y740" s="4">
        <f t="shared" si="45"/>
        <v>0.77478075571070437</v>
      </c>
      <c r="Z740" s="4">
        <f t="shared" si="46"/>
        <v>0.67266544334889988</v>
      </c>
      <c r="AA740" s="4">
        <f t="shared" si="47"/>
        <v>0.74589003087113015</v>
      </c>
    </row>
    <row r="741" spans="1:27" x14ac:dyDescent="0.3">
      <c r="A741" t="s">
        <v>395</v>
      </c>
      <c r="B741">
        <v>212157</v>
      </c>
      <c r="C741">
        <v>2017</v>
      </c>
      <c r="D741" t="s">
        <v>141</v>
      </c>
      <c r="E741" t="s">
        <v>215</v>
      </c>
      <c r="F741">
        <v>6</v>
      </c>
      <c r="G741" t="s">
        <v>66</v>
      </c>
      <c r="H741">
        <v>4</v>
      </c>
      <c r="I741" t="s">
        <v>23</v>
      </c>
      <c r="J741" t="s">
        <v>31</v>
      </c>
      <c r="K741" t="s">
        <v>27</v>
      </c>
      <c r="L741" t="s">
        <v>26</v>
      </c>
      <c r="M741" t="s">
        <v>78</v>
      </c>
      <c r="N741">
        <v>2.7</v>
      </c>
      <c r="O741" t="s">
        <v>27</v>
      </c>
      <c r="S741" s="3">
        <v>1500</v>
      </c>
      <c r="T741" s="2">
        <v>4362.45068359375</v>
      </c>
      <c r="U741" s="2">
        <v>4174.2776910816929</v>
      </c>
      <c r="V741" s="2">
        <v>3926.092079768136</v>
      </c>
      <c r="W741" s="2">
        <v>4231.7626953125</v>
      </c>
      <c r="X741" s="4">
        <f t="shared" si="44"/>
        <v>0.34384342856669559</v>
      </c>
      <c r="Y741" s="4">
        <f t="shared" si="45"/>
        <v>0.3593436064890308</v>
      </c>
      <c r="Z741" s="4">
        <f t="shared" si="46"/>
        <v>0.38205930210597244</v>
      </c>
      <c r="AA741" s="4">
        <f t="shared" si="47"/>
        <v>0.35446222011965406</v>
      </c>
    </row>
    <row r="742" spans="1:27" x14ac:dyDescent="0.3">
      <c r="A742" t="s">
        <v>395</v>
      </c>
      <c r="B742">
        <v>133136</v>
      </c>
      <c r="C742">
        <v>2014</v>
      </c>
      <c r="D742" t="s">
        <v>100</v>
      </c>
      <c r="E742" t="s">
        <v>412</v>
      </c>
      <c r="F742">
        <v>6</v>
      </c>
      <c r="G742" t="s">
        <v>47</v>
      </c>
      <c r="H742">
        <v>4</v>
      </c>
      <c r="I742" t="s">
        <v>23</v>
      </c>
      <c r="J742" t="s">
        <v>24</v>
      </c>
      <c r="K742" t="s">
        <v>27</v>
      </c>
      <c r="L742" t="s">
        <v>53</v>
      </c>
      <c r="M742">
        <v>4</v>
      </c>
      <c r="N742">
        <v>0</v>
      </c>
      <c r="S742" s="3">
        <v>1400</v>
      </c>
      <c r="T742" s="2">
        <v>4573.10498046875</v>
      </c>
      <c r="U742" s="2">
        <v>5317.5871683038913</v>
      </c>
      <c r="V742" s="2">
        <v>7556.6056900818166</v>
      </c>
      <c r="W742" s="2">
        <v>6220.50634765625</v>
      </c>
      <c r="X742" s="4">
        <f t="shared" si="44"/>
        <v>0.30613773486050566</v>
      </c>
      <c r="Y742" s="4">
        <f t="shared" si="45"/>
        <v>0.263277301469521</v>
      </c>
      <c r="Z742" s="4">
        <f t="shared" si="46"/>
        <v>0.18526836749435341</v>
      </c>
      <c r="AA742" s="4">
        <f t="shared" si="47"/>
        <v>0.22506206436514437</v>
      </c>
    </row>
    <row r="743" spans="1:27" x14ac:dyDescent="0.3">
      <c r="A743" t="s">
        <v>395</v>
      </c>
      <c r="B743">
        <v>200231</v>
      </c>
      <c r="C743">
        <v>2008</v>
      </c>
      <c r="D743" t="s">
        <v>34</v>
      </c>
      <c r="E743" t="s">
        <v>262</v>
      </c>
      <c r="F743">
        <v>8</v>
      </c>
      <c r="G743" t="s">
        <v>47</v>
      </c>
      <c r="H743">
        <v>4</v>
      </c>
      <c r="I743" t="s">
        <v>23</v>
      </c>
      <c r="J743" t="s">
        <v>46</v>
      </c>
      <c r="L743" t="s">
        <v>354</v>
      </c>
      <c r="M743" t="s">
        <v>78</v>
      </c>
      <c r="N743">
        <v>0</v>
      </c>
      <c r="S743" s="3">
        <v>2200</v>
      </c>
      <c r="T743" s="2">
        <v>5128.94873046875</v>
      </c>
      <c r="U743" s="2">
        <v>5616.6650142877997</v>
      </c>
      <c r="V743" s="2">
        <v>4020.5612183046628</v>
      </c>
      <c r="W743" s="2">
        <v>5266.03662109375</v>
      </c>
      <c r="X743" s="4">
        <f t="shared" si="44"/>
        <v>0.4289378029713577</v>
      </c>
      <c r="Y743" s="4">
        <f t="shared" si="45"/>
        <v>0.39169150989129498</v>
      </c>
      <c r="Z743" s="4">
        <f t="shared" si="46"/>
        <v>0.54718729066577099</v>
      </c>
      <c r="AA743" s="4">
        <f t="shared" si="47"/>
        <v>0.4177714965345346</v>
      </c>
    </row>
    <row r="744" spans="1:27" x14ac:dyDescent="0.3">
      <c r="A744" t="s">
        <v>395</v>
      </c>
      <c r="B744">
        <v>184915</v>
      </c>
      <c r="C744">
        <v>2015</v>
      </c>
      <c r="D744" t="s">
        <v>85</v>
      </c>
      <c r="E744" t="s">
        <v>228</v>
      </c>
      <c r="F744">
        <v>4</v>
      </c>
      <c r="G744" t="s">
        <v>36</v>
      </c>
      <c r="H744">
        <v>4</v>
      </c>
      <c r="I744" t="s">
        <v>23</v>
      </c>
      <c r="J744" t="s">
        <v>31</v>
      </c>
      <c r="K744" t="s">
        <v>27</v>
      </c>
      <c r="L744" t="s">
        <v>60</v>
      </c>
      <c r="M744" t="s">
        <v>33</v>
      </c>
      <c r="N744">
        <v>0</v>
      </c>
      <c r="S744" s="3">
        <v>1700</v>
      </c>
      <c r="T744" s="2">
        <v>3318.565185546875</v>
      </c>
      <c r="U744" s="2">
        <v>3124.109693986939</v>
      </c>
      <c r="V744" s="2">
        <v>2801.3312552326011</v>
      </c>
      <c r="W744" s="2">
        <v>3118.7802734375</v>
      </c>
      <c r="X744" s="4">
        <f t="shared" si="44"/>
        <v>0.51226958186745775</v>
      </c>
      <c r="Y744" s="4">
        <f t="shared" si="45"/>
        <v>0.54415502863809084</v>
      </c>
      <c r="Z744" s="4">
        <f t="shared" si="46"/>
        <v>0.6068543292852544</v>
      </c>
      <c r="AA744" s="4">
        <f t="shared" si="47"/>
        <v>0.5450848892686726</v>
      </c>
    </row>
    <row r="745" spans="1:27" x14ac:dyDescent="0.3">
      <c r="A745" t="s">
        <v>395</v>
      </c>
      <c r="B745">
        <v>248354</v>
      </c>
      <c r="C745">
        <v>2004</v>
      </c>
      <c r="D745" t="s">
        <v>28</v>
      </c>
      <c r="E745" t="s">
        <v>58</v>
      </c>
      <c r="F745">
        <v>4</v>
      </c>
      <c r="G745" t="s">
        <v>47</v>
      </c>
      <c r="H745">
        <v>4</v>
      </c>
      <c r="I745" t="s">
        <v>23</v>
      </c>
      <c r="J745" t="s">
        <v>24</v>
      </c>
      <c r="L745" t="s">
        <v>60</v>
      </c>
      <c r="M745">
        <v>4</v>
      </c>
      <c r="N745">
        <v>0</v>
      </c>
      <c r="O745" t="s">
        <v>27</v>
      </c>
      <c r="S745" s="3">
        <v>1000</v>
      </c>
      <c r="T745" s="2">
        <v>2036.655883789062</v>
      </c>
      <c r="U745" s="2">
        <v>2912.6969893235841</v>
      </c>
      <c r="V745" s="2">
        <v>-67.374674397227864</v>
      </c>
      <c r="W745" s="2">
        <v>2094.241455078125</v>
      </c>
      <c r="X745" s="4">
        <f t="shared" si="44"/>
        <v>0.4910009628821374</v>
      </c>
      <c r="Y745" s="4">
        <f t="shared" si="45"/>
        <v>0.3433244184566655</v>
      </c>
      <c r="Z745" s="4">
        <f t="shared" si="46"/>
        <v>-14.842372285232818</v>
      </c>
      <c r="AA745" s="4">
        <f t="shared" si="47"/>
        <v>0.47749985923313476</v>
      </c>
    </row>
    <row r="746" spans="1:27" x14ac:dyDescent="0.3">
      <c r="A746" t="s">
        <v>395</v>
      </c>
      <c r="B746">
        <v>111819</v>
      </c>
      <c r="C746">
        <v>2011</v>
      </c>
      <c r="D746" t="s">
        <v>81</v>
      </c>
      <c r="E746" t="s">
        <v>326</v>
      </c>
      <c r="F746">
        <v>6</v>
      </c>
      <c r="G746" t="s">
        <v>66</v>
      </c>
      <c r="H746">
        <v>4</v>
      </c>
      <c r="I746" t="s">
        <v>23</v>
      </c>
      <c r="J746" t="s">
        <v>24</v>
      </c>
      <c r="L746" t="s">
        <v>57</v>
      </c>
      <c r="M746">
        <v>4</v>
      </c>
      <c r="N746">
        <v>0</v>
      </c>
      <c r="S746" s="3">
        <v>800</v>
      </c>
      <c r="T746" s="2">
        <v>5714.62109375</v>
      </c>
      <c r="U746" s="2">
        <v>6771.2532523081627</v>
      </c>
      <c r="V746" s="2">
        <v>6387.7204619945023</v>
      </c>
      <c r="W746" s="2">
        <v>5808.3837890625</v>
      </c>
      <c r="X746" s="4">
        <f t="shared" si="44"/>
        <v>0.13999178368535206</v>
      </c>
      <c r="Y746" s="4">
        <f t="shared" si="45"/>
        <v>0.11814651884823517</v>
      </c>
      <c r="Z746" s="4">
        <f t="shared" si="46"/>
        <v>0.12524029577684556</v>
      </c>
      <c r="AA746" s="4">
        <f t="shared" si="47"/>
        <v>0.13773194558982882</v>
      </c>
    </row>
    <row r="747" spans="1:27" x14ac:dyDescent="0.3">
      <c r="A747" t="s">
        <v>395</v>
      </c>
      <c r="B747">
        <v>235092</v>
      </c>
      <c r="C747">
        <v>2013</v>
      </c>
      <c r="D747" t="s">
        <v>44</v>
      </c>
      <c r="E747" t="s">
        <v>45</v>
      </c>
      <c r="F747">
        <v>6</v>
      </c>
      <c r="G747" t="s">
        <v>59</v>
      </c>
      <c r="H747">
        <v>4</v>
      </c>
      <c r="I747" t="s">
        <v>23</v>
      </c>
      <c r="J747" t="s">
        <v>46</v>
      </c>
      <c r="K747" t="s">
        <v>27</v>
      </c>
      <c r="L747" t="s">
        <v>38</v>
      </c>
      <c r="M747" t="s">
        <v>78</v>
      </c>
      <c r="N747">
        <v>0</v>
      </c>
      <c r="O747" t="s">
        <v>27</v>
      </c>
      <c r="S747" s="3">
        <v>900</v>
      </c>
      <c r="T747" s="2">
        <v>5335.06005859375</v>
      </c>
      <c r="U747" s="2">
        <v>4700.695324202572</v>
      </c>
      <c r="V747" s="2">
        <v>6030.1209871221172</v>
      </c>
      <c r="W747" s="2">
        <v>4326.61279296875</v>
      </c>
      <c r="X747" s="4">
        <f t="shared" si="44"/>
        <v>0.1686953830164056</v>
      </c>
      <c r="Y747" s="4">
        <f t="shared" si="45"/>
        <v>0.19146103670368733</v>
      </c>
      <c r="Z747" s="4">
        <f t="shared" si="46"/>
        <v>0.14925073674674746</v>
      </c>
      <c r="AA747" s="4">
        <f t="shared" si="47"/>
        <v>0.20801491676412664</v>
      </c>
    </row>
    <row r="748" spans="1:27" x14ac:dyDescent="0.3">
      <c r="A748" t="s">
        <v>395</v>
      </c>
      <c r="B748">
        <v>103220</v>
      </c>
      <c r="C748">
        <v>2013</v>
      </c>
      <c r="D748" t="s">
        <v>85</v>
      </c>
      <c r="E748" t="s">
        <v>270</v>
      </c>
      <c r="F748">
        <v>4</v>
      </c>
      <c r="G748" t="s">
        <v>59</v>
      </c>
      <c r="H748">
        <v>4</v>
      </c>
      <c r="I748" t="s">
        <v>23</v>
      </c>
      <c r="J748" t="s">
        <v>24</v>
      </c>
      <c r="L748" t="s">
        <v>60</v>
      </c>
      <c r="M748" t="s">
        <v>33</v>
      </c>
      <c r="N748">
        <v>0</v>
      </c>
      <c r="O748" t="s">
        <v>27</v>
      </c>
      <c r="S748" s="3">
        <v>4600</v>
      </c>
      <c r="T748" s="2">
        <v>6765.0966796875</v>
      </c>
      <c r="U748" s="2">
        <v>6162.0690681440856</v>
      </c>
      <c r="V748" s="2">
        <v>5225.9312817588334</v>
      </c>
      <c r="W748" s="2">
        <v>5821.4541015625</v>
      </c>
      <c r="X748" s="4">
        <f t="shared" si="44"/>
        <v>0.67996071864156826</v>
      </c>
      <c r="Y748" s="4">
        <f t="shared" si="45"/>
        <v>0.74650250575419874</v>
      </c>
      <c r="Z748" s="4">
        <f t="shared" si="46"/>
        <v>0.88022588740428853</v>
      </c>
      <c r="AA748" s="4">
        <f t="shared" si="47"/>
        <v>0.79018058370765865</v>
      </c>
    </row>
    <row r="749" spans="1:27" x14ac:dyDescent="0.3">
      <c r="A749" t="s">
        <v>395</v>
      </c>
      <c r="B749">
        <v>98882</v>
      </c>
      <c r="C749">
        <v>2018</v>
      </c>
      <c r="D749" t="s">
        <v>125</v>
      </c>
      <c r="E749" t="s">
        <v>230</v>
      </c>
      <c r="F749">
        <v>4</v>
      </c>
      <c r="G749" t="s">
        <v>47</v>
      </c>
      <c r="H749">
        <v>4</v>
      </c>
      <c r="I749" t="s">
        <v>23</v>
      </c>
      <c r="J749" t="s">
        <v>31</v>
      </c>
      <c r="K749" t="s">
        <v>27</v>
      </c>
      <c r="L749" t="s">
        <v>60</v>
      </c>
      <c r="M749" t="s">
        <v>33</v>
      </c>
      <c r="N749">
        <v>0</v>
      </c>
      <c r="O749" t="s">
        <v>27</v>
      </c>
      <c r="S749" s="3">
        <v>4600</v>
      </c>
      <c r="T749" s="2">
        <v>8400.646484375</v>
      </c>
      <c r="U749" s="2">
        <v>9059.4364423512307</v>
      </c>
      <c r="V749" s="2">
        <v>7524.2310933396366</v>
      </c>
      <c r="W749" s="2">
        <v>8603.80078125</v>
      </c>
      <c r="X749" s="4">
        <f t="shared" si="44"/>
        <v>0.5475769047722564</v>
      </c>
      <c r="Y749" s="4">
        <f t="shared" si="45"/>
        <v>0.50775785329160539</v>
      </c>
      <c r="Z749" s="4">
        <f t="shared" si="46"/>
        <v>0.61135814981438663</v>
      </c>
      <c r="AA749" s="4">
        <f t="shared" si="47"/>
        <v>0.53464743279791405</v>
      </c>
    </row>
    <row r="750" spans="1:27" x14ac:dyDescent="0.3">
      <c r="A750" t="s">
        <v>296</v>
      </c>
      <c r="B750">
        <v>115329</v>
      </c>
      <c r="C750">
        <v>2018</v>
      </c>
      <c r="D750" t="s">
        <v>40</v>
      </c>
      <c r="E750" t="s">
        <v>41</v>
      </c>
      <c r="F750">
        <v>8</v>
      </c>
      <c r="G750" t="s">
        <v>22</v>
      </c>
      <c r="H750">
        <v>4</v>
      </c>
      <c r="I750" t="s">
        <v>23</v>
      </c>
      <c r="J750" t="s">
        <v>42</v>
      </c>
      <c r="K750" t="s">
        <v>27</v>
      </c>
      <c r="L750" t="s">
        <v>43</v>
      </c>
      <c r="M750">
        <v>4</v>
      </c>
      <c r="N750">
        <v>0</v>
      </c>
      <c r="O750" t="s">
        <v>27</v>
      </c>
      <c r="S750" s="3">
        <v>16000</v>
      </c>
      <c r="T750" s="2">
        <v>19982.423828125</v>
      </c>
      <c r="U750" s="2">
        <v>27242.39085828419</v>
      </c>
      <c r="V750" s="2">
        <v>19761.066584240929</v>
      </c>
      <c r="W750" s="2">
        <v>22572.99609375</v>
      </c>
      <c r="X750" s="4">
        <f t="shared" si="44"/>
        <v>0.80070366526207948</v>
      </c>
      <c r="Y750" s="4">
        <f t="shared" si="45"/>
        <v>0.58731996333334047</v>
      </c>
      <c r="Z750" s="4">
        <f t="shared" si="46"/>
        <v>0.80967289552881183</v>
      </c>
      <c r="AA750" s="4">
        <f t="shared" si="47"/>
        <v>0.70881153452332679</v>
      </c>
    </row>
    <row r="751" spans="1:27" x14ac:dyDescent="0.3">
      <c r="A751" t="s">
        <v>296</v>
      </c>
      <c r="B751">
        <v>38428</v>
      </c>
      <c r="C751">
        <v>2024</v>
      </c>
      <c r="D751" t="s">
        <v>54</v>
      </c>
      <c r="E751" t="s">
        <v>206</v>
      </c>
      <c r="F751">
        <v>4</v>
      </c>
      <c r="G751" t="s">
        <v>36</v>
      </c>
      <c r="H751">
        <v>4</v>
      </c>
      <c r="I751" t="s">
        <v>23</v>
      </c>
      <c r="J751" t="s">
        <v>24</v>
      </c>
      <c r="K751" t="s">
        <v>27</v>
      </c>
      <c r="L751" t="s">
        <v>127</v>
      </c>
      <c r="M751">
        <v>4</v>
      </c>
      <c r="N751">
        <v>3.1</v>
      </c>
      <c r="O751" t="s">
        <v>27</v>
      </c>
      <c r="S751" s="3">
        <v>31000</v>
      </c>
      <c r="T751" s="2">
        <v>35977.13671875</v>
      </c>
      <c r="U751" s="2">
        <v>33486.30097915174</v>
      </c>
      <c r="V751" s="2">
        <v>30082.612466737119</v>
      </c>
      <c r="W751" s="2">
        <v>34697.15234375</v>
      </c>
      <c r="X751" s="4">
        <f t="shared" si="44"/>
        <v>0.86165834269529029</v>
      </c>
      <c r="Y751" s="4">
        <f t="shared" si="45"/>
        <v>0.92575169826312897</v>
      </c>
      <c r="Z751" s="4">
        <f t="shared" si="46"/>
        <v>1.0304956071975881</v>
      </c>
      <c r="AA751" s="4">
        <f t="shared" si="47"/>
        <v>0.89344507851475108</v>
      </c>
    </row>
    <row r="752" spans="1:27" x14ac:dyDescent="0.3">
      <c r="A752" t="s">
        <v>296</v>
      </c>
      <c r="B752">
        <v>120199</v>
      </c>
      <c r="C752">
        <v>2014</v>
      </c>
      <c r="D752" t="s">
        <v>141</v>
      </c>
      <c r="E752" t="s">
        <v>142</v>
      </c>
      <c r="F752">
        <v>6</v>
      </c>
      <c r="G752" t="s">
        <v>66</v>
      </c>
      <c r="H752">
        <v>4</v>
      </c>
      <c r="I752" t="s">
        <v>23</v>
      </c>
      <c r="J752" t="s">
        <v>106</v>
      </c>
      <c r="K752" t="s">
        <v>27</v>
      </c>
      <c r="L752" t="s">
        <v>26</v>
      </c>
      <c r="M752" t="s">
        <v>33</v>
      </c>
      <c r="N752">
        <v>0</v>
      </c>
      <c r="O752" t="s">
        <v>27</v>
      </c>
      <c r="S752" s="3">
        <v>2400</v>
      </c>
      <c r="T752" s="2">
        <v>6819.11279296875</v>
      </c>
      <c r="U752" s="2">
        <v>6912.5710851897702</v>
      </c>
      <c r="V752" s="2">
        <v>6106.1382541352823</v>
      </c>
      <c r="W752" s="2">
        <v>6678.6328125</v>
      </c>
      <c r="X752" s="4">
        <f t="shared" si="44"/>
        <v>0.35195194343678582</v>
      </c>
      <c r="Y752" s="4">
        <f t="shared" si="45"/>
        <v>0.34719353630113348</v>
      </c>
      <c r="Z752" s="4">
        <f t="shared" si="46"/>
        <v>0.39304711097470474</v>
      </c>
      <c r="AA752" s="4">
        <f t="shared" si="47"/>
        <v>0.35935498587496273</v>
      </c>
    </row>
    <row r="753" spans="1:27" x14ac:dyDescent="0.3">
      <c r="A753" t="s">
        <v>296</v>
      </c>
      <c r="B753">
        <v>127099</v>
      </c>
      <c r="C753">
        <v>2018</v>
      </c>
      <c r="D753" t="s">
        <v>40</v>
      </c>
      <c r="E753" t="s">
        <v>150</v>
      </c>
      <c r="F753">
        <v>6</v>
      </c>
      <c r="G753" t="s">
        <v>99</v>
      </c>
      <c r="H753">
        <v>4</v>
      </c>
      <c r="I753" t="s">
        <v>23</v>
      </c>
      <c r="J753" t="s">
        <v>24</v>
      </c>
      <c r="L753" t="s">
        <v>26</v>
      </c>
      <c r="M753" t="s">
        <v>33</v>
      </c>
      <c r="N753">
        <v>0</v>
      </c>
      <c r="O753" t="s">
        <v>27</v>
      </c>
      <c r="S753" s="3">
        <v>9600</v>
      </c>
      <c r="T753" s="2">
        <v>12638.7626953125</v>
      </c>
      <c r="U753" s="2">
        <v>13288.54877976008</v>
      </c>
      <c r="V753" s="2">
        <v>10190.44345893424</v>
      </c>
      <c r="W753" s="2">
        <v>12763.2119140625</v>
      </c>
      <c r="X753" s="4">
        <f t="shared" si="44"/>
        <v>0.75956802350284458</v>
      </c>
      <c r="Y753" s="4">
        <f t="shared" si="45"/>
        <v>0.72242651617623255</v>
      </c>
      <c r="Z753" s="4">
        <f t="shared" si="46"/>
        <v>0.94205910063545051</v>
      </c>
      <c r="AA753" s="4">
        <f t="shared" si="47"/>
        <v>0.7521617649725556</v>
      </c>
    </row>
    <row r="754" spans="1:27" x14ac:dyDescent="0.3">
      <c r="A754" t="s">
        <v>296</v>
      </c>
      <c r="B754">
        <v>33275</v>
      </c>
      <c r="C754">
        <v>2024</v>
      </c>
      <c r="D754" t="s">
        <v>40</v>
      </c>
      <c r="E754" t="s">
        <v>41</v>
      </c>
      <c r="F754">
        <v>8</v>
      </c>
      <c r="G754" t="s">
        <v>36</v>
      </c>
      <c r="H754">
        <v>4</v>
      </c>
      <c r="I754" t="s">
        <v>23</v>
      </c>
      <c r="J754" t="s">
        <v>42</v>
      </c>
      <c r="K754" t="s">
        <v>27</v>
      </c>
      <c r="L754" t="s">
        <v>43</v>
      </c>
      <c r="M754">
        <v>4</v>
      </c>
      <c r="N754">
        <v>3.8</v>
      </c>
      <c r="O754" t="s">
        <v>27</v>
      </c>
      <c r="S754" s="3">
        <v>36250</v>
      </c>
      <c r="T754" s="2">
        <v>66661.9453125</v>
      </c>
      <c r="U754" s="2">
        <v>61593.971810591167</v>
      </c>
      <c r="V754" s="2">
        <v>55467.330551110717</v>
      </c>
      <c r="W754" s="2">
        <v>93241.7734375</v>
      </c>
      <c r="X754" s="4">
        <f t="shared" si="44"/>
        <v>0.54378851127230221</v>
      </c>
      <c r="Y754" s="4">
        <f t="shared" si="45"/>
        <v>0.58853161980644941</v>
      </c>
      <c r="Z754" s="4">
        <f t="shared" si="46"/>
        <v>0.65353785083630822</v>
      </c>
      <c r="AA754" s="4">
        <f t="shared" si="47"/>
        <v>0.38877424424255924</v>
      </c>
    </row>
    <row r="755" spans="1:27" x14ac:dyDescent="0.3">
      <c r="A755" t="s">
        <v>296</v>
      </c>
      <c r="B755">
        <v>141224</v>
      </c>
      <c r="C755">
        <v>2014</v>
      </c>
      <c r="D755" t="s">
        <v>54</v>
      </c>
      <c r="E755" t="s">
        <v>219</v>
      </c>
      <c r="F755">
        <v>6</v>
      </c>
      <c r="G755" t="s">
        <v>22</v>
      </c>
      <c r="H755">
        <v>4</v>
      </c>
      <c r="I755" t="s">
        <v>23</v>
      </c>
      <c r="J755" t="s">
        <v>24</v>
      </c>
      <c r="K755" t="s">
        <v>27</v>
      </c>
      <c r="L755" t="s">
        <v>26</v>
      </c>
      <c r="M755" t="s">
        <v>78</v>
      </c>
      <c r="N755">
        <v>0</v>
      </c>
      <c r="O755" t="s">
        <v>27</v>
      </c>
      <c r="S755" s="3">
        <v>5800</v>
      </c>
      <c r="T755" s="2">
        <v>7436.6240234375</v>
      </c>
      <c r="U755" s="2">
        <v>10740.48570707392</v>
      </c>
      <c r="V755" s="2">
        <v>6077.6788107085104</v>
      </c>
      <c r="W755" s="2">
        <v>6273.32763671875</v>
      </c>
      <c r="X755" s="4">
        <f t="shared" si="44"/>
        <v>0.7799237909191773</v>
      </c>
      <c r="Y755" s="4">
        <f t="shared" si="45"/>
        <v>0.54001282234191628</v>
      </c>
      <c r="Z755" s="4">
        <f t="shared" si="46"/>
        <v>0.95431170034532642</v>
      </c>
      <c r="AA755" s="4">
        <f t="shared" si="47"/>
        <v>0.92454919236988509</v>
      </c>
    </row>
    <row r="756" spans="1:27" x14ac:dyDescent="0.3">
      <c r="A756" t="s">
        <v>296</v>
      </c>
      <c r="B756">
        <v>72559</v>
      </c>
      <c r="C756">
        <v>2022</v>
      </c>
      <c r="D756" t="s">
        <v>34</v>
      </c>
      <c r="E756" t="s">
        <v>88</v>
      </c>
      <c r="F756">
        <v>4</v>
      </c>
      <c r="G756" t="s">
        <v>30</v>
      </c>
      <c r="H756">
        <v>4</v>
      </c>
      <c r="I756" t="s">
        <v>23</v>
      </c>
      <c r="J756" t="s">
        <v>37</v>
      </c>
      <c r="K756" t="s">
        <v>27</v>
      </c>
      <c r="L756" t="s">
        <v>89</v>
      </c>
      <c r="M756" t="s">
        <v>33</v>
      </c>
      <c r="N756">
        <v>0</v>
      </c>
      <c r="O756" t="s">
        <v>27</v>
      </c>
      <c r="S756" s="3">
        <v>12000</v>
      </c>
      <c r="T756" s="2">
        <v>14821.2138671875</v>
      </c>
      <c r="U756" s="2">
        <v>10874.90220631338</v>
      </c>
      <c r="V756" s="2">
        <v>14034.409182732799</v>
      </c>
      <c r="W756" s="2">
        <v>12653.9345703125</v>
      </c>
      <c r="X756" s="4">
        <f t="shared" si="44"/>
        <v>0.80965028286695528</v>
      </c>
      <c r="Y756" s="4">
        <f t="shared" si="45"/>
        <v>1.1034581987351986</v>
      </c>
      <c r="Z756" s="4">
        <f t="shared" si="46"/>
        <v>0.85504133759789269</v>
      </c>
      <c r="AA756" s="4">
        <f t="shared" si="47"/>
        <v>0.94832164125088003</v>
      </c>
    </row>
    <row r="757" spans="1:27" x14ac:dyDescent="0.3">
      <c r="A757" t="s">
        <v>296</v>
      </c>
      <c r="B757">
        <v>316492</v>
      </c>
      <c r="C757">
        <v>2008</v>
      </c>
      <c r="D757" t="s">
        <v>20</v>
      </c>
      <c r="E757" t="s">
        <v>175</v>
      </c>
      <c r="F757">
        <v>8</v>
      </c>
      <c r="G757" t="s">
        <v>47</v>
      </c>
      <c r="H757">
        <v>4</v>
      </c>
      <c r="I757" t="s">
        <v>23</v>
      </c>
      <c r="J757" t="s">
        <v>24</v>
      </c>
      <c r="L757" t="s">
        <v>43</v>
      </c>
      <c r="M757" t="s">
        <v>78</v>
      </c>
      <c r="N757">
        <v>0</v>
      </c>
      <c r="O757" t="s">
        <v>27</v>
      </c>
      <c r="S757" s="3">
        <v>2100</v>
      </c>
      <c r="T757" s="2">
        <v>3079.795166015625</v>
      </c>
      <c r="U757" s="2">
        <v>5751.6612605723349</v>
      </c>
      <c r="V757" s="2">
        <v>813.70782933944065</v>
      </c>
      <c r="W757" s="2">
        <v>4316.31201171875</v>
      </c>
      <c r="X757" s="4">
        <f t="shared" si="44"/>
        <v>0.68186352883877011</v>
      </c>
      <c r="Y757" s="4">
        <f t="shared" si="45"/>
        <v>0.36511190504133301</v>
      </c>
      <c r="Z757" s="4">
        <f t="shared" si="46"/>
        <v>2.580778904025979</v>
      </c>
      <c r="AA757" s="4">
        <f t="shared" si="47"/>
        <v>0.48652645923151944</v>
      </c>
    </row>
    <row r="758" spans="1:27" x14ac:dyDescent="0.3">
      <c r="A758" t="s">
        <v>296</v>
      </c>
      <c r="B758">
        <v>58704</v>
      </c>
      <c r="C758">
        <v>2011</v>
      </c>
      <c r="D758" t="s">
        <v>54</v>
      </c>
      <c r="E758" t="s">
        <v>277</v>
      </c>
      <c r="F758">
        <v>6</v>
      </c>
      <c r="G758" t="s">
        <v>36</v>
      </c>
      <c r="H758">
        <v>4</v>
      </c>
      <c r="I758" t="s">
        <v>23</v>
      </c>
      <c r="J758" t="s">
        <v>24</v>
      </c>
      <c r="L758" t="s">
        <v>143</v>
      </c>
      <c r="M758">
        <v>4</v>
      </c>
      <c r="N758">
        <v>0</v>
      </c>
      <c r="O758" t="s">
        <v>27</v>
      </c>
      <c r="S758" s="3">
        <v>8000</v>
      </c>
      <c r="T758" s="2">
        <v>16038.681640625</v>
      </c>
      <c r="U758" s="2">
        <v>15353.29208623976</v>
      </c>
      <c r="V758" s="2">
        <v>16349.69460072885</v>
      </c>
      <c r="W758" s="2">
        <v>13338.6064453125</v>
      </c>
      <c r="X758" s="4">
        <f t="shared" si="44"/>
        <v>0.49879411408332275</v>
      </c>
      <c r="Y758" s="4">
        <f t="shared" si="45"/>
        <v>0.52106088746725032</v>
      </c>
      <c r="Z758" s="4">
        <f t="shared" si="46"/>
        <v>0.48930577575702056</v>
      </c>
      <c r="AA758" s="4">
        <f t="shared" si="47"/>
        <v>0.59976280376810942</v>
      </c>
    </row>
    <row r="759" spans="1:27" x14ac:dyDescent="0.3">
      <c r="A759" t="s">
        <v>296</v>
      </c>
      <c r="B759">
        <v>63211</v>
      </c>
      <c r="C759">
        <v>2022</v>
      </c>
      <c r="D759" t="s">
        <v>40</v>
      </c>
      <c r="E759" t="s">
        <v>41</v>
      </c>
      <c r="F759">
        <v>4</v>
      </c>
      <c r="G759" t="s">
        <v>47</v>
      </c>
      <c r="H759">
        <v>4</v>
      </c>
      <c r="I759" t="s">
        <v>23</v>
      </c>
      <c r="J759" t="s">
        <v>42</v>
      </c>
      <c r="K759" t="s">
        <v>27</v>
      </c>
      <c r="L759" t="s">
        <v>271</v>
      </c>
      <c r="M759" t="s">
        <v>78</v>
      </c>
      <c r="N759">
        <v>0</v>
      </c>
      <c r="O759" t="s">
        <v>27</v>
      </c>
      <c r="S759" s="3">
        <v>22000</v>
      </c>
      <c r="T759" s="2">
        <v>26800.09375</v>
      </c>
      <c r="U759" s="2">
        <v>27099.388356354921</v>
      </c>
      <c r="V759" s="2">
        <v>26840.13572316918</v>
      </c>
      <c r="W759" s="2">
        <v>25221.408203125</v>
      </c>
      <c r="X759" s="4">
        <f t="shared" si="44"/>
        <v>0.82089265079529805</v>
      </c>
      <c r="Y759" s="4">
        <f t="shared" si="45"/>
        <v>0.81182644090344969</v>
      </c>
      <c r="Z759" s="4">
        <f t="shared" si="46"/>
        <v>0.8196679862914763</v>
      </c>
      <c r="AA759" s="4">
        <f t="shared" si="47"/>
        <v>0.87227484773328956</v>
      </c>
    </row>
    <row r="760" spans="1:27" x14ac:dyDescent="0.3">
      <c r="A760" t="s">
        <v>296</v>
      </c>
      <c r="B760">
        <v>116409</v>
      </c>
      <c r="C760">
        <v>2012</v>
      </c>
      <c r="D760" t="s">
        <v>28</v>
      </c>
      <c r="E760" t="s">
        <v>310</v>
      </c>
      <c r="F760">
        <v>4</v>
      </c>
      <c r="G760" t="s">
        <v>36</v>
      </c>
      <c r="H760">
        <v>4</v>
      </c>
      <c r="I760" t="s">
        <v>23</v>
      </c>
      <c r="J760" t="s">
        <v>31</v>
      </c>
      <c r="K760" t="s">
        <v>27</v>
      </c>
      <c r="L760" t="s">
        <v>60</v>
      </c>
      <c r="M760" t="s">
        <v>33</v>
      </c>
      <c r="N760">
        <v>0</v>
      </c>
      <c r="O760" t="s">
        <v>27</v>
      </c>
      <c r="S760" s="3">
        <v>5000</v>
      </c>
      <c r="T760" s="2">
        <v>6939.52783203125</v>
      </c>
      <c r="U760" s="2">
        <v>5822.2829245230023</v>
      </c>
      <c r="V760" s="2">
        <v>6368.2152202580319</v>
      </c>
      <c r="W760" s="2">
        <v>8621.775390625</v>
      </c>
      <c r="X760" s="4">
        <f t="shared" si="44"/>
        <v>0.72051011553281197</v>
      </c>
      <c r="Y760" s="4">
        <f t="shared" si="45"/>
        <v>0.85876967244933933</v>
      </c>
      <c r="Z760" s="4">
        <f t="shared" si="46"/>
        <v>0.78514934358600497</v>
      </c>
      <c r="AA760" s="4">
        <f t="shared" si="47"/>
        <v>0.57992696091768003</v>
      </c>
    </row>
    <row r="761" spans="1:27" x14ac:dyDescent="0.3">
      <c r="A761" t="s">
        <v>296</v>
      </c>
      <c r="B761">
        <v>218801</v>
      </c>
      <c r="C761">
        <v>2018</v>
      </c>
      <c r="D761" t="s">
        <v>28</v>
      </c>
      <c r="E761" t="s">
        <v>58</v>
      </c>
      <c r="F761">
        <v>4</v>
      </c>
      <c r="G761" t="s">
        <v>298</v>
      </c>
      <c r="H761">
        <v>4</v>
      </c>
      <c r="I761" t="s">
        <v>23</v>
      </c>
      <c r="J761" t="s">
        <v>24</v>
      </c>
      <c r="K761" t="s">
        <v>27</v>
      </c>
      <c r="L761" t="s">
        <v>107</v>
      </c>
      <c r="M761" t="s">
        <v>23</v>
      </c>
      <c r="N761">
        <v>0</v>
      </c>
      <c r="O761" t="s">
        <v>27</v>
      </c>
      <c r="S761" s="3">
        <v>8100</v>
      </c>
      <c r="T761" s="2">
        <v>9479.5380859375</v>
      </c>
      <c r="U761" s="2">
        <v>8548.8288223722411</v>
      </c>
      <c r="V761" s="2">
        <v>7658.265006020385</v>
      </c>
      <c r="W761" s="2">
        <v>8827.2568359375</v>
      </c>
      <c r="X761" s="4">
        <f t="shared" si="44"/>
        <v>0.85447201399148476</v>
      </c>
      <c r="Y761" s="4">
        <f t="shared" si="45"/>
        <v>0.94749820920525885</v>
      </c>
      <c r="Z761" s="4">
        <f t="shared" si="46"/>
        <v>1.0576808185186011</v>
      </c>
      <c r="AA761" s="4">
        <f t="shared" si="47"/>
        <v>0.91761236254317491</v>
      </c>
    </row>
    <row r="762" spans="1:27" x14ac:dyDescent="0.3">
      <c r="A762" t="s">
        <v>296</v>
      </c>
      <c r="B762">
        <v>182468</v>
      </c>
      <c r="C762">
        <v>2013</v>
      </c>
      <c r="D762" t="s">
        <v>40</v>
      </c>
      <c r="E762" t="s">
        <v>79</v>
      </c>
      <c r="F762">
        <v>8</v>
      </c>
      <c r="G762" t="s">
        <v>66</v>
      </c>
      <c r="H762">
        <v>4</v>
      </c>
      <c r="I762" t="s">
        <v>23</v>
      </c>
      <c r="J762" t="s">
        <v>42</v>
      </c>
      <c r="K762" t="s">
        <v>27</v>
      </c>
      <c r="L762" t="s">
        <v>130</v>
      </c>
      <c r="M762">
        <v>4</v>
      </c>
      <c r="N762">
        <v>0</v>
      </c>
      <c r="O762" t="s">
        <v>27</v>
      </c>
      <c r="S762" s="3">
        <v>17250</v>
      </c>
      <c r="T762" s="2">
        <v>11440.7197265625</v>
      </c>
      <c r="U762" s="2">
        <v>17678.081948650011</v>
      </c>
      <c r="V762" s="2">
        <v>10108.24951223847</v>
      </c>
      <c r="W762" s="2">
        <v>12212.33203125</v>
      </c>
      <c r="X762" s="4">
        <f t="shared" si="44"/>
        <v>1.507772274147211</v>
      </c>
      <c r="Y762" s="4">
        <f t="shared" si="45"/>
        <v>0.97578459304049658</v>
      </c>
      <c r="Z762" s="4">
        <f t="shared" si="46"/>
        <v>1.7065269292289156</v>
      </c>
      <c r="AA762" s="4">
        <f t="shared" si="47"/>
        <v>1.4125066331196341</v>
      </c>
    </row>
    <row r="763" spans="1:27" x14ac:dyDescent="0.3">
      <c r="A763" t="s">
        <v>296</v>
      </c>
      <c r="B763">
        <v>49177</v>
      </c>
      <c r="C763">
        <v>2017</v>
      </c>
      <c r="D763" t="s">
        <v>54</v>
      </c>
      <c r="E763" t="s">
        <v>277</v>
      </c>
      <c r="F763">
        <v>6</v>
      </c>
      <c r="G763" t="s">
        <v>256</v>
      </c>
      <c r="H763">
        <v>4</v>
      </c>
      <c r="I763" t="s">
        <v>23</v>
      </c>
      <c r="J763" t="s">
        <v>24</v>
      </c>
      <c r="K763" t="s">
        <v>27</v>
      </c>
      <c r="L763" t="s">
        <v>26</v>
      </c>
      <c r="M763">
        <v>4</v>
      </c>
      <c r="N763">
        <v>0</v>
      </c>
      <c r="O763" t="s">
        <v>27</v>
      </c>
      <c r="S763" s="3">
        <v>20000</v>
      </c>
      <c r="T763" s="2">
        <v>24034.50390625</v>
      </c>
      <c r="U763" s="2">
        <v>24346.7421172738</v>
      </c>
      <c r="V763" s="2">
        <v>25168.577319452739</v>
      </c>
      <c r="W763" s="2">
        <v>22608.640625</v>
      </c>
      <c r="X763" s="4">
        <f t="shared" si="44"/>
        <v>0.83213700095549481</v>
      </c>
      <c r="Y763" s="4">
        <f t="shared" si="45"/>
        <v>0.82146514320740172</v>
      </c>
      <c r="Z763" s="4">
        <f t="shared" si="46"/>
        <v>0.79464165757760341</v>
      </c>
      <c r="AA763" s="4">
        <f t="shared" si="47"/>
        <v>0.88461753768090601</v>
      </c>
    </row>
    <row r="764" spans="1:27" x14ac:dyDescent="0.3">
      <c r="A764" t="s">
        <v>296</v>
      </c>
      <c r="B764">
        <v>181935</v>
      </c>
      <c r="C764">
        <v>2014</v>
      </c>
      <c r="D764" t="s">
        <v>34</v>
      </c>
      <c r="E764" t="s">
        <v>330</v>
      </c>
      <c r="F764">
        <v>6</v>
      </c>
      <c r="G764" t="s">
        <v>30</v>
      </c>
      <c r="H764">
        <v>4</v>
      </c>
      <c r="I764" t="s">
        <v>23</v>
      </c>
      <c r="J764" t="s">
        <v>62</v>
      </c>
      <c r="K764" t="s">
        <v>27</v>
      </c>
      <c r="L764" t="s">
        <v>319</v>
      </c>
      <c r="M764">
        <v>4</v>
      </c>
      <c r="N764">
        <v>0</v>
      </c>
      <c r="O764" t="s">
        <v>27</v>
      </c>
      <c r="S764" s="3">
        <v>14500</v>
      </c>
      <c r="T764" s="2">
        <v>9564.7822265625</v>
      </c>
      <c r="U764" s="2">
        <v>8385.2581141948504</v>
      </c>
      <c r="V764" s="2">
        <v>6789.5386686721222</v>
      </c>
      <c r="W764" s="2">
        <v>9403.9638671875</v>
      </c>
      <c r="X764" s="4">
        <f t="shared" si="44"/>
        <v>1.5159780595664618</v>
      </c>
      <c r="Y764" s="4">
        <f t="shared" si="45"/>
        <v>1.7292252429837438</v>
      </c>
      <c r="Z764" s="4">
        <f t="shared" si="46"/>
        <v>2.1356384737751064</v>
      </c>
      <c r="AA764" s="4">
        <f t="shared" si="47"/>
        <v>1.5419029895035743</v>
      </c>
    </row>
    <row r="765" spans="1:27" x14ac:dyDescent="0.3">
      <c r="A765" t="s">
        <v>296</v>
      </c>
      <c r="B765">
        <v>214058</v>
      </c>
      <c r="C765">
        <v>2014</v>
      </c>
      <c r="D765" t="s">
        <v>54</v>
      </c>
      <c r="E765" t="s">
        <v>219</v>
      </c>
      <c r="F765">
        <v>6</v>
      </c>
      <c r="G765" t="s">
        <v>22</v>
      </c>
      <c r="H765">
        <v>4</v>
      </c>
      <c r="I765" t="s">
        <v>23</v>
      </c>
      <c r="J765" t="s">
        <v>24</v>
      </c>
      <c r="L765" t="s">
        <v>26</v>
      </c>
      <c r="M765" t="s">
        <v>78</v>
      </c>
      <c r="N765">
        <v>0</v>
      </c>
      <c r="O765" t="s">
        <v>27</v>
      </c>
      <c r="S765" s="3">
        <v>3000</v>
      </c>
      <c r="T765" s="2">
        <v>5126.61865234375</v>
      </c>
      <c r="U765" s="2">
        <v>9588.8776878408771</v>
      </c>
      <c r="V765" s="2">
        <v>3989.0023820183492</v>
      </c>
      <c r="W765" s="2">
        <v>4863.583984375</v>
      </c>
      <c r="X765" s="4">
        <f t="shared" si="44"/>
        <v>0.58518103323883508</v>
      </c>
      <c r="Y765" s="4">
        <f t="shared" si="45"/>
        <v>0.31286247438572851</v>
      </c>
      <c r="Z765" s="4">
        <f t="shared" si="46"/>
        <v>0.75206773842086916</v>
      </c>
      <c r="AA765" s="4">
        <f t="shared" si="47"/>
        <v>0.61682907288903699</v>
      </c>
    </row>
    <row r="766" spans="1:27" x14ac:dyDescent="0.3">
      <c r="A766" t="s">
        <v>296</v>
      </c>
      <c r="B766">
        <v>126107</v>
      </c>
      <c r="C766">
        <v>2015</v>
      </c>
      <c r="D766" t="s">
        <v>54</v>
      </c>
      <c r="E766" t="s">
        <v>275</v>
      </c>
      <c r="F766">
        <v>4</v>
      </c>
      <c r="G766" t="s">
        <v>30</v>
      </c>
      <c r="H766">
        <v>4</v>
      </c>
      <c r="I766" t="s">
        <v>23</v>
      </c>
      <c r="J766" t="s">
        <v>24</v>
      </c>
      <c r="K766" t="s">
        <v>27</v>
      </c>
      <c r="L766" t="s">
        <v>60</v>
      </c>
      <c r="M766" t="s">
        <v>33</v>
      </c>
      <c r="N766">
        <v>0</v>
      </c>
      <c r="O766" t="s">
        <v>27</v>
      </c>
      <c r="S766" s="3">
        <v>5000</v>
      </c>
      <c r="T766" s="2">
        <v>5606.185546875</v>
      </c>
      <c r="U766" s="2">
        <v>6035.6585485599608</v>
      </c>
      <c r="V766" s="2">
        <v>4408.4111016746101</v>
      </c>
      <c r="W766" s="2">
        <v>5689.71142578125</v>
      </c>
      <c r="X766" s="4">
        <f t="shared" si="44"/>
        <v>0.8918720149723014</v>
      </c>
      <c r="Y766" s="4">
        <f t="shared" si="45"/>
        <v>0.82841001686434745</v>
      </c>
      <c r="Z766" s="4">
        <f t="shared" si="46"/>
        <v>1.1341954923624671</v>
      </c>
      <c r="AA766" s="4">
        <f t="shared" si="47"/>
        <v>0.87877919033713625</v>
      </c>
    </row>
    <row r="767" spans="1:27" x14ac:dyDescent="0.3">
      <c r="A767" t="s">
        <v>296</v>
      </c>
      <c r="B767">
        <v>131446</v>
      </c>
      <c r="C767">
        <v>2015</v>
      </c>
      <c r="D767" t="s">
        <v>85</v>
      </c>
      <c r="E767" t="s">
        <v>86</v>
      </c>
      <c r="F767">
        <v>4</v>
      </c>
      <c r="G767" t="s">
        <v>36</v>
      </c>
      <c r="H767">
        <v>4</v>
      </c>
      <c r="I767" t="s">
        <v>23</v>
      </c>
      <c r="J767" t="s">
        <v>31</v>
      </c>
      <c r="L767" t="s">
        <v>127</v>
      </c>
      <c r="M767" t="s">
        <v>33</v>
      </c>
      <c r="N767">
        <v>0</v>
      </c>
      <c r="O767" t="s">
        <v>27</v>
      </c>
      <c r="S767" s="3">
        <v>3600</v>
      </c>
      <c r="T767" s="2">
        <v>6770.2529296875</v>
      </c>
      <c r="U767" s="2">
        <v>5691.4720216192381</v>
      </c>
      <c r="V767" s="2">
        <v>4512.890666149915</v>
      </c>
      <c r="W767" s="2">
        <v>7094.810546875</v>
      </c>
      <c r="X767" s="4">
        <f t="shared" si="44"/>
        <v>0.53173788887768603</v>
      </c>
      <c r="Y767" s="4">
        <f t="shared" si="45"/>
        <v>0.63252529158103299</v>
      </c>
      <c r="Z767" s="4">
        <f t="shared" si="46"/>
        <v>0.79771487197833446</v>
      </c>
      <c r="AA767" s="4">
        <f t="shared" si="47"/>
        <v>0.50741312628646107</v>
      </c>
    </row>
    <row r="768" spans="1:27" x14ac:dyDescent="0.3">
      <c r="A768" t="s">
        <v>296</v>
      </c>
      <c r="B768">
        <v>145508</v>
      </c>
      <c r="C768">
        <v>2017</v>
      </c>
      <c r="D768" t="s">
        <v>40</v>
      </c>
      <c r="E768" t="s">
        <v>63</v>
      </c>
      <c r="F768">
        <v>4</v>
      </c>
      <c r="G768" t="s">
        <v>22</v>
      </c>
      <c r="H768">
        <v>4</v>
      </c>
      <c r="I768" t="s">
        <v>23</v>
      </c>
      <c r="J768" t="s">
        <v>24</v>
      </c>
      <c r="K768" t="s">
        <v>27</v>
      </c>
      <c r="L768" t="s">
        <v>60</v>
      </c>
      <c r="M768" t="s">
        <v>33</v>
      </c>
      <c r="N768">
        <v>0</v>
      </c>
      <c r="O768" t="s">
        <v>39</v>
      </c>
      <c r="S768" s="3">
        <v>1700</v>
      </c>
      <c r="T768" s="2">
        <v>4012.62353515625</v>
      </c>
      <c r="U768" s="2">
        <v>3098.5462661493739</v>
      </c>
      <c r="V768" s="2">
        <v>2514.1451394580581</v>
      </c>
      <c r="W768" s="2">
        <v>3163.038818359375</v>
      </c>
      <c r="X768" s="4">
        <f t="shared" si="44"/>
        <v>0.42366296890440847</v>
      </c>
      <c r="Y768" s="4">
        <f t="shared" si="45"/>
        <v>0.5486443815836981</v>
      </c>
      <c r="Z768" s="4">
        <f t="shared" si="46"/>
        <v>0.67617416883356507</v>
      </c>
      <c r="AA768" s="4">
        <f t="shared" si="47"/>
        <v>0.5374578364744087</v>
      </c>
    </row>
    <row r="769" spans="1:27" x14ac:dyDescent="0.3">
      <c r="A769" t="s">
        <v>296</v>
      </c>
      <c r="B769">
        <v>138953</v>
      </c>
      <c r="C769">
        <v>2015</v>
      </c>
      <c r="D769" t="s">
        <v>81</v>
      </c>
      <c r="E769" t="s">
        <v>207</v>
      </c>
      <c r="F769">
        <v>8</v>
      </c>
      <c r="G769" t="s">
        <v>30</v>
      </c>
      <c r="H769">
        <v>4</v>
      </c>
      <c r="I769" t="s">
        <v>23</v>
      </c>
      <c r="J769" t="s">
        <v>31</v>
      </c>
      <c r="L769" t="s">
        <v>84</v>
      </c>
      <c r="M769" t="s">
        <v>78</v>
      </c>
      <c r="N769">
        <v>0</v>
      </c>
      <c r="O769" t="s">
        <v>27</v>
      </c>
      <c r="S769" s="3">
        <v>6400</v>
      </c>
      <c r="T769" s="2">
        <v>12896.5341796875</v>
      </c>
      <c r="U769" s="2">
        <v>18252.05538391072</v>
      </c>
      <c r="V769" s="2">
        <v>7864.2944585467794</v>
      </c>
      <c r="W769" s="2">
        <v>11936.4111328125</v>
      </c>
      <c r="X769" s="4">
        <f t="shared" si="44"/>
        <v>0.4962573595997774</v>
      </c>
      <c r="Y769" s="4">
        <f t="shared" si="45"/>
        <v>0.35064544049332835</v>
      </c>
      <c r="Z769" s="4">
        <f t="shared" si="46"/>
        <v>0.81380472637880319</v>
      </c>
      <c r="AA769" s="4">
        <f t="shared" si="47"/>
        <v>0.53617456107948325</v>
      </c>
    </row>
    <row r="770" spans="1:27" x14ac:dyDescent="0.3">
      <c r="A770" t="s">
        <v>296</v>
      </c>
      <c r="B770">
        <v>159506</v>
      </c>
      <c r="C770">
        <v>2018</v>
      </c>
      <c r="D770" t="s">
        <v>34</v>
      </c>
      <c r="E770" t="s">
        <v>116</v>
      </c>
      <c r="F770">
        <v>4</v>
      </c>
      <c r="G770" t="s">
        <v>47</v>
      </c>
      <c r="H770">
        <v>4</v>
      </c>
      <c r="I770" t="s">
        <v>23</v>
      </c>
      <c r="J770" t="s">
        <v>37</v>
      </c>
      <c r="K770" t="s">
        <v>27</v>
      </c>
      <c r="L770" t="s">
        <v>128</v>
      </c>
      <c r="M770" t="s">
        <v>33</v>
      </c>
      <c r="N770">
        <v>0</v>
      </c>
      <c r="O770" t="s">
        <v>27</v>
      </c>
      <c r="S770" s="3">
        <v>9000</v>
      </c>
      <c r="T770" s="2">
        <v>6535.7734375</v>
      </c>
      <c r="U770" s="2">
        <v>5906.3595408453211</v>
      </c>
      <c r="V770" s="2">
        <v>8677.5423658005384</v>
      </c>
      <c r="W770" s="2">
        <v>6503.99951171875</v>
      </c>
      <c r="X770" s="4">
        <f t="shared" ref="X770:X833" si="48">S770/T770</f>
        <v>1.3770367173930973</v>
      </c>
      <c r="Y770" s="4">
        <f t="shared" ref="Y770:Y833" si="49">S770/U770</f>
        <v>1.5237812628507739</v>
      </c>
      <c r="Z770" s="4">
        <f t="shared" ref="Z770:Z833" si="50">S770/V770</f>
        <v>1.0371600184252991</v>
      </c>
      <c r="AA770" s="4">
        <f t="shared" ref="AA770:AA833" si="51">S770/W770</f>
        <v>1.3837639415230607</v>
      </c>
    </row>
    <row r="771" spans="1:27" x14ac:dyDescent="0.3">
      <c r="A771" t="s">
        <v>386</v>
      </c>
      <c r="B771">
        <v>13658</v>
      </c>
      <c r="C771">
        <v>2023</v>
      </c>
      <c r="D771" t="s">
        <v>44</v>
      </c>
      <c r="E771" t="s">
        <v>417</v>
      </c>
      <c r="F771">
        <v>6</v>
      </c>
      <c r="G771" t="s">
        <v>47</v>
      </c>
      <c r="H771">
        <v>3</v>
      </c>
      <c r="I771" t="s">
        <v>23</v>
      </c>
      <c r="J771" t="s">
        <v>418</v>
      </c>
      <c r="K771" t="s">
        <v>25</v>
      </c>
      <c r="L771" t="s">
        <v>53</v>
      </c>
      <c r="M771" t="s">
        <v>23</v>
      </c>
      <c r="S771" s="3">
        <v>39500</v>
      </c>
      <c r="T771" s="2">
        <v>51432.125</v>
      </c>
      <c r="U771" s="2">
        <v>54704.533163201122</v>
      </c>
      <c r="V771" s="2">
        <v>62093.788517261703</v>
      </c>
      <c r="W771" s="2">
        <v>58443.43359375</v>
      </c>
      <c r="X771" s="4">
        <f t="shared" si="48"/>
        <v>0.76800248871692545</v>
      </c>
      <c r="Y771" s="4">
        <f t="shared" si="49"/>
        <v>0.72206081865572025</v>
      </c>
      <c r="Z771" s="4">
        <f t="shared" si="50"/>
        <v>0.63613448209911105</v>
      </c>
      <c r="AA771" s="4">
        <f t="shared" si="51"/>
        <v>0.6758672030560533</v>
      </c>
    </row>
    <row r="772" spans="1:27" x14ac:dyDescent="0.3">
      <c r="A772" t="s">
        <v>419</v>
      </c>
      <c r="B772">
        <v>16846</v>
      </c>
      <c r="C772">
        <v>2024</v>
      </c>
      <c r="D772" t="s">
        <v>282</v>
      </c>
      <c r="E772" t="s">
        <v>420</v>
      </c>
      <c r="F772">
        <v>6</v>
      </c>
      <c r="G772" t="s">
        <v>47</v>
      </c>
      <c r="H772">
        <v>4</v>
      </c>
      <c r="I772" t="s">
        <v>23</v>
      </c>
      <c r="J772" t="s">
        <v>165</v>
      </c>
      <c r="K772" t="s">
        <v>25</v>
      </c>
      <c r="L772" t="s">
        <v>380</v>
      </c>
      <c r="M772" t="s">
        <v>23</v>
      </c>
      <c r="S772" s="3">
        <v>84500</v>
      </c>
      <c r="T772" s="2">
        <v>71000.0234375</v>
      </c>
      <c r="U772" s="2">
        <v>73968.251098084031</v>
      </c>
      <c r="V772" s="2">
        <v>74840.73763984369</v>
      </c>
      <c r="W772" s="2">
        <v>93241.7734375</v>
      </c>
      <c r="X772" s="4">
        <f t="shared" si="48"/>
        <v>1.1901404521983543</v>
      </c>
      <c r="Y772" s="4">
        <f t="shared" si="49"/>
        <v>1.1423820185764642</v>
      </c>
      <c r="Z772" s="4">
        <f t="shared" si="50"/>
        <v>1.1290642324590601</v>
      </c>
      <c r="AA772" s="4">
        <f t="shared" si="51"/>
        <v>0.90624616933782776</v>
      </c>
    </row>
    <row r="773" spans="1:27" x14ac:dyDescent="0.3">
      <c r="A773" t="s">
        <v>395</v>
      </c>
      <c r="B773">
        <v>156613</v>
      </c>
      <c r="C773">
        <v>2016</v>
      </c>
      <c r="D773" t="s">
        <v>34</v>
      </c>
      <c r="E773" t="s">
        <v>88</v>
      </c>
      <c r="F773">
        <v>4</v>
      </c>
      <c r="G773" t="s">
        <v>148</v>
      </c>
      <c r="H773">
        <v>4</v>
      </c>
      <c r="I773" t="s">
        <v>23</v>
      </c>
      <c r="J773" t="s">
        <v>37</v>
      </c>
      <c r="L773" t="s">
        <v>89</v>
      </c>
      <c r="M773" t="s">
        <v>33</v>
      </c>
      <c r="N773">
        <v>2</v>
      </c>
      <c r="O773" t="s">
        <v>27</v>
      </c>
      <c r="S773" s="3">
        <v>3400</v>
      </c>
      <c r="T773" s="2">
        <v>4129.5234375</v>
      </c>
      <c r="U773" s="2">
        <v>3843.4065039869979</v>
      </c>
      <c r="V773" s="2">
        <v>2803.4679139808131</v>
      </c>
      <c r="W773" s="2">
        <v>4203.29833984375</v>
      </c>
      <c r="X773" s="4">
        <f t="shared" si="48"/>
        <v>0.82333955756849975</v>
      </c>
      <c r="Y773" s="4">
        <f t="shared" si="49"/>
        <v>0.88463190049581653</v>
      </c>
      <c r="Z773" s="4">
        <f t="shared" si="50"/>
        <v>1.2127836323876933</v>
      </c>
      <c r="AA773" s="4">
        <f t="shared" si="51"/>
        <v>0.8088885739493783</v>
      </c>
    </row>
    <row r="774" spans="1:27" x14ac:dyDescent="0.3">
      <c r="A774" t="s">
        <v>296</v>
      </c>
      <c r="B774">
        <v>137293</v>
      </c>
      <c r="C774">
        <v>2019</v>
      </c>
      <c r="D774" t="s">
        <v>54</v>
      </c>
      <c r="E774" t="s">
        <v>275</v>
      </c>
      <c r="F774">
        <v>6</v>
      </c>
      <c r="G774" t="s">
        <v>36</v>
      </c>
      <c r="H774">
        <v>4</v>
      </c>
      <c r="I774" t="s">
        <v>23</v>
      </c>
      <c r="J774" t="s">
        <v>24</v>
      </c>
      <c r="L774" t="s">
        <v>301</v>
      </c>
      <c r="M774" t="s">
        <v>33</v>
      </c>
      <c r="N774">
        <v>3.6</v>
      </c>
      <c r="O774" t="s">
        <v>27</v>
      </c>
      <c r="S774" s="3">
        <v>6600</v>
      </c>
      <c r="T774" s="2">
        <v>11982.375</v>
      </c>
      <c r="U774" s="2">
        <v>10810.992579473899</v>
      </c>
      <c r="V774" s="2">
        <v>8383.781416514048</v>
      </c>
      <c r="W774" s="2">
        <v>12029.5537109375</v>
      </c>
      <c r="X774" s="4">
        <f t="shared" si="48"/>
        <v>0.55080900071980721</v>
      </c>
      <c r="Y774" s="4">
        <f t="shared" si="49"/>
        <v>0.61048973546896834</v>
      </c>
      <c r="Z774" s="4">
        <f t="shared" si="50"/>
        <v>0.78723426483896342</v>
      </c>
      <c r="AA774" s="4">
        <f t="shared" si="51"/>
        <v>0.54864878270580841</v>
      </c>
    </row>
    <row r="775" spans="1:27" x14ac:dyDescent="0.3">
      <c r="A775" t="s">
        <v>296</v>
      </c>
      <c r="B775">
        <v>91954</v>
      </c>
      <c r="C775">
        <v>2017</v>
      </c>
      <c r="D775" t="s">
        <v>34</v>
      </c>
      <c r="E775" t="s">
        <v>116</v>
      </c>
      <c r="F775">
        <v>4</v>
      </c>
      <c r="G775" t="s">
        <v>66</v>
      </c>
      <c r="H775">
        <v>4</v>
      </c>
      <c r="I775" t="s">
        <v>23</v>
      </c>
      <c r="J775" t="s">
        <v>37</v>
      </c>
      <c r="L775" t="s">
        <v>128</v>
      </c>
      <c r="M775" t="s">
        <v>33</v>
      </c>
      <c r="N775">
        <v>2.4</v>
      </c>
      <c r="O775" t="s">
        <v>27</v>
      </c>
      <c r="S775" s="3">
        <v>11200</v>
      </c>
      <c r="T775" s="2">
        <v>8922.126953125</v>
      </c>
      <c r="U775" s="2">
        <v>8223.4611926485668</v>
      </c>
      <c r="V775" s="2">
        <v>7312.4745454186723</v>
      </c>
      <c r="W775" s="2">
        <v>8857.0458984375</v>
      </c>
      <c r="X775" s="4">
        <f t="shared" si="48"/>
        <v>1.2553060563745027</v>
      </c>
      <c r="Y775" s="4">
        <f t="shared" si="49"/>
        <v>1.3619569348746166</v>
      </c>
      <c r="Z775" s="4">
        <f t="shared" si="50"/>
        <v>1.5316292631769768</v>
      </c>
      <c r="AA775" s="4">
        <f t="shared" si="51"/>
        <v>1.2645299717793974</v>
      </c>
    </row>
    <row r="776" spans="1:27" x14ac:dyDescent="0.3">
      <c r="A776" t="s">
        <v>296</v>
      </c>
      <c r="B776">
        <v>97717</v>
      </c>
      <c r="C776">
        <v>2017</v>
      </c>
      <c r="D776" t="s">
        <v>34</v>
      </c>
      <c r="E776" t="s">
        <v>116</v>
      </c>
      <c r="F776">
        <v>4</v>
      </c>
      <c r="G776" t="s">
        <v>22</v>
      </c>
      <c r="H776">
        <v>4</v>
      </c>
      <c r="I776" t="s">
        <v>23</v>
      </c>
      <c r="J776" t="s">
        <v>37</v>
      </c>
      <c r="L776" t="s">
        <v>128</v>
      </c>
      <c r="M776" t="s">
        <v>33</v>
      </c>
      <c r="N776">
        <v>3.6</v>
      </c>
      <c r="O776" t="s">
        <v>27</v>
      </c>
      <c r="S776" s="3">
        <v>12000</v>
      </c>
      <c r="T776" s="2">
        <v>10430.0087890625</v>
      </c>
      <c r="U776" s="2">
        <v>10734.8945086033</v>
      </c>
      <c r="V776" s="2">
        <v>10169.516528460181</v>
      </c>
      <c r="W776" s="2">
        <v>11211.912109375</v>
      </c>
      <c r="X776" s="4">
        <f t="shared" si="48"/>
        <v>1.1505263555083369</v>
      </c>
      <c r="Y776" s="4">
        <f t="shared" si="49"/>
        <v>1.1178498298593249</v>
      </c>
      <c r="Z776" s="4">
        <f t="shared" si="50"/>
        <v>1.1799970988214699</v>
      </c>
      <c r="AA776" s="4">
        <f t="shared" si="51"/>
        <v>1.0702902308666895</v>
      </c>
    </row>
    <row r="777" spans="1:27" x14ac:dyDescent="0.3">
      <c r="A777" t="s">
        <v>296</v>
      </c>
      <c r="B777">
        <v>68699</v>
      </c>
      <c r="C777">
        <v>2019</v>
      </c>
      <c r="D777" t="s">
        <v>125</v>
      </c>
      <c r="E777" t="s">
        <v>230</v>
      </c>
      <c r="F777">
        <v>4</v>
      </c>
      <c r="G777" t="s">
        <v>47</v>
      </c>
      <c r="H777">
        <v>4</v>
      </c>
      <c r="I777" t="s">
        <v>23</v>
      </c>
      <c r="J777" t="s">
        <v>31</v>
      </c>
      <c r="K777" t="s">
        <v>27</v>
      </c>
      <c r="L777" t="s">
        <v>60</v>
      </c>
      <c r="M777" t="s">
        <v>33</v>
      </c>
      <c r="N777">
        <v>3.7</v>
      </c>
      <c r="O777" t="s">
        <v>27</v>
      </c>
      <c r="S777" s="3">
        <v>11300</v>
      </c>
      <c r="T777" s="2">
        <v>12327.1181640625</v>
      </c>
      <c r="U777" s="2">
        <v>14864.564615395509</v>
      </c>
      <c r="V777" s="2">
        <v>12875.82676875735</v>
      </c>
      <c r="W777" s="2">
        <v>14112.6064453125</v>
      </c>
      <c r="X777" s="4">
        <f t="shared" si="48"/>
        <v>0.91667816026483151</v>
      </c>
      <c r="Y777" s="4">
        <f t="shared" si="49"/>
        <v>0.76019717310094481</v>
      </c>
      <c r="Z777" s="4">
        <f t="shared" si="50"/>
        <v>0.87761354691560256</v>
      </c>
      <c r="AA777" s="4">
        <f t="shared" si="51"/>
        <v>0.80070255227398435</v>
      </c>
    </row>
    <row r="778" spans="1:27" x14ac:dyDescent="0.3">
      <c r="A778" t="s">
        <v>296</v>
      </c>
      <c r="B778">
        <v>154893</v>
      </c>
      <c r="C778">
        <v>2020</v>
      </c>
      <c r="D778" t="s">
        <v>74</v>
      </c>
      <c r="E778" t="s">
        <v>217</v>
      </c>
      <c r="F778">
        <v>6</v>
      </c>
      <c r="G778" t="s">
        <v>66</v>
      </c>
      <c r="H778">
        <v>4</v>
      </c>
      <c r="I778" t="s">
        <v>23</v>
      </c>
      <c r="J778" t="s">
        <v>42</v>
      </c>
      <c r="K778" t="s">
        <v>27</v>
      </c>
      <c r="L778" t="s">
        <v>255</v>
      </c>
      <c r="M778">
        <v>4</v>
      </c>
      <c r="N778">
        <v>2.1</v>
      </c>
      <c r="O778" t="s">
        <v>27</v>
      </c>
      <c r="S778" s="3">
        <v>31400</v>
      </c>
      <c r="T778" s="2">
        <v>15076.9091796875</v>
      </c>
      <c r="U778" s="2">
        <v>17580.608768074399</v>
      </c>
      <c r="V778" s="2">
        <v>24589.291887540181</v>
      </c>
      <c r="W778" s="2">
        <v>18481.322265625</v>
      </c>
      <c r="X778" s="4">
        <f t="shared" si="48"/>
        <v>2.0826549809230084</v>
      </c>
      <c r="Y778" s="4">
        <f t="shared" si="49"/>
        <v>1.7860587431432409</v>
      </c>
      <c r="Z778" s="4">
        <f t="shared" si="50"/>
        <v>1.2769786191326202</v>
      </c>
      <c r="AA778" s="4">
        <f t="shared" si="51"/>
        <v>1.6990126327921655</v>
      </c>
    </row>
    <row r="779" spans="1:27" x14ac:dyDescent="0.3">
      <c r="A779" t="s">
        <v>296</v>
      </c>
      <c r="B779">
        <v>190253</v>
      </c>
      <c r="C779">
        <v>2014</v>
      </c>
      <c r="D779" t="s">
        <v>100</v>
      </c>
      <c r="E779" t="s">
        <v>412</v>
      </c>
      <c r="F779">
        <v>6</v>
      </c>
      <c r="G779" t="s">
        <v>36</v>
      </c>
      <c r="H779">
        <v>4</v>
      </c>
      <c r="I779" t="s">
        <v>23</v>
      </c>
      <c r="J779" t="s">
        <v>24</v>
      </c>
      <c r="K779" t="s">
        <v>27</v>
      </c>
      <c r="L779" t="s">
        <v>53</v>
      </c>
      <c r="M779" t="s">
        <v>33</v>
      </c>
      <c r="N779">
        <v>0</v>
      </c>
      <c r="O779" t="s">
        <v>27</v>
      </c>
      <c r="S779" s="3">
        <v>1500</v>
      </c>
      <c r="T779" s="2">
        <v>2073.173828125</v>
      </c>
      <c r="U779" s="2">
        <v>3046.6100263543658</v>
      </c>
      <c r="V779" s="2">
        <v>3140.5979484920249</v>
      </c>
      <c r="W779" s="2">
        <v>2981.28466796875</v>
      </c>
      <c r="X779" s="4">
        <f t="shared" si="48"/>
        <v>0.72352833112726278</v>
      </c>
      <c r="Y779" s="4">
        <f t="shared" si="49"/>
        <v>0.49235050991902951</v>
      </c>
      <c r="Z779" s="4">
        <f t="shared" si="50"/>
        <v>0.4776160542040197</v>
      </c>
      <c r="AA779" s="4">
        <f t="shared" si="51"/>
        <v>0.50313880325356541</v>
      </c>
    </row>
    <row r="780" spans="1:27" x14ac:dyDescent="0.3">
      <c r="A780" t="s">
        <v>296</v>
      </c>
      <c r="B780">
        <v>81452</v>
      </c>
      <c r="C780">
        <v>2018</v>
      </c>
      <c r="D780" t="s">
        <v>226</v>
      </c>
      <c r="E780" t="s">
        <v>421</v>
      </c>
      <c r="F780">
        <v>6</v>
      </c>
      <c r="G780" t="s">
        <v>47</v>
      </c>
      <c r="H780">
        <v>4</v>
      </c>
      <c r="I780" t="s">
        <v>23</v>
      </c>
      <c r="J780" t="s">
        <v>24</v>
      </c>
      <c r="K780" t="s">
        <v>27</v>
      </c>
      <c r="L780" t="s">
        <v>218</v>
      </c>
      <c r="M780" t="s">
        <v>23</v>
      </c>
      <c r="N780">
        <v>2.4</v>
      </c>
      <c r="O780" t="s">
        <v>123</v>
      </c>
      <c r="S780" s="3">
        <v>6100</v>
      </c>
      <c r="T780" s="2">
        <v>6117.75634765625</v>
      </c>
      <c r="U780" s="2">
        <v>10727.632665555069</v>
      </c>
      <c r="V780" s="2">
        <v>10380.666138327289</v>
      </c>
      <c r="W780" s="2">
        <v>10698.2548828125</v>
      </c>
      <c r="X780" s="4">
        <f t="shared" si="48"/>
        <v>0.9970975719451376</v>
      </c>
      <c r="Y780" s="4">
        <f t="shared" si="49"/>
        <v>0.56862498839900144</v>
      </c>
      <c r="Z780" s="4">
        <f t="shared" si="50"/>
        <v>0.58763088213363313</v>
      </c>
      <c r="AA780" s="4">
        <f t="shared" si="51"/>
        <v>0.57018645254003808</v>
      </c>
    </row>
    <row r="781" spans="1:27" x14ac:dyDescent="0.3">
      <c r="A781" t="s">
        <v>296</v>
      </c>
      <c r="B781">
        <v>166121</v>
      </c>
      <c r="C781">
        <v>2014</v>
      </c>
      <c r="D781" t="s">
        <v>81</v>
      </c>
      <c r="E781" t="s">
        <v>201</v>
      </c>
      <c r="F781">
        <v>4</v>
      </c>
      <c r="G781" t="s">
        <v>66</v>
      </c>
      <c r="H781">
        <v>4</v>
      </c>
      <c r="I781" t="s">
        <v>23</v>
      </c>
      <c r="J781" t="s">
        <v>24</v>
      </c>
      <c r="L781" t="s">
        <v>60</v>
      </c>
      <c r="M781" t="s">
        <v>33</v>
      </c>
      <c r="N781">
        <v>0</v>
      </c>
      <c r="O781" t="s">
        <v>39</v>
      </c>
      <c r="S781" s="3">
        <v>500</v>
      </c>
      <c r="T781" s="2">
        <v>3600.66552734375</v>
      </c>
      <c r="U781" s="2">
        <v>2154.409568673123</v>
      </c>
      <c r="V781" s="2">
        <v>1691.8885265341</v>
      </c>
      <c r="W781" s="2">
        <v>2338.786376953125</v>
      </c>
      <c r="X781" s="4">
        <f t="shared" si="48"/>
        <v>0.13886321742548952</v>
      </c>
      <c r="Y781" s="4">
        <f t="shared" si="49"/>
        <v>0.2320821478285322</v>
      </c>
      <c r="Z781" s="4">
        <f t="shared" si="50"/>
        <v>0.29552774438648721</v>
      </c>
      <c r="AA781" s="4">
        <f t="shared" si="51"/>
        <v>0.21378609219170308</v>
      </c>
    </row>
    <row r="782" spans="1:27" x14ac:dyDescent="0.3">
      <c r="A782" t="s">
        <v>296</v>
      </c>
      <c r="B782">
        <v>67493</v>
      </c>
      <c r="C782">
        <v>2019</v>
      </c>
      <c r="D782" t="s">
        <v>20</v>
      </c>
      <c r="E782" t="s">
        <v>154</v>
      </c>
      <c r="F782">
        <v>6</v>
      </c>
      <c r="G782" t="s">
        <v>47</v>
      </c>
      <c r="H782">
        <v>4</v>
      </c>
      <c r="I782" t="s">
        <v>23</v>
      </c>
      <c r="J782" t="s">
        <v>24</v>
      </c>
      <c r="L782" t="s">
        <v>26</v>
      </c>
      <c r="M782" t="s">
        <v>33</v>
      </c>
      <c r="N782">
        <v>0</v>
      </c>
      <c r="O782" t="s">
        <v>27</v>
      </c>
      <c r="S782" s="3">
        <v>19000</v>
      </c>
      <c r="T782" s="2">
        <v>24169.248046875</v>
      </c>
      <c r="U782" s="2">
        <v>23275.117577590951</v>
      </c>
      <c r="V782" s="2">
        <v>19812.016366327101</v>
      </c>
      <c r="W782" s="2">
        <v>23748.130859375</v>
      </c>
      <c r="X782" s="4">
        <f t="shared" si="48"/>
        <v>0.78612292625531788</v>
      </c>
      <c r="Y782" s="4">
        <f t="shared" si="49"/>
        <v>0.81632240682182455</v>
      </c>
      <c r="Z782" s="4">
        <f t="shared" si="50"/>
        <v>0.95901394631859782</v>
      </c>
      <c r="AA782" s="4">
        <f t="shared" si="51"/>
        <v>0.80006296548174061</v>
      </c>
    </row>
    <row r="783" spans="1:27" x14ac:dyDescent="0.3">
      <c r="A783" t="s">
        <v>296</v>
      </c>
      <c r="B783">
        <v>49718</v>
      </c>
      <c r="C783">
        <v>2024</v>
      </c>
      <c r="D783" t="s">
        <v>34</v>
      </c>
      <c r="E783" t="s">
        <v>330</v>
      </c>
      <c r="F783">
        <v>6</v>
      </c>
      <c r="G783" t="s">
        <v>47</v>
      </c>
      <c r="H783">
        <v>4</v>
      </c>
      <c r="I783" t="s">
        <v>23</v>
      </c>
      <c r="J783" t="s">
        <v>62</v>
      </c>
      <c r="K783" t="s">
        <v>27</v>
      </c>
      <c r="L783" t="s">
        <v>319</v>
      </c>
      <c r="M783">
        <v>4</v>
      </c>
      <c r="N783">
        <v>2.9</v>
      </c>
      <c r="O783" t="s">
        <v>27</v>
      </c>
      <c r="S783" s="3">
        <v>36250</v>
      </c>
      <c r="T783" s="2">
        <v>30186.599609375</v>
      </c>
      <c r="U783" s="2">
        <v>33896.943606278219</v>
      </c>
      <c r="V783" s="2">
        <v>40665.222056524639</v>
      </c>
      <c r="W783" s="2">
        <v>34824.29296875</v>
      </c>
      <c r="X783" s="4">
        <f t="shared" si="48"/>
        <v>1.2008639750448042</v>
      </c>
      <c r="Y783" s="4">
        <f t="shared" si="49"/>
        <v>1.0694179516906639</v>
      </c>
      <c r="Z783" s="4">
        <f t="shared" si="50"/>
        <v>0.8914251088955697</v>
      </c>
      <c r="AA783" s="4">
        <f t="shared" si="51"/>
        <v>1.0409400137004756</v>
      </c>
    </row>
    <row r="784" spans="1:27" x14ac:dyDescent="0.3">
      <c r="A784" t="s">
        <v>296</v>
      </c>
      <c r="B784">
        <v>130725</v>
      </c>
      <c r="C784">
        <v>2015</v>
      </c>
      <c r="D784" t="s">
        <v>44</v>
      </c>
      <c r="E784" t="s">
        <v>45</v>
      </c>
      <c r="F784">
        <v>6</v>
      </c>
      <c r="G784" t="s">
        <v>47</v>
      </c>
      <c r="H784">
        <v>4</v>
      </c>
      <c r="I784" t="s">
        <v>23</v>
      </c>
      <c r="J784" t="s">
        <v>46</v>
      </c>
      <c r="K784" t="s">
        <v>27</v>
      </c>
      <c r="L784" t="s">
        <v>38</v>
      </c>
      <c r="M784">
        <v>4</v>
      </c>
      <c r="N784">
        <v>0</v>
      </c>
      <c r="O784" t="s">
        <v>27</v>
      </c>
      <c r="S784" s="3">
        <v>18750</v>
      </c>
      <c r="T784" s="2">
        <v>10495.6572265625</v>
      </c>
      <c r="U784" s="2">
        <v>11274.964992711881</v>
      </c>
      <c r="V784" s="2">
        <v>20137.634393545519</v>
      </c>
      <c r="W784" s="2">
        <v>11016.919921875</v>
      </c>
      <c r="X784" s="4">
        <f t="shared" si="48"/>
        <v>1.7864531582212249</v>
      </c>
      <c r="Y784" s="4">
        <f t="shared" si="49"/>
        <v>1.6629763384737752</v>
      </c>
      <c r="Z784" s="4">
        <f t="shared" si="50"/>
        <v>0.93109248254153021</v>
      </c>
      <c r="AA784" s="4">
        <f t="shared" si="51"/>
        <v>1.7019275925542796</v>
      </c>
    </row>
    <row r="785" spans="1:27" x14ac:dyDescent="0.3">
      <c r="A785" t="s">
        <v>296</v>
      </c>
      <c r="B785">
        <v>74254</v>
      </c>
      <c r="C785">
        <v>2020</v>
      </c>
      <c r="D785" t="s">
        <v>226</v>
      </c>
      <c r="E785" t="s">
        <v>260</v>
      </c>
      <c r="F785">
        <v>4</v>
      </c>
      <c r="G785" t="s">
        <v>36</v>
      </c>
      <c r="H785">
        <v>4</v>
      </c>
      <c r="I785" t="s">
        <v>23</v>
      </c>
      <c r="J785" t="s">
        <v>24</v>
      </c>
      <c r="L785" t="s">
        <v>127</v>
      </c>
      <c r="M785" t="s">
        <v>23</v>
      </c>
      <c r="N785">
        <v>0</v>
      </c>
      <c r="O785" t="s">
        <v>27</v>
      </c>
      <c r="S785" s="3">
        <v>14800</v>
      </c>
      <c r="T785" s="2">
        <v>16530.0859375</v>
      </c>
      <c r="U785" s="2">
        <v>18799.567204734591</v>
      </c>
      <c r="V785" s="2">
        <v>21437.851266855308</v>
      </c>
      <c r="W785" s="2">
        <v>20108.236328125</v>
      </c>
      <c r="X785" s="4">
        <f t="shared" si="48"/>
        <v>0.89533714803169029</v>
      </c>
      <c r="Y785" s="4">
        <f t="shared" si="49"/>
        <v>0.78725216590479186</v>
      </c>
      <c r="Z785" s="4">
        <f t="shared" si="50"/>
        <v>0.69036769663954267</v>
      </c>
      <c r="AA785" s="4">
        <f t="shared" si="51"/>
        <v>0.73601681214078074</v>
      </c>
    </row>
    <row r="786" spans="1:27" x14ac:dyDescent="0.3">
      <c r="A786" t="s">
        <v>296</v>
      </c>
      <c r="B786">
        <v>110117</v>
      </c>
      <c r="C786">
        <v>2019</v>
      </c>
      <c r="D786" t="s">
        <v>282</v>
      </c>
      <c r="E786" t="s">
        <v>422</v>
      </c>
      <c r="F786">
        <v>6</v>
      </c>
      <c r="G786" t="s">
        <v>47</v>
      </c>
      <c r="H786">
        <v>4</v>
      </c>
      <c r="I786" t="s">
        <v>23</v>
      </c>
      <c r="J786" t="s">
        <v>37</v>
      </c>
      <c r="K786" t="s">
        <v>27</v>
      </c>
      <c r="L786" t="s">
        <v>38</v>
      </c>
      <c r="M786" t="s">
        <v>33</v>
      </c>
      <c r="N786">
        <v>0</v>
      </c>
      <c r="O786" t="s">
        <v>27</v>
      </c>
      <c r="S786" s="3">
        <v>19400</v>
      </c>
      <c r="T786" s="2">
        <v>17446.390625</v>
      </c>
      <c r="U786" s="2">
        <v>17075.170895579671</v>
      </c>
      <c r="V786" s="2">
        <v>17295.6193972082</v>
      </c>
      <c r="W786" s="2">
        <v>17256.998046875</v>
      </c>
      <c r="X786" s="4">
        <f t="shared" si="48"/>
        <v>1.1119778535854032</v>
      </c>
      <c r="Y786" s="4">
        <f t="shared" si="49"/>
        <v>1.136152611217623</v>
      </c>
      <c r="Z786" s="4">
        <f t="shared" si="50"/>
        <v>1.1216713061534809</v>
      </c>
      <c r="AA786" s="4">
        <f t="shared" si="51"/>
        <v>1.1241816188020644</v>
      </c>
    </row>
    <row r="787" spans="1:27" x14ac:dyDescent="0.3">
      <c r="A787" t="s">
        <v>296</v>
      </c>
      <c r="B787">
        <v>185724</v>
      </c>
      <c r="C787">
        <v>2020</v>
      </c>
      <c r="D787" t="s">
        <v>20</v>
      </c>
      <c r="E787" t="s">
        <v>410</v>
      </c>
      <c r="F787">
        <v>8</v>
      </c>
      <c r="G787" t="s">
        <v>30</v>
      </c>
      <c r="H787">
        <v>4</v>
      </c>
      <c r="I787" t="s">
        <v>23</v>
      </c>
      <c r="J787" t="s">
        <v>42</v>
      </c>
      <c r="K787" t="s">
        <v>27</v>
      </c>
      <c r="L787" t="s">
        <v>130</v>
      </c>
      <c r="M787">
        <v>4</v>
      </c>
      <c r="N787">
        <v>0</v>
      </c>
      <c r="O787" t="s">
        <v>27</v>
      </c>
      <c r="S787" s="3">
        <v>20000</v>
      </c>
      <c r="T787" s="2">
        <v>20464.580078125</v>
      </c>
      <c r="U787" s="2">
        <v>24698.962683614209</v>
      </c>
      <c r="V787" s="2">
        <v>32206.038398233912</v>
      </c>
      <c r="W787" s="2">
        <v>26298.185546875</v>
      </c>
      <c r="X787" s="4">
        <f t="shared" si="48"/>
        <v>0.97729833320051362</v>
      </c>
      <c r="Y787" s="4">
        <f t="shared" si="49"/>
        <v>0.80975060597457416</v>
      </c>
      <c r="Z787" s="4">
        <f t="shared" si="50"/>
        <v>0.62100155730723916</v>
      </c>
      <c r="AA787" s="4">
        <f t="shared" si="51"/>
        <v>0.76050874172863192</v>
      </c>
    </row>
    <row r="788" spans="1:27" x14ac:dyDescent="0.3">
      <c r="A788" t="s">
        <v>296</v>
      </c>
      <c r="B788">
        <v>126486</v>
      </c>
      <c r="C788">
        <v>2006</v>
      </c>
      <c r="D788" t="s">
        <v>54</v>
      </c>
      <c r="E788" t="s">
        <v>55</v>
      </c>
      <c r="F788">
        <v>6</v>
      </c>
      <c r="G788" t="s">
        <v>298</v>
      </c>
      <c r="H788">
        <v>4</v>
      </c>
      <c r="I788" t="s">
        <v>23</v>
      </c>
      <c r="J788" t="s">
        <v>24</v>
      </c>
      <c r="K788" t="s">
        <v>27</v>
      </c>
      <c r="L788" t="s">
        <v>57</v>
      </c>
      <c r="M788" t="s">
        <v>78</v>
      </c>
      <c r="N788">
        <v>0</v>
      </c>
      <c r="O788" t="s">
        <v>27</v>
      </c>
      <c r="S788" s="3">
        <v>3900</v>
      </c>
      <c r="T788" s="2">
        <v>3234.70849609375</v>
      </c>
      <c r="U788" s="2">
        <v>6499.3974467756761</v>
      </c>
      <c r="V788" s="2">
        <v>887.02870018024805</v>
      </c>
      <c r="W788" s="2">
        <v>2547.656982421875</v>
      </c>
      <c r="X788" s="4">
        <f t="shared" si="48"/>
        <v>1.2056727846449407</v>
      </c>
      <c r="Y788" s="4">
        <f t="shared" si="49"/>
        <v>0.60005562545413704</v>
      </c>
      <c r="Z788" s="4">
        <f t="shared" si="50"/>
        <v>4.3967010303133405</v>
      </c>
      <c r="AA788" s="4">
        <f t="shared" si="51"/>
        <v>1.5308183271566447</v>
      </c>
    </row>
    <row r="789" spans="1:27" x14ac:dyDescent="0.3">
      <c r="A789" t="s">
        <v>296</v>
      </c>
      <c r="B789">
        <v>129942</v>
      </c>
      <c r="C789">
        <v>2014</v>
      </c>
      <c r="D789" t="s">
        <v>34</v>
      </c>
      <c r="E789" t="s">
        <v>317</v>
      </c>
      <c r="F789">
        <v>6</v>
      </c>
      <c r="G789" t="s">
        <v>36</v>
      </c>
      <c r="H789">
        <v>4</v>
      </c>
      <c r="I789" t="s">
        <v>23</v>
      </c>
      <c r="J789" t="s">
        <v>152</v>
      </c>
      <c r="L789" t="s">
        <v>319</v>
      </c>
      <c r="M789" t="s">
        <v>78</v>
      </c>
      <c r="N789">
        <v>0</v>
      </c>
      <c r="O789" t="s">
        <v>27</v>
      </c>
      <c r="S789" s="3">
        <v>14000</v>
      </c>
      <c r="T789" s="2">
        <v>13228.6796875</v>
      </c>
      <c r="U789" s="2">
        <v>11284.771358893289</v>
      </c>
      <c r="V789" s="2">
        <v>12442.240234128931</v>
      </c>
      <c r="W789" s="2">
        <v>11711.2802734375</v>
      </c>
      <c r="X789" s="4">
        <f t="shared" si="48"/>
        <v>1.058306673887405</v>
      </c>
      <c r="Y789" s="4">
        <f t="shared" si="49"/>
        <v>1.2406099826707517</v>
      </c>
      <c r="Z789" s="4">
        <f t="shared" si="50"/>
        <v>1.1251992998494074</v>
      </c>
      <c r="AA789" s="4">
        <f t="shared" si="51"/>
        <v>1.195428652813781</v>
      </c>
    </row>
    <row r="790" spans="1:27" x14ac:dyDescent="0.3">
      <c r="A790" t="s">
        <v>296</v>
      </c>
      <c r="B790">
        <v>25726</v>
      </c>
      <c r="C790">
        <v>2025</v>
      </c>
      <c r="D790" t="s">
        <v>34</v>
      </c>
      <c r="E790" t="s">
        <v>116</v>
      </c>
      <c r="F790">
        <v>4</v>
      </c>
      <c r="G790" t="s">
        <v>36</v>
      </c>
      <c r="H790">
        <v>4</v>
      </c>
      <c r="I790" t="s">
        <v>23</v>
      </c>
      <c r="J790" t="s">
        <v>37</v>
      </c>
      <c r="K790" t="s">
        <v>27</v>
      </c>
      <c r="L790" t="s">
        <v>128</v>
      </c>
      <c r="M790" t="s">
        <v>33</v>
      </c>
      <c r="N790">
        <v>0</v>
      </c>
      <c r="O790" t="s">
        <v>27</v>
      </c>
      <c r="S790" s="3">
        <v>25000</v>
      </c>
      <c r="T790" s="2">
        <v>22447.892578125</v>
      </c>
      <c r="U790" s="2">
        <v>20437.666878135209</v>
      </c>
      <c r="V790" s="2">
        <v>23095.3200848407</v>
      </c>
      <c r="W790" s="2">
        <v>21964.455078125</v>
      </c>
      <c r="X790" s="4">
        <f t="shared" si="48"/>
        <v>1.1136902902128984</v>
      </c>
      <c r="Y790" s="4">
        <f t="shared" si="49"/>
        <v>1.2232316021720515</v>
      </c>
      <c r="Z790" s="4">
        <f t="shared" si="50"/>
        <v>1.0824703839636105</v>
      </c>
      <c r="AA790" s="4">
        <f t="shared" si="51"/>
        <v>1.1382026055769616</v>
      </c>
    </row>
    <row r="791" spans="1:27" x14ac:dyDescent="0.3">
      <c r="A791" t="s">
        <v>296</v>
      </c>
      <c r="B791">
        <v>92709</v>
      </c>
      <c r="C791">
        <v>2018</v>
      </c>
      <c r="D791" t="s">
        <v>44</v>
      </c>
      <c r="E791" t="s">
        <v>45</v>
      </c>
      <c r="F791">
        <v>8</v>
      </c>
      <c r="G791" t="s">
        <v>36</v>
      </c>
      <c r="H791">
        <v>4</v>
      </c>
      <c r="I791" t="s">
        <v>23</v>
      </c>
      <c r="J791" t="s">
        <v>46</v>
      </c>
      <c r="K791" t="s">
        <v>27</v>
      </c>
      <c r="L791" t="s">
        <v>48</v>
      </c>
      <c r="M791">
        <v>4</v>
      </c>
      <c r="N791">
        <v>0</v>
      </c>
      <c r="O791" t="s">
        <v>27</v>
      </c>
      <c r="S791" s="3">
        <v>24750</v>
      </c>
      <c r="T791" s="2">
        <v>24207.1640625</v>
      </c>
      <c r="U791" s="2">
        <v>26924.31759021285</v>
      </c>
      <c r="V791" s="2">
        <v>21539.285947058819</v>
      </c>
      <c r="W791" s="2">
        <v>21153.85546875</v>
      </c>
      <c r="X791" s="4">
        <f t="shared" si="48"/>
        <v>1.0224245986063656</v>
      </c>
      <c r="Y791" s="4">
        <f t="shared" si="49"/>
        <v>0.9192433537850101</v>
      </c>
      <c r="Z791" s="4">
        <f t="shared" si="50"/>
        <v>1.1490631611852296</v>
      </c>
      <c r="AA791" s="4">
        <f t="shared" si="51"/>
        <v>1.1699994848013633</v>
      </c>
    </row>
    <row r="792" spans="1:27" x14ac:dyDescent="0.3">
      <c r="A792" t="s">
        <v>296</v>
      </c>
      <c r="B792">
        <v>106587</v>
      </c>
      <c r="C792">
        <v>2015</v>
      </c>
      <c r="D792" t="s">
        <v>44</v>
      </c>
      <c r="E792" t="s">
        <v>45</v>
      </c>
      <c r="F792">
        <v>6</v>
      </c>
      <c r="G792" t="s">
        <v>47</v>
      </c>
      <c r="H792">
        <v>4</v>
      </c>
      <c r="I792" t="s">
        <v>23</v>
      </c>
      <c r="J792" t="s">
        <v>46</v>
      </c>
      <c r="K792" t="s">
        <v>27</v>
      </c>
      <c r="L792" t="s">
        <v>38</v>
      </c>
      <c r="M792" t="s">
        <v>78</v>
      </c>
      <c r="N792">
        <v>0</v>
      </c>
      <c r="O792" t="s">
        <v>27</v>
      </c>
      <c r="S792" s="3">
        <v>15750</v>
      </c>
      <c r="T792" s="2">
        <v>14652.98828125</v>
      </c>
      <c r="U792" s="2">
        <v>13384.34221493224</v>
      </c>
      <c r="V792" s="2">
        <v>16380.18224799997</v>
      </c>
      <c r="W792" s="2">
        <v>13267.802734375</v>
      </c>
      <c r="X792" s="4">
        <f t="shared" si="48"/>
        <v>1.0748660749393855</v>
      </c>
      <c r="Y792" s="4">
        <f t="shared" si="49"/>
        <v>1.1767481544538301</v>
      </c>
      <c r="Z792" s="4">
        <f t="shared" si="50"/>
        <v>0.96152776333871892</v>
      </c>
      <c r="AA792" s="4">
        <f t="shared" si="51"/>
        <v>1.1870842757703941</v>
      </c>
    </row>
    <row r="793" spans="1:27" x14ac:dyDescent="0.3">
      <c r="A793" t="s">
        <v>296</v>
      </c>
      <c r="B793">
        <v>110511</v>
      </c>
      <c r="C793">
        <v>2015</v>
      </c>
      <c r="D793" t="s">
        <v>100</v>
      </c>
      <c r="E793" t="s">
        <v>192</v>
      </c>
      <c r="F793">
        <v>4</v>
      </c>
      <c r="G793" t="s">
        <v>22</v>
      </c>
      <c r="H793">
        <v>4</v>
      </c>
      <c r="I793" t="s">
        <v>23</v>
      </c>
      <c r="J793" t="s">
        <v>31</v>
      </c>
      <c r="L793" t="s">
        <v>32</v>
      </c>
      <c r="M793" t="s">
        <v>33</v>
      </c>
      <c r="N793">
        <v>0</v>
      </c>
      <c r="O793" t="s">
        <v>27</v>
      </c>
      <c r="S793" s="3">
        <v>800</v>
      </c>
      <c r="T793" s="2">
        <v>4492.68359375</v>
      </c>
      <c r="U793" s="2">
        <v>5499.1331321953903</v>
      </c>
      <c r="V793" s="2">
        <v>6556.4656267154314</v>
      </c>
      <c r="W793" s="2">
        <v>5324.74169921875</v>
      </c>
      <c r="X793" s="4">
        <f t="shared" si="48"/>
        <v>0.17806729169909064</v>
      </c>
      <c r="Y793" s="4">
        <f t="shared" si="49"/>
        <v>0.14547747449798876</v>
      </c>
      <c r="Z793" s="4">
        <f t="shared" si="50"/>
        <v>0.1220169593721752</v>
      </c>
      <c r="AA793" s="4">
        <f t="shared" si="51"/>
        <v>0.15024202960255831</v>
      </c>
    </row>
    <row r="794" spans="1:27" x14ac:dyDescent="0.3">
      <c r="A794" t="s">
        <v>296</v>
      </c>
      <c r="B794">
        <v>103799</v>
      </c>
      <c r="C794">
        <v>2015</v>
      </c>
      <c r="D794" t="s">
        <v>54</v>
      </c>
      <c r="E794" t="s">
        <v>275</v>
      </c>
      <c r="F794">
        <v>4</v>
      </c>
      <c r="G794" t="s">
        <v>66</v>
      </c>
      <c r="H794">
        <v>4</v>
      </c>
      <c r="I794" t="s">
        <v>23</v>
      </c>
      <c r="J794" t="s">
        <v>24</v>
      </c>
      <c r="L794" t="s">
        <v>60</v>
      </c>
      <c r="M794" t="s">
        <v>33</v>
      </c>
      <c r="N794">
        <v>0</v>
      </c>
      <c r="O794" t="s">
        <v>27</v>
      </c>
      <c r="S794" s="3">
        <v>4200</v>
      </c>
      <c r="T794" s="2">
        <v>8814.443359375</v>
      </c>
      <c r="U794" s="2">
        <v>8850.8902527488353</v>
      </c>
      <c r="V794" s="2">
        <v>6101.8254885647284</v>
      </c>
      <c r="W794" s="2">
        <v>8581.41015625</v>
      </c>
      <c r="X794" s="4">
        <f t="shared" si="48"/>
        <v>0.47649066750572511</v>
      </c>
      <c r="Y794" s="4">
        <f t="shared" si="49"/>
        <v>0.47452853668540285</v>
      </c>
      <c r="Z794" s="4">
        <f t="shared" si="50"/>
        <v>0.68831860364920472</v>
      </c>
      <c r="AA794" s="4">
        <f t="shared" si="51"/>
        <v>0.48943004978512328</v>
      </c>
    </row>
    <row r="795" spans="1:27" x14ac:dyDescent="0.3">
      <c r="A795" t="s">
        <v>296</v>
      </c>
      <c r="B795">
        <v>105500</v>
      </c>
      <c r="C795">
        <v>2019</v>
      </c>
      <c r="D795" t="s">
        <v>28</v>
      </c>
      <c r="E795" t="s">
        <v>423</v>
      </c>
      <c r="F795">
        <v>6</v>
      </c>
      <c r="G795" t="s">
        <v>56</v>
      </c>
      <c r="H795">
        <v>4</v>
      </c>
      <c r="I795" t="s">
        <v>23</v>
      </c>
      <c r="J795" t="s">
        <v>24</v>
      </c>
      <c r="K795" t="s">
        <v>27</v>
      </c>
      <c r="L795" t="s">
        <v>53</v>
      </c>
      <c r="M795" t="s">
        <v>23</v>
      </c>
      <c r="N795">
        <v>0</v>
      </c>
      <c r="O795" t="s">
        <v>27</v>
      </c>
      <c r="S795" s="3">
        <v>13500</v>
      </c>
      <c r="T795" s="2">
        <v>16014.720703125</v>
      </c>
      <c r="U795" s="2">
        <v>18354.906210091849</v>
      </c>
      <c r="V795" s="2">
        <v>19385.75622305791</v>
      </c>
      <c r="W795" s="2">
        <v>17459.435546875</v>
      </c>
      <c r="X795" s="4">
        <f t="shared" si="48"/>
        <v>0.84297442648286114</v>
      </c>
      <c r="Y795" s="4">
        <f t="shared" si="49"/>
        <v>0.73549817392024941</v>
      </c>
      <c r="Z795" s="4">
        <f t="shared" si="50"/>
        <v>0.69638758708534454</v>
      </c>
      <c r="AA795" s="4">
        <f t="shared" si="51"/>
        <v>0.77322087324961175</v>
      </c>
    </row>
    <row r="796" spans="1:27" x14ac:dyDescent="0.3">
      <c r="A796" t="s">
        <v>296</v>
      </c>
      <c r="B796">
        <v>88347</v>
      </c>
      <c r="C796">
        <v>2018</v>
      </c>
      <c r="D796" t="s">
        <v>34</v>
      </c>
      <c r="E796" t="s">
        <v>173</v>
      </c>
      <c r="F796">
        <v>4</v>
      </c>
      <c r="G796" t="s">
        <v>256</v>
      </c>
      <c r="H796">
        <v>4</v>
      </c>
      <c r="I796" t="s">
        <v>23</v>
      </c>
      <c r="J796" t="s">
        <v>62</v>
      </c>
      <c r="L796" t="s">
        <v>128</v>
      </c>
      <c r="M796" t="s">
        <v>33</v>
      </c>
      <c r="N796">
        <v>0</v>
      </c>
      <c r="O796" t="s">
        <v>27</v>
      </c>
      <c r="S796" s="3">
        <v>12500</v>
      </c>
      <c r="T796" s="2">
        <v>12216.79296875</v>
      </c>
      <c r="U796" s="2">
        <v>12298.82020123779</v>
      </c>
      <c r="V796" s="2">
        <v>10747.246771140421</v>
      </c>
      <c r="W796" s="2">
        <v>13360.8037109375</v>
      </c>
      <c r="X796" s="4">
        <f t="shared" si="48"/>
        <v>1.0231817819925761</v>
      </c>
      <c r="Y796" s="4">
        <f t="shared" si="49"/>
        <v>1.0163576502030629</v>
      </c>
      <c r="Z796" s="4">
        <f t="shared" si="50"/>
        <v>1.1630885813068188</v>
      </c>
      <c r="AA796" s="4">
        <f t="shared" si="51"/>
        <v>0.93557246034287411</v>
      </c>
    </row>
    <row r="797" spans="1:27" x14ac:dyDescent="0.3">
      <c r="A797" t="s">
        <v>296</v>
      </c>
      <c r="B797">
        <v>126090</v>
      </c>
      <c r="C797">
        <v>2019</v>
      </c>
      <c r="D797" t="s">
        <v>20</v>
      </c>
      <c r="E797" t="s">
        <v>151</v>
      </c>
      <c r="F797">
        <v>8</v>
      </c>
      <c r="G797" t="s">
        <v>99</v>
      </c>
      <c r="H797">
        <v>4</v>
      </c>
      <c r="I797" t="s">
        <v>23</v>
      </c>
      <c r="J797" t="s">
        <v>42</v>
      </c>
      <c r="K797" t="s">
        <v>27</v>
      </c>
      <c r="L797" t="s">
        <v>43</v>
      </c>
      <c r="M797" t="s">
        <v>78</v>
      </c>
      <c r="N797">
        <v>0</v>
      </c>
      <c r="O797" t="s">
        <v>27</v>
      </c>
      <c r="S797" s="3">
        <v>25500</v>
      </c>
      <c r="T797" s="2">
        <v>21034.708984375</v>
      </c>
      <c r="U797" s="2">
        <v>22167.083665286798</v>
      </c>
      <c r="V797" s="2">
        <v>21503.137879878941</v>
      </c>
      <c r="W797" s="2">
        <v>29520.826171875</v>
      </c>
      <c r="X797" s="4">
        <f t="shared" si="48"/>
        <v>1.2122820438800417</v>
      </c>
      <c r="Y797" s="4">
        <f t="shared" si="49"/>
        <v>1.1503542994215554</v>
      </c>
      <c r="Z797" s="4">
        <f t="shared" si="50"/>
        <v>1.1858734358886769</v>
      </c>
      <c r="AA797" s="4">
        <f t="shared" si="51"/>
        <v>0.86379696325349764</v>
      </c>
    </row>
    <row r="798" spans="1:27" x14ac:dyDescent="0.3">
      <c r="A798" t="s">
        <v>296</v>
      </c>
      <c r="B798">
        <v>165398</v>
      </c>
      <c r="C798">
        <v>2010</v>
      </c>
      <c r="D798" t="s">
        <v>44</v>
      </c>
      <c r="E798" t="s">
        <v>45</v>
      </c>
      <c r="F798">
        <v>8</v>
      </c>
      <c r="G798" t="s">
        <v>47</v>
      </c>
      <c r="H798">
        <v>4</v>
      </c>
      <c r="I798" t="s">
        <v>23</v>
      </c>
      <c r="J798" t="s">
        <v>42</v>
      </c>
      <c r="L798" t="s">
        <v>311</v>
      </c>
      <c r="M798">
        <v>4</v>
      </c>
      <c r="N798">
        <v>0</v>
      </c>
      <c r="O798" t="s">
        <v>27</v>
      </c>
      <c r="S798" s="3">
        <v>8700</v>
      </c>
      <c r="T798" s="2">
        <v>5877.7763671875</v>
      </c>
      <c r="U798" s="2">
        <v>12939.198446844481</v>
      </c>
      <c r="V798" s="2">
        <v>4683.14426544449</v>
      </c>
      <c r="W798" s="2">
        <v>6587.50390625</v>
      </c>
      <c r="X798" s="4">
        <f t="shared" si="48"/>
        <v>1.4801515839506032</v>
      </c>
      <c r="Y798" s="4">
        <f t="shared" si="49"/>
        <v>0.67237549804498853</v>
      </c>
      <c r="Z798" s="4">
        <f t="shared" si="50"/>
        <v>1.8577262426431485</v>
      </c>
      <c r="AA798" s="4">
        <f t="shared" si="51"/>
        <v>1.3206823288174045</v>
      </c>
    </row>
    <row r="799" spans="1:27" x14ac:dyDescent="0.3">
      <c r="A799" t="s">
        <v>395</v>
      </c>
      <c r="B799">
        <v>134512</v>
      </c>
      <c r="C799">
        <v>2020</v>
      </c>
      <c r="D799" t="s">
        <v>44</v>
      </c>
      <c r="E799" t="s">
        <v>45</v>
      </c>
      <c r="F799">
        <v>6</v>
      </c>
      <c r="G799" t="s">
        <v>47</v>
      </c>
      <c r="H799">
        <v>4</v>
      </c>
      <c r="I799" t="s">
        <v>23</v>
      </c>
      <c r="J799" t="s">
        <v>156</v>
      </c>
      <c r="K799" t="s">
        <v>27</v>
      </c>
      <c r="L799" t="s">
        <v>235</v>
      </c>
      <c r="M799" t="s">
        <v>78</v>
      </c>
      <c r="N799">
        <v>4.4000000000000004</v>
      </c>
      <c r="O799" t="s">
        <v>27</v>
      </c>
      <c r="S799" s="3">
        <v>9200</v>
      </c>
      <c r="T799" s="2">
        <v>12996.80078125</v>
      </c>
      <c r="U799" s="2">
        <v>12147.48524655925</v>
      </c>
      <c r="V799" s="2">
        <v>9796.9299344454248</v>
      </c>
      <c r="W799" s="2">
        <v>13292.111328125</v>
      </c>
      <c r="X799" s="4">
        <f t="shared" si="48"/>
        <v>0.70786650921606009</v>
      </c>
      <c r="Y799" s="4">
        <f t="shared" si="49"/>
        <v>0.75735840079376759</v>
      </c>
      <c r="Z799" s="4">
        <f t="shared" si="50"/>
        <v>0.93906969444104582</v>
      </c>
      <c r="AA799" s="4">
        <f t="shared" si="51"/>
        <v>0.69213985445138171</v>
      </c>
    </row>
    <row r="800" spans="1:27" x14ac:dyDescent="0.3">
      <c r="A800" t="s">
        <v>395</v>
      </c>
      <c r="B800">
        <v>92500</v>
      </c>
      <c r="C800">
        <v>2015</v>
      </c>
      <c r="D800" t="s">
        <v>100</v>
      </c>
      <c r="E800" t="s">
        <v>138</v>
      </c>
      <c r="F800">
        <v>4</v>
      </c>
      <c r="G800" t="s">
        <v>30</v>
      </c>
      <c r="H800">
        <v>4</v>
      </c>
      <c r="I800" t="s">
        <v>23</v>
      </c>
      <c r="J800" t="s">
        <v>24</v>
      </c>
      <c r="K800" t="s">
        <v>27</v>
      </c>
      <c r="L800" t="s">
        <v>102</v>
      </c>
      <c r="M800" t="s">
        <v>23</v>
      </c>
      <c r="N800">
        <v>2.5</v>
      </c>
      <c r="O800" t="s">
        <v>27</v>
      </c>
      <c r="S800" s="3">
        <v>2200</v>
      </c>
      <c r="T800" s="2">
        <v>4715.05810546875</v>
      </c>
      <c r="U800" s="2">
        <v>5611.8562079991152</v>
      </c>
      <c r="V800" s="2">
        <v>6787.0951635583506</v>
      </c>
      <c r="W800" s="2">
        <v>5136.3984375</v>
      </c>
      <c r="X800" s="4">
        <f t="shared" si="48"/>
        <v>0.46659022026649782</v>
      </c>
      <c r="Y800" s="4">
        <f t="shared" si="49"/>
        <v>0.39202715081404432</v>
      </c>
      <c r="Z800" s="4">
        <f t="shared" si="50"/>
        <v>0.32414456361424876</v>
      </c>
      <c r="AA800" s="4">
        <f t="shared" si="51"/>
        <v>0.4283156820425304</v>
      </c>
    </row>
    <row r="801" spans="1:27" x14ac:dyDescent="0.3">
      <c r="A801" t="s">
        <v>395</v>
      </c>
      <c r="B801">
        <v>174325</v>
      </c>
      <c r="C801">
        <v>2015</v>
      </c>
      <c r="D801" t="s">
        <v>50</v>
      </c>
      <c r="E801" t="s">
        <v>369</v>
      </c>
      <c r="F801">
        <v>4</v>
      </c>
      <c r="G801" t="s">
        <v>47</v>
      </c>
      <c r="H801">
        <v>4</v>
      </c>
      <c r="I801" t="s">
        <v>23</v>
      </c>
      <c r="J801" t="s">
        <v>31</v>
      </c>
      <c r="K801" t="s">
        <v>27</v>
      </c>
      <c r="L801" t="s">
        <v>127</v>
      </c>
      <c r="M801" t="s">
        <v>23</v>
      </c>
      <c r="N801">
        <v>0.9</v>
      </c>
      <c r="O801" t="s">
        <v>123</v>
      </c>
      <c r="S801" s="3">
        <v>2800</v>
      </c>
      <c r="T801" s="2">
        <v>1865.290405273438</v>
      </c>
      <c r="U801" s="2">
        <v>1238.3985733847619</v>
      </c>
      <c r="V801" s="2">
        <v>1644.2025846593499</v>
      </c>
      <c r="W801" s="2">
        <v>2712.552001953125</v>
      </c>
      <c r="X801" s="4">
        <f t="shared" si="48"/>
        <v>1.5011067403145413</v>
      </c>
      <c r="Y801" s="4">
        <f t="shared" si="49"/>
        <v>2.2609845167594997</v>
      </c>
      <c r="Z801" s="4">
        <f t="shared" si="50"/>
        <v>1.7029531677692327</v>
      </c>
      <c r="AA801" s="4">
        <f t="shared" si="51"/>
        <v>1.0322382752418791</v>
      </c>
    </row>
    <row r="802" spans="1:27" x14ac:dyDescent="0.3">
      <c r="A802" t="s">
        <v>395</v>
      </c>
      <c r="B802">
        <v>130593</v>
      </c>
      <c r="C802">
        <v>2017</v>
      </c>
      <c r="D802" t="s">
        <v>50</v>
      </c>
      <c r="E802" t="s">
        <v>369</v>
      </c>
      <c r="F802">
        <v>4</v>
      </c>
      <c r="G802" t="s">
        <v>30</v>
      </c>
      <c r="H802">
        <v>4</v>
      </c>
      <c r="I802" t="s">
        <v>23</v>
      </c>
      <c r="J802" t="s">
        <v>31</v>
      </c>
      <c r="K802" t="s">
        <v>27</v>
      </c>
      <c r="L802" t="s">
        <v>127</v>
      </c>
      <c r="M802" t="s">
        <v>23</v>
      </c>
      <c r="N802">
        <v>0.9</v>
      </c>
      <c r="O802" t="s">
        <v>39</v>
      </c>
      <c r="S802" s="3">
        <v>4700</v>
      </c>
      <c r="T802" s="2">
        <v>1928.841918945312</v>
      </c>
      <c r="U802" s="2">
        <v>3679.3154111655631</v>
      </c>
      <c r="V802" s="2">
        <v>2916.9785417693111</v>
      </c>
      <c r="W802" s="2">
        <v>3614.803955078125</v>
      </c>
      <c r="X802" s="4">
        <f t="shared" si="48"/>
        <v>2.4366952801243316</v>
      </c>
      <c r="Y802" s="4">
        <f t="shared" si="49"/>
        <v>1.2774115493705651</v>
      </c>
      <c r="Z802" s="4">
        <f t="shared" si="50"/>
        <v>1.6112562820394238</v>
      </c>
      <c r="AA802" s="4">
        <f t="shared" si="51"/>
        <v>1.3002088241597105</v>
      </c>
    </row>
    <row r="803" spans="1:27" x14ac:dyDescent="0.3">
      <c r="A803" t="s">
        <v>395</v>
      </c>
      <c r="B803">
        <v>134377</v>
      </c>
      <c r="C803">
        <v>2015</v>
      </c>
      <c r="D803" t="s">
        <v>44</v>
      </c>
      <c r="E803" t="s">
        <v>424</v>
      </c>
      <c r="F803">
        <v>6</v>
      </c>
      <c r="G803" t="s">
        <v>30</v>
      </c>
      <c r="H803">
        <v>4</v>
      </c>
      <c r="I803" t="s">
        <v>23</v>
      </c>
      <c r="J803" t="s">
        <v>37</v>
      </c>
      <c r="K803" t="s">
        <v>27</v>
      </c>
      <c r="L803" t="s">
        <v>38</v>
      </c>
      <c r="M803" t="s">
        <v>33</v>
      </c>
      <c r="N803">
        <v>0.9</v>
      </c>
      <c r="O803" t="s">
        <v>39</v>
      </c>
      <c r="S803" s="3">
        <v>700</v>
      </c>
      <c r="T803" s="2">
        <v>2644.652099609375</v>
      </c>
      <c r="U803" s="2">
        <v>2146.2354388744789</v>
      </c>
      <c r="V803" s="2">
        <v>2858.4656775687899</v>
      </c>
      <c r="W803" s="2">
        <v>2734.734130859375</v>
      </c>
      <c r="X803" s="4">
        <f t="shared" si="48"/>
        <v>0.26468509793911743</v>
      </c>
      <c r="Y803" s="4">
        <f t="shared" si="49"/>
        <v>0.32615247485014576</v>
      </c>
      <c r="Z803" s="4">
        <f t="shared" si="50"/>
        <v>0.24488662064166214</v>
      </c>
      <c r="AA803" s="4">
        <f t="shared" si="51"/>
        <v>0.25596638155827928</v>
      </c>
    </row>
    <row r="804" spans="1:27" x14ac:dyDescent="0.3">
      <c r="A804" t="s">
        <v>395</v>
      </c>
      <c r="B804">
        <v>185771</v>
      </c>
      <c r="C804">
        <v>2015</v>
      </c>
      <c r="D804" t="s">
        <v>81</v>
      </c>
      <c r="E804" t="s">
        <v>201</v>
      </c>
      <c r="F804">
        <v>4</v>
      </c>
      <c r="G804" t="s">
        <v>22</v>
      </c>
      <c r="H804">
        <v>4</v>
      </c>
      <c r="I804" t="s">
        <v>23</v>
      </c>
      <c r="J804" t="s">
        <v>24</v>
      </c>
      <c r="L804" t="s">
        <v>60</v>
      </c>
      <c r="M804" t="s">
        <v>33</v>
      </c>
      <c r="N804">
        <v>0.9</v>
      </c>
      <c r="O804" t="s">
        <v>199</v>
      </c>
      <c r="S804" s="3">
        <v>500</v>
      </c>
      <c r="T804" s="2">
        <v>2723.427734375</v>
      </c>
      <c r="U804" s="2">
        <v>1410.3812049054011</v>
      </c>
      <c r="V804" s="2">
        <v>1612.8296461539071</v>
      </c>
      <c r="W804" s="2">
        <v>1609.536010742188</v>
      </c>
      <c r="X804" s="4">
        <f t="shared" si="48"/>
        <v>0.18359216721230354</v>
      </c>
      <c r="Y804" s="4">
        <f t="shared" si="49"/>
        <v>0.35451408332794443</v>
      </c>
      <c r="Z804" s="4">
        <f t="shared" si="50"/>
        <v>0.31001414265439825</v>
      </c>
      <c r="AA804" s="4">
        <f t="shared" si="51"/>
        <v>0.31064853265969516</v>
      </c>
    </row>
    <row r="805" spans="1:27" x14ac:dyDescent="0.3">
      <c r="A805" t="s">
        <v>395</v>
      </c>
      <c r="B805">
        <v>41964</v>
      </c>
      <c r="C805">
        <v>2015</v>
      </c>
      <c r="D805" t="s">
        <v>81</v>
      </c>
      <c r="E805" t="s">
        <v>82</v>
      </c>
      <c r="F805">
        <v>8</v>
      </c>
      <c r="G805" t="s">
        <v>36</v>
      </c>
      <c r="H805">
        <v>2</v>
      </c>
      <c r="I805" t="s">
        <v>23</v>
      </c>
      <c r="J805" t="s">
        <v>83</v>
      </c>
      <c r="K805" t="s">
        <v>27</v>
      </c>
      <c r="L805" t="s">
        <v>166</v>
      </c>
      <c r="M805" t="s">
        <v>78</v>
      </c>
      <c r="N805">
        <v>3.2</v>
      </c>
      <c r="O805" t="s">
        <v>27</v>
      </c>
      <c r="S805" s="3">
        <v>35000</v>
      </c>
      <c r="T805" s="2">
        <v>37088.02734375</v>
      </c>
      <c r="U805" s="2">
        <v>43099.707513066838</v>
      </c>
      <c r="V805" s="2">
        <v>19235.448484418059</v>
      </c>
      <c r="W805" s="2">
        <v>27308.04296875</v>
      </c>
      <c r="X805" s="4">
        <f t="shared" si="48"/>
        <v>0.94370077102248817</v>
      </c>
      <c r="Y805" s="4">
        <f t="shared" si="49"/>
        <v>0.81207047610215932</v>
      </c>
      <c r="Z805" s="4">
        <f t="shared" si="50"/>
        <v>1.819557263161929</v>
      </c>
      <c r="AA805" s="4">
        <f t="shared" si="51"/>
        <v>1.2816736827334094</v>
      </c>
    </row>
    <row r="806" spans="1:27" x14ac:dyDescent="0.3">
      <c r="A806" t="s">
        <v>395</v>
      </c>
      <c r="B806">
        <v>90946</v>
      </c>
      <c r="C806">
        <v>2013</v>
      </c>
      <c r="D806" t="s">
        <v>50</v>
      </c>
      <c r="E806" t="s">
        <v>51</v>
      </c>
      <c r="F806">
        <v>6</v>
      </c>
      <c r="G806" t="s">
        <v>59</v>
      </c>
      <c r="H806">
        <v>4</v>
      </c>
      <c r="I806" t="s">
        <v>23</v>
      </c>
      <c r="J806" t="s">
        <v>31</v>
      </c>
      <c r="K806" t="s">
        <v>27</v>
      </c>
      <c r="L806" t="s">
        <v>53</v>
      </c>
      <c r="M806" t="s">
        <v>23</v>
      </c>
      <c r="N806">
        <v>3.1</v>
      </c>
      <c r="O806" t="s">
        <v>27</v>
      </c>
      <c r="S806" s="3">
        <v>8100</v>
      </c>
      <c r="T806" s="2">
        <v>7420.73486328125</v>
      </c>
      <c r="U806" s="2">
        <v>7372.2116765805376</v>
      </c>
      <c r="V806" s="2">
        <v>7518.5908124937359</v>
      </c>
      <c r="W806" s="2">
        <v>7553.42431640625</v>
      </c>
      <c r="X806" s="4">
        <f t="shared" si="48"/>
        <v>1.0915361011050053</v>
      </c>
      <c r="Y806" s="4">
        <f t="shared" si="49"/>
        <v>1.0987204865171525</v>
      </c>
      <c r="Z806" s="4">
        <f t="shared" si="50"/>
        <v>1.0773295424642779</v>
      </c>
      <c r="AA806" s="4">
        <f t="shared" si="51"/>
        <v>1.0723613106715815</v>
      </c>
    </row>
    <row r="807" spans="1:27" x14ac:dyDescent="0.3">
      <c r="A807" t="s">
        <v>395</v>
      </c>
      <c r="B807">
        <v>117024</v>
      </c>
      <c r="C807">
        <v>2019</v>
      </c>
      <c r="D807" t="s">
        <v>125</v>
      </c>
      <c r="E807" t="s">
        <v>126</v>
      </c>
      <c r="F807">
        <v>4</v>
      </c>
      <c r="G807" t="s">
        <v>36</v>
      </c>
      <c r="H807">
        <v>4</v>
      </c>
      <c r="I807" t="s">
        <v>23</v>
      </c>
      <c r="J807" t="s">
        <v>31</v>
      </c>
      <c r="K807" t="s">
        <v>27</v>
      </c>
      <c r="L807" t="s">
        <v>127</v>
      </c>
      <c r="M807" t="s">
        <v>33</v>
      </c>
      <c r="N807">
        <v>2.2999999999999901</v>
      </c>
      <c r="O807" t="s">
        <v>27</v>
      </c>
      <c r="S807" s="3">
        <v>2900</v>
      </c>
      <c r="T807" s="2">
        <v>6008.39697265625</v>
      </c>
      <c r="U807" s="2">
        <v>6768.5758229524399</v>
      </c>
      <c r="V807" s="2">
        <v>4326.127614313692</v>
      </c>
      <c r="W807" s="2">
        <v>6516.23681640625</v>
      </c>
      <c r="X807" s="4">
        <f t="shared" si="48"/>
        <v>0.48265785586366478</v>
      </c>
      <c r="Y807" s="4">
        <f t="shared" si="49"/>
        <v>0.42845054496782242</v>
      </c>
      <c r="Z807" s="4">
        <f t="shared" si="50"/>
        <v>0.67034545869726114</v>
      </c>
      <c r="AA807" s="4">
        <f t="shared" si="51"/>
        <v>0.44504214344980947</v>
      </c>
    </row>
    <row r="808" spans="1:27" x14ac:dyDescent="0.3">
      <c r="A808" t="s">
        <v>395</v>
      </c>
      <c r="B808">
        <v>69542</v>
      </c>
      <c r="C808">
        <v>2011</v>
      </c>
      <c r="D808" t="s">
        <v>44</v>
      </c>
      <c r="E808" t="s">
        <v>117</v>
      </c>
      <c r="F808">
        <v>6</v>
      </c>
      <c r="G808" t="s">
        <v>30</v>
      </c>
      <c r="H808">
        <v>4</v>
      </c>
      <c r="I808" t="s">
        <v>23</v>
      </c>
      <c r="J808" t="s">
        <v>62</v>
      </c>
      <c r="L808" t="s">
        <v>168</v>
      </c>
      <c r="M808" t="s">
        <v>33</v>
      </c>
      <c r="N808">
        <v>0</v>
      </c>
      <c r="S808" s="3">
        <v>2500</v>
      </c>
      <c r="T808" s="2">
        <v>6994.40283203125</v>
      </c>
      <c r="U808" s="2">
        <v>5311.2067808109114</v>
      </c>
      <c r="V808" s="2">
        <v>4242.6251121792202</v>
      </c>
      <c r="W808" s="2">
        <v>5864.6337890625</v>
      </c>
      <c r="X808" s="4">
        <f t="shared" si="48"/>
        <v>0.35742865546020791</v>
      </c>
      <c r="Y808" s="4">
        <f t="shared" si="49"/>
        <v>0.47070281824318311</v>
      </c>
      <c r="Z808" s="4">
        <f t="shared" si="50"/>
        <v>0.58925781418285095</v>
      </c>
      <c r="AA808" s="4">
        <f t="shared" si="51"/>
        <v>0.42628407670782142</v>
      </c>
    </row>
    <row r="809" spans="1:27" x14ac:dyDescent="0.3">
      <c r="A809" t="s">
        <v>395</v>
      </c>
      <c r="B809">
        <v>49754</v>
      </c>
      <c r="C809">
        <v>2014</v>
      </c>
      <c r="D809" t="s">
        <v>125</v>
      </c>
      <c r="E809" t="s">
        <v>425</v>
      </c>
      <c r="F809">
        <v>4</v>
      </c>
      <c r="G809" t="s">
        <v>66</v>
      </c>
      <c r="H809">
        <v>4</v>
      </c>
      <c r="I809" t="s">
        <v>23</v>
      </c>
      <c r="J809" t="s">
        <v>31</v>
      </c>
      <c r="K809" t="s">
        <v>27</v>
      </c>
      <c r="L809" t="s">
        <v>127</v>
      </c>
      <c r="M809" t="s">
        <v>33</v>
      </c>
      <c r="N809">
        <v>0</v>
      </c>
      <c r="S809" s="3">
        <v>6300</v>
      </c>
      <c r="T809" s="2">
        <v>6826.5419921875</v>
      </c>
      <c r="U809" s="2">
        <v>8022.3657860411085</v>
      </c>
      <c r="V809" s="2">
        <v>6333.7784379963477</v>
      </c>
      <c r="W809" s="2">
        <v>9577.82421875</v>
      </c>
      <c r="X809" s="4">
        <f t="shared" si="48"/>
        <v>0.92286841671960851</v>
      </c>
      <c r="Y809" s="4">
        <f t="shared" si="49"/>
        <v>0.78530450593040524</v>
      </c>
      <c r="Z809" s="4">
        <f t="shared" si="50"/>
        <v>0.99466693722759369</v>
      </c>
      <c r="AA809" s="4">
        <f t="shared" si="51"/>
        <v>0.6577694324006097</v>
      </c>
    </row>
    <row r="810" spans="1:27" x14ac:dyDescent="0.3">
      <c r="A810" t="s">
        <v>395</v>
      </c>
      <c r="B810">
        <v>1</v>
      </c>
      <c r="C810">
        <v>2016</v>
      </c>
      <c r="D810" t="s">
        <v>85</v>
      </c>
      <c r="E810" t="s">
        <v>228</v>
      </c>
      <c r="F810">
        <v>4</v>
      </c>
      <c r="G810" t="s">
        <v>47</v>
      </c>
      <c r="H810">
        <v>4</v>
      </c>
      <c r="I810" t="s">
        <v>23</v>
      </c>
      <c r="J810" t="s">
        <v>31</v>
      </c>
      <c r="K810" t="s">
        <v>27</v>
      </c>
      <c r="L810" t="s">
        <v>60</v>
      </c>
      <c r="M810" t="s">
        <v>33</v>
      </c>
      <c r="N810">
        <v>0</v>
      </c>
      <c r="O810" t="s">
        <v>27</v>
      </c>
      <c r="S810" s="3">
        <v>1200</v>
      </c>
      <c r="T810" s="2">
        <v>25512.337890625</v>
      </c>
      <c r="U810" s="2">
        <v>13873.27171778298</v>
      </c>
      <c r="V810" s="2">
        <v>6872.8138546518412</v>
      </c>
      <c r="W810" s="2">
        <v>18227.693359375</v>
      </c>
      <c r="X810" s="4">
        <f t="shared" si="48"/>
        <v>4.7036065653589636E-2</v>
      </c>
      <c r="Y810" s="4">
        <f t="shared" si="49"/>
        <v>8.6497260661435829E-2</v>
      </c>
      <c r="Z810" s="4">
        <f t="shared" si="50"/>
        <v>0.17460097499771277</v>
      </c>
      <c r="AA810" s="4">
        <f t="shared" si="51"/>
        <v>6.5833892217788889E-2</v>
      </c>
    </row>
    <row r="811" spans="1:27" x14ac:dyDescent="0.3">
      <c r="A811" t="s">
        <v>395</v>
      </c>
      <c r="B811">
        <v>148922</v>
      </c>
      <c r="C811">
        <v>2014</v>
      </c>
      <c r="D811" t="s">
        <v>34</v>
      </c>
      <c r="E811" t="s">
        <v>88</v>
      </c>
      <c r="F811">
        <v>4</v>
      </c>
      <c r="G811" t="s">
        <v>36</v>
      </c>
      <c r="H811">
        <v>4</v>
      </c>
      <c r="I811" t="s">
        <v>23</v>
      </c>
      <c r="J811" t="s">
        <v>37</v>
      </c>
      <c r="L811" t="s">
        <v>89</v>
      </c>
      <c r="M811" t="s">
        <v>33</v>
      </c>
      <c r="N811">
        <v>0</v>
      </c>
      <c r="S811" s="3">
        <v>4800</v>
      </c>
      <c r="T811" s="2">
        <v>5110.59814453125</v>
      </c>
      <c r="U811" s="2">
        <v>4093.2204663657608</v>
      </c>
      <c r="V811" s="2">
        <v>3682.1714706505541</v>
      </c>
      <c r="W811" s="2">
        <v>5211.1982421875</v>
      </c>
      <c r="X811" s="4">
        <f t="shared" si="48"/>
        <v>0.93922469821588006</v>
      </c>
      <c r="Y811" s="4">
        <f t="shared" si="49"/>
        <v>1.1726707709594166</v>
      </c>
      <c r="Z811" s="4">
        <f t="shared" si="50"/>
        <v>1.3035786188284033</v>
      </c>
      <c r="AA811" s="4">
        <f t="shared" si="51"/>
        <v>0.92109334109406449</v>
      </c>
    </row>
    <row r="812" spans="1:27" x14ac:dyDescent="0.3">
      <c r="A812" t="s">
        <v>395</v>
      </c>
      <c r="B812">
        <v>125811</v>
      </c>
      <c r="C812">
        <v>1998</v>
      </c>
      <c r="D812" t="s">
        <v>20</v>
      </c>
      <c r="E812" t="s">
        <v>426</v>
      </c>
      <c r="F812">
        <v>4</v>
      </c>
      <c r="G812" t="s">
        <v>66</v>
      </c>
      <c r="H812">
        <v>2</v>
      </c>
      <c r="I812" t="s">
        <v>233</v>
      </c>
      <c r="J812" t="s">
        <v>76</v>
      </c>
      <c r="L812" t="s">
        <v>427</v>
      </c>
      <c r="M812" t="s">
        <v>78</v>
      </c>
      <c r="N812">
        <v>0</v>
      </c>
      <c r="S812" s="3">
        <v>2400</v>
      </c>
      <c r="T812" s="2">
        <v>3279.2705078125</v>
      </c>
      <c r="U812" s="2">
        <v>6854.3802765867194</v>
      </c>
      <c r="V812" s="2">
        <v>1796.8670126368429</v>
      </c>
      <c r="W812" s="2">
        <v>2684.64111328125</v>
      </c>
      <c r="X812" s="4">
        <f t="shared" si="48"/>
        <v>0.73187008948553189</v>
      </c>
      <c r="Y812" s="4">
        <f t="shared" si="49"/>
        <v>0.35014106354705049</v>
      </c>
      <c r="Z812" s="4">
        <f t="shared" si="50"/>
        <v>1.3356581111019894</v>
      </c>
      <c r="AA812" s="4">
        <f t="shared" si="51"/>
        <v>0.89397424040289952</v>
      </c>
    </row>
    <row r="813" spans="1:27" x14ac:dyDescent="0.3">
      <c r="A813" t="s">
        <v>395</v>
      </c>
      <c r="B813">
        <v>242991</v>
      </c>
      <c r="C813">
        <v>2017</v>
      </c>
      <c r="D813" t="s">
        <v>74</v>
      </c>
      <c r="E813" t="s">
        <v>75</v>
      </c>
      <c r="F813">
        <v>8</v>
      </c>
      <c r="G813" t="s">
        <v>47</v>
      </c>
      <c r="H813">
        <v>4</v>
      </c>
      <c r="I813" t="s">
        <v>23</v>
      </c>
      <c r="J813" t="s">
        <v>42</v>
      </c>
      <c r="L813" t="s">
        <v>84</v>
      </c>
      <c r="M813">
        <v>4</v>
      </c>
      <c r="N813">
        <v>0</v>
      </c>
      <c r="S813" s="3">
        <v>3000</v>
      </c>
      <c r="T813" s="2">
        <v>5850.49755859375</v>
      </c>
      <c r="U813" s="2">
        <v>9613.6556648778205</v>
      </c>
      <c r="V813" s="2">
        <v>11725.154991679439</v>
      </c>
      <c r="W813" s="2">
        <v>7750.92529296875</v>
      </c>
      <c r="X813" s="4">
        <f t="shared" si="48"/>
        <v>0.51277689973450613</v>
      </c>
      <c r="Y813" s="4">
        <f t="shared" si="49"/>
        <v>0.3120561110754248</v>
      </c>
      <c r="Z813" s="4">
        <f t="shared" si="50"/>
        <v>0.25586015725411732</v>
      </c>
      <c r="AA813" s="4">
        <f t="shared" si="51"/>
        <v>0.38705056320455694</v>
      </c>
    </row>
    <row r="814" spans="1:27" x14ac:dyDescent="0.3">
      <c r="A814" t="s">
        <v>395</v>
      </c>
      <c r="B814">
        <v>271659</v>
      </c>
      <c r="C814">
        <v>2017</v>
      </c>
      <c r="D814" t="s">
        <v>44</v>
      </c>
      <c r="E814" t="s">
        <v>45</v>
      </c>
      <c r="F814">
        <v>8</v>
      </c>
      <c r="G814" t="s">
        <v>47</v>
      </c>
      <c r="H814">
        <v>4</v>
      </c>
      <c r="I814" t="s">
        <v>23</v>
      </c>
      <c r="J814" t="s">
        <v>46</v>
      </c>
      <c r="K814" t="s">
        <v>27</v>
      </c>
      <c r="L814" t="s">
        <v>48</v>
      </c>
      <c r="M814">
        <v>4</v>
      </c>
      <c r="N814">
        <v>0</v>
      </c>
      <c r="S814" s="3">
        <v>6250</v>
      </c>
      <c r="T814" s="2">
        <v>6982.01318359375</v>
      </c>
      <c r="U814" s="2">
        <v>16558.43141443322</v>
      </c>
      <c r="V814" s="2">
        <v>3659.050041170301</v>
      </c>
      <c r="W814" s="2">
        <v>7223.21435546875</v>
      </c>
      <c r="X814" s="4">
        <f t="shared" si="48"/>
        <v>0.89515728997564403</v>
      </c>
      <c r="Y814" s="4">
        <f t="shared" si="49"/>
        <v>0.37745121162576811</v>
      </c>
      <c r="Z814" s="4">
        <f t="shared" si="50"/>
        <v>1.7080936116416205</v>
      </c>
      <c r="AA814" s="4">
        <f t="shared" si="51"/>
        <v>0.86526575184191756</v>
      </c>
    </row>
    <row r="815" spans="1:27" x14ac:dyDescent="0.3">
      <c r="A815" t="s">
        <v>395</v>
      </c>
      <c r="B815">
        <v>242103</v>
      </c>
      <c r="C815">
        <v>2006</v>
      </c>
      <c r="D815" t="s">
        <v>396</v>
      </c>
      <c r="E815" t="s">
        <v>428</v>
      </c>
      <c r="F815">
        <v>6</v>
      </c>
      <c r="G815" t="s">
        <v>36</v>
      </c>
      <c r="H815">
        <v>4</v>
      </c>
      <c r="I815" t="s">
        <v>23</v>
      </c>
      <c r="J815" t="s">
        <v>31</v>
      </c>
      <c r="K815" t="s">
        <v>27</v>
      </c>
      <c r="L815" t="s">
        <v>301</v>
      </c>
      <c r="M815" t="s">
        <v>33</v>
      </c>
      <c r="N815">
        <v>0</v>
      </c>
      <c r="S815" s="3">
        <v>1200</v>
      </c>
      <c r="T815" s="2">
        <v>1147.693237304688</v>
      </c>
      <c r="U815" s="2">
        <v>1668.6063160145991</v>
      </c>
      <c r="V815" s="2">
        <v>992.78407339528349</v>
      </c>
      <c r="W815" s="2">
        <v>1043.183227539062</v>
      </c>
      <c r="X815" s="4">
        <f t="shared" si="48"/>
        <v>1.0455755606072512</v>
      </c>
      <c r="Y815" s="4">
        <f t="shared" si="49"/>
        <v>0.71916304552061927</v>
      </c>
      <c r="Z815" s="4">
        <f t="shared" si="50"/>
        <v>1.2087220495953828</v>
      </c>
      <c r="AA815" s="4">
        <f t="shared" si="51"/>
        <v>1.1503252432756985</v>
      </c>
    </row>
    <row r="816" spans="1:27" x14ac:dyDescent="0.3">
      <c r="A816" t="s">
        <v>395</v>
      </c>
      <c r="B816">
        <v>242635</v>
      </c>
      <c r="C816">
        <v>2009</v>
      </c>
      <c r="D816" t="s">
        <v>396</v>
      </c>
      <c r="E816" t="s">
        <v>428</v>
      </c>
      <c r="F816">
        <v>6</v>
      </c>
      <c r="G816" t="s">
        <v>36</v>
      </c>
      <c r="H816">
        <v>4</v>
      </c>
      <c r="I816" t="s">
        <v>23</v>
      </c>
      <c r="J816" t="s">
        <v>31</v>
      </c>
      <c r="K816" t="s">
        <v>27</v>
      </c>
      <c r="L816" t="s">
        <v>53</v>
      </c>
      <c r="M816" t="s">
        <v>33</v>
      </c>
      <c r="N816">
        <v>0</v>
      </c>
      <c r="O816" t="s">
        <v>27</v>
      </c>
      <c r="S816" s="3">
        <v>1400</v>
      </c>
      <c r="T816" s="2">
        <v>1471.880249023438</v>
      </c>
      <c r="U816" s="2">
        <v>2296.822083594654</v>
      </c>
      <c r="V816" s="2">
        <v>1525.498812329193</v>
      </c>
      <c r="W816" s="2">
        <v>1624.19189453125</v>
      </c>
      <c r="X816" s="4">
        <f t="shared" si="48"/>
        <v>0.95116433618079388</v>
      </c>
      <c r="Y816" s="4">
        <f t="shared" si="49"/>
        <v>0.60953785232198843</v>
      </c>
      <c r="Z816" s="4">
        <f t="shared" si="50"/>
        <v>0.91773260567959647</v>
      </c>
      <c r="AA816" s="4">
        <f t="shared" si="51"/>
        <v>0.86196711405461546</v>
      </c>
    </row>
    <row r="817" spans="1:27" x14ac:dyDescent="0.3">
      <c r="A817" t="s">
        <v>395</v>
      </c>
      <c r="B817">
        <v>164582</v>
      </c>
      <c r="C817">
        <v>2013</v>
      </c>
      <c r="D817" t="s">
        <v>125</v>
      </c>
      <c r="E817" t="s">
        <v>264</v>
      </c>
      <c r="F817">
        <v>4</v>
      </c>
      <c r="G817" t="s">
        <v>47</v>
      </c>
      <c r="H817">
        <v>4</v>
      </c>
      <c r="I817" t="s">
        <v>23</v>
      </c>
      <c r="J817" t="s">
        <v>24</v>
      </c>
      <c r="K817" t="s">
        <v>27</v>
      </c>
      <c r="L817" t="s">
        <v>60</v>
      </c>
      <c r="M817" t="s">
        <v>33</v>
      </c>
      <c r="N817">
        <v>0</v>
      </c>
      <c r="O817" t="s">
        <v>27</v>
      </c>
      <c r="S817" s="3">
        <v>4200</v>
      </c>
      <c r="T817" s="2">
        <v>3871.59814453125</v>
      </c>
      <c r="U817" s="2">
        <v>3638.2139981856999</v>
      </c>
      <c r="V817" s="2">
        <v>2720.3779810154888</v>
      </c>
      <c r="W817" s="2">
        <v>3756.498291015625</v>
      </c>
      <c r="X817" s="4">
        <f t="shared" si="48"/>
        <v>1.0848233321768241</v>
      </c>
      <c r="Y817" s="4">
        <f t="shared" si="49"/>
        <v>1.1544125777357932</v>
      </c>
      <c r="Z817" s="4">
        <f t="shared" si="50"/>
        <v>1.5439031007125648</v>
      </c>
      <c r="AA817" s="4">
        <f t="shared" si="51"/>
        <v>1.1180625344739523</v>
      </c>
    </row>
    <row r="818" spans="1:27" x14ac:dyDescent="0.3">
      <c r="A818" t="s">
        <v>429</v>
      </c>
      <c r="B818">
        <v>82284</v>
      </c>
      <c r="C818">
        <v>2020</v>
      </c>
      <c r="D818" t="s">
        <v>40</v>
      </c>
      <c r="E818" t="s">
        <v>214</v>
      </c>
      <c r="F818">
        <v>8</v>
      </c>
      <c r="G818" t="s">
        <v>36</v>
      </c>
      <c r="H818">
        <v>4</v>
      </c>
      <c r="I818" t="s">
        <v>23</v>
      </c>
      <c r="J818" t="s">
        <v>24</v>
      </c>
      <c r="K818" t="s">
        <v>25</v>
      </c>
      <c r="L818" t="s">
        <v>166</v>
      </c>
      <c r="M818">
        <v>4</v>
      </c>
      <c r="N818">
        <v>0</v>
      </c>
      <c r="O818" t="s">
        <v>27</v>
      </c>
      <c r="S818" s="3">
        <v>36000</v>
      </c>
      <c r="T818" s="2">
        <v>38123.7734375</v>
      </c>
      <c r="U818" s="2">
        <v>43856.569407829578</v>
      </c>
      <c r="V818" s="2">
        <v>32540.667235519861</v>
      </c>
      <c r="W818" s="2">
        <v>31856.994140625</v>
      </c>
      <c r="X818" s="4">
        <f t="shared" si="48"/>
        <v>0.94429267498974867</v>
      </c>
      <c r="Y818" s="4">
        <f t="shared" si="49"/>
        <v>0.82085763857245597</v>
      </c>
      <c r="Z818" s="4">
        <f t="shared" si="50"/>
        <v>1.1063079850035802</v>
      </c>
      <c r="AA818" s="4">
        <f t="shared" si="51"/>
        <v>1.130050118384889</v>
      </c>
    </row>
    <row r="819" spans="1:27" x14ac:dyDescent="0.3">
      <c r="A819" t="s">
        <v>430</v>
      </c>
      <c r="B819">
        <v>100080</v>
      </c>
      <c r="C819">
        <v>2010</v>
      </c>
      <c r="D819" t="s">
        <v>324</v>
      </c>
      <c r="E819" t="s">
        <v>431</v>
      </c>
      <c r="F819">
        <v>6</v>
      </c>
      <c r="G819" t="s">
        <v>36</v>
      </c>
      <c r="H819">
        <v>4</v>
      </c>
      <c r="I819" t="s">
        <v>23</v>
      </c>
      <c r="J819" t="s">
        <v>31</v>
      </c>
      <c r="K819" t="s">
        <v>25</v>
      </c>
      <c r="L819" t="s">
        <v>26</v>
      </c>
      <c r="M819" t="s">
        <v>78</v>
      </c>
      <c r="N819">
        <v>0</v>
      </c>
      <c r="O819" t="s">
        <v>27</v>
      </c>
      <c r="S819" s="3">
        <v>250</v>
      </c>
      <c r="T819" s="2">
        <v>2371.4970703125</v>
      </c>
      <c r="U819" s="2">
        <v>8441.014546688164</v>
      </c>
      <c r="V819" s="2">
        <v>3406.480967365771</v>
      </c>
      <c r="W819" s="2">
        <v>4425.59521484375</v>
      </c>
      <c r="X819" s="4">
        <f t="shared" si="48"/>
        <v>0.10541864172198057</v>
      </c>
      <c r="Y819" s="4">
        <f t="shared" si="49"/>
        <v>2.9617292876018986E-2</v>
      </c>
      <c r="Z819" s="4">
        <f t="shared" si="50"/>
        <v>7.3389519094634717E-2</v>
      </c>
      <c r="AA819" s="4">
        <f t="shared" si="51"/>
        <v>5.6489576624966252E-2</v>
      </c>
    </row>
    <row r="820" spans="1:27" x14ac:dyDescent="0.3">
      <c r="A820" t="s">
        <v>430</v>
      </c>
      <c r="B820">
        <v>149880</v>
      </c>
      <c r="C820">
        <v>2012</v>
      </c>
      <c r="D820" t="s">
        <v>28</v>
      </c>
      <c r="E820" t="s">
        <v>310</v>
      </c>
      <c r="F820">
        <v>4</v>
      </c>
      <c r="G820" t="s">
        <v>30</v>
      </c>
      <c r="H820">
        <v>4</v>
      </c>
      <c r="I820" t="s">
        <v>23</v>
      </c>
      <c r="J820" t="s">
        <v>31</v>
      </c>
      <c r="K820" t="s">
        <v>25</v>
      </c>
      <c r="L820" t="s">
        <v>60</v>
      </c>
      <c r="M820" t="s">
        <v>33</v>
      </c>
      <c r="N820">
        <v>0</v>
      </c>
      <c r="O820" t="s">
        <v>27</v>
      </c>
      <c r="S820" s="3">
        <v>2800</v>
      </c>
      <c r="T820" s="2">
        <v>5257.74853515625</v>
      </c>
      <c r="U820" s="2">
        <v>3799.5553672840952</v>
      </c>
      <c r="V820" s="2">
        <v>3383.1755314432239</v>
      </c>
      <c r="W820" s="2">
        <v>5539.59765625</v>
      </c>
      <c r="X820" s="4">
        <f t="shared" si="48"/>
        <v>0.53254734061122033</v>
      </c>
      <c r="Y820" s="4">
        <f t="shared" si="49"/>
        <v>0.73692833222257459</v>
      </c>
      <c r="Z820" s="4">
        <f t="shared" si="50"/>
        <v>0.8276248081061145</v>
      </c>
      <c r="AA820" s="4">
        <f t="shared" si="51"/>
        <v>0.50545187101105182</v>
      </c>
    </row>
    <row r="821" spans="1:27" x14ac:dyDescent="0.3">
      <c r="A821" t="s">
        <v>430</v>
      </c>
      <c r="B821">
        <v>87072</v>
      </c>
      <c r="C821">
        <v>2016</v>
      </c>
      <c r="D821" t="s">
        <v>100</v>
      </c>
      <c r="E821" t="s">
        <v>192</v>
      </c>
      <c r="F821">
        <v>4</v>
      </c>
      <c r="G821" t="s">
        <v>59</v>
      </c>
      <c r="H821">
        <v>4</v>
      </c>
      <c r="I821" t="s">
        <v>23</v>
      </c>
      <c r="J821" t="s">
        <v>31</v>
      </c>
      <c r="K821" t="s">
        <v>25</v>
      </c>
      <c r="L821" t="s">
        <v>32</v>
      </c>
      <c r="M821" t="s">
        <v>33</v>
      </c>
      <c r="N821">
        <v>0</v>
      </c>
      <c r="O821" t="s">
        <v>27</v>
      </c>
      <c r="S821" s="3">
        <v>1800</v>
      </c>
      <c r="T821" s="2">
        <v>4102.80517578125</v>
      </c>
      <c r="U821" s="2">
        <v>5743.5669031631969</v>
      </c>
      <c r="V821" s="2">
        <v>6905.0685474238226</v>
      </c>
      <c r="W821" s="2">
        <v>4431.3828125</v>
      </c>
      <c r="X821" s="4">
        <f t="shared" si="48"/>
        <v>0.43872421986433874</v>
      </c>
      <c r="Y821" s="4">
        <f t="shared" si="49"/>
        <v>0.31339410341136148</v>
      </c>
      <c r="Z821" s="4">
        <f t="shared" si="50"/>
        <v>0.26067807837643453</v>
      </c>
      <c r="AA821" s="4">
        <f t="shared" si="51"/>
        <v>0.40619374948212061</v>
      </c>
    </row>
    <row r="822" spans="1:27" x14ac:dyDescent="0.3">
      <c r="A822" t="s">
        <v>430</v>
      </c>
      <c r="B822">
        <v>93323</v>
      </c>
      <c r="C822">
        <v>2016</v>
      </c>
      <c r="D822" t="s">
        <v>100</v>
      </c>
      <c r="E822" t="s">
        <v>192</v>
      </c>
      <c r="F822">
        <v>4</v>
      </c>
      <c r="G822" t="s">
        <v>30</v>
      </c>
      <c r="H822">
        <v>4</v>
      </c>
      <c r="I822" t="s">
        <v>23</v>
      </c>
      <c r="J822" t="s">
        <v>31</v>
      </c>
      <c r="K822" t="s">
        <v>25</v>
      </c>
      <c r="L822" t="s">
        <v>32</v>
      </c>
      <c r="M822" t="s">
        <v>33</v>
      </c>
      <c r="N822">
        <v>0</v>
      </c>
      <c r="O822" t="s">
        <v>27</v>
      </c>
      <c r="S822" s="3">
        <v>2300</v>
      </c>
      <c r="T822" s="2">
        <v>3749.19140625</v>
      </c>
      <c r="U822" s="2">
        <v>4890.4087687841493</v>
      </c>
      <c r="V822" s="2">
        <v>6137.8534453938437</v>
      </c>
      <c r="W822" s="2">
        <v>4183.78662109375</v>
      </c>
      <c r="X822" s="4">
        <f t="shared" si="48"/>
        <v>0.61346561185588977</v>
      </c>
      <c r="Y822" s="4">
        <f t="shared" si="49"/>
        <v>0.47030833387202203</v>
      </c>
      <c r="Z822" s="4">
        <f t="shared" si="50"/>
        <v>0.37472383797727143</v>
      </c>
      <c r="AA822" s="4">
        <f t="shared" si="51"/>
        <v>0.54974122925005209</v>
      </c>
    </row>
    <row r="823" spans="1:27" x14ac:dyDescent="0.3">
      <c r="A823" t="s">
        <v>430</v>
      </c>
      <c r="B823">
        <v>102206</v>
      </c>
      <c r="C823">
        <v>2014</v>
      </c>
      <c r="D823" t="s">
        <v>100</v>
      </c>
      <c r="E823" t="s">
        <v>101</v>
      </c>
      <c r="F823">
        <v>4</v>
      </c>
      <c r="G823" t="s">
        <v>36</v>
      </c>
      <c r="H823">
        <v>4</v>
      </c>
      <c r="I823" t="s">
        <v>23</v>
      </c>
      <c r="J823" t="s">
        <v>31</v>
      </c>
      <c r="K823" t="s">
        <v>25</v>
      </c>
      <c r="L823" t="s">
        <v>102</v>
      </c>
      <c r="M823" t="s">
        <v>33</v>
      </c>
      <c r="N823">
        <v>0</v>
      </c>
      <c r="O823" t="s">
        <v>27</v>
      </c>
      <c r="S823" s="3">
        <v>500</v>
      </c>
      <c r="T823" s="2">
        <v>4301.03564453125</v>
      </c>
      <c r="U823" s="2">
        <v>4793.5871636618785</v>
      </c>
      <c r="V823" s="2">
        <v>6069.5298523779811</v>
      </c>
      <c r="W823" s="2">
        <v>4449.72021484375</v>
      </c>
      <c r="X823" s="4">
        <f t="shared" si="48"/>
        <v>0.11625107098002037</v>
      </c>
      <c r="Y823" s="4">
        <f t="shared" si="49"/>
        <v>0.10430602029942938</v>
      </c>
      <c r="Z823" s="4">
        <f t="shared" si="50"/>
        <v>8.2378703484604326E-2</v>
      </c>
      <c r="AA823" s="4">
        <f t="shared" si="51"/>
        <v>0.11236661539574062</v>
      </c>
    </row>
    <row r="824" spans="1:27" x14ac:dyDescent="0.3">
      <c r="A824" t="s">
        <v>296</v>
      </c>
      <c r="B824">
        <v>110622</v>
      </c>
      <c r="C824">
        <v>2019</v>
      </c>
      <c r="D824" t="s">
        <v>74</v>
      </c>
      <c r="E824" t="s">
        <v>93</v>
      </c>
      <c r="F824">
        <v>8</v>
      </c>
      <c r="G824" t="s">
        <v>66</v>
      </c>
      <c r="H824">
        <v>4</v>
      </c>
      <c r="I824" t="s">
        <v>23</v>
      </c>
      <c r="J824" t="s">
        <v>42</v>
      </c>
      <c r="K824" t="s">
        <v>27</v>
      </c>
      <c r="L824" t="s">
        <v>84</v>
      </c>
      <c r="M824" t="s">
        <v>78</v>
      </c>
      <c r="N824">
        <v>0</v>
      </c>
      <c r="O824" t="s">
        <v>27</v>
      </c>
      <c r="S824" s="3">
        <v>13700</v>
      </c>
      <c r="T824" s="2">
        <v>16616.642578125</v>
      </c>
      <c r="U824" s="2">
        <v>17407.87302178907</v>
      </c>
      <c r="V824" s="2">
        <v>22368.059730536701</v>
      </c>
      <c r="W824" s="2">
        <v>15895.0302734375</v>
      </c>
      <c r="X824" s="4">
        <f t="shared" si="48"/>
        <v>0.82447461546987733</v>
      </c>
      <c r="Y824" s="4">
        <f t="shared" si="49"/>
        <v>0.78700022586630758</v>
      </c>
      <c r="Z824" s="4">
        <f t="shared" si="50"/>
        <v>0.61248048176913916</v>
      </c>
      <c r="AA824" s="4">
        <f t="shared" si="51"/>
        <v>0.86190461825633269</v>
      </c>
    </row>
    <row r="825" spans="1:27" x14ac:dyDescent="0.3">
      <c r="A825" t="s">
        <v>296</v>
      </c>
      <c r="B825">
        <v>95584</v>
      </c>
      <c r="C825">
        <v>2019</v>
      </c>
      <c r="D825" t="s">
        <v>40</v>
      </c>
      <c r="E825" t="s">
        <v>229</v>
      </c>
      <c r="F825">
        <v>4</v>
      </c>
      <c r="G825" t="s">
        <v>36</v>
      </c>
      <c r="H825">
        <v>4</v>
      </c>
      <c r="I825" t="s">
        <v>23</v>
      </c>
      <c r="J825" t="s">
        <v>31</v>
      </c>
      <c r="K825" t="s">
        <v>27</v>
      </c>
      <c r="L825" t="s">
        <v>107</v>
      </c>
      <c r="M825" t="s">
        <v>33</v>
      </c>
      <c r="N825">
        <v>0</v>
      </c>
      <c r="O825" t="s">
        <v>27</v>
      </c>
      <c r="S825" s="3">
        <v>4500</v>
      </c>
      <c r="T825" s="2">
        <v>10927.1298828125</v>
      </c>
      <c r="U825" s="2">
        <v>10978.548922491569</v>
      </c>
      <c r="V825" s="2">
        <v>10858.19276121222</v>
      </c>
      <c r="W825" s="2">
        <v>11674.4580078125</v>
      </c>
      <c r="X825" s="4">
        <f t="shared" si="48"/>
        <v>0.41181902734387182</v>
      </c>
      <c r="Y825" s="4">
        <f t="shared" si="49"/>
        <v>0.40989023520047585</v>
      </c>
      <c r="Z825" s="4">
        <f t="shared" si="50"/>
        <v>0.41443360778001287</v>
      </c>
      <c r="AA825" s="4">
        <f t="shared" si="51"/>
        <v>0.38545686634776694</v>
      </c>
    </row>
    <row r="826" spans="1:27" x14ac:dyDescent="0.3">
      <c r="A826" t="s">
        <v>296</v>
      </c>
      <c r="B826">
        <v>27398</v>
      </c>
      <c r="C826">
        <v>2022</v>
      </c>
      <c r="D826" t="s">
        <v>50</v>
      </c>
      <c r="E826" t="s">
        <v>432</v>
      </c>
      <c r="F826">
        <v>4</v>
      </c>
      <c r="G826" t="s">
        <v>47</v>
      </c>
      <c r="H826">
        <v>4</v>
      </c>
      <c r="I826" t="s">
        <v>23</v>
      </c>
      <c r="J826" t="s">
        <v>24</v>
      </c>
      <c r="K826" t="s">
        <v>27</v>
      </c>
      <c r="L826" t="s">
        <v>127</v>
      </c>
      <c r="M826" t="s">
        <v>78</v>
      </c>
      <c r="N826">
        <v>0</v>
      </c>
      <c r="S826" s="3">
        <v>29900</v>
      </c>
      <c r="T826" s="2">
        <v>33593.640625</v>
      </c>
      <c r="U826" s="2">
        <v>34389.124252945163</v>
      </c>
      <c r="V826" s="2">
        <v>33055.513612778603</v>
      </c>
      <c r="W826" s="2">
        <v>33118.00390625</v>
      </c>
      <c r="X826" s="4">
        <f t="shared" si="48"/>
        <v>0.89004940946319355</v>
      </c>
      <c r="Y826" s="4">
        <f t="shared" si="49"/>
        <v>0.86946093131287849</v>
      </c>
      <c r="Z826" s="4">
        <f t="shared" si="50"/>
        <v>0.90453896285675184</v>
      </c>
      <c r="AA826" s="4">
        <f t="shared" si="51"/>
        <v>0.90283219014770688</v>
      </c>
    </row>
    <row r="827" spans="1:27" x14ac:dyDescent="0.3">
      <c r="A827" t="s">
        <v>296</v>
      </c>
      <c r="B827">
        <v>148805</v>
      </c>
      <c r="C827">
        <v>2016</v>
      </c>
      <c r="D827" t="s">
        <v>20</v>
      </c>
      <c r="E827" t="s">
        <v>175</v>
      </c>
      <c r="F827">
        <v>8</v>
      </c>
      <c r="G827" t="s">
        <v>47</v>
      </c>
      <c r="H827">
        <v>4</v>
      </c>
      <c r="I827" t="s">
        <v>23</v>
      </c>
      <c r="J827" t="s">
        <v>24</v>
      </c>
      <c r="K827" t="s">
        <v>27</v>
      </c>
      <c r="L827" t="s">
        <v>166</v>
      </c>
      <c r="M827">
        <v>4</v>
      </c>
      <c r="N827">
        <v>0</v>
      </c>
      <c r="O827" t="s">
        <v>27</v>
      </c>
      <c r="S827" s="3">
        <v>13600</v>
      </c>
      <c r="T827" s="2">
        <v>12615.1123046875</v>
      </c>
      <c r="U827" s="2">
        <v>14146.281722595209</v>
      </c>
      <c r="V827" s="2">
        <v>14185.870633602501</v>
      </c>
      <c r="W827" s="2">
        <v>13935.6689453125</v>
      </c>
      <c r="X827" s="4">
        <f t="shared" si="48"/>
        <v>1.078072051324231</v>
      </c>
      <c r="Y827" s="4">
        <f t="shared" si="49"/>
        <v>0.96138337032248844</v>
      </c>
      <c r="Z827" s="4">
        <f t="shared" si="50"/>
        <v>0.95870041051870791</v>
      </c>
      <c r="AA827" s="4">
        <f t="shared" si="51"/>
        <v>0.97591296502308145</v>
      </c>
    </row>
    <row r="828" spans="1:27" x14ac:dyDescent="0.3">
      <c r="A828" t="s">
        <v>296</v>
      </c>
      <c r="B828">
        <v>24439</v>
      </c>
      <c r="C828">
        <v>2023</v>
      </c>
      <c r="D828" t="s">
        <v>90</v>
      </c>
      <c r="E828" t="s">
        <v>195</v>
      </c>
      <c r="F828">
        <v>4</v>
      </c>
      <c r="G828" t="s">
        <v>22</v>
      </c>
      <c r="H828">
        <v>4</v>
      </c>
      <c r="I828" t="s">
        <v>23</v>
      </c>
      <c r="J828" t="s">
        <v>24</v>
      </c>
      <c r="K828" t="s">
        <v>27</v>
      </c>
      <c r="L828" t="s">
        <v>127</v>
      </c>
      <c r="M828" t="s">
        <v>33</v>
      </c>
      <c r="N828">
        <v>0</v>
      </c>
      <c r="S828" s="3">
        <v>21200</v>
      </c>
      <c r="T828" s="2">
        <v>21568.318359375</v>
      </c>
      <c r="U828" s="2">
        <v>19703.375900519561</v>
      </c>
      <c r="V828" s="2">
        <v>22315.416284751311</v>
      </c>
      <c r="W828" s="2">
        <v>21709.515625</v>
      </c>
      <c r="X828" s="4">
        <f t="shared" si="48"/>
        <v>0.98292317679857943</v>
      </c>
      <c r="Y828" s="4">
        <f t="shared" si="49"/>
        <v>1.0759577499326385</v>
      </c>
      <c r="Z828" s="4">
        <f t="shared" si="50"/>
        <v>0.95001588720020869</v>
      </c>
      <c r="AA828" s="4">
        <f t="shared" si="51"/>
        <v>0.97653030892991188</v>
      </c>
    </row>
    <row r="829" spans="1:27" x14ac:dyDescent="0.3">
      <c r="A829" t="s">
        <v>296</v>
      </c>
      <c r="B829">
        <v>130509</v>
      </c>
      <c r="C829">
        <v>2015</v>
      </c>
      <c r="D829" t="s">
        <v>324</v>
      </c>
      <c r="E829" t="s">
        <v>381</v>
      </c>
      <c r="F829">
        <v>6</v>
      </c>
      <c r="G829" t="s">
        <v>36</v>
      </c>
      <c r="H829">
        <v>4</v>
      </c>
      <c r="I829" t="s">
        <v>23</v>
      </c>
      <c r="J829" t="s">
        <v>24</v>
      </c>
      <c r="K829" t="s">
        <v>27</v>
      </c>
      <c r="L829" t="s">
        <v>26</v>
      </c>
      <c r="M829" t="s">
        <v>33</v>
      </c>
      <c r="N829">
        <v>0</v>
      </c>
      <c r="O829" t="s">
        <v>27</v>
      </c>
      <c r="S829" s="3">
        <v>4900</v>
      </c>
      <c r="T829" s="2">
        <v>7718.8056640625</v>
      </c>
      <c r="U829" s="2">
        <v>7408.1494542297878</v>
      </c>
      <c r="V829" s="2">
        <v>6214.5993371999157</v>
      </c>
      <c r="W829" s="2">
        <v>6465.51123046875</v>
      </c>
      <c r="X829" s="4">
        <f t="shared" si="48"/>
        <v>0.63481323578511639</v>
      </c>
      <c r="Y829" s="4">
        <f t="shared" si="49"/>
        <v>0.66143374000132726</v>
      </c>
      <c r="Z829" s="4">
        <f t="shared" si="50"/>
        <v>0.78846595478313997</v>
      </c>
      <c r="AA829" s="4">
        <f t="shared" si="51"/>
        <v>0.7578673712464884</v>
      </c>
    </row>
    <row r="830" spans="1:27" x14ac:dyDescent="0.3">
      <c r="A830" t="s">
        <v>296</v>
      </c>
      <c r="B830">
        <v>77050</v>
      </c>
      <c r="C830">
        <v>2021</v>
      </c>
      <c r="D830" t="s">
        <v>74</v>
      </c>
      <c r="E830" t="s">
        <v>75</v>
      </c>
      <c r="F830">
        <v>6</v>
      </c>
      <c r="G830" t="s">
        <v>22</v>
      </c>
      <c r="H830">
        <v>4</v>
      </c>
      <c r="I830" t="s">
        <v>23</v>
      </c>
      <c r="J830" t="s">
        <v>94</v>
      </c>
      <c r="L830" t="s">
        <v>26</v>
      </c>
      <c r="M830" t="s">
        <v>78</v>
      </c>
      <c r="N830">
        <v>0</v>
      </c>
      <c r="S830" s="3">
        <v>21500</v>
      </c>
      <c r="T830" s="2">
        <v>21597.623046875</v>
      </c>
      <c r="U830" s="2">
        <v>22446.709493920291</v>
      </c>
      <c r="V830" s="2">
        <v>21354.880303819609</v>
      </c>
      <c r="W830" s="2">
        <v>22425.138671875</v>
      </c>
      <c r="X830" s="4">
        <f t="shared" si="48"/>
        <v>0.99547991708795358</v>
      </c>
      <c r="Y830" s="4">
        <f t="shared" si="49"/>
        <v>0.95782413033960689</v>
      </c>
      <c r="Z830" s="4">
        <f t="shared" si="50"/>
        <v>1.0067956220833714</v>
      </c>
      <c r="AA830" s="4">
        <f t="shared" si="51"/>
        <v>0.95874546483695622</v>
      </c>
    </row>
    <row r="831" spans="1:27" x14ac:dyDescent="0.3">
      <c r="A831" t="s">
        <v>296</v>
      </c>
      <c r="B831">
        <v>41897</v>
      </c>
      <c r="C831">
        <v>2022</v>
      </c>
      <c r="D831" t="s">
        <v>85</v>
      </c>
      <c r="E831" t="s">
        <v>270</v>
      </c>
      <c r="F831">
        <v>4</v>
      </c>
      <c r="G831" t="s">
        <v>66</v>
      </c>
      <c r="H831">
        <v>4</v>
      </c>
      <c r="I831" t="s">
        <v>23</v>
      </c>
      <c r="J831" t="s">
        <v>24</v>
      </c>
      <c r="K831" t="s">
        <v>27</v>
      </c>
      <c r="L831" t="s">
        <v>102</v>
      </c>
      <c r="M831" t="s">
        <v>33</v>
      </c>
      <c r="N831">
        <v>0</v>
      </c>
      <c r="S831" s="3">
        <v>23100</v>
      </c>
      <c r="T831" s="2">
        <v>28448.384765625</v>
      </c>
      <c r="U831" s="2">
        <v>27689.21724395944</v>
      </c>
      <c r="V831" s="2">
        <v>20994.461620829868</v>
      </c>
      <c r="W831" s="2">
        <v>26484.548828125</v>
      </c>
      <c r="X831" s="4">
        <f t="shared" si="48"/>
        <v>0.81199689157439947</v>
      </c>
      <c r="Y831" s="4">
        <f t="shared" si="49"/>
        <v>0.83425976965959181</v>
      </c>
      <c r="Z831" s="4">
        <f t="shared" si="50"/>
        <v>1.1002901821059845</v>
      </c>
      <c r="AA831" s="4">
        <f t="shared" si="51"/>
        <v>0.87220666472026842</v>
      </c>
    </row>
    <row r="832" spans="1:27" x14ac:dyDescent="0.3">
      <c r="A832" t="s">
        <v>386</v>
      </c>
      <c r="B832">
        <v>1</v>
      </c>
      <c r="C832">
        <v>2023</v>
      </c>
      <c r="D832" t="s">
        <v>392</v>
      </c>
      <c r="E832" t="s">
        <v>433</v>
      </c>
      <c r="F832">
        <v>1</v>
      </c>
      <c r="G832" t="s">
        <v>47</v>
      </c>
      <c r="H832">
        <v>2</v>
      </c>
      <c r="I832" t="s">
        <v>23</v>
      </c>
      <c r="M832" t="s">
        <v>78</v>
      </c>
      <c r="N832">
        <v>0</v>
      </c>
      <c r="O832" t="s">
        <v>27</v>
      </c>
      <c r="S832" s="3">
        <v>8100</v>
      </c>
      <c r="T832" s="2">
        <v>18306.611328125</v>
      </c>
      <c r="U832" s="2">
        <v>33643.930754896923</v>
      </c>
      <c r="V832" s="2">
        <v>-2358.6649099066331</v>
      </c>
      <c r="W832" s="2">
        <v>18698.103515625</v>
      </c>
      <c r="X832" s="4">
        <f t="shared" si="48"/>
        <v>0.44246310006897482</v>
      </c>
      <c r="Y832" s="4">
        <f t="shared" si="49"/>
        <v>0.24075664817557127</v>
      </c>
      <c r="Z832" s="4">
        <f t="shared" si="50"/>
        <v>-3.4341461417343235</v>
      </c>
      <c r="AA832" s="4">
        <f t="shared" si="51"/>
        <v>0.43319901364495417</v>
      </c>
    </row>
    <row r="833" spans="1:27" x14ac:dyDescent="0.3">
      <c r="A833" t="s">
        <v>395</v>
      </c>
      <c r="B833">
        <v>164962</v>
      </c>
      <c r="C833">
        <v>2010</v>
      </c>
      <c r="D833" t="s">
        <v>20</v>
      </c>
      <c r="E833" t="s">
        <v>151</v>
      </c>
      <c r="F833">
        <v>8</v>
      </c>
      <c r="G833" t="s">
        <v>36</v>
      </c>
      <c r="H833">
        <v>4</v>
      </c>
      <c r="I833" t="s">
        <v>23</v>
      </c>
      <c r="J833" t="s">
        <v>42</v>
      </c>
      <c r="L833" t="s">
        <v>43</v>
      </c>
      <c r="M833">
        <v>4</v>
      </c>
      <c r="N833">
        <v>1.3</v>
      </c>
      <c r="O833" t="s">
        <v>27</v>
      </c>
      <c r="S833" s="3">
        <v>3100</v>
      </c>
      <c r="T833" s="2">
        <v>3217.065673828125</v>
      </c>
      <c r="U833" s="2">
        <v>4438.5977633545408</v>
      </c>
      <c r="V833" s="2">
        <v>1839.4935873718421</v>
      </c>
      <c r="W833" s="2">
        <v>3849.933837890625</v>
      </c>
      <c r="X833" s="4">
        <f t="shared" si="48"/>
        <v>0.96361104009144349</v>
      </c>
      <c r="Y833" s="4">
        <f t="shared" si="49"/>
        <v>0.69841877216130654</v>
      </c>
      <c r="Z833" s="4">
        <f t="shared" si="50"/>
        <v>1.6852464293877174</v>
      </c>
      <c r="AA833" s="4">
        <f t="shared" si="51"/>
        <v>0.80520864267591852</v>
      </c>
    </row>
    <row r="834" spans="1:27" x14ac:dyDescent="0.3">
      <c r="A834" t="s">
        <v>395</v>
      </c>
      <c r="B834">
        <v>188333</v>
      </c>
      <c r="C834">
        <v>2013</v>
      </c>
      <c r="D834" t="s">
        <v>40</v>
      </c>
      <c r="E834" t="s">
        <v>63</v>
      </c>
      <c r="F834">
        <v>4</v>
      </c>
      <c r="G834" t="s">
        <v>47</v>
      </c>
      <c r="H834">
        <v>4</v>
      </c>
      <c r="I834" t="s">
        <v>23</v>
      </c>
      <c r="J834" t="s">
        <v>24</v>
      </c>
      <c r="K834" t="s">
        <v>27</v>
      </c>
      <c r="L834" t="s">
        <v>60</v>
      </c>
      <c r="M834" t="s">
        <v>33</v>
      </c>
      <c r="N834">
        <v>2.6</v>
      </c>
      <c r="O834" t="s">
        <v>27</v>
      </c>
      <c r="S834" s="3">
        <v>1100</v>
      </c>
      <c r="T834" s="2">
        <v>2629.993408203125</v>
      </c>
      <c r="U834" s="2">
        <v>3035.239909878449</v>
      </c>
      <c r="V834" s="2">
        <v>1956.0559036189129</v>
      </c>
      <c r="W834" s="2">
        <v>2475.327880859375</v>
      </c>
      <c r="X834" s="4">
        <f t="shared" ref="X834:X897" si="52">S834/T834</f>
        <v>0.41825199887156622</v>
      </c>
      <c r="Y834" s="4">
        <f t="shared" ref="Y834:Y897" si="53">S834/U834</f>
        <v>0.3624095731016041</v>
      </c>
      <c r="Z834" s="4">
        <f t="shared" ref="Z834:Z897" si="54">S834/V834</f>
        <v>0.56235611567383237</v>
      </c>
      <c r="AA834" s="4">
        <f t="shared" ref="AA834:AA897" si="55">S834/W834</f>
        <v>0.44438557352576102</v>
      </c>
    </row>
    <row r="835" spans="1:27" x14ac:dyDescent="0.3">
      <c r="A835" t="s">
        <v>395</v>
      </c>
      <c r="B835">
        <v>97819</v>
      </c>
      <c r="C835">
        <v>2019</v>
      </c>
      <c r="D835" t="s">
        <v>90</v>
      </c>
      <c r="E835" t="s">
        <v>434</v>
      </c>
      <c r="F835">
        <v>4</v>
      </c>
      <c r="G835" t="s">
        <v>36</v>
      </c>
      <c r="H835">
        <v>4</v>
      </c>
      <c r="I835" t="s">
        <v>23</v>
      </c>
      <c r="J835" t="s">
        <v>31</v>
      </c>
      <c r="K835" t="s">
        <v>27</v>
      </c>
      <c r="L835" t="s">
        <v>127</v>
      </c>
      <c r="M835" t="s">
        <v>23</v>
      </c>
      <c r="N835">
        <v>2.7</v>
      </c>
      <c r="O835" t="s">
        <v>27</v>
      </c>
      <c r="S835" s="3">
        <v>8600</v>
      </c>
      <c r="T835" s="2">
        <v>9471.76953125</v>
      </c>
      <c r="U835" s="2">
        <v>10501.73443254928</v>
      </c>
      <c r="V835" s="2">
        <v>10964.787754434599</v>
      </c>
      <c r="W835" s="2">
        <v>10329.7587890625</v>
      </c>
      <c r="X835" s="4">
        <f t="shared" si="52"/>
        <v>0.90796128132406617</v>
      </c>
      <c r="Y835" s="4">
        <f t="shared" si="53"/>
        <v>0.81891234778752287</v>
      </c>
      <c r="Z835" s="4">
        <f t="shared" si="54"/>
        <v>0.78432890746305739</v>
      </c>
      <c r="AA835" s="4">
        <f t="shared" si="55"/>
        <v>0.83254606187958358</v>
      </c>
    </row>
    <row r="836" spans="1:27" x14ac:dyDescent="0.3">
      <c r="A836" t="s">
        <v>395</v>
      </c>
      <c r="B836">
        <v>202254</v>
      </c>
      <c r="C836">
        <v>2015</v>
      </c>
      <c r="D836" t="s">
        <v>100</v>
      </c>
      <c r="E836" t="s">
        <v>101</v>
      </c>
      <c r="F836">
        <v>4</v>
      </c>
      <c r="G836" t="s">
        <v>66</v>
      </c>
      <c r="H836">
        <v>4</v>
      </c>
      <c r="I836" t="s">
        <v>23</v>
      </c>
      <c r="J836" t="s">
        <v>31</v>
      </c>
      <c r="K836" t="s">
        <v>27</v>
      </c>
      <c r="L836" t="s">
        <v>102</v>
      </c>
      <c r="M836" t="s">
        <v>33</v>
      </c>
      <c r="N836">
        <v>0.9</v>
      </c>
      <c r="O836" t="s">
        <v>199</v>
      </c>
      <c r="S836" s="3">
        <v>500</v>
      </c>
      <c r="T836" s="2">
        <v>453.12109375</v>
      </c>
      <c r="U836" s="2">
        <v>536.73813787876315</v>
      </c>
      <c r="V836" s="2">
        <v>3523.277161388552</v>
      </c>
      <c r="W836" s="2">
        <v>1205.346801757812</v>
      </c>
      <c r="X836" s="4">
        <f t="shared" si="52"/>
        <v>1.1034577884292105</v>
      </c>
      <c r="Y836" s="4">
        <f t="shared" si="53"/>
        <v>0.93155295797694659</v>
      </c>
      <c r="Z836" s="4">
        <f t="shared" si="54"/>
        <v>0.14191333156513464</v>
      </c>
      <c r="AA836" s="4">
        <f t="shared" si="55"/>
        <v>0.41481837365879037</v>
      </c>
    </row>
    <row r="837" spans="1:27" x14ac:dyDescent="0.3">
      <c r="A837" t="s">
        <v>395</v>
      </c>
      <c r="B837">
        <v>78958</v>
      </c>
      <c r="C837">
        <v>2020</v>
      </c>
      <c r="D837" t="s">
        <v>28</v>
      </c>
      <c r="E837" t="s">
        <v>289</v>
      </c>
      <c r="F837">
        <v>4</v>
      </c>
      <c r="G837" t="s">
        <v>22</v>
      </c>
      <c r="H837">
        <v>4</v>
      </c>
      <c r="I837" t="s">
        <v>23</v>
      </c>
      <c r="J837" t="s">
        <v>31</v>
      </c>
      <c r="K837" t="s">
        <v>27</v>
      </c>
      <c r="L837" t="s">
        <v>127</v>
      </c>
      <c r="M837" t="s">
        <v>33</v>
      </c>
      <c r="N837">
        <v>0</v>
      </c>
      <c r="O837" t="s">
        <v>27</v>
      </c>
      <c r="S837" s="3">
        <v>7400</v>
      </c>
      <c r="T837" s="2">
        <v>14264.412109375</v>
      </c>
      <c r="U837" s="2">
        <v>15474.244377508599</v>
      </c>
      <c r="V837" s="2">
        <v>15657.13418420772</v>
      </c>
      <c r="W837" s="2">
        <v>16762.611328125</v>
      </c>
      <c r="X837" s="4">
        <f t="shared" si="52"/>
        <v>0.51877357042541539</v>
      </c>
      <c r="Y837" s="4">
        <f t="shared" si="53"/>
        <v>0.47821398056474423</v>
      </c>
      <c r="Z837" s="4">
        <f t="shared" si="54"/>
        <v>0.47262799902831987</v>
      </c>
      <c r="AA837" s="4">
        <f t="shared" si="55"/>
        <v>0.44145866387678961</v>
      </c>
    </row>
    <row r="838" spans="1:27" x14ac:dyDescent="0.3">
      <c r="A838" t="s">
        <v>395</v>
      </c>
      <c r="B838">
        <v>165171</v>
      </c>
      <c r="C838">
        <v>2018</v>
      </c>
      <c r="D838" t="s">
        <v>40</v>
      </c>
      <c r="E838" t="s">
        <v>146</v>
      </c>
      <c r="F838">
        <v>8</v>
      </c>
      <c r="G838" t="s">
        <v>36</v>
      </c>
      <c r="H838">
        <v>4</v>
      </c>
      <c r="I838" t="s">
        <v>23</v>
      </c>
      <c r="J838" t="s">
        <v>24</v>
      </c>
      <c r="K838" t="s">
        <v>27</v>
      </c>
      <c r="L838" t="s">
        <v>43</v>
      </c>
      <c r="M838" t="s">
        <v>78</v>
      </c>
      <c r="N838">
        <v>3.4</v>
      </c>
      <c r="O838" t="s">
        <v>27</v>
      </c>
      <c r="S838" s="3">
        <v>7300</v>
      </c>
      <c r="T838" s="2">
        <v>13981.830078125</v>
      </c>
      <c r="U838" s="2">
        <v>20253.87176007036</v>
      </c>
      <c r="V838" s="2">
        <v>11764.344115223959</v>
      </c>
      <c r="W838" s="2">
        <v>14569.6171875</v>
      </c>
      <c r="X838" s="4">
        <f t="shared" si="52"/>
        <v>0.52210618776014683</v>
      </c>
      <c r="Y838" s="4">
        <f t="shared" si="53"/>
        <v>0.36042491462751519</v>
      </c>
      <c r="Z838" s="4">
        <f t="shared" si="54"/>
        <v>0.62051908108954779</v>
      </c>
      <c r="AA838" s="4">
        <f t="shared" si="55"/>
        <v>0.50104267710362582</v>
      </c>
    </row>
    <row r="839" spans="1:27" x14ac:dyDescent="0.3">
      <c r="A839" t="s">
        <v>395</v>
      </c>
      <c r="B839">
        <v>145641</v>
      </c>
      <c r="C839">
        <v>2012</v>
      </c>
      <c r="D839" t="s">
        <v>74</v>
      </c>
      <c r="E839" t="s">
        <v>75</v>
      </c>
      <c r="F839">
        <v>8</v>
      </c>
      <c r="G839" t="s">
        <v>59</v>
      </c>
      <c r="H839">
        <v>4</v>
      </c>
      <c r="I839" t="s">
        <v>23</v>
      </c>
      <c r="J839" t="s">
        <v>94</v>
      </c>
      <c r="L839" t="s">
        <v>84</v>
      </c>
      <c r="M839">
        <v>4</v>
      </c>
      <c r="N839">
        <v>0.9</v>
      </c>
      <c r="O839" t="s">
        <v>199</v>
      </c>
      <c r="S839" s="3">
        <v>1500</v>
      </c>
      <c r="T839" s="2">
        <v>2830.5869140625</v>
      </c>
      <c r="U839" s="2">
        <v>1433.8818396832701</v>
      </c>
      <c r="V839" s="2">
        <v>6497.1193183627402</v>
      </c>
      <c r="W839" s="2">
        <v>2595.468994140625</v>
      </c>
      <c r="X839" s="4">
        <f t="shared" si="52"/>
        <v>0.52992543438532957</v>
      </c>
      <c r="Y839" s="4">
        <f t="shared" si="53"/>
        <v>1.0461113032377443</v>
      </c>
      <c r="Z839" s="4">
        <f t="shared" si="54"/>
        <v>0.23087154883558406</v>
      </c>
      <c r="AA839" s="4">
        <f t="shared" si="55"/>
        <v>0.57793023279658129</v>
      </c>
    </row>
    <row r="840" spans="1:27" x14ac:dyDescent="0.3">
      <c r="A840" t="s">
        <v>395</v>
      </c>
      <c r="B840">
        <v>161126</v>
      </c>
      <c r="C840">
        <v>2017</v>
      </c>
      <c r="D840" t="s">
        <v>44</v>
      </c>
      <c r="E840" t="s">
        <v>352</v>
      </c>
      <c r="F840">
        <v>6</v>
      </c>
      <c r="G840" t="s">
        <v>22</v>
      </c>
      <c r="H840">
        <v>4</v>
      </c>
      <c r="I840" t="s">
        <v>23</v>
      </c>
      <c r="J840" t="s">
        <v>62</v>
      </c>
      <c r="K840" t="s">
        <v>27</v>
      </c>
      <c r="L840" t="s">
        <v>38</v>
      </c>
      <c r="M840">
        <v>4</v>
      </c>
      <c r="N840">
        <v>2.1</v>
      </c>
      <c r="O840" t="s">
        <v>27</v>
      </c>
      <c r="S840" s="3">
        <v>4600</v>
      </c>
      <c r="T840" s="2">
        <v>4845.98974609375</v>
      </c>
      <c r="U840" s="2">
        <v>6110.7253043706714</v>
      </c>
      <c r="V840" s="2">
        <v>5819.918016917818</v>
      </c>
      <c r="W840" s="2">
        <v>5553.02294921875</v>
      </c>
      <c r="X840" s="4">
        <f t="shared" si="52"/>
        <v>0.94923849224154111</v>
      </c>
      <c r="Y840" s="4">
        <f t="shared" si="53"/>
        <v>0.75277479691483906</v>
      </c>
      <c r="Z840" s="4">
        <f t="shared" si="54"/>
        <v>0.79038914064224619</v>
      </c>
      <c r="AA840" s="4">
        <f t="shared" si="55"/>
        <v>0.82837763179912127</v>
      </c>
    </row>
    <row r="841" spans="1:27" x14ac:dyDescent="0.3">
      <c r="A841" t="s">
        <v>395</v>
      </c>
      <c r="B841">
        <v>143870</v>
      </c>
      <c r="C841">
        <v>2015</v>
      </c>
      <c r="D841" t="s">
        <v>85</v>
      </c>
      <c r="E841" t="s">
        <v>228</v>
      </c>
      <c r="F841">
        <v>4</v>
      </c>
      <c r="G841" t="s">
        <v>66</v>
      </c>
      <c r="H841">
        <v>4</v>
      </c>
      <c r="I841" t="s">
        <v>23</v>
      </c>
      <c r="J841" t="s">
        <v>31</v>
      </c>
      <c r="K841" t="s">
        <v>27</v>
      </c>
      <c r="L841" t="s">
        <v>60</v>
      </c>
      <c r="M841" t="s">
        <v>33</v>
      </c>
      <c r="N841">
        <v>1.5</v>
      </c>
      <c r="O841" t="s">
        <v>27</v>
      </c>
      <c r="S841" s="3">
        <v>1000</v>
      </c>
      <c r="T841" s="2">
        <v>3435.416015625</v>
      </c>
      <c r="U841" s="2">
        <v>3412.078361823224</v>
      </c>
      <c r="V841" s="2">
        <v>2494.3255390081499</v>
      </c>
      <c r="W841" s="2">
        <v>4928.52685546875</v>
      </c>
      <c r="X841" s="4">
        <f t="shared" si="52"/>
        <v>0.29108556153076892</v>
      </c>
      <c r="Y841" s="4">
        <f t="shared" si="53"/>
        <v>0.29307650468662033</v>
      </c>
      <c r="Z841" s="4">
        <f t="shared" si="54"/>
        <v>0.40090997921532029</v>
      </c>
      <c r="AA841" s="4">
        <f t="shared" si="55"/>
        <v>0.20290038571878502</v>
      </c>
    </row>
    <row r="842" spans="1:27" x14ac:dyDescent="0.3">
      <c r="A842" t="s">
        <v>395</v>
      </c>
      <c r="B842">
        <v>114527</v>
      </c>
      <c r="C842">
        <v>2018</v>
      </c>
      <c r="D842" t="s">
        <v>44</v>
      </c>
      <c r="E842" t="s">
        <v>210</v>
      </c>
      <c r="F842">
        <v>4</v>
      </c>
      <c r="G842" t="s">
        <v>36</v>
      </c>
      <c r="H842">
        <v>4</v>
      </c>
      <c r="I842" t="s">
        <v>23</v>
      </c>
      <c r="J842" t="s">
        <v>37</v>
      </c>
      <c r="K842" t="s">
        <v>27</v>
      </c>
      <c r="L842" t="s">
        <v>128</v>
      </c>
      <c r="M842" t="s">
        <v>33</v>
      </c>
      <c r="N842">
        <v>0</v>
      </c>
      <c r="S842" s="3">
        <v>4300</v>
      </c>
      <c r="T842" s="2">
        <v>8013.236328125</v>
      </c>
      <c r="U842" s="2">
        <v>7477.8431367279572</v>
      </c>
      <c r="V842" s="2">
        <v>6933.257826346161</v>
      </c>
      <c r="W842" s="2">
        <v>6811.42578125</v>
      </c>
      <c r="X842" s="4">
        <f t="shared" si="52"/>
        <v>0.53661215318307576</v>
      </c>
      <c r="Y842" s="4">
        <f t="shared" si="53"/>
        <v>0.57503212107783386</v>
      </c>
      <c r="Z842" s="4">
        <f t="shared" si="54"/>
        <v>0.62019906192730001</v>
      </c>
      <c r="AA842" s="4">
        <f t="shared" si="55"/>
        <v>0.63129220490616356</v>
      </c>
    </row>
    <row r="843" spans="1:27" x14ac:dyDescent="0.3">
      <c r="A843" t="s">
        <v>395</v>
      </c>
      <c r="B843">
        <v>146366</v>
      </c>
      <c r="C843">
        <v>2013</v>
      </c>
      <c r="D843" t="s">
        <v>321</v>
      </c>
      <c r="E843" t="s">
        <v>435</v>
      </c>
      <c r="F843">
        <v>8</v>
      </c>
      <c r="G843" t="s">
        <v>36</v>
      </c>
      <c r="H843">
        <v>4</v>
      </c>
      <c r="I843" t="s">
        <v>23</v>
      </c>
      <c r="J843" t="s">
        <v>24</v>
      </c>
      <c r="K843" t="s">
        <v>27</v>
      </c>
      <c r="L843" t="s">
        <v>134</v>
      </c>
      <c r="M843" t="s">
        <v>23</v>
      </c>
      <c r="N843">
        <v>0</v>
      </c>
      <c r="O843" t="s">
        <v>27</v>
      </c>
      <c r="S843" s="3">
        <v>1800</v>
      </c>
      <c r="T843" s="2">
        <v>5449.763671875</v>
      </c>
      <c r="U843" s="2">
        <v>5047.7804874906678</v>
      </c>
      <c r="V843" s="2">
        <v>3414.5552067503472</v>
      </c>
      <c r="W843" s="2">
        <v>5988.9423828125</v>
      </c>
      <c r="X843" s="4">
        <f t="shared" si="52"/>
        <v>0.3302895516899923</v>
      </c>
      <c r="Y843" s="4">
        <f t="shared" si="53"/>
        <v>0.3565923685589602</v>
      </c>
      <c r="Z843" s="4">
        <f t="shared" si="54"/>
        <v>0.52715504392534651</v>
      </c>
      <c r="AA843" s="4">
        <f t="shared" si="55"/>
        <v>0.30055390166480317</v>
      </c>
    </row>
    <row r="844" spans="1:27" x14ac:dyDescent="0.3">
      <c r="A844" t="s">
        <v>395</v>
      </c>
      <c r="B844">
        <v>1</v>
      </c>
      <c r="C844">
        <v>2014</v>
      </c>
      <c r="D844" t="s">
        <v>103</v>
      </c>
      <c r="E844" t="s">
        <v>189</v>
      </c>
      <c r="F844">
        <v>6</v>
      </c>
      <c r="G844" t="s">
        <v>30</v>
      </c>
      <c r="H844">
        <v>4</v>
      </c>
      <c r="I844" t="s">
        <v>23</v>
      </c>
      <c r="J844" t="s">
        <v>31</v>
      </c>
      <c r="K844" t="s">
        <v>27</v>
      </c>
      <c r="L844" t="s">
        <v>57</v>
      </c>
      <c r="M844" t="s">
        <v>23</v>
      </c>
      <c r="N844">
        <v>0</v>
      </c>
      <c r="S844" s="3">
        <v>1000</v>
      </c>
      <c r="T844" s="2">
        <v>56235.8515625</v>
      </c>
      <c r="U844" s="2">
        <v>22191.519745883121</v>
      </c>
      <c r="V844" s="2">
        <v>13386.588255126921</v>
      </c>
      <c r="W844" s="2">
        <v>48177.5546875</v>
      </c>
      <c r="X844" s="4">
        <f t="shared" si="52"/>
        <v>1.7782250507731877E-2</v>
      </c>
      <c r="Y844" s="4">
        <f t="shared" si="53"/>
        <v>4.5062258531686002E-2</v>
      </c>
      <c r="Z844" s="4">
        <f t="shared" si="54"/>
        <v>7.4701632779137037E-2</v>
      </c>
      <c r="AA844" s="4">
        <f t="shared" si="55"/>
        <v>2.0756553679123463E-2</v>
      </c>
    </row>
    <row r="845" spans="1:27" x14ac:dyDescent="0.3">
      <c r="A845" t="s">
        <v>395</v>
      </c>
      <c r="B845">
        <v>199824</v>
      </c>
      <c r="C845">
        <v>2012</v>
      </c>
      <c r="D845" t="s">
        <v>239</v>
      </c>
      <c r="E845" t="s">
        <v>304</v>
      </c>
      <c r="F845">
        <v>6</v>
      </c>
      <c r="G845" t="s">
        <v>47</v>
      </c>
      <c r="H845">
        <v>4</v>
      </c>
      <c r="I845" t="s">
        <v>23</v>
      </c>
      <c r="J845" t="s">
        <v>24</v>
      </c>
      <c r="K845" t="s">
        <v>27</v>
      </c>
      <c r="L845" t="s">
        <v>218</v>
      </c>
      <c r="M845" t="s">
        <v>23</v>
      </c>
      <c r="N845">
        <v>0</v>
      </c>
      <c r="O845" t="s">
        <v>27</v>
      </c>
      <c r="S845" s="3">
        <v>2600</v>
      </c>
      <c r="T845" s="2">
        <v>3236.344482421875</v>
      </c>
      <c r="U845" s="2">
        <v>2314.9270932306099</v>
      </c>
      <c r="V845" s="2">
        <v>2928.7340399916829</v>
      </c>
      <c r="W845" s="2">
        <v>2968.80517578125</v>
      </c>
      <c r="X845" s="4">
        <f t="shared" si="52"/>
        <v>0.8033755411767306</v>
      </c>
      <c r="Y845" s="4">
        <f t="shared" si="53"/>
        <v>1.1231455226400047</v>
      </c>
      <c r="Z845" s="4">
        <f t="shared" si="54"/>
        <v>0.88775558466462301</v>
      </c>
      <c r="AA845" s="4">
        <f t="shared" si="55"/>
        <v>0.87577319697841138</v>
      </c>
    </row>
    <row r="846" spans="1:27" x14ac:dyDescent="0.3">
      <c r="A846" t="s">
        <v>395</v>
      </c>
      <c r="B846">
        <v>89624</v>
      </c>
      <c r="C846">
        <v>2018</v>
      </c>
      <c r="D846" t="s">
        <v>44</v>
      </c>
      <c r="E846" t="s">
        <v>117</v>
      </c>
      <c r="F846">
        <v>4</v>
      </c>
      <c r="G846" t="s">
        <v>47</v>
      </c>
      <c r="H846">
        <v>4</v>
      </c>
      <c r="I846" t="s">
        <v>23</v>
      </c>
      <c r="J846" t="s">
        <v>62</v>
      </c>
      <c r="K846" t="s">
        <v>27</v>
      </c>
      <c r="L846" t="s">
        <v>200</v>
      </c>
      <c r="M846" t="s">
        <v>33</v>
      </c>
      <c r="N846">
        <v>0</v>
      </c>
      <c r="O846" t="s">
        <v>27</v>
      </c>
      <c r="S846" s="3">
        <v>6200</v>
      </c>
      <c r="T846" s="2">
        <v>9212.3984375</v>
      </c>
      <c r="U846" s="2">
        <v>8623.667299741337</v>
      </c>
      <c r="V846" s="2">
        <v>7512.6009256230091</v>
      </c>
      <c r="W846" s="2">
        <v>8110.87841796875</v>
      </c>
      <c r="X846" s="4">
        <f t="shared" si="52"/>
        <v>0.67300606265164054</v>
      </c>
      <c r="Y846" s="4">
        <f t="shared" si="53"/>
        <v>0.71895166922615006</v>
      </c>
      <c r="Z846" s="4">
        <f t="shared" si="54"/>
        <v>0.82528009425521864</v>
      </c>
      <c r="AA846" s="4">
        <f t="shared" si="55"/>
        <v>0.76440549105810651</v>
      </c>
    </row>
    <row r="847" spans="1:27" x14ac:dyDescent="0.3">
      <c r="A847" t="s">
        <v>395</v>
      </c>
      <c r="B847">
        <v>164295</v>
      </c>
      <c r="C847">
        <v>2012</v>
      </c>
      <c r="D847" t="s">
        <v>100</v>
      </c>
      <c r="E847" t="s">
        <v>101</v>
      </c>
      <c r="F847">
        <v>4</v>
      </c>
      <c r="G847" t="s">
        <v>22</v>
      </c>
      <c r="H847">
        <v>4</v>
      </c>
      <c r="I847" t="s">
        <v>23</v>
      </c>
      <c r="J847" t="s">
        <v>31</v>
      </c>
      <c r="K847" t="s">
        <v>27</v>
      </c>
      <c r="L847" t="s">
        <v>102</v>
      </c>
      <c r="M847" t="s">
        <v>33</v>
      </c>
      <c r="N847">
        <v>0</v>
      </c>
      <c r="O847" t="s">
        <v>27</v>
      </c>
      <c r="S847" s="3">
        <v>800</v>
      </c>
      <c r="T847" s="2">
        <v>2216.98046875</v>
      </c>
      <c r="U847" s="2">
        <v>2409.331231428921</v>
      </c>
      <c r="V847" s="2">
        <v>3820.4340281024752</v>
      </c>
      <c r="W847" s="2">
        <v>2527.61376953125</v>
      </c>
      <c r="X847" s="4">
        <f t="shared" si="52"/>
        <v>0.36085117179722559</v>
      </c>
      <c r="Y847" s="4">
        <f t="shared" si="53"/>
        <v>0.33204234833478569</v>
      </c>
      <c r="Z847" s="4">
        <f t="shared" si="54"/>
        <v>0.2094002917247971</v>
      </c>
      <c r="AA847" s="4">
        <f t="shared" si="55"/>
        <v>0.31650405202071724</v>
      </c>
    </row>
    <row r="848" spans="1:27" x14ac:dyDescent="0.3">
      <c r="A848" t="s">
        <v>395</v>
      </c>
      <c r="B848">
        <v>55356</v>
      </c>
      <c r="C848">
        <v>2018</v>
      </c>
      <c r="D848" t="s">
        <v>159</v>
      </c>
      <c r="E848" t="s">
        <v>436</v>
      </c>
      <c r="F848">
        <v>6</v>
      </c>
      <c r="G848" t="s">
        <v>148</v>
      </c>
      <c r="H848">
        <v>4</v>
      </c>
      <c r="I848" t="s">
        <v>23</v>
      </c>
      <c r="J848" t="s">
        <v>37</v>
      </c>
      <c r="K848" t="s">
        <v>27</v>
      </c>
      <c r="L848" t="s">
        <v>198</v>
      </c>
      <c r="M848" t="s">
        <v>33</v>
      </c>
      <c r="N848">
        <v>0</v>
      </c>
      <c r="S848" s="3">
        <v>16000</v>
      </c>
      <c r="T848" s="2">
        <v>18784.568359375</v>
      </c>
      <c r="U848" s="2">
        <v>18422.411329901821</v>
      </c>
      <c r="V848" s="2">
        <v>22899.420240621472</v>
      </c>
      <c r="W848" s="2">
        <v>22475.033203125</v>
      </c>
      <c r="X848" s="4">
        <f t="shared" si="52"/>
        <v>0.85176298405678952</v>
      </c>
      <c r="Y848" s="4">
        <f t="shared" si="53"/>
        <v>0.86850736928395733</v>
      </c>
      <c r="Z848" s="4">
        <f t="shared" si="54"/>
        <v>0.69870764551573528</v>
      </c>
      <c r="AA848" s="4">
        <f t="shared" si="55"/>
        <v>0.7119010617423831</v>
      </c>
    </row>
    <row r="849" spans="1:27" x14ac:dyDescent="0.3">
      <c r="A849" t="s">
        <v>296</v>
      </c>
      <c r="B849">
        <v>156272</v>
      </c>
      <c r="C849">
        <v>2009</v>
      </c>
      <c r="D849" t="s">
        <v>40</v>
      </c>
      <c r="E849" t="s">
        <v>146</v>
      </c>
      <c r="F849">
        <v>8</v>
      </c>
      <c r="G849" t="s">
        <v>30</v>
      </c>
      <c r="H849">
        <v>4</v>
      </c>
      <c r="I849" t="s">
        <v>23</v>
      </c>
      <c r="J849" t="s">
        <v>24</v>
      </c>
      <c r="L849" t="s">
        <v>43</v>
      </c>
      <c r="M849">
        <v>4</v>
      </c>
      <c r="N849">
        <v>0</v>
      </c>
      <c r="O849" t="s">
        <v>27</v>
      </c>
      <c r="S849" s="3">
        <v>3900</v>
      </c>
      <c r="T849" s="2">
        <v>5709.07763671875</v>
      </c>
      <c r="U849" s="2">
        <v>12663.59906226268</v>
      </c>
      <c r="V849" s="2">
        <v>5539.9927385845649</v>
      </c>
      <c r="W849" s="2">
        <v>8990.712890625</v>
      </c>
      <c r="X849" s="4">
        <f t="shared" si="52"/>
        <v>0.6831226072170733</v>
      </c>
      <c r="Y849" s="4">
        <f t="shared" si="53"/>
        <v>0.30796932063507421</v>
      </c>
      <c r="Z849" s="4">
        <f t="shared" si="54"/>
        <v>0.7039720418471932</v>
      </c>
      <c r="AA849" s="4">
        <f t="shared" si="55"/>
        <v>0.43378095234991837</v>
      </c>
    </row>
    <row r="850" spans="1:27" x14ac:dyDescent="0.3">
      <c r="A850" t="s">
        <v>296</v>
      </c>
      <c r="B850">
        <v>149988</v>
      </c>
      <c r="C850">
        <v>2019</v>
      </c>
      <c r="D850" t="s">
        <v>44</v>
      </c>
      <c r="E850" t="s">
        <v>267</v>
      </c>
      <c r="F850">
        <v>8</v>
      </c>
      <c r="G850" t="s">
        <v>66</v>
      </c>
      <c r="H850">
        <v>4</v>
      </c>
      <c r="I850" t="s">
        <v>23</v>
      </c>
      <c r="J850" t="s">
        <v>46</v>
      </c>
      <c r="K850" t="s">
        <v>27</v>
      </c>
      <c r="L850" t="s">
        <v>140</v>
      </c>
      <c r="M850">
        <v>4</v>
      </c>
      <c r="N850">
        <v>0</v>
      </c>
      <c r="O850" t="s">
        <v>27</v>
      </c>
      <c r="S850" s="3">
        <v>29000</v>
      </c>
      <c r="T850" s="2">
        <v>23238.697265625</v>
      </c>
      <c r="U850" s="2">
        <v>30461.278785285729</v>
      </c>
      <c r="V850" s="2">
        <v>28009.206008258661</v>
      </c>
      <c r="W850" s="2">
        <v>25759.236328125</v>
      </c>
      <c r="X850" s="4">
        <f t="shared" si="52"/>
        <v>1.2479184899446665</v>
      </c>
      <c r="Y850" s="4">
        <f t="shared" si="53"/>
        <v>0.95202831780024955</v>
      </c>
      <c r="Z850" s="4">
        <f t="shared" si="54"/>
        <v>1.0353738692717387</v>
      </c>
      <c r="AA850" s="4">
        <f t="shared" si="55"/>
        <v>1.1258097728750056</v>
      </c>
    </row>
    <row r="851" spans="1:27" x14ac:dyDescent="0.3">
      <c r="A851" t="s">
        <v>296</v>
      </c>
      <c r="B851">
        <v>210283</v>
      </c>
      <c r="C851">
        <v>2013</v>
      </c>
      <c r="D851" t="s">
        <v>44</v>
      </c>
      <c r="E851" t="s">
        <v>45</v>
      </c>
      <c r="F851">
        <v>6</v>
      </c>
      <c r="G851" t="s">
        <v>36</v>
      </c>
      <c r="H851">
        <v>4</v>
      </c>
      <c r="I851" t="s">
        <v>23</v>
      </c>
      <c r="J851" t="s">
        <v>46</v>
      </c>
      <c r="K851" t="s">
        <v>27</v>
      </c>
      <c r="L851" t="s">
        <v>198</v>
      </c>
      <c r="M851" t="s">
        <v>78</v>
      </c>
      <c r="N851">
        <v>0</v>
      </c>
      <c r="O851" t="s">
        <v>27</v>
      </c>
      <c r="S851" s="3">
        <v>4300</v>
      </c>
      <c r="T851" s="2">
        <v>6194.4931640625</v>
      </c>
      <c r="U851" s="2">
        <v>5224.4909663866674</v>
      </c>
      <c r="V851" s="2">
        <v>6306.6141292702969</v>
      </c>
      <c r="W851" s="2">
        <v>5437.1044921875</v>
      </c>
      <c r="X851" s="4">
        <f t="shared" si="52"/>
        <v>0.69416494394514028</v>
      </c>
      <c r="Y851" s="4">
        <f t="shared" si="53"/>
        <v>0.82304669060877744</v>
      </c>
      <c r="Z851" s="4">
        <f t="shared" si="54"/>
        <v>0.68182386172047738</v>
      </c>
      <c r="AA851" s="4">
        <f t="shared" si="55"/>
        <v>0.79086212269390999</v>
      </c>
    </row>
    <row r="852" spans="1:27" x14ac:dyDescent="0.3">
      <c r="A852" t="s">
        <v>296</v>
      </c>
      <c r="B852">
        <v>134069</v>
      </c>
      <c r="C852">
        <v>2013</v>
      </c>
      <c r="D852" t="s">
        <v>100</v>
      </c>
      <c r="E852" t="s">
        <v>412</v>
      </c>
      <c r="F852">
        <v>6</v>
      </c>
      <c r="G852" t="s">
        <v>22</v>
      </c>
      <c r="H852">
        <v>4</v>
      </c>
      <c r="I852" t="s">
        <v>23</v>
      </c>
      <c r="J852" t="s">
        <v>24</v>
      </c>
      <c r="K852" t="s">
        <v>27</v>
      </c>
      <c r="L852" t="s">
        <v>53</v>
      </c>
      <c r="M852" t="s">
        <v>33</v>
      </c>
      <c r="N852">
        <v>0</v>
      </c>
      <c r="O852" t="s">
        <v>27</v>
      </c>
      <c r="S852" s="3">
        <v>3700</v>
      </c>
      <c r="T852" s="2">
        <v>3762.445068359375</v>
      </c>
      <c r="U852" s="2">
        <v>4087.431141646563</v>
      </c>
      <c r="V852" s="2">
        <v>4335.4087600778084</v>
      </c>
      <c r="W852" s="2">
        <v>4156.83349609375</v>
      </c>
      <c r="X852" s="4">
        <f t="shared" si="52"/>
        <v>0.98340306177902437</v>
      </c>
      <c r="Y852" s="4">
        <f t="shared" si="53"/>
        <v>0.90521402606662826</v>
      </c>
      <c r="Z852" s="4">
        <f t="shared" si="54"/>
        <v>0.85343740458133766</v>
      </c>
      <c r="AA852" s="4">
        <f t="shared" si="55"/>
        <v>0.89010060265270563</v>
      </c>
    </row>
    <row r="853" spans="1:27" x14ac:dyDescent="0.3">
      <c r="A853" t="s">
        <v>296</v>
      </c>
      <c r="B853">
        <v>112461</v>
      </c>
      <c r="C853">
        <v>2021</v>
      </c>
      <c r="D853" t="s">
        <v>34</v>
      </c>
      <c r="E853" t="s">
        <v>173</v>
      </c>
      <c r="F853">
        <v>4</v>
      </c>
      <c r="G853" t="s">
        <v>30</v>
      </c>
      <c r="H853">
        <v>4</v>
      </c>
      <c r="I853" t="s">
        <v>23</v>
      </c>
      <c r="J853" t="s">
        <v>62</v>
      </c>
      <c r="L853" t="s">
        <v>128</v>
      </c>
      <c r="M853" t="s">
        <v>33</v>
      </c>
      <c r="N853">
        <v>0</v>
      </c>
      <c r="O853" t="s">
        <v>27</v>
      </c>
      <c r="S853" s="3">
        <v>14250</v>
      </c>
      <c r="T853" s="2">
        <v>14159.791015625</v>
      </c>
      <c r="U853" s="2">
        <v>12545.83159240344</v>
      </c>
      <c r="V853" s="2">
        <v>11769.03808489999</v>
      </c>
      <c r="W853" s="2">
        <v>14018.1591796875</v>
      </c>
      <c r="X853" s="4">
        <f t="shared" si="52"/>
        <v>1.0063707850119721</v>
      </c>
      <c r="Y853" s="4">
        <f t="shared" si="53"/>
        <v>1.1358354282890615</v>
      </c>
      <c r="Z853" s="4">
        <f t="shared" si="54"/>
        <v>1.2108041368549189</v>
      </c>
      <c r="AA853" s="4">
        <f t="shared" si="55"/>
        <v>1.0165386066273552</v>
      </c>
    </row>
    <row r="854" spans="1:27" x14ac:dyDescent="0.3">
      <c r="A854" t="s">
        <v>296</v>
      </c>
      <c r="B854">
        <v>59187</v>
      </c>
      <c r="C854">
        <v>2019</v>
      </c>
      <c r="D854" t="s">
        <v>44</v>
      </c>
      <c r="E854" t="s">
        <v>267</v>
      </c>
      <c r="F854">
        <v>8</v>
      </c>
      <c r="G854" t="s">
        <v>36</v>
      </c>
      <c r="H854">
        <v>4</v>
      </c>
      <c r="I854" t="s">
        <v>23</v>
      </c>
      <c r="J854" t="s">
        <v>46</v>
      </c>
      <c r="K854" t="s">
        <v>27</v>
      </c>
      <c r="L854" t="s">
        <v>313</v>
      </c>
      <c r="M854">
        <v>4</v>
      </c>
      <c r="N854">
        <v>0</v>
      </c>
      <c r="S854" s="3">
        <v>44000</v>
      </c>
      <c r="T854" s="2">
        <v>50692.43359375</v>
      </c>
      <c r="U854" s="2">
        <v>49140.795217574458</v>
      </c>
      <c r="V854" s="2">
        <v>46249.712769230107</v>
      </c>
      <c r="W854" s="2">
        <v>45880.16015625</v>
      </c>
      <c r="X854" s="4">
        <f t="shared" si="52"/>
        <v>0.86797963484287866</v>
      </c>
      <c r="Y854" s="4">
        <f t="shared" si="53"/>
        <v>0.8953864056368398</v>
      </c>
      <c r="Z854" s="4">
        <f t="shared" si="54"/>
        <v>0.95135725965574347</v>
      </c>
      <c r="AA854" s="4">
        <f t="shared" si="55"/>
        <v>0.95902019195558807</v>
      </c>
    </row>
    <row r="855" spans="1:27" x14ac:dyDescent="0.3">
      <c r="A855" t="s">
        <v>296</v>
      </c>
      <c r="B855">
        <v>208102</v>
      </c>
      <c r="C855">
        <v>2011</v>
      </c>
      <c r="D855" t="s">
        <v>282</v>
      </c>
      <c r="E855" t="s">
        <v>437</v>
      </c>
      <c r="F855">
        <v>8</v>
      </c>
      <c r="G855" t="s">
        <v>22</v>
      </c>
      <c r="H855">
        <v>4</v>
      </c>
      <c r="I855" t="s">
        <v>23</v>
      </c>
      <c r="J855" t="s">
        <v>37</v>
      </c>
      <c r="K855" t="s">
        <v>27</v>
      </c>
      <c r="L855" t="s">
        <v>378</v>
      </c>
      <c r="M855" t="s">
        <v>23</v>
      </c>
      <c r="N855">
        <v>0</v>
      </c>
      <c r="O855" t="s">
        <v>27</v>
      </c>
      <c r="S855" s="3">
        <v>3800</v>
      </c>
      <c r="T855" s="2">
        <v>5914.14111328125</v>
      </c>
      <c r="U855" s="2">
        <v>5095.0337261260547</v>
      </c>
      <c r="V855" s="2">
        <v>1080.3602105294631</v>
      </c>
      <c r="W855" s="2">
        <v>5963.90576171875</v>
      </c>
      <c r="X855" s="4">
        <f t="shared" si="52"/>
        <v>0.64252778674259692</v>
      </c>
      <c r="Y855" s="4">
        <f t="shared" si="53"/>
        <v>0.74582430740635797</v>
      </c>
      <c r="Z855" s="4">
        <f t="shared" si="54"/>
        <v>3.5173453844044253</v>
      </c>
      <c r="AA855" s="4">
        <f t="shared" si="55"/>
        <v>0.63716633894377139</v>
      </c>
    </row>
    <row r="856" spans="1:27" x14ac:dyDescent="0.3">
      <c r="A856" t="s">
        <v>296</v>
      </c>
      <c r="B856">
        <v>105689</v>
      </c>
      <c r="C856">
        <v>2011</v>
      </c>
      <c r="D856" t="s">
        <v>239</v>
      </c>
      <c r="E856" t="s">
        <v>438</v>
      </c>
      <c r="F856">
        <v>6</v>
      </c>
      <c r="G856" t="s">
        <v>30</v>
      </c>
      <c r="H856">
        <v>4</v>
      </c>
      <c r="I856" t="s">
        <v>23</v>
      </c>
      <c r="J856" t="s">
        <v>31</v>
      </c>
      <c r="K856" t="s">
        <v>27</v>
      </c>
      <c r="L856" t="s">
        <v>218</v>
      </c>
      <c r="M856" t="s">
        <v>78</v>
      </c>
      <c r="N856">
        <v>0</v>
      </c>
      <c r="O856" t="s">
        <v>27</v>
      </c>
      <c r="S856" s="3">
        <v>4000</v>
      </c>
      <c r="T856" s="2">
        <v>3804.02880859375</v>
      </c>
      <c r="U856" s="2">
        <v>8824.4649721780497</v>
      </c>
      <c r="V856" s="2">
        <v>5204.3897838861167</v>
      </c>
      <c r="W856" s="2">
        <v>5782.70947265625</v>
      </c>
      <c r="X856" s="4">
        <f t="shared" si="52"/>
        <v>1.0515167474451108</v>
      </c>
      <c r="Y856" s="4">
        <f t="shared" si="53"/>
        <v>0.45328527141433278</v>
      </c>
      <c r="Z856" s="4">
        <f t="shared" si="54"/>
        <v>0.76858194065034091</v>
      </c>
      <c r="AA856" s="4">
        <f t="shared" si="55"/>
        <v>0.69171726833487723</v>
      </c>
    </row>
    <row r="857" spans="1:27" x14ac:dyDescent="0.3">
      <c r="A857" t="s">
        <v>386</v>
      </c>
      <c r="B857">
        <v>6899</v>
      </c>
      <c r="C857">
        <v>2024</v>
      </c>
      <c r="D857" t="s">
        <v>85</v>
      </c>
      <c r="E857" t="s">
        <v>439</v>
      </c>
      <c r="F857">
        <v>4</v>
      </c>
      <c r="G857" t="s">
        <v>36</v>
      </c>
      <c r="H857">
        <v>4</v>
      </c>
      <c r="I857" t="s">
        <v>23</v>
      </c>
      <c r="J857" t="s">
        <v>440</v>
      </c>
      <c r="K857" t="s">
        <v>25</v>
      </c>
      <c r="L857" t="s">
        <v>441</v>
      </c>
      <c r="M857" t="s">
        <v>33</v>
      </c>
      <c r="S857" s="3">
        <v>18500</v>
      </c>
      <c r="T857" s="2">
        <v>29840.10546875</v>
      </c>
      <c r="U857" s="2">
        <v>29238.496133781329</v>
      </c>
      <c r="V857" s="2">
        <v>25455.748505371608</v>
      </c>
      <c r="W857" s="2">
        <v>29238.28515625</v>
      </c>
      <c r="X857" s="4">
        <f t="shared" si="52"/>
        <v>0.61997099907619613</v>
      </c>
      <c r="Y857" s="4">
        <f t="shared" si="53"/>
        <v>0.63272748076210472</v>
      </c>
      <c r="Z857" s="4">
        <f t="shared" si="54"/>
        <v>0.72675136604591206</v>
      </c>
      <c r="AA857" s="4">
        <f t="shared" si="55"/>
        <v>0.63273204639518421</v>
      </c>
    </row>
    <row r="858" spans="1:27" x14ac:dyDescent="0.3">
      <c r="A858" t="s">
        <v>442</v>
      </c>
      <c r="B858">
        <v>21439</v>
      </c>
      <c r="C858">
        <v>2025</v>
      </c>
      <c r="D858" t="s">
        <v>239</v>
      </c>
      <c r="E858" t="s">
        <v>443</v>
      </c>
      <c r="F858">
        <v>6</v>
      </c>
      <c r="G858" t="s">
        <v>22</v>
      </c>
      <c r="H858">
        <v>4</v>
      </c>
      <c r="I858" t="s">
        <v>23</v>
      </c>
      <c r="J858" t="s">
        <v>165</v>
      </c>
      <c r="K858" t="s">
        <v>25</v>
      </c>
      <c r="L858" t="s">
        <v>218</v>
      </c>
      <c r="M858" t="s">
        <v>23</v>
      </c>
      <c r="S858" s="3">
        <v>65500</v>
      </c>
      <c r="T858" s="2">
        <v>77845.796875</v>
      </c>
      <c r="U858" s="2">
        <v>72705.808758333791</v>
      </c>
      <c r="V858" s="2">
        <v>90811.477817689098</v>
      </c>
      <c r="W858" s="2">
        <v>93241.7734375</v>
      </c>
      <c r="X858" s="4">
        <f t="shared" si="52"/>
        <v>0.84140702040953963</v>
      </c>
      <c r="Y858" s="4">
        <f t="shared" si="53"/>
        <v>0.90089087954051761</v>
      </c>
      <c r="Z858" s="4">
        <f t="shared" si="54"/>
        <v>0.72127446413212437</v>
      </c>
      <c r="AA858" s="4">
        <f t="shared" si="55"/>
        <v>0.7024748413210381</v>
      </c>
    </row>
    <row r="859" spans="1:27" x14ac:dyDescent="0.3">
      <c r="A859" t="s">
        <v>395</v>
      </c>
      <c r="B859">
        <v>120373</v>
      </c>
      <c r="C859">
        <v>2015</v>
      </c>
      <c r="D859" t="s">
        <v>54</v>
      </c>
      <c r="E859" t="s">
        <v>174</v>
      </c>
      <c r="F859">
        <v>4</v>
      </c>
      <c r="G859" t="s">
        <v>22</v>
      </c>
      <c r="H859">
        <v>4</v>
      </c>
      <c r="I859" t="s">
        <v>23</v>
      </c>
      <c r="J859" t="s">
        <v>24</v>
      </c>
      <c r="L859" t="s">
        <v>127</v>
      </c>
      <c r="M859" t="s">
        <v>33</v>
      </c>
      <c r="N859">
        <v>1.7</v>
      </c>
      <c r="O859" t="s">
        <v>27</v>
      </c>
      <c r="S859" s="3">
        <v>900</v>
      </c>
      <c r="T859" s="2">
        <v>4565.13916015625</v>
      </c>
      <c r="U859" s="2">
        <v>4821.0903205726754</v>
      </c>
      <c r="V859" s="2">
        <v>1855.8896838533619</v>
      </c>
      <c r="W859" s="2">
        <v>4318.64892578125</v>
      </c>
      <c r="X859" s="4">
        <f t="shared" si="52"/>
        <v>0.19714623550910459</v>
      </c>
      <c r="Y859" s="4">
        <f t="shared" si="53"/>
        <v>0.18667976332231276</v>
      </c>
      <c r="Z859" s="4">
        <f t="shared" si="54"/>
        <v>0.4849426169185555</v>
      </c>
      <c r="AA859" s="4">
        <f t="shared" si="55"/>
        <v>0.20839850968834858</v>
      </c>
    </row>
    <row r="860" spans="1:27" x14ac:dyDescent="0.3">
      <c r="A860" t="s">
        <v>395</v>
      </c>
      <c r="B860">
        <v>223405</v>
      </c>
      <c r="C860">
        <v>2017</v>
      </c>
      <c r="D860" t="s">
        <v>71</v>
      </c>
      <c r="E860" t="s">
        <v>170</v>
      </c>
      <c r="F860">
        <v>6</v>
      </c>
      <c r="G860" t="s">
        <v>66</v>
      </c>
      <c r="H860">
        <v>4</v>
      </c>
      <c r="I860" t="s">
        <v>23</v>
      </c>
      <c r="J860" t="s">
        <v>24</v>
      </c>
      <c r="K860" t="s">
        <v>27</v>
      </c>
      <c r="L860" t="s">
        <v>26</v>
      </c>
      <c r="M860" t="s">
        <v>33</v>
      </c>
      <c r="N860">
        <v>2.2000000000000002</v>
      </c>
      <c r="O860" t="s">
        <v>27</v>
      </c>
      <c r="S860" s="3">
        <v>1400</v>
      </c>
      <c r="T860" s="2">
        <v>3978.637451171875</v>
      </c>
      <c r="U860" s="2">
        <v>4230.0403997592302</v>
      </c>
      <c r="V860" s="2">
        <v>3117.3910742114958</v>
      </c>
      <c r="W860" s="2">
        <v>3454.6015625</v>
      </c>
      <c r="X860" s="4">
        <f t="shared" si="52"/>
        <v>0.35187925946548398</v>
      </c>
      <c r="Y860" s="4">
        <f t="shared" si="53"/>
        <v>0.33096610615815553</v>
      </c>
      <c r="Z860" s="4">
        <f t="shared" si="54"/>
        <v>0.44909347806293826</v>
      </c>
      <c r="AA860" s="4">
        <f t="shared" si="55"/>
        <v>0.40525657580808205</v>
      </c>
    </row>
    <row r="861" spans="1:27" x14ac:dyDescent="0.3">
      <c r="A861" t="s">
        <v>395</v>
      </c>
      <c r="B861">
        <v>155901</v>
      </c>
      <c r="C861">
        <v>2017</v>
      </c>
      <c r="D861" t="s">
        <v>85</v>
      </c>
      <c r="E861" t="s">
        <v>372</v>
      </c>
      <c r="F861">
        <v>4</v>
      </c>
      <c r="G861" t="s">
        <v>99</v>
      </c>
      <c r="H861">
        <v>4</v>
      </c>
      <c r="I861" t="s">
        <v>23</v>
      </c>
      <c r="J861" t="s">
        <v>31</v>
      </c>
      <c r="K861" t="s">
        <v>27</v>
      </c>
      <c r="L861" t="s">
        <v>127</v>
      </c>
      <c r="M861" t="s">
        <v>33</v>
      </c>
      <c r="N861">
        <v>2.2000000000000002</v>
      </c>
      <c r="O861" t="s">
        <v>27</v>
      </c>
      <c r="S861" s="3">
        <v>1200</v>
      </c>
      <c r="T861" s="2">
        <v>3268.81298828125</v>
      </c>
      <c r="U861" s="2">
        <v>2745.604485383516</v>
      </c>
      <c r="V861" s="2">
        <v>2710.8919603933732</v>
      </c>
      <c r="W861" s="2">
        <v>5034.31005859375</v>
      </c>
      <c r="X861" s="4">
        <f t="shared" si="52"/>
        <v>0.36710573663957541</v>
      </c>
      <c r="Y861" s="4">
        <f t="shared" si="53"/>
        <v>0.43706222305081194</v>
      </c>
      <c r="Z861" s="4">
        <f t="shared" si="54"/>
        <v>0.4426587328201268</v>
      </c>
      <c r="AA861" s="4">
        <f t="shared" si="55"/>
        <v>0.23836434109805305</v>
      </c>
    </row>
    <row r="862" spans="1:27" x14ac:dyDescent="0.3">
      <c r="A862" t="s">
        <v>395</v>
      </c>
      <c r="B862">
        <v>79202</v>
      </c>
      <c r="C862">
        <v>2014</v>
      </c>
      <c r="D862" t="s">
        <v>71</v>
      </c>
      <c r="E862" t="s">
        <v>234</v>
      </c>
      <c r="F862">
        <v>4</v>
      </c>
      <c r="G862" t="s">
        <v>36</v>
      </c>
      <c r="H862">
        <v>4</v>
      </c>
      <c r="I862" t="s">
        <v>23</v>
      </c>
      <c r="J862" t="s">
        <v>31</v>
      </c>
      <c r="K862" t="s">
        <v>27</v>
      </c>
      <c r="L862" t="s">
        <v>127</v>
      </c>
      <c r="M862" t="s">
        <v>33</v>
      </c>
      <c r="N862">
        <v>2.7</v>
      </c>
      <c r="O862" t="s">
        <v>27</v>
      </c>
      <c r="S862" s="3">
        <v>3000</v>
      </c>
      <c r="T862" s="2">
        <v>6505.0830078125</v>
      </c>
      <c r="U862" s="2">
        <v>6714.583392729086</v>
      </c>
      <c r="V862" s="2">
        <v>6415.5062639000371</v>
      </c>
      <c r="W862" s="2">
        <v>6818.80322265625</v>
      </c>
      <c r="X862" s="4">
        <f t="shared" si="52"/>
        <v>0.46117781992897683</v>
      </c>
      <c r="Y862" s="4">
        <f t="shared" si="53"/>
        <v>0.44678870222217543</v>
      </c>
      <c r="Z862" s="4">
        <f t="shared" si="54"/>
        <v>0.46761703232696655</v>
      </c>
      <c r="AA862" s="4">
        <f t="shared" si="55"/>
        <v>0.43995990235238913</v>
      </c>
    </row>
    <row r="863" spans="1:27" x14ac:dyDescent="0.3">
      <c r="A863" t="s">
        <v>395</v>
      </c>
      <c r="B863">
        <v>165998</v>
      </c>
      <c r="C863">
        <v>2017</v>
      </c>
      <c r="D863" t="s">
        <v>71</v>
      </c>
      <c r="E863" t="s">
        <v>72</v>
      </c>
      <c r="F863">
        <v>4</v>
      </c>
      <c r="G863" t="s">
        <v>30</v>
      </c>
      <c r="H863">
        <v>4</v>
      </c>
      <c r="I863" t="s">
        <v>23</v>
      </c>
      <c r="J863" t="s">
        <v>24</v>
      </c>
      <c r="K863" t="s">
        <v>27</v>
      </c>
      <c r="L863" t="s">
        <v>73</v>
      </c>
      <c r="M863" t="s">
        <v>33</v>
      </c>
      <c r="N863">
        <v>3.5</v>
      </c>
      <c r="O863" t="s">
        <v>27</v>
      </c>
      <c r="S863" s="3">
        <v>1400</v>
      </c>
      <c r="T863" s="2">
        <v>4774.134765625</v>
      </c>
      <c r="U863" s="2">
        <v>4023.6854106462151</v>
      </c>
      <c r="V863" s="2">
        <v>2797.189667481211</v>
      </c>
      <c r="W863" s="2">
        <v>3844.003662109375</v>
      </c>
      <c r="X863" s="4">
        <f t="shared" si="52"/>
        <v>0.29324685387609095</v>
      </c>
      <c r="Y863" s="4">
        <f t="shared" si="53"/>
        <v>0.34793972617634539</v>
      </c>
      <c r="Z863" s="4">
        <f t="shared" si="54"/>
        <v>0.50050234929569859</v>
      </c>
      <c r="AA863" s="4">
        <f t="shared" si="55"/>
        <v>0.36420360724416118</v>
      </c>
    </row>
    <row r="864" spans="1:27" x14ac:dyDescent="0.3">
      <c r="A864" t="s">
        <v>395</v>
      </c>
      <c r="B864">
        <v>139858</v>
      </c>
      <c r="C864">
        <v>2012</v>
      </c>
      <c r="D864" t="s">
        <v>28</v>
      </c>
      <c r="E864" t="s">
        <v>220</v>
      </c>
      <c r="F864">
        <v>6</v>
      </c>
      <c r="G864" t="s">
        <v>36</v>
      </c>
      <c r="H864">
        <v>4</v>
      </c>
      <c r="I864" t="s">
        <v>23</v>
      </c>
      <c r="J864" t="s">
        <v>24</v>
      </c>
      <c r="L864" t="s">
        <v>53</v>
      </c>
      <c r="M864">
        <v>4</v>
      </c>
      <c r="N864">
        <v>2</v>
      </c>
      <c r="O864" t="s">
        <v>27</v>
      </c>
      <c r="S864" s="3">
        <v>2600</v>
      </c>
      <c r="T864" s="2">
        <v>5544.482421875</v>
      </c>
      <c r="U864" s="2">
        <v>5938.1346051492483</v>
      </c>
      <c r="V864" s="2">
        <v>7066.3343433733153</v>
      </c>
      <c r="W864" s="2">
        <v>5864.6337890625</v>
      </c>
      <c r="X864" s="4">
        <f t="shared" si="52"/>
        <v>0.46893466371938602</v>
      </c>
      <c r="Y864" s="4">
        <f t="shared" si="53"/>
        <v>0.43784793927463556</v>
      </c>
      <c r="Z864" s="4">
        <f t="shared" si="54"/>
        <v>0.36794183145865927</v>
      </c>
      <c r="AA864" s="4">
        <f t="shared" si="55"/>
        <v>0.44333543977613427</v>
      </c>
    </row>
    <row r="865" spans="1:27" x14ac:dyDescent="0.3">
      <c r="A865" t="s">
        <v>395</v>
      </c>
      <c r="B865">
        <v>121028</v>
      </c>
      <c r="C865">
        <v>2017</v>
      </c>
      <c r="D865" t="s">
        <v>187</v>
      </c>
      <c r="E865" t="s">
        <v>411</v>
      </c>
      <c r="F865">
        <v>4</v>
      </c>
      <c r="G865" t="s">
        <v>22</v>
      </c>
      <c r="H865">
        <v>4</v>
      </c>
      <c r="I865" t="s">
        <v>23</v>
      </c>
      <c r="J865" t="s">
        <v>24</v>
      </c>
      <c r="K865" t="s">
        <v>27</v>
      </c>
      <c r="L865" t="s">
        <v>102</v>
      </c>
      <c r="M865" t="s">
        <v>23</v>
      </c>
      <c r="N865">
        <v>3.9</v>
      </c>
      <c r="O865" t="s">
        <v>27</v>
      </c>
      <c r="S865" s="3">
        <v>7000</v>
      </c>
      <c r="T865" s="2">
        <v>7824.703125</v>
      </c>
      <c r="U865" s="2">
        <v>8472.2178396711552</v>
      </c>
      <c r="V865" s="2">
        <v>6739.4692914076131</v>
      </c>
      <c r="W865" s="2">
        <v>7784.96728515625</v>
      </c>
      <c r="X865" s="4">
        <f t="shared" si="52"/>
        <v>0.89460263069086088</v>
      </c>
      <c r="Y865" s="4">
        <f t="shared" si="53"/>
        <v>0.82622993559283897</v>
      </c>
      <c r="Z865" s="4">
        <f t="shared" si="54"/>
        <v>1.0386574516964633</v>
      </c>
      <c r="AA865" s="4">
        <f t="shared" si="55"/>
        <v>0.8991688395848545</v>
      </c>
    </row>
    <row r="866" spans="1:27" x14ac:dyDescent="0.3">
      <c r="A866" t="s">
        <v>395</v>
      </c>
      <c r="B866">
        <v>125264</v>
      </c>
      <c r="C866">
        <v>2011</v>
      </c>
      <c r="D866" t="s">
        <v>54</v>
      </c>
      <c r="E866" t="s">
        <v>219</v>
      </c>
      <c r="F866">
        <v>6</v>
      </c>
      <c r="G866" t="s">
        <v>36</v>
      </c>
      <c r="H866">
        <v>4</v>
      </c>
      <c r="I866" t="s">
        <v>23</v>
      </c>
      <c r="J866" t="s">
        <v>24</v>
      </c>
      <c r="K866" t="s">
        <v>27</v>
      </c>
      <c r="L866" t="s">
        <v>26</v>
      </c>
      <c r="M866" t="s">
        <v>78</v>
      </c>
      <c r="N866">
        <v>0</v>
      </c>
      <c r="O866" t="s">
        <v>27</v>
      </c>
      <c r="S866" s="3">
        <v>2500</v>
      </c>
      <c r="T866" s="2">
        <v>5524.29443359375</v>
      </c>
      <c r="U866" s="2">
        <v>8412.5682145511419</v>
      </c>
      <c r="V866" s="2">
        <v>3382.9168286732388</v>
      </c>
      <c r="W866" s="2">
        <v>4471.36328125</v>
      </c>
      <c r="X866" s="4">
        <f t="shared" si="52"/>
        <v>0.45254647992642583</v>
      </c>
      <c r="Y866" s="4">
        <f t="shared" si="53"/>
        <v>0.29717441050591104</v>
      </c>
      <c r="Z866" s="4">
        <f t="shared" si="54"/>
        <v>0.73900723151402048</v>
      </c>
      <c r="AA866" s="4">
        <f t="shared" si="55"/>
        <v>0.55911359528387683</v>
      </c>
    </row>
    <row r="867" spans="1:27" x14ac:dyDescent="0.3">
      <c r="A867" t="s">
        <v>395</v>
      </c>
      <c r="B867">
        <v>59127</v>
      </c>
      <c r="C867">
        <v>2015</v>
      </c>
      <c r="D867" t="s">
        <v>28</v>
      </c>
      <c r="E867" t="s">
        <v>220</v>
      </c>
      <c r="F867">
        <v>6</v>
      </c>
      <c r="G867" t="s">
        <v>22</v>
      </c>
      <c r="H867">
        <v>4</v>
      </c>
      <c r="I867" t="s">
        <v>23</v>
      </c>
      <c r="J867" t="s">
        <v>24</v>
      </c>
      <c r="K867" t="s">
        <v>27</v>
      </c>
      <c r="L867" t="s">
        <v>53</v>
      </c>
      <c r="M867">
        <v>4</v>
      </c>
      <c r="N867">
        <v>0</v>
      </c>
      <c r="S867" s="3">
        <v>14000</v>
      </c>
      <c r="T867" s="2">
        <v>17387.384765625</v>
      </c>
      <c r="U867" s="2">
        <v>18296.70643083785</v>
      </c>
      <c r="V867" s="2">
        <v>18435.32146477565</v>
      </c>
      <c r="W867" s="2">
        <v>18054.482421875</v>
      </c>
      <c r="X867" s="4">
        <f t="shared" si="52"/>
        <v>0.80518146855978667</v>
      </c>
      <c r="Y867" s="4">
        <f t="shared" si="53"/>
        <v>0.76516503409618875</v>
      </c>
      <c r="Z867" s="4">
        <f t="shared" si="54"/>
        <v>0.75941176435408442</v>
      </c>
      <c r="AA867" s="4">
        <f t="shared" si="55"/>
        <v>0.77543070318301976</v>
      </c>
    </row>
    <row r="868" spans="1:27" x14ac:dyDescent="0.3">
      <c r="A868" t="s">
        <v>395</v>
      </c>
      <c r="B868">
        <v>92975</v>
      </c>
      <c r="C868">
        <v>2019</v>
      </c>
      <c r="D868" t="s">
        <v>40</v>
      </c>
      <c r="E868" t="s">
        <v>122</v>
      </c>
      <c r="F868">
        <v>4</v>
      </c>
      <c r="G868" t="s">
        <v>30</v>
      </c>
      <c r="H868">
        <v>4</v>
      </c>
      <c r="I868" t="s">
        <v>23</v>
      </c>
      <c r="J868" t="s">
        <v>24</v>
      </c>
      <c r="K868" t="s">
        <v>27</v>
      </c>
      <c r="L868" t="s">
        <v>73</v>
      </c>
      <c r="M868" t="s">
        <v>33</v>
      </c>
      <c r="N868">
        <v>0</v>
      </c>
      <c r="O868" t="s">
        <v>27</v>
      </c>
      <c r="S868" s="3">
        <v>2200</v>
      </c>
      <c r="T868" s="2">
        <v>9785.6328125</v>
      </c>
      <c r="U868" s="2">
        <v>8907.7711413859543</v>
      </c>
      <c r="V868" s="2">
        <v>7824.1606524933823</v>
      </c>
      <c r="W868" s="2">
        <v>8766.0068359375</v>
      </c>
      <c r="X868" s="4">
        <f t="shared" si="52"/>
        <v>0.22481939003369897</v>
      </c>
      <c r="Y868" s="4">
        <f t="shared" si="53"/>
        <v>0.24697536174663143</v>
      </c>
      <c r="Z868" s="4">
        <f t="shared" si="54"/>
        <v>0.2811803205113011</v>
      </c>
      <c r="AA868" s="4">
        <f t="shared" si="55"/>
        <v>0.25096945977509222</v>
      </c>
    </row>
    <row r="869" spans="1:27" x14ac:dyDescent="0.3">
      <c r="A869" t="s">
        <v>395</v>
      </c>
      <c r="B869">
        <v>144283</v>
      </c>
      <c r="C869">
        <v>2013</v>
      </c>
      <c r="D869" t="s">
        <v>100</v>
      </c>
      <c r="E869" t="s">
        <v>444</v>
      </c>
      <c r="F869">
        <v>4</v>
      </c>
      <c r="G869" t="s">
        <v>47</v>
      </c>
      <c r="H869">
        <v>2</v>
      </c>
      <c r="I869" t="s">
        <v>23</v>
      </c>
      <c r="J869" t="s">
        <v>49</v>
      </c>
      <c r="L869" t="s">
        <v>102</v>
      </c>
      <c r="M869" t="s">
        <v>78</v>
      </c>
      <c r="N869">
        <v>0</v>
      </c>
      <c r="O869" t="s">
        <v>27</v>
      </c>
      <c r="S869" s="3">
        <v>7000</v>
      </c>
      <c r="T869" s="2">
        <v>5044.74609375</v>
      </c>
      <c r="U869" s="2">
        <v>4335.8043542777132</v>
      </c>
      <c r="V869" s="2">
        <v>6475.1783249321816</v>
      </c>
      <c r="W869" s="2">
        <v>4822.43994140625</v>
      </c>
      <c r="X869" s="4">
        <f t="shared" si="52"/>
        <v>1.3875822231514068</v>
      </c>
      <c r="Y869" s="4">
        <f t="shared" si="53"/>
        <v>1.6144639905381768</v>
      </c>
      <c r="Z869" s="4">
        <f t="shared" si="54"/>
        <v>1.0810513083550197</v>
      </c>
      <c r="AA869" s="4">
        <f t="shared" si="55"/>
        <v>1.4515473671111727</v>
      </c>
    </row>
    <row r="870" spans="1:27" x14ac:dyDescent="0.3">
      <c r="A870" t="s">
        <v>395</v>
      </c>
      <c r="B870">
        <v>209509</v>
      </c>
      <c r="C870">
        <v>2012</v>
      </c>
      <c r="D870" t="s">
        <v>34</v>
      </c>
      <c r="E870" t="s">
        <v>262</v>
      </c>
      <c r="F870">
        <v>8</v>
      </c>
      <c r="G870" t="s">
        <v>59</v>
      </c>
      <c r="H870">
        <v>4</v>
      </c>
      <c r="I870" t="s">
        <v>23</v>
      </c>
      <c r="J870" t="s">
        <v>152</v>
      </c>
      <c r="L870" t="s">
        <v>378</v>
      </c>
      <c r="M870" t="s">
        <v>78</v>
      </c>
      <c r="N870">
        <v>0</v>
      </c>
      <c r="O870" t="s">
        <v>27</v>
      </c>
      <c r="S870" s="3">
        <v>4700</v>
      </c>
      <c r="T870" s="2">
        <v>4988.7890625</v>
      </c>
      <c r="U870" s="2">
        <v>5411.502044476716</v>
      </c>
      <c r="V870" s="2">
        <v>4338.4564329105551</v>
      </c>
      <c r="W870" s="2">
        <v>5979.9013671875</v>
      </c>
      <c r="X870" s="4">
        <f t="shared" si="52"/>
        <v>0.94211239263035085</v>
      </c>
      <c r="Y870" s="4">
        <f t="shared" si="53"/>
        <v>0.86852041473348141</v>
      </c>
      <c r="Z870" s="4">
        <f t="shared" si="54"/>
        <v>1.0833346082138469</v>
      </c>
      <c r="AA870" s="4">
        <f t="shared" si="55"/>
        <v>0.78596614081120364</v>
      </c>
    </row>
    <row r="871" spans="1:27" x14ac:dyDescent="0.3">
      <c r="A871" t="s">
        <v>395</v>
      </c>
      <c r="B871">
        <v>1</v>
      </c>
      <c r="C871">
        <v>2012</v>
      </c>
      <c r="D871" t="s">
        <v>85</v>
      </c>
      <c r="E871" t="s">
        <v>228</v>
      </c>
      <c r="F871">
        <v>4</v>
      </c>
      <c r="G871" t="s">
        <v>30</v>
      </c>
      <c r="H871">
        <v>4</v>
      </c>
      <c r="I871" t="s">
        <v>23</v>
      </c>
      <c r="J871" t="s">
        <v>31</v>
      </c>
      <c r="K871" t="s">
        <v>27</v>
      </c>
      <c r="L871" t="s">
        <v>127</v>
      </c>
      <c r="M871" t="s">
        <v>33</v>
      </c>
      <c r="N871">
        <v>0</v>
      </c>
      <c r="O871" t="s">
        <v>27</v>
      </c>
      <c r="S871" s="3">
        <v>500</v>
      </c>
      <c r="T871" s="2">
        <v>21586.271484375</v>
      </c>
      <c r="U871" s="2">
        <v>-3787.1661190533891</v>
      </c>
      <c r="V871" s="2">
        <v>-3170.4920831272339</v>
      </c>
      <c r="W871" s="2">
        <v>8795.2314453125</v>
      </c>
      <c r="X871" s="4">
        <f t="shared" si="52"/>
        <v>2.3162869991787134E-2</v>
      </c>
      <c r="Y871" s="4">
        <f t="shared" si="53"/>
        <v>-0.13202483975669282</v>
      </c>
      <c r="Z871" s="4">
        <f t="shared" si="54"/>
        <v>-0.15770422599725339</v>
      </c>
      <c r="AA871" s="4">
        <f t="shared" si="55"/>
        <v>5.6848987216417096E-2</v>
      </c>
    </row>
    <row r="872" spans="1:27" x14ac:dyDescent="0.3">
      <c r="A872" t="s">
        <v>395</v>
      </c>
      <c r="B872">
        <v>243660</v>
      </c>
      <c r="C872">
        <v>2012</v>
      </c>
      <c r="D872" t="s">
        <v>100</v>
      </c>
      <c r="E872" t="s">
        <v>444</v>
      </c>
      <c r="F872">
        <v>6</v>
      </c>
      <c r="G872" t="s">
        <v>59</v>
      </c>
      <c r="H872">
        <v>4</v>
      </c>
      <c r="I872" t="s">
        <v>23</v>
      </c>
      <c r="J872" t="s">
        <v>42</v>
      </c>
      <c r="L872" t="s">
        <v>348</v>
      </c>
      <c r="M872" t="s">
        <v>78</v>
      </c>
      <c r="N872">
        <v>0</v>
      </c>
      <c r="O872" t="s">
        <v>27</v>
      </c>
      <c r="S872" s="3">
        <v>3500</v>
      </c>
      <c r="T872" s="2">
        <v>3903.80078125</v>
      </c>
      <c r="U872" s="2">
        <v>4417.9171370976655</v>
      </c>
      <c r="V872" s="2">
        <v>5034.0918306712483</v>
      </c>
      <c r="W872" s="2">
        <v>4979.802734375</v>
      </c>
      <c r="X872" s="4">
        <f t="shared" si="52"/>
        <v>0.89656214446457927</v>
      </c>
      <c r="Y872" s="4">
        <f t="shared" si="53"/>
        <v>0.79222853018454575</v>
      </c>
      <c r="Z872" s="4">
        <f t="shared" si="54"/>
        <v>0.6952594663997832</v>
      </c>
      <c r="AA872" s="4">
        <f t="shared" si="55"/>
        <v>0.7028390855404586</v>
      </c>
    </row>
    <row r="873" spans="1:27" x14ac:dyDescent="0.3">
      <c r="A873" t="s">
        <v>395</v>
      </c>
      <c r="B873">
        <v>167815</v>
      </c>
      <c r="C873">
        <v>2011</v>
      </c>
      <c r="D873" t="s">
        <v>20</v>
      </c>
      <c r="E873" t="s">
        <v>390</v>
      </c>
      <c r="F873">
        <v>8</v>
      </c>
      <c r="G873" t="s">
        <v>47</v>
      </c>
      <c r="H873">
        <v>4</v>
      </c>
      <c r="I873" t="s">
        <v>23</v>
      </c>
      <c r="J873" t="s">
        <v>24</v>
      </c>
      <c r="L873" t="s">
        <v>166</v>
      </c>
      <c r="M873" t="s">
        <v>23</v>
      </c>
      <c r="N873">
        <v>0</v>
      </c>
      <c r="O873" t="s">
        <v>27</v>
      </c>
      <c r="S873" s="3">
        <v>6800</v>
      </c>
      <c r="T873" s="2">
        <v>6802.85546875</v>
      </c>
      <c r="U873" s="2">
        <v>5522.1838164932851</v>
      </c>
      <c r="V873" s="2">
        <v>3988.3785726015321</v>
      </c>
      <c r="W873" s="2">
        <v>6565.77685546875</v>
      </c>
      <c r="X873" s="4">
        <f t="shared" si="52"/>
        <v>0.99958025438536557</v>
      </c>
      <c r="Y873" s="4">
        <f t="shared" si="53"/>
        <v>1.2313968940494555</v>
      </c>
      <c r="Z873" s="4">
        <f t="shared" si="54"/>
        <v>1.7049534983246359</v>
      </c>
      <c r="AA873" s="4">
        <f t="shared" si="55"/>
        <v>1.0356733330551984</v>
      </c>
    </row>
    <row r="874" spans="1:27" x14ac:dyDescent="0.3">
      <c r="A874" t="s">
        <v>395</v>
      </c>
      <c r="B874">
        <v>108576</v>
      </c>
      <c r="C874">
        <v>2008</v>
      </c>
      <c r="D874" t="s">
        <v>100</v>
      </c>
      <c r="E874" t="s">
        <v>445</v>
      </c>
      <c r="F874">
        <v>6</v>
      </c>
      <c r="G874" t="s">
        <v>30</v>
      </c>
      <c r="H874">
        <v>4</v>
      </c>
      <c r="I874" t="s">
        <v>23</v>
      </c>
      <c r="J874" t="s">
        <v>24</v>
      </c>
      <c r="K874" t="s">
        <v>27</v>
      </c>
      <c r="L874" t="s">
        <v>348</v>
      </c>
      <c r="M874">
        <v>4</v>
      </c>
      <c r="N874">
        <v>0</v>
      </c>
      <c r="S874" s="3">
        <v>2500</v>
      </c>
      <c r="T874" s="2">
        <v>2514.241455078125</v>
      </c>
      <c r="U874" s="2">
        <v>3306.9154543795048</v>
      </c>
      <c r="V874" s="2">
        <v>4394.2650944169873</v>
      </c>
      <c r="W874" s="2">
        <v>3460.234130859375</v>
      </c>
      <c r="X874" s="4">
        <f t="shared" si="52"/>
        <v>0.99433568520264393</v>
      </c>
      <c r="Y874" s="4">
        <f t="shared" si="53"/>
        <v>0.7559915076417002</v>
      </c>
      <c r="Z874" s="4">
        <f t="shared" si="54"/>
        <v>0.56892334583462123</v>
      </c>
      <c r="AA874" s="4">
        <f t="shared" si="55"/>
        <v>0.72249446293367037</v>
      </c>
    </row>
    <row r="875" spans="1:27" x14ac:dyDescent="0.3">
      <c r="A875" t="s">
        <v>395</v>
      </c>
      <c r="B875">
        <v>151567</v>
      </c>
      <c r="C875">
        <v>2005</v>
      </c>
      <c r="D875" t="s">
        <v>28</v>
      </c>
      <c r="E875" t="s">
        <v>29</v>
      </c>
      <c r="F875">
        <v>4</v>
      </c>
      <c r="G875" t="s">
        <v>30</v>
      </c>
      <c r="H875">
        <v>4</v>
      </c>
      <c r="I875" t="s">
        <v>23</v>
      </c>
      <c r="J875" t="s">
        <v>31</v>
      </c>
      <c r="L875" t="s">
        <v>446</v>
      </c>
      <c r="M875" t="s">
        <v>33</v>
      </c>
      <c r="N875">
        <v>0</v>
      </c>
      <c r="S875" s="3">
        <v>500</v>
      </c>
      <c r="T875" s="2">
        <v>3287.472900390625</v>
      </c>
      <c r="U875" s="2">
        <v>3255.9250716397801</v>
      </c>
      <c r="V875" s="2">
        <v>2611.02712441843</v>
      </c>
      <c r="W875" s="2">
        <v>2383.22998046875</v>
      </c>
      <c r="X875" s="4">
        <f t="shared" si="52"/>
        <v>0.15209250848595249</v>
      </c>
      <c r="Y875" s="4">
        <f t="shared" si="53"/>
        <v>0.15356618748851775</v>
      </c>
      <c r="Z875" s="4">
        <f t="shared" si="54"/>
        <v>0.19149552117784607</v>
      </c>
      <c r="AA875" s="4">
        <f t="shared" si="55"/>
        <v>0.209799307703261</v>
      </c>
    </row>
    <row r="876" spans="1:27" x14ac:dyDescent="0.3">
      <c r="A876" t="s">
        <v>395</v>
      </c>
      <c r="B876">
        <v>98965</v>
      </c>
      <c r="C876">
        <v>2014</v>
      </c>
      <c r="D876" t="s">
        <v>40</v>
      </c>
      <c r="E876" t="s">
        <v>150</v>
      </c>
      <c r="F876">
        <v>6</v>
      </c>
      <c r="G876" t="s">
        <v>47</v>
      </c>
      <c r="H876">
        <v>4</v>
      </c>
      <c r="I876" t="s">
        <v>23</v>
      </c>
      <c r="J876" t="s">
        <v>24</v>
      </c>
      <c r="L876" t="s">
        <v>26</v>
      </c>
      <c r="M876" t="s">
        <v>33</v>
      </c>
      <c r="N876">
        <v>0</v>
      </c>
      <c r="S876" s="3">
        <v>5500</v>
      </c>
      <c r="T876" s="2">
        <v>9304.2060546875</v>
      </c>
      <c r="U876" s="2">
        <v>8906.4357780138707</v>
      </c>
      <c r="V876" s="2">
        <v>8023.0323659646456</v>
      </c>
      <c r="W876" s="2">
        <v>9514.9169921875</v>
      </c>
      <c r="X876" s="4">
        <f t="shared" si="52"/>
        <v>0.59113050244938159</v>
      </c>
      <c r="Y876" s="4">
        <f t="shared" si="53"/>
        <v>0.61753097839397397</v>
      </c>
      <c r="Z876" s="4">
        <f t="shared" si="54"/>
        <v>0.68552633831219878</v>
      </c>
      <c r="AA876" s="4">
        <f t="shared" si="55"/>
        <v>0.57803972483584831</v>
      </c>
    </row>
    <row r="877" spans="1:27" x14ac:dyDescent="0.3">
      <c r="A877" t="s">
        <v>395</v>
      </c>
      <c r="B877">
        <v>329916</v>
      </c>
      <c r="C877">
        <v>2005</v>
      </c>
      <c r="D877" t="s">
        <v>20</v>
      </c>
      <c r="E877" t="s">
        <v>447</v>
      </c>
      <c r="F877">
        <v>8</v>
      </c>
      <c r="G877" t="s">
        <v>47</v>
      </c>
      <c r="H877">
        <v>3</v>
      </c>
      <c r="I877" t="s">
        <v>23</v>
      </c>
      <c r="J877" t="s">
        <v>448</v>
      </c>
      <c r="L877" t="s">
        <v>80</v>
      </c>
      <c r="M877" t="s">
        <v>78</v>
      </c>
      <c r="N877">
        <v>0</v>
      </c>
      <c r="S877" s="3">
        <v>4200</v>
      </c>
      <c r="T877" s="2">
        <v>2566.52392578125</v>
      </c>
      <c r="U877" s="2">
        <v>4453.3281531413559</v>
      </c>
      <c r="V877" s="2">
        <v>-229.0576129013152</v>
      </c>
      <c r="W877" s="2">
        <v>3780.675048828125</v>
      </c>
      <c r="X877" s="4">
        <f t="shared" si="52"/>
        <v>1.6364546450590831</v>
      </c>
      <c r="Y877" s="4">
        <f t="shared" si="53"/>
        <v>0.94311486950211398</v>
      </c>
      <c r="Z877" s="4">
        <f t="shared" si="54"/>
        <v>-18.335998296679552</v>
      </c>
      <c r="AA877" s="4">
        <f t="shared" si="55"/>
        <v>1.110912719489566</v>
      </c>
    </row>
    <row r="878" spans="1:27" x14ac:dyDescent="0.3">
      <c r="A878" t="s">
        <v>395</v>
      </c>
      <c r="B878">
        <v>132138</v>
      </c>
      <c r="C878">
        <v>2013</v>
      </c>
      <c r="D878" t="s">
        <v>396</v>
      </c>
      <c r="E878" t="s">
        <v>449</v>
      </c>
      <c r="F878">
        <v>6</v>
      </c>
      <c r="G878" t="s">
        <v>272</v>
      </c>
      <c r="H878">
        <v>4</v>
      </c>
      <c r="I878" t="s">
        <v>23</v>
      </c>
      <c r="J878" t="s">
        <v>24</v>
      </c>
      <c r="K878" t="s">
        <v>27</v>
      </c>
      <c r="L878" t="s">
        <v>53</v>
      </c>
      <c r="M878" t="s">
        <v>33</v>
      </c>
      <c r="N878">
        <v>0</v>
      </c>
      <c r="S878" s="3">
        <v>7000</v>
      </c>
      <c r="T878" s="2">
        <v>900.69012451171875</v>
      </c>
      <c r="U878" s="2">
        <v>6548.9125331212808</v>
      </c>
      <c r="V878" s="2">
        <v>7131.4325812536172</v>
      </c>
      <c r="W878" s="2">
        <v>5330.41015625</v>
      </c>
      <c r="X878" s="4">
        <f t="shared" si="52"/>
        <v>7.7718183085385038</v>
      </c>
      <c r="Y878" s="4">
        <f t="shared" si="53"/>
        <v>1.068879751347622</v>
      </c>
      <c r="Z878" s="4">
        <f t="shared" si="54"/>
        <v>0.9815699609081191</v>
      </c>
      <c r="AA878" s="4">
        <f t="shared" si="55"/>
        <v>1.313219770113258</v>
      </c>
    </row>
    <row r="879" spans="1:27" x14ac:dyDescent="0.3">
      <c r="A879" t="s">
        <v>395</v>
      </c>
      <c r="B879">
        <v>149145</v>
      </c>
      <c r="C879">
        <v>2005</v>
      </c>
      <c r="D879" t="s">
        <v>141</v>
      </c>
      <c r="E879" t="s">
        <v>450</v>
      </c>
      <c r="F879">
        <v>4</v>
      </c>
      <c r="G879" t="s">
        <v>36</v>
      </c>
      <c r="H879">
        <v>2</v>
      </c>
      <c r="I879" t="s">
        <v>233</v>
      </c>
      <c r="J879" t="s">
        <v>209</v>
      </c>
      <c r="K879" t="s">
        <v>27</v>
      </c>
      <c r="L879" t="s">
        <v>60</v>
      </c>
      <c r="M879" t="s">
        <v>33</v>
      </c>
      <c r="N879">
        <v>0</v>
      </c>
      <c r="S879" s="3">
        <v>400</v>
      </c>
      <c r="T879" s="2">
        <v>2243.274169921875</v>
      </c>
      <c r="U879" s="2">
        <v>1980.3005330315571</v>
      </c>
      <c r="V879" s="2">
        <v>1797.154632772033</v>
      </c>
      <c r="W879" s="2">
        <v>1655.596313476562</v>
      </c>
      <c r="X879" s="4">
        <f t="shared" si="52"/>
        <v>0.17831079471392947</v>
      </c>
      <c r="Y879" s="4">
        <f t="shared" si="53"/>
        <v>0.20198954316679255</v>
      </c>
      <c r="Z879" s="4">
        <f t="shared" si="54"/>
        <v>0.22257405829514923</v>
      </c>
      <c r="AA879" s="4">
        <f t="shared" si="55"/>
        <v>0.24160479021606782</v>
      </c>
    </row>
    <row r="880" spans="1:27" x14ac:dyDescent="0.3">
      <c r="A880" t="s">
        <v>395</v>
      </c>
      <c r="B880">
        <v>1</v>
      </c>
      <c r="C880">
        <v>2014</v>
      </c>
      <c r="D880" t="s">
        <v>44</v>
      </c>
      <c r="E880" t="s">
        <v>117</v>
      </c>
      <c r="F880">
        <v>4</v>
      </c>
      <c r="G880" t="s">
        <v>47</v>
      </c>
      <c r="H880">
        <v>4</v>
      </c>
      <c r="I880" t="s">
        <v>23</v>
      </c>
      <c r="J880" t="s">
        <v>62</v>
      </c>
      <c r="K880" t="s">
        <v>27</v>
      </c>
      <c r="L880" t="s">
        <v>96</v>
      </c>
      <c r="M880" t="s">
        <v>33</v>
      </c>
      <c r="N880">
        <v>0</v>
      </c>
      <c r="O880" t="s">
        <v>27</v>
      </c>
      <c r="S880" s="3">
        <v>2800</v>
      </c>
      <c r="T880" s="2">
        <v>21999.44921875</v>
      </c>
      <c r="U880" s="2">
        <v>10040.79117673457</v>
      </c>
      <c r="V880" s="2">
        <v>-3506.5102922828428</v>
      </c>
      <c r="W880" s="2">
        <v>19346.1484375</v>
      </c>
      <c r="X880" s="4">
        <f t="shared" si="52"/>
        <v>0.12727591369031077</v>
      </c>
      <c r="Y880" s="4">
        <f t="shared" si="53"/>
        <v>0.27886248710040457</v>
      </c>
      <c r="Z880" s="4">
        <f t="shared" si="54"/>
        <v>-0.79851469598200342</v>
      </c>
      <c r="AA880" s="4">
        <f t="shared" si="55"/>
        <v>0.14473165080097097</v>
      </c>
    </row>
    <row r="881" spans="1:27" x14ac:dyDescent="0.3">
      <c r="A881" t="s">
        <v>395</v>
      </c>
      <c r="B881">
        <v>139944</v>
      </c>
      <c r="C881">
        <v>2007</v>
      </c>
      <c r="D881" t="s">
        <v>28</v>
      </c>
      <c r="E881" t="s">
        <v>216</v>
      </c>
      <c r="F881">
        <v>6</v>
      </c>
      <c r="G881" t="s">
        <v>47</v>
      </c>
      <c r="H881">
        <v>4</v>
      </c>
      <c r="I881" t="s">
        <v>23</v>
      </c>
      <c r="J881" t="s">
        <v>106</v>
      </c>
      <c r="K881" t="s">
        <v>27</v>
      </c>
      <c r="L881" t="s">
        <v>53</v>
      </c>
      <c r="M881" t="s">
        <v>33</v>
      </c>
      <c r="N881">
        <v>0</v>
      </c>
      <c r="S881" s="3">
        <v>2200</v>
      </c>
      <c r="T881" s="2">
        <v>3183.864013671875</v>
      </c>
      <c r="U881" s="2">
        <v>4070.693411050705</v>
      </c>
      <c r="V881" s="2">
        <v>2377.3888088339718</v>
      </c>
      <c r="W881" s="2">
        <v>3328.6328125</v>
      </c>
      <c r="X881" s="4">
        <f t="shared" si="52"/>
        <v>0.69098428530645439</v>
      </c>
      <c r="Y881" s="4">
        <f t="shared" si="53"/>
        <v>0.54044846365183474</v>
      </c>
      <c r="Z881" s="4">
        <f t="shared" si="54"/>
        <v>0.92538502403358458</v>
      </c>
      <c r="AA881" s="4">
        <f t="shared" si="55"/>
        <v>0.66093201741518315</v>
      </c>
    </row>
    <row r="882" spans="1:27" x14ac:dyDescent="0.3">
      <c r="A882" t="s">
        <v>395</v>
      </c>
      <c r="B882">
        <v>153506</v>
      </c>
      <c r="C882">
        <v>2017</v>
      </c>
      <c r="D882" t="s">
        <v>28</v>
      </c>
      <c r="E882" t="s">
        <v>137</v>
      </c>
      <c r="F882">
        <v>4</v>
      </c>
      <c r="G882" t="s">
        <v>36</v>
      </c>
      <c r="H882">
        <v>4</v>
      </c>
      <c r="I882" t="s">
        <v>23</v>
      </c>
      <c r="J882" t="s">
        <v>31</v>
      </c>
      <c r="K882" t="s">
        <v>27</v>
      </c>
      <c r="L882" t="s">
        <v>60</v>
      </c>
      <c r="M882" t="s">
        <v>33</v>
      </c>
      <c r="N882">
        <v>0</v>
      </c>
      <c r="S882" s="3">
        <v>8400</v>
      </c>
      <c r="T882" s="2">
        <v>8377.8173828125</v>
      </c>
      <c r="U882" s="2">
        <v>8514.4466711236491</v>
      </c>
      <c r="V882" s="2">
        <v>7720.6973870064448</v>
      </c>
      <c r="W882" s="2">
        <v>9664.970703125</v>
      </c>
      <c r="X882" s="4">
        <f t="shared" si="52"/>
        <v>1.0026477799853943</v>
      </c>
      <c r="Y882" s="4">
        <f t="shared" si="53"/>
        <v>0.98655853098337087</v>
      </c>
      <c r="Z882" s="4">
        <f t="shared" si="54"/>
        <v>1.0879846183502526</v>
      </c>
      <c r="AA882" s="4">
        <f t="shared" si="55"/>
        <v>0.86911799921793931</v>
      </c>
    </row>
    <row r="883" spans="1:27" x14ac:dyDescent="0.3">
      <c r="A883" t="s">
        <v>395</v>
      </c>
      <c r="B883">
        <v>223281</v>
      </c>
      <c r="C883">
        <v>2015</v>
      </c>
      <c r="D883" t="s">
        <v>40</v>
      </c>
      <c r="E883" t="s">
        <v>229</v>
      </c>
      <c r="F883">
        <v>4</v>
      </c>
      <c r="G883" t="s">
        <v>22</v>
      </c>
      <c r="H883">
        <v>4</v>
      </c>
      <c r="I883" t="s">
        <v>23</v>
      </c>
      <c r="J883" t="s">
        <v>31</v>
      </c>
      <c r="K883" t="s">
        <v>27</v>
      </c>
      <c r="L883" t="s">
        <v>102</v>
      </c>
      <c r="M883" t="s">
        <v>33</v>
      </c>
      <c r="N883">
        <v>0</v>
      </c>
      <c r="S883" s="3">
        <v>500</v>
      </c>
      <c r="T883" s="2">
        <v>3143.625244140625</v>
      </c>
      <c r="U883" s="2">
        <v>3320.543178541659</v>
      </c>
      <c r="V883" s="2">
        <v>2597.054192154987</v>
      </c>
      <c r="W883" s="2">
        <v>2606.098388671875</v>
      </c>
      <c r="X883" s="4">
        <f t="shared" si="52"/>
        <v>0.15905203743097099</v>
      </c>
      <c r="Y883" s="4">
        <f t="shared" si="53"/>
        <v>0.15057777391095203</v>
      </c>
      <c r="Z883" s="4">
        <f t="shared" si="54"/>
        <v>0.19252582464792903</v>
      </c>
      <c r="AA883" s="4">
        <f t="shared" si="55"/>
        <v>0.19185768356766109</v>
      </c>
    </row>
    <row r="884" spans="1:27" x14ac:dyDescent="0.3">
      <c r="A884" t="s">
        <v>395</v>
      </c>
      <c r="B884">
        <v>162701</v>
      </c>
      <c r="C884">
        <v>2018</v>
      </c>
      <c r="D884" t="s">
        <v>20</v>
      </c>
      <c r="E884" t="s">
        <v>390</v>
      </c>
      <c r="F884">
        <v>8</v>
      </c>
      <c r="G884" t="s">
        <v>22</v>
      </c>
      <c r="H884">
        <v>4</v>
      </c>
      <c r="I884" t="s">
        <v>23</v>
      </c>
      <c r="J884" t="s">
        <v>24</v>
      </c>
      <c r="K884" t="s">
        <v>27</v>
      </c>
      <c r="L884" t="s">
        <v>43</v>
      </c>
      <c r="M884" t="s">
        <v>78</v>
      </c>
      <c r="N884">
        <v>0</v>
      </c>
      <c r="O884" t="s">
        <v>27</v>
      </c>
      <c r="S884" s="3">
        <v>12200</v>
      </c>
      <c r="T884" s="2">
        <v>15436.1572265625</v>
      </c>
      <c r="U884" s="2">
        <v>14264.11483463591</v>
      </c>
      <c r="V884" s="2">
        <v>11155.018379963731</v>
      </c>
      <c r="W884" s="2">
        <v>17359.486328125</v>
      </c>
      <c r="X884" s="4">
        <f t="shared" si="52"/>
        <v>0.79035214664737097</v>
      </c>
      <c r="Y884" s="4">
        <f t="shared" si="53"/>
        <v>0.85529317040943498</v>
      </c>
      <c r="Z884" s="4">
        <f t="shared" si="54"/>
        <v>1.093678162100856</v>
      </c>
      <c r="AA884" s="4">
        <f t="shared" si="55"/>
        <v>0.70278577196343361</v>
      </c>
    </row>
    <row r="885" spans="1:27" x14ac:dyDescent="0.3">
      <c r="A885" t="s">
        <v>395</v>
      </c>
      <c r="B885">
        <v>161234</v>
      </c>
      <c r="C885">
        <v>2018</v>
      </c>
      <c r="D885" t="s">
        <v>44</v>
      </c>
      <c r="E885" t="s">
        <v>210</v>
      </c>
      <c r="F885">
        <v>4</v>
      </c>
      <c r="G885" t="s">
        <v>22</v>
      </c>
      <c r="H885">
        <v>4</v>
      </c>
      <c r="I885" t="s">
        <v>23</v>
      </c>
      <c r="J885" t="s">
        <v>37</v>
      </c>
      <c r="K885" t="s">
        <v>27</v>
      </c>
      <c r="L885" t="s">
        <v>200</v>
      </c>
      <c r="M885" t="s">
        <v>33</v>
      </c>
      <c r="N885">
        <v>0</v>
      </c>
      <c r="S885" s="3">
        <v>4000</v>
      </c>
      <c r="T885" s="2">
        <v>5467.78369140625</v>
      </c>
      <c r="U885" s="2">
        <v>5109.3330953152454</v>
      </c>
      <c r="V885" s="2">
        <v>4501.411057665523</v>
      </c>
      <c r="W885" s="2">
        <v>4633.90380859375</v>
      </c>
      <c r="X885" s="4">
        <f t="shared" si="52"/>
        <v>0.73155783508532446</v>
      </c>
      <c r="Y885" s="4">
        <f t="shared" si="53"/>
        <v>0.78288103855816438</v>
      </c>
      <c r="Z885" s="4">
        <f t="shared" si="54"/>
        <v>0.88861024882149731</v>
      </c>
      <c r="AA885" s="4">
        <f t="shared" si="55"/>
        <v>0.86320307136756891</v>
      </c>
    </row>
    <row r="886" spans="1:27" x14ac:dyDescent="0.3">
      <c r="A886" t="s">
        <v>395</v>
      </c>
      <c r="B886">
        <v>1</v>
      </c>
      <c r="C886">
        <v>2008</v>
      </c>
      <c r="D886" t="s">
        <v>40</v>
      </c>
      <c r="E886" t="s">
        <v>41</v>
      </c>
      <c r="F886">
        <v>8</v>
      </c>
      <c r="G886" t="s">
        <v>66</v>
      </c>
      <c r="H886">
        <v>4</v>
      </c>
      <c r="I886" t="s">
        <v>23</v>
      </c>
      <c r="J886" t="s">
        <v>42</v>
      </c>
      <c r="K886" t="s">
        <v>27</v>
      </c>
      <c r="L886" t="s">
        <v>334</v>
      </c>
      <c r="M886" t="s">
        <v>78</v>
      </c>
      <c r="N886">
        <v>0</v>
      </c>
      <c r="O886" t="s">
        <v>27</v>
      </c>
      <c r="S886" s="3">
        <v>2200</v>
      </c>
      <c r="T886" s="2">
        <v>65726.96875</v>
      </c>
      <c r="U886" s="2">
        <v>36018.02928458582</v>
      </c>
      <c r="V886" s="2">
        <v>-2592.7741756345681</v>
      </c>
      <c r="W886" s="2">
        <v>64098.5</v>
      </c>
      <c r="X886" s="4">
        <f t="shared" si="52"/>
        <v>3.3471800721070068E-2</v>
      </c>
      <c r="Y886" s="4">
        <f t="shared" si="53"/>
        <v>6.1080521163924595E-2</v>
      </c>
      <c r="Z886" s="4">
        <f t="shared" si="54"/>
        <v>-0.84851199949242062</v>
      </c>
      <c r="AA886" s="4">
        <f t="shared" si="55"/>
        <v>3.4322176025960043E-2</v>
      </c>
    </row>
    <row r="887" spans="1:27" x14ac:dyDescent="0.3">
      <c r="A887" t="s">
        <v>429</v>
      </c>
      <c r="B887">
        <v>96668</v>
      </c>
      <c r="C887">
        <v>2020</v>
      </c>
      <c r="D887" t="s">
        <v>44</v>
      </c>
      <c r="E887" t="s">
        <v>284</v>
      </c>
      <c r="F887">
        <v>4</v>
      </c>
      <c r="G887" t="s">
        <v>47</v>
      </c>
      <c r="H887">
        <v>4</v>
      </c>
      <c r="I887" t="s">
        <v>23</v>
      </c>
      <c r="J887" t="s">
        <v>285</v>
      </c>
      <c r="K887" t="s">
        <v>25</v>
      </c>
      <c r="L887" t="s">
        <v>69</v>
      </c>
      <c r="M887">
        <v>4</v>
      </c>
      <c r="N887">
        <v>0</v>
      </c>
      <c r="O887" t="s">
        <v>27</v>
      </c>
      <c r="S887" s="3">
        <v>21000</v>
      </c>
      <c r="T887" s="2">
        <v>16710.931640625</v>
      </c>
      <c r="U887" s="2">
        <v>17125.590929449168</v>
      </c>
      <c r="V887" s="2">
        <v>21104.703759913671</v>
      </c>
      <c r="W887" s="2">
        <v>17017.57421875</v>
      </c>
      <c r="X887" s="4">
        <f t="shared" si="52"/>
        <v>1.256662432209829</v>
      </c>
      <c r="Y887" s="4">
        <f t="shared" si="53"/>
        <v>1.2262350587791044</v>
      </c>
      <c r="Z887" s="4">
        <f t="shared" si="54"/>
        <v>0.99503884247299668</v>
      </c>
      <c r="AA887" s="4">
        <f t="shared" si="55"/>
        <v>1.2340184170821571</v>
      </c>
    </row>
    <row r="888" spans="1:27" x14ac:dyDescent="0.3">
      <c r="A888" t="s">
        <v>430</v>
      </c>
      <c r="B888">
        <v>122049</v>
      </c>
      <c r="C888">
        <v>2018</v>
      </c>
      <c r="D888" t="s">
        <v>100</v>
      </c>
      <c r="E888" t="s">
        <v>192</v>
      </c>
      <c r="F888">
        <v>4</v>
      </c>
      <c r="G888" t="s">
        <v>47</v>
      </c>
      <c r="H888">
        <v>4</v>
      </c>
      <c r="I888" t="s">
        <v>23</v>
      </c>
      <c r="J888" t="s">
        <v>31</v>
      </c>
      <c r="K888" t="s">
        <v>25</v>
      </c>
      <c r="L888" t="s">
        <v>32</v>
      </c>
      <c r="M888" t="s">
        <v>33</v>
      </c>
      <c r="N888">
        <v>0</v>
      </c>
      <c r="O888" t="s">
        <v>27</v>
      </c>
      <c r="S888" s="3">
        <v>1500</v>
      </c>
      <c r="T888" s="2">
        <v>3486.684814453125</v>
      </c>
      <c r="U888" s="2">
        <v>4643.088076416625</v>
      </c>
      <c r="V888" s="2">
        <v>5621.036860027134</v>
      </c>
      <c r="W888" s="2">
        <v>4331.41748046875</v>
      </c>
      <c r="X888" s="4">
        <f t="shared" si="52"/>
        <v>0.43020808585340115</v>
      </c>
      <c r="Y888" s="4">
        <f t="shared" si="53"/>
        <v>0.32306085417997243</v>
      </c>
      <c r="Z888" s="4">
        <f t="shared" si="54"/>
        <v>0.26685468132524559</v>
      </c>
      <c r="AA888" s="4">
        <f t="shared" si="55"/>
        <v>0.34630695534748329</v>
      </c>
    </row>
    <row r="889" spans="1:27" x14ac:dyDescent="0.3">
      <c r="A889" t="s">
        <v>430</v>
      </c>
      <c r="B889">
        <v>163794</v>
      </c>
      <c r="C889">
        <v>2012</v>
      </c>
      <c r="D889" t="s">
        <v>100</v>
      </c>
      <c r="E889" t="s">
        <v>155</v>
      </c>
      <c r="F889">
        <v>4</v>
      </c>
      <c r="G889" t="s">
        <v>59</v>
      </c>
      <c r="H889">
        <v>4</v>
      </c>
      <c r="I889" t="s">
        <v>23</v>
      </c>
      <c r="J889" t="s">
        <v>31</v>
      </c>
      <c r="K889" t="s">
        <v>25</v>
      </c>
      <c r="L889" t="s">
        <v>32</v>
      </c>
      <c r="M889" t="s">
        <v>33</v>
      </c>
      <c r="N889">
        <v>0</v>
      </c>
      <c r="O889" t="s">
        <v>27</v>
      </c>
      <c r="S889" s="3">
        <v>550</v>
      </c>
      <c r="T889" s="2">
        <v>1208.400634765625</v>
      </c>
      <c r="U889" s="2">
        <v>1519.8613144552889</v>
      </c>
      <c r="V889" s="2">
        <v>1658.0415307630569</v>
      </c>
      <c r="W889" s="2">
        <v>1852.046997070312</v>
      </c>
      <c r="X889" s="4">
        <f t="shared" si="52"/>
        <v>0.45514706313165343</v>
      </c>
      <c r="Y889" s="4">
        <f t="shared" si="53"/>
        <v>0.36187512292667134</v>
      </c>
      <c r="Z889" s="4">
        <f t="shared" si="54"/>
        <v>0.33171666076837131</v>
      </c>
      <c r="AA889" s="4">
        <f t="shared" si="55"/>
        <v>0.29696870590758528</v>
      </c>
    </row>
    <row r="890" spans="1:27" x14ac:dyDescent="0.3">
      <c r="A890" t="s">
        <v>430</v>
      </c>
      <c r="B890">
        <v>146725</v>
      </c>
      <c r="C890">
        <v>2010</v>
      </c>
      <c r="D890" t="s">
        <v>34</v>
      </c>
      <c r="E890" t="s">
        <v>88</v>
      </c>
      <c r="F890">
        <v>4</v>
      </c>
      <c r="G890" t="s">
        <v>30</v>
      </c>
      <c r="H890">
        <v>4</v>
      </c>
      <c r="I890" t="s">
        <v>23</v>
      </c>
      <c r="J890" t="s">
        <v>37</v>
      </c>
      <c r="K890" t="s">
        <v>25</v>
      </c>
      <c r="L890" t="s">
        <v>89</v>
      </c>
      <c r="M890" t="s">
        <v>33</v>
      </c>
      <c r="N890">
        <v>0</v>
      </c>
      <c r="O890" t="s">
        <v>27</v>
      </c>
      <c r="S890" s="3">
        <v>400</v>
      </c>
      <c r="T890" s="2">
        <v>3280.817138671875</v>
      </c>
      <c r="U890" s="2">
        <v>2566.9233032107172</v>
      </c>
      <c r="V890" s="2">
        <v>2206.184213633886</v>
      </c>
      <c r="W890" s="2">
        <v>2861.043212890625</v>
      </c>
      <c r="X890" s="4">
        <f t="shared" si="52"/>
        <v>0.1219208456591781</v>
      </c>
      <c r="Y890" s="4">
        <f t="shared" si="53"/>
        <v>0.15582857481549156</v>
      </c>
      <c r="Z890" s="4">
        <f t="shared" si="54"/>
        <v>0.18130852243799964</v>
      </c>
      <c r="AA890" s="4">
        <f t="shared" si="55"/>
        <v>0.13980914311177572</v>
      </c>
    </row>
    <row r="891" spans="1:27" x14ac:dyDescent="0.3">
      <c r="A891" t="s">
        <v>430</v>
      </c>
      <c r="B891">
        <v>103387</v>
      </c>
      <c r="C891">
        <v>2020</v>
      </c>
      <c r="D891" t="s">
        <v>85</v>
      </c>
      <c r="E891" t="s">
        <v>372</v>
      </c>
      <c r="F891">
        <v>4</v>
      </c>
      <c r="G891" t="s">
        <v>47</v>
      </c>
      <c r="H891">
        <v>4</v>
      </c>
      <c r="I891" t="s">
        <v>23</v>
      </c>
      <c r="J891" t="s">
        <v>31</v>
      </c>
      <c r="K891" t="s">
        <v>25</v>
      </c>
      <c r="L891" t="s">
        <v>127</v>
      </c>
      <c r="M891" t="s">
        <v>33</v>
      </c>
      <c r="N891">
        <v>0</v>
      </c>
      <c r="O891" t="s">
        <v>27</v>
      </c>
      <c r="S891" s="3">
        <v>4800</v>
      </c>
      <c r="T891" s="2">
        <v>9785.0810546875</v>
      </c>
      <c r="U891" s="2">
        <v>10071.296234197011</v>
      </c>
      <c r="V891" s="2">
        <v>7891.782627450686</v>
      </c>
      <c r="W891" s="2">
        <v>10006.3896484375</v>
      </c>
      <c r="X891" s="4">
        <f t="shared" si="52"/>
        <v>0.49054269179513654</v>
      </c>
      <c r="Y891" s="4">
        <f t="shared" si="53"/>
        <v>0.47660200716781981</v>
      </c>
      <c r="Z891" s="4">
        <f t="shared" si="54"/>
        <v>0.60822759908562807</v>
      </c>
      <c r="AA891" s="4">
        <f t="shared" si="55"/>
        <v>0.47969349272237477</v>
      </c>
    </row>
    <row r="892" spans="1:27" x14ac:dyDescent="0.3">
      <c r="A892" t="s">
        <v>430</v>
      </c>
      <c r="B892">
        <v>76684</v>
      </c>
      <c r="C892">
        <v>2013</v>
      </c>
      <c r="D892" t="s">
        <v>100</v>
      </c>
      <c r="E892" t="s">
        <v>138</v>
      </c>
      <c r="F892">
        <v>4</v>
      </c>
      <c r="G892" t="s">
        <v>22</v>
      </c>
      <c r="H892">
        <v>4</v>
      </c>
      <c r="I892" t="s">
        <v>23</v>
      </c>
      <c r="J892" t="s">
        <v>24</v>
      </c>
      <c r="K892" t="s">
        <v>25</v>
      </c>
      <c r="L892" t="s">
        <v>102</v>
      </c>
      <c r="M892" t="s">
        <v>23</v>
      </c>
      <c r="N892">
        <v>0</v>
      </c>
      <c r="O892" t="s">
        <v>27</v>
      </c>
      <c r="S892" s="3">
        <v>600</v>
      </c>
      <c r="T892" s="2">
        <v>6044.1630859375</v>
      </c>
      <c r="U892" s="2">
        <v>6453.8565238196879</v>
      </c>
      <c r="V892" s="2">
        <v>6941.5847672565023</v>
      </c>
      <c r="W892" s="2">
        <v>6721.2294921875</v>
      </c>
      <c r="X892" s="4">
        <f t="shared" si="52"/>
        <v>9.9269326699005678E-2</v>
      </c>
      <c r="Y892" s="4">
        <f t="shared" si="53"/>
        <v>9.2967669452448956E-2</v>
      </c>
      <c r="Z892" s="4">
        <f t="shared" si="54"/>
        <v>8.643559361692213E-2</v>
      </c>
      <c r="AA892" s="4">
        <f t="shared" si="55"/>
        <v>8.926938154654844E-2</v>
      </c>
    </row>
    <row r="893" spans="1:27" x14ac:dyDescent="0.3">
      <c r="A893" t="s">
        <v>430</v>
      </c>
      <c r="B893">
        <v>225245</v>
      </c>
      <c r="C893">
        <v>2006</v>
      </c>
      <c r="D893" t="s">
        <v>100</v>
      </c>
      <c r="E893" t="s">
        <v>101</v>
      </c>
      <c r="F893">
        <v>4</v>
      </c>
      <c r="G893" t="s">
        <v>30</v>
      </c>
      <c r="H893">
        <v>4</v>
      </c>
      <c r="I893" t="s">
        <v>23</v>
      </c>
      <c r="J893" t="s">
        <v>31</v>
      </c>
      <c r="K893" t="s">
        <v>25</v>
      </c>
      <c r="L893" t="s">
        <v>102</v>
      </c>
      <c r="M893" t="s">
        <v>33</v>
      </c>
      <c r="N893">
        <v>0</v>
      </c>
      <c r="O893" t="s">
        <v>27</v>
      </c>
      <c r="S893" s="3">
        <v>300</v>
      </c>
      <c r="T893" s="2">
        <v>297.29962158203119</v>
      </c>
      <c r="U893" s="2">
        <v>515.00221266742847</v>
      </c>
      <c r="V893" s="2">
        <v>1548.603535054084</v>
      </c>
      <c r="W893" s="2">
        <v>1062.169799804688</v>
      </c>
      <c r="X893" s="4">
        <f t="shared" si="52"/>
        <v>1.0090830200307663</v>
      </c>
      <c r="Y893" s="4">
        <f t="shared" si="53"/>
        <v>0.58252176907389364</v>
      </c>
      <c r="Z893" s="4">
        <f t="shared" si="54"/>
        <v>0.19372292081815679</v>
      </c>
      <c r="AA893" s="4">
        <f t="shared" si="55"/>
        <v>0.28244071715761837</v>
      </c>
    </row>
    <row r="894" spans="1:27" x14ac:dyDescent="0.3">
      <c r="A894" t="s">
        <v>430</v>
      </c>
      <c r="B894">
        <v>162224</v>
      </c>
      <c r="C894">
        <v>2021</v>
      </c>
      <c r="D894" t="s">
        <v>34</v>
      </c>
      <c r="E894" t="s">
        <v>88</v>
      </c>
      <c r="F894">
        <v>4</v>
      </c>
      <c r="G894" t="s">
        <v>47</v>
      </c>
      <c r="H894">
        <v>4</v>
      </c>
      <c r="I894" t="s">
        <v>23</v>
      </c>
      <c r="J894" t="s">
        <v>37</v>
      </c>
      <c r="K894" t="s">
        <v>25</v>
      </c>
      <c r="L894" t="s">
        <v>96</v>
      </c>
      <c r="M894" t="s">
        <v>33</v>
      </c>
      <c r="N894">
        <v>0</v>
      </c>
      <c r="O894" t="s">
        <v>27</v>
      </c>
      <c r="S894" s="3">
        <v>7800</v>
      </c>
      <c r="T894" s="2">
        <v>6515.26953125</v>
      </c>
      <c r="U894" s="2">
        <v>5339.1374559527312</v>
      </c>
      <c r="V894" s="2">
        <v>5377.0296798515492</v>
      </c>
      <c r="W894" s="2">
        <v>6983.85595703125</v>
      </c>
      <c r="X894" s="4">
        <f t="shared" si="52"/>
        <v>1.1971876163507722</v>
      </c>
      <c r="Y894" s="4">
        <f t="shared" si="53"/>
        <v>1.4609101309619954</v>
      </c>
      <c r="Z894" s="4">
        <f t="shared" si="54"/>
        <v>1.4506150169168017</v>
      </c>
      <c r="AA894" s="4">
        <f t="shared" si="55"/>
        <v>1.116861522916587</v>
      </c>
    </row>
    <row r="895" spans="1:27" x14ac:dyDescent="0.3">
      <c r="A895" t="s">
        <v>430</v>
      </c>
      <c r="B895">
        <v>136699</v>
      </c>
      <c r="C895">
        <v>2014</v>
      </c>
      <c r="D895" t="s">
        <v>100</v>
      </c>
      <c r="E895" t="s">
        <v>367</v>
      </c>
      <c r="F895">
        <v>6</v>
      </c>
      <c r="G895" t="s">
        <v>30</v>
      </c>
      <c r="H895">
        <v>4</v>
      </c>
      <c r="I895" t="s">
        <v>23</v>
      </c>
      <c r="J895" t="s">
        <v>31</v>
      </c>
      <c r="K895" t="s">
        <v>25</v>
      </c>
      <c r="L895" t="s">
        <v>53</v>
      </c>
      <c r="M895" t="s">
        <v>33</v>
      </c>
      <c r="N895">
        <v>0</v>
      </c>
      <c r="O895" t="s">
        <v>27</v>
      </c>
      <c r="S895" s="3">
        <v>900</v>
      </c>
      <c r="T895" s="2">
        <v>3585.674560546875</v>
      </c>
      <c r="U895" s="2">
        <v>3791.0207217792308</v>
      </c>
      <c r="V895" s="2">
        <v>2547.819009954535</v>
      </c>
      <c r="W895" s="2">
        <v>4318.0146484375</v>
      </c>
      <c r="X895" s="4">
        <f t="shared" si="52"/>
        <v>0.25099879668464253</v>
      </c>
      <c r="Y895" s="4">
        <f t="shared" si="53"/>
        <v>0.23740308113578582</v>
      </c>
      <c r="Z895" s="4">
        <f t="shared" si="54"/>
        <v>0.35324330200992582</v>
      </c>
      <c r="AA895" s="4">
        <f t="shared" si="55"/>
        <v>0.20842912154679014</v>
      </c>
    </row>
    <row r="896" spans="1:27" x14ac:dyDescent="0.3">
      <c r="A896" t="s">
        <v>430</v>
      </c>
      <c r="B896">
        <v>221629</v>
      </c>
      <c r="C896">
        <v>2004</v>
      </c>
      <c r="D896" t="s">
        <v>100</v>
      </c>
      <c r="E896" t="s">
        <v>358</v>
      </c>
      <c r="F896">
        <v>6</v>
      </c>
      <c r="G896" t="s">
        <v>30</v>
      </c>
      <c r="H896">
        <v>4</v>
      </c>
      <c r="I896" t="s">
        <v>23</v>
      </c>
      <c r="J896" t="s">
        <v>24</v>
      </c>
      <c r="K896" t="s">
        <v>25</v>
      </c>
      <c r="L896" t="s">
        <v>53</v>
      </c>
      <c r="M896" t="s">
        <v>23</v>
      </c>
      <c r="N896">
        <v>0</v>
      </c>
      <c r="O896" t="s">
        <v>27</v>
      </c>
      <c r="S896" s="3">
        <v>250</v>
      </c>
      <c r="T896" s="2">
        <v>328.42364501953119</v>
      </c>
      <c r="U896" s="2">
        <v>-579.77153400899078</v>
      </c>
      <c r="V896" s="2">
        <v>-1391.7943747261161</v>
      </c>
      <c r="W896" s="2">
        <v>895.1890869140625</v>
      </c>
      <c r="X896" s="4">
        <f t="shared" si="52"/>
        <v>0.76121194009990545</v>
      </c>
      <c r="Y896" s="4">
        <f t="shared" si="53"/>
        <v>-0.43120433711414874</v>
      </c>
      <c r="Z896" s="4">
        <f t="shared" si="54"/>
        <v>-0.17962423511676873</v>
      </c>
      <c r="AA896" s="4">
        <f t="shared" si="55"/>
        <v>0.27927060735493509</v>
      </c>
    </row>
    <row r="897" spans="1:27" x14ac:dyDescent="0.3">
      <c r="A897" t="s">
        <v>430</v>
      </c>
      <c r="B897">
        <v>37522</v>
      </c>
      <c r="C897">
        <v>2022</v>
      </c>
      <c r="D897" t="s">
        <v>28</v>
      </c>
      <c r="E897" t="s">
        <v>451</v>
      </c>
      <c r="F897">
        <v>6</v>
      </c>
      <c r="G897" t="s">
        <v>36</v>
      </c>
      <c r="H897">
        <v>4</v>
      </c>
      <c r="I897" t="s">
        <v>23</v>
      </c>
      <c r="J897" t="s">
        <v>110</v>
      </c>
      <c r="K897" t="s">
        <v>25</v>
      </c>
      <c r="L897" t="s">
        <v>53</v>
      </c>
      <c r="M897" t="s">
        <v>23</v>
      </c>
      <c r="N897">
        <v>0</v>
      </c>
      <c r="O897" t="s">
        <v>27</v>
      </c>
      <c r="S897" s="3">
        <v>28800</v>
      </c>
      <c r="T897" s="2">
        <v>42090.2265625</v>
      </c>
      <c r="U897" s="2">
        <v>36516.856110683533</v>
      </c>
      <c r="V897" s="2">
        <v>33612.590420398483</v>
      </c>
      <c r="W897" s="2">
        <v>37545.0390625</v>
      </c>
      <c r="X897" s="4">
        <f t="shared" si="52"/>
        <v>0.6842443567566624</v>
      </c>
      <c r="Y897" s="4">
        <f t="shared" si="53"/>
        <v>0.78867687603517833</v>
      </c>
      <c r="Z897" s="4">
        <f t="shared" si="54"/>
        <v>0.85682179325643804</v>
      </c>
      <c r="AA897" s="4">
        <f t="shared" si="55"/>
        <v>0.76707870651186649</v>
      </c>
    </row>
    <row r="898" spans="1:27" x14ac:dyDescent="0.3">
      <c r="A898" t="s">
        <v>430</v>
      </c>
      <c r="B898">
        <v>14923</v>
      </c>
      <c r="C898">
        <v>2022</v>
      </c>
      <c r="D898" t="s">
        <v>282</v>
      </c>
      <c r="E898" t="s">
        <v>420</v>
      </c>
      <c r="F898">
        <v>8</v>
      </c>
      <c r="G898" t="s">
        <v>36</v>
      </c>
      <c r="H898">
        <v>4</v>
      </c>
      <c r="I898" t="s">
        <v>23</v>
      </c>
      <c r="J898" t="s">
        <v>165</v>
      </c>
      <c r="K898" t="s">
        <v>25</v>
      </c>
      <c r="L898" t="s">
        <v>161</v>
      </c>
      <c r="M898" t="s">
        <v>23</v>
      </c>
      <c r="N898">
        <v>0</v>
      </c>
      <c r="O898" t="s">
        <v>27</v>
      </c>
      <c r="S898" s="3">
        <v>54000</v>
      </c>
      <c r="T898" s="2">
        <v>64832.90625</v>
      </c>
      <c r="U898" s="2">
        <v>75453.767634876305</v>
      </c>
      <c r="V898" s="2">
        <v>72730.484173455567</v>
      </c>
      <c r="W898" s="2">
        <v>93241.7734375</v>
      </c>
      <c r="X898" s="4">
        <f t="shared" ref="X898:X961" si="56">S898/T898</f>
        <v>0.83291037103554189</v>
      </c>
      <c r="Y898" s="4">
        <f t="shared" ref="Y898:Y961" si="57">S898/U898</f>
        <v>0.71567002805357693</v>
      </c>
      <c r="Z898" s="4">
        <f t="shared" ref="Z898:Z961" si="58">S898/V898</f>
        <v>0.74246721458934506</v>
      </c>
      <c r="AA898" s="4">
        <f t="shared" ref="AA898:AA961" si="59">S898/W898</f>
        <v>0.57913956383719178</v>
      </c>
    </row>
    <row r="899" spans="1:27" x14ac:dyDescent="0.3">
      <c r="A899" t="s">
        <v>395</v>
      </c>
      <c r="B899">
        <v>81126</v>
      </c>
      <c r="C899">
        <v>2016</v>
      </c>
      <c r="D899" t="s">
        <v>100</v>
      </c>
      <c r="E899" t="s">
        <v>155</v>
      </c>
      <c r="F899">
        <v>4</v>
      </c>
      <c r="G899" t="s">
        <v>30</v>
      </c>
      <c r="H899">
        <v>4</v>
      </c>
      <c r="I899" t="s">
        <v>23</v>
      </c>
      <c r="J899" t="s">
        <v>31</v>
      </c>
      <c r="L899" t="s">
        <v>87</v>
      </c>
      <c r="M899" t="s">
        <v>33</v>
      </c>
      <c r="N899">
        <v>0</v>
      </c>
      <c r="S899" s="3">
        <v>4600</v>
      </c>
      <c r="T899" s="2">
        <v>4799.82861328125</v>
      </c>
      <c r="U899" s="2">
        <v>6978.2355001333917</v>
      </c>
      <c r="V899" s="2">
        <v>8947.7311637765015</v>
      </c>
      <c r="W899" s="2">
        <v>6073.646484375</v>
      </c>
      <c r="X899" s="4">
        <f t="shared" si="56"/>
        <v>0.95836755238961679</v>
      </c>
      <c r="Y899" s="4">
        <f t="shared" si="57"/>
        <v>0.65919242764335906</v>
      </c>
      <c r="Z899" s="4">
        <f t="shared" si="58"/>
        <v>0.51409680463159024</v>
      </c>
      <c r="AA899" s="4">
        <f t="shared" si="59"/>
        <v>0.75737038891445396</v>
      </c>
    </row>
    <row r="900" spans="1:27" x14ac:dyDescent="0.3">
      <c r="A900" t="s">
        <v>395</v>
      </c>
      <c r="B900">
        <v>242989</v>
      </c>
      <c r="C900">
        <v>2012</v>
      </c>
      <c r="D900" t="s">
        <v>141</v>
      </c>
      <c r="E900" t="s">
        <v>215</v>
      </c>
      <c r="F900">
        <v>6</v>
      </c>
      <c r="G900" t="s">
        <v>59</v>
      </c>
      <c r="H900">
        <v>4</v>
      </c>
      <c r="I900" t="s">
        <v>23</v>
      </c>
      <c r="J900" t="s">
        <v>31</v>
      </c>
      <c r="L900" t="s">
        <v>26</v>
      </c>
      <c r="M900" t="s">
        <v>78</v>
      </c>
      <c r="N900">
        <v>0</v>
      </c>
      <c r="S900" s="3">
        <v>1800</v>
      </c>
      <c r="T900" s="2">
        <v>2523.5537109375</v>
      </c>
      <c r="U900" s="2">
        <v>5796.4372254408872</v>
      </c>
      <c r="V900" s="2">
        <v>2115.9354854158992</v>
      </c>
      <c r="W900" s="2">
        <v>2142.48486328125</v>
      </c>
      <c r="X900" s="4">
        <f t="shared" si="56"/>
        <v>0.71327984508453368</v>
      </c>
      <c r="Y900" s="4">
        <f t="shared" si="57"/>
        <v>0.31053558073564558</v>
      </c>
      <c r="Z900" s="4">
        <f t="shared" si="58"/>
        <v>0.8506875622657275</v>
      </c>
      <c r="AA900" s="4">
        <f t="shared" si="59"/>
        <v>0.84014595895126698</v>
      </c>
    </row>
    <row r="901" spans="1:27" x14ac:dyDescent="0.3">
      <c r="A901" t="s">
        <v>395</v>
      </c>
      <c r="B901">
        <v>87135</v>
      </c>
      <c r="C901">
        <v>2014</v>
      </c>
      <c r="D901" t="s">
        <v>239</v>
      </c>
      <c r="E901" t="s">
        <v>365</v>
      </c>
      <c r="F901">
        <v>4</v>
      </c>
      <c r="G901" t="s">
        <v>36</v>
      </c>
      <c r="H901">
        <v>4</v>
      </c>
      <c r="I901" t="s">
        <v>23</v>
      </c>
      <c r="J901" t="s">
        <v>31</v>
      </c>
      <c r="L901" t="s">
        <v>127</v>
      </c>
      <c r="M901" t="s">
        <v>78</v>
      </c>
      <c r="N901">
        <v>0</v>
      </c>
      <c r="S901" s="3">
        <v>6600</v>
      </c>
      <c r="T901" s="2">
        <v>8017.2841796875</v>
      </c>
      <c r="U901" s="2">
        <v>11058.04109524733</v>
      </c>
      <c r="V901" s="2">
        <v>7701.6940229058628</v>
      </c>
      <c r="W901" s="2">
        <v>8558.703125</v>
      </c>
      <c r="X901" s="4">
        <f t="shared" si="56"/>
        <v>0.82322141164980589</v>
      </c>
      <c r="Y901" s="4">
        <f t="shared" si="57"/>
        <v>0.59685073903701036</v>
      </c>
      <c r="Z901" s="4">
        <f t="shared" si="58"/>
        <v>0.85695432464217891</v>
      </c>
      <c r="AA901" s="4">
        <f t="shared" si="59"/>
        <v>0.77114486898387424</v>
      </c>
    </row>
    <row r="902" spans="1:27" x14ac:dyDescent="0.3">
      <c r="A902" t="s">
        <v>395</v>
      </c>
      <c r="B902">
        <v>118655</v>
      </c>
      <c r="C902">
        <v>2020</v>
      </c>
      <c r="D902" t="s">
        <v>74</v>
      </c>
      <c r="E902" t="s">
        <v>452</v>
      </c>
      <c r="F902">
        <v>4</v>
      </c>
      <c r="G902" t="s">
        <v>47</v>
      </c>
      <c r="H902">
        <v>4</v>
      </c>
      <c r="I902" t="s">
        <v>23</v>
      </c>
      <c r="J902" t="s">
        <v>178</v>
      </c>
      <c r="L902" t="s">
        <v>60</v>
      </c>
      <c r="M902" t="s">
        <v>33</v>
      </c>
      <c r="N902">
        <v>0</v>
      </c>
      <c r="O902" t="s">
        <v>27</v>
      </c>
      <c r="S902" s="3">
        <v>7800</v>
      </c>
      <c r="T902" s="2">
        <v>9757.443359375</v>
      </c>
      <c r="U902" s="2">
        <v>11313.94636298315</v>
      </c>
      <c r="V902" s="2">
        <v>12205.20890548484</v>
      </c>
      <c r="W902" s="2">
        <v>11606.119140625</v>
      </c>
      <c r="X902" s="4">
        <f t="shared" si="56"/>
        <v>0.79938972871471714</v>
      </c>
      <c r="Y902" s="4">
        <f t="shared" si="57"/>
        <v>0.68941461712422092</v>
      </c>
      <c r="Z902" s="4">
        <f t="shared" si="58"/>
        <v>0.63907140470941026</v>
      </c>
      <c r="AA902" s="4">
        <f t="shared" si="59"/>
        <v>0.67205927368930685</v>
      </c>
    </row>
    <row r="903" spans="1:27" x14ac:dyDescent="0.3">
      <c r="A903" t="s">
        <v>395</v>
      </c>
      <c r="B903">
        <v>211883</v>
      </c>
      <c r="C903">
        <v>2010</v>
      </c>
      <c r="D903" t="s">
        <v>44</v>
      </c>
      <c r="E903" t="s">
        <v>45</v>
      </c>
      <c r="F903">
        <v>8</v>
      </c>
      <c r="G903" t="s">
        <v>66</v>
      </c>
      <c r="H903">
        <v>4</v>
      </c>
      <c r="I903" t="s">
        <v>23</v>
      </c>
      <c r="J903" t="s">
        <v>42</v>
      </c>
      <c r="L903" t="s">
        <v>161</v>
      </c>
      <c r="M903" t="s">
        <v>78</v>
      </c>
      <c r="N903">
        <v>0</v>
      </c>
      <c r="S903" s="3">
        <v>4800</v>
      </c>
      <c r="T903" s="2">
        <v>4745.4755859375</v>
      </c>
      <c r="U903" s="2">
        <v>11492.249374278241</v>
      </c>
      <c r="V903" s="2">
        <v>2019.6228047115981</v>
      </c>
      <c r="W903" s="2">
        <v>3972.56201171875</v>
      </c>
      <c r="X903" s="4">
        <f t="shared" si="56"/>
        <v>1.0114897681117725</v>
      </c>
      <c r="Y903" s="4">
        <f t="shared" si="57"/>
        <v>0.41767280222297293</v>
      </c>
      <c r="Z903" s="4">
        <f t="shared" si="58"/>
        <v>2.3766814222943178</v>
      </c>
      <c r="AA903" s="4">
        <f t="shared" si="59"/>
        <v>1.2082882497089718</v>
      </c>
    </row>
    <row r="904" spans="1:27" x14ac:dyDescent="0.3">
      <c r="A904" t="s">
        <v>395</v>
      </c>
      <c r="B904">
        <v>156026</v>
      </c>
      <c r="C904">
        <v>2010</v>
      </c>
      <c r="D904" t="s">
        <v>20</v>
      </c>
      <c r="E904" t="s">
        <v>453</v>
      </c>
      <c r="F904">
        <v>8</v>
      </c>
      <c r="G904" t="s">
        <v>30</v>
      </c>
      <c r="H904">
        <v>2</v>
      </c>
      <c r="I904" t="s">
        <v>23</v>
      </c>
      <c r="J904" t="s">
        <v>49</v>
      </c>
      <c r="K904" t="s">
        <v>27</v>
      </c>
      <c r="L904" t="s">
        <v>80</v>
      </c>
      <c r="M904">
        <v>4</v>
      </c>
      <c r="N904">
        <v>0</v>
      </c>
      <c r="O904" t="s">
        <v>27</v>
      </c>
      <c r="S904" s="3">
        <v>1200</v>
      </c>
      <c r="T904" s="2">
        <v>6850.8916015625</v>
      </c>
      <c r="U904" s="2">
        <v>8449.896583632406</v>
      </c>
      <c r="V904" s="2">
        <v>4864.9869571786458</v>
      </c>
      <c r="W904" s="2">
        <v>8976.494140625</v>
      </c>
      <c r="X904" s="4">
        <f t="shared" si="56"/>
        <v>0.17515968282527095</v>
      </c>
      <c r="Y904" s="4">
        <f t="shared" si="57"/>
        <v>0.14201357237015427</v>
      </c>
      <c r="Z904" s="4">
        <f t="shared" si="58"/>
        <v>0.24666047628952259</v>
      </c>
      <c r="AA904" s="4">
        <f t="shared" si="59"/>
        <v>0.13368248017554529</v>
      </c>
    </row>
    <row r="905" spans="1:27" x14ac:dyDescent="0.3">
      <c r="A905" t="s">
        <v>395</v>
      </c>
      <c r="B905">
        <v>287926</v>
      </c>
      <c r="C905">
        <v>2014</v>
      </c>
      <c r="D905" t="s">
        <v>44</v>
      </c>
      <c r="E905" t="s">
        <v>45</v>
      </c>
      <c r="F905">
        <v>6</v>
      </c>
      <c r="G905" t="s">
        <v>30</v>
      </c>
      <c r="H905">
        <v>4</v>
      </c>
      <c r="I905" t="s">
        <v>23</v>
      </c>
      <c r="J905" t="s">
        <v>46</v>
      </c>
      <c r="K905" t="s">
        <v>27</v>
      </c>
      <c r="L905" t="s">
        <v>38</v>
      </c>
      <c r="M905">
        <v>4</v>
      </c>
      <c r="N905">
        <v>0</v>
      </c>
      <c r="S905" s="3">
        <v>1200</v>
      </c>
      <c r="T905" s="2">
        <v>4329.45654296875</v>
      </c>
      <c r="U905" s="2">
        <v>4457.5469324435089</v>
      </c>
      <c r="V905" s="2">
        <v>6860.3227220684385</v>
      </c>
      <c r="W905" s="2">
        <v>5062.79052734375</v>
      </c>
      <c r="X905" s="4">
        <f t="shared" si="56"/>
        <v>0.27717104631731643</v>
      </c>
      <c r="Y905" s="4">
        <f t="shared" si="57"/>
        <v>0.26920636354179489</v>
      </c>
      <c r="Z905" s="4">
        <f t="shared" si="58"/>
        <v>0.17491888481278198</v>
      </c>
      <c r="AA905" s="4">
        <f t="shared" si="59"/>
        <v>0.23702343470836695</v>
      </c>
    </row>
    <row r="906" spans="1:27" x14ac:dyDescent="0.3">
      <c r="A906" t="s">
        <v>395</v>
      </c>
      <c r="B906">
        <v>240794</v>
      </c>
      <c r="C906">
        <v>2003</v>
      </c>
      <c r="D906" t="s">
        <v>34</v>
      </c>
      <c r="E906" t="s">
        <v>88</v>
      </c>
      <c r="F906">
        <v>4</v>
      </c>
      <c r="G906" t="s">
        <v>66</v>
      </c>
      <c r="H906">
        <v>4</v>
      </c>
      <c r="I906" t="s">
        <v>23</v>
      </c>
      <c r="J906" t="s">
        <v>37</v>
      </c>
      <c r="L906" t="s">
        <v>89</v>
      </c>
      <c r="M906" t="s">
        <v>33</v>
      </c>
      <c r="N906">
        <v>0</v>
      </c>
      <c r="S906" s="3">
        <v>600</v>
      </c>
      <c r="T906" s="2">
        <v>1048.964965820312</v>
      </c>
      <c r="U906" s="2">
        <v>891.80781325759381</v>
      </c>
      <c r="V906" s="2">
        <v>-43.095720777473623</v>
      </c>
      <c r="W906" s="2">
        <v>1114.551513671875</v>
      </c>
      <c r="X906" s="4">
        <f t="shared" si="56"/>
        <v>0.57199241113909627</v>
      </c>
      <c r="Y906" s="4">
        <f t="shared" si="57"/>
        <v>0.67279069669542502</v>
      </c>
      <c r="Z906" s="4">
        <f t="shared" si="58"/>
        <v>-13.922495996716764</v>
      </c>
      <c r="AA906" s="4">
        <f t="shared" si="59"/>
        <v>0.53833312560251978</v>
      </c>
    </row>
    <row r="907" spans="1:27" x14ac:dyDescent="0.3">
      <c r="A907" t="s">
        <v>395</v>
      </c>
      <c r="B907">
        <v>93917</v>
      </c>
      <c r="C907">
        <v>2006</v>
      </c>
      <c r="D907" t="s">
        <v>454</v>
      </c>
      <c r="E907" t="s">
        <v>455</v>
      </c>
      <c r="F907">
        <v>8</v>
      </c>
      <c r="G907" t="s">
        <v>66</v>
      </c>
      <c r="H907">
        <v>2</v>
      </c>
      <c r="I907" t="s">
        <v>23</v>
      </c>
      <c r="J907" t="s">
        <v>83</v>
      </c>
      <c r="K907" t="s">
        <v>27</v>
      </c>
      <c r="L907" t="s">
        <v>80</v>
      </c>
      <c r="M907" t="s">
        <v>78</v>
      </c>
      <c r="N907">
        <v>0</v>
      </c>
      <c r="S907" s="3">
        <v>8000</v>
      </c>
      <c r="T907" s="2">
        <v>5778.57763671875</v>
      </c>
      <c r="U907" s="2">
        <v>5892.8507669913661</v>
      </c>
      <c r="V907" s="2">
        <v>7393.4409107570173</v>
      </c>
      <c r="W907" s="2">
        <v>6141.61474609375</v>
      </c>
      <c r="X907" s="4">
        <f t="shared" si="56"/>
        <v>1.3844237289753956</v>
      </c>
      <c r="Y907" s="4">
        <f t="shared" si="57"/>
        <v>1.3575772264269392</v>
      </c>
      <c r="Z907" s="4">
        <f t="shared" si="58"/>
        <v>1.0820401618900444</v>
      </c>
      <c r="AA907" s="4">
        <f t="shared" si="59"/>
        <v>1.3025890308551571</v>
      </c>
    </row>
    <row r="908" spans="1:27" x14ac:dyDescent="0.3">
      <c r="A908" t="s">
        <v>395</v>
      </c>
      <c r="B908">
        <v>163532</v>
      </c>
      <c r="C908">
        <v>2013</v>
      </c>
      <c r="D908" t="s">
        <v>85</v>
      </c>
      <c r="E908" t="s">
        <v>92</v>
      </c>
      <c r="F908">
        <v>4</v>
      </c>
      <c r="G908" t="s">
        <v>47</v>
      </c>
      <c r="H908">
        <v>4</v>
      </c>
      <c r="I908" t="s">
        <v>23</v>
      </c>
      <c r="J908" t="s">
        <v>31</v>
      </c>
      <c r="L908" t="s">
        <v>87</v>
      </c>
      <c r="M908" t="s">
        <v>33</v>
      </c>
      <c r="N908">
        <v>0</v>
      </c>
      <c r="O908" t="s">
        <v>39</v>
      </c>
      <c r="S908" s="3">
        <v>400</v>
      </c>
      <c r="T908" s="2">
        <v>3462.3857421875</v>
      </c>
      <c r="U908" s="2">
        <v>1063.5077917740871</v>
      </c>
      <c r="V908" s="2">
        <v>1135.5621057445881</v>
      </c>
      <c r="W908" s="2">
        <v>1709.06005859375</v>
      </c>
      <c r="X908" s="4">
        <f t="shared" si="56"/>
        <v>0.11552727794774365</v>
      </c>
      <c r="Y908" s="4">
        <f t="shared" si="57"/>
        <v>0.37611384053213309</v>
      </c>
      <c r="Z908" s="4">
        <f t="shared" si="58"/>
        <v>0.35224845737320548</v>
      </c>
      <c r="AA908" s="4">
        <f t="shared" si="59"/>
        <v>0.23404677792840603</v>
      </c>
    </row>
    <row r="909" spans="1:27" x14ac:dyDescent="0.3">
      <c r="A909" t="s">
        <v>395</v>
      </c>
      <c r="B909">
        <v>95620</v>
      </c>
      <c r="C909">
        <v>2012</v>
      </c>
      <c r="D909" t="s">
        <v>226</v>
      </c>
      <c r="E909" t="s">
        <v>456</v>
      </c>
      <c r="F909">
        <v>6</v>
      </c>
      <c r="G909" t="s">
        <v>36</v>
      </c>
      <c r="H909">
        <v>2</v>
      </c>
      <c r="I909" t="s">
        <v>23</v>
      </c>
      <c r="J909" t="s">
        <v>209</v>
      </c>
      <c r="K909" t="s">
        <v>27</v>
      </c>
      <c r="L909" t="s">
        <v>218</v>
      </c>
      <c r="M909" t="s">
        <v>23</v>
      </c>
      <c r="N909">
        <v>0</v>
      </c>
      <c r="O909" t="s">
        <v>27</v>
      </c>
      <c r="S909" s="3">
        <v>4100</v>
      </c>
      <c r="T909" s="2">
        <v>3029.306396484375</v>
      </c>
      <c r="U909" s="2">
        <v>7525.7466031392432</v>
      </c>
      <c r="V909" s="2">
        <v>8570.3895758837189</v>
      </c>
      <c r="W909" s="2">
        <v>7777.55712890625</v>
      </c>
      <c r="X909" s="4">
        <f t="shared" si="56"/>
        <v>1.3534451334332525</v>
      </c>
      <c r="Y909" s="4">
        <f t="shared" si="57"/>
        <v>0.54479644561640583</v>
      </c>
      <c r="Z909" s="4">
        <f t="shared" si="58"/>
        <v>0.47839132208610674</v>
      </c>
      <c r="AA909" s="4">
        <f t="shared" si="59"/>
        <v>0.52715781215696178</v>
      </c>
    </row>
    <row r="910" spans="1:27" x14ac:dyDescent="0.3">
      <c r="A910" t="s">
        <v>429</v>
      </c>
      <c r="B910">
        <v>23456</v>
      </c>
      <c r="C910">
        <v>2023</v>
      </c>
      <c r="D910" t="s">
        <v>40</v>
      </c>
      <c r="E910" t="s">
        <v>41</v>
      </c>
      <c r="F910">
        <v>8</v>
      </c>
      <c r="G910" t="s">
        <v>47</v>
      </c>
      <c r="H910">
        <v>4</v>
      </c>
      <c r="I910" t="s">
        <v>23</v>
      </c>
      <c r="J910" t="s">
        <v>42</v>
      </c>
      <c r="K910" t="s">
        <v>25</v>
      </c>
      <c r="L910" t="s">
        <v>43</v>
      </c>
      <c r="M910">
        <v>4</v>
      </c>
      <c r="N910">
        <v>0</v>
      </c>
      <c r="O910" t="s">
        <v>27</v>
      </c>
      <c r="S910" s="3">
        <v>44000</v>
      </c>
      <c r="T910" s="2">
        <v>51043.859375</v>
      </c>
      <c r="U910" s="2">
        <v>58424.120386506038</v>
      </c>
      <c r="V910" s="2">
        <v>49453.568794898551</v>
      </c>
      <c r="W910" s="2">
        <v>93241.7734375</v>
      </c>
      <c r="X910" s="4">
        <f t="shared" si="56"/>
        <v>0.86200378534758859</v>
      </c>
      <c r="Y910" s="4">
        <f t="shared" si="57"/>
        <v>0.75311360631391699</v>
      </c>
      <c r="Z910" s="4">
        <f t="shared" si="58"/>
        <v>0.8897234531745033</v>
      </c>
      <c r="AA910" s="4">
        <f t="shared" si="59"/>
        <v>0.471891496459934</v>
      </c>
    </row>
    <row r="911" spans="1:27" x14ac:dyDescent="0.3">
      <c r="A911" t="s">
        <v>429</v>
      </c>
      <c r="B911">
        <v>20379</v>
      </c>
      <c r="C911">
        <v>2022</v>
      </c>
      <c r="D911" t="s">
        <v>40</v>
      </c>
      <c r="E911" t="s">
        <v>208</v>
      </c>
      <c r="F911">
        <v>8</v>
      </c>
      <c r="G911" t="s">
        <v>66</v>
      </c>
      <c r="H911">
        <v>2</v>
      </c>
      <c r="I911" t="s">
        <v>23</v>
      </c>
      <c r="J911" t="s">
        <v>83</v>
      </c>
      <c r="K911" t="s">
        <v>25</v>
      </c>
      <c r="L911" t="s">
        <v>166</v>
      </c>
      <c r="M911" t="s">
        <v>78</v>
      </c>
      <c r="N911">
        <v>0</v>
      </c>
      <c r="O911" t="s">
        <v>27</v>
      </c>
      <c r="S911" s="3">
        <v>64500</v>
      </c>
      <c r="T911" s="2">
        <v>52709.203125</v>
      </c>
      <c r="U911" s="2">
        <v>82065.366998256548</v>
      </c>
      <c r="V911" s="2">
        <v>45678.520995219696</v>
      </c>
      <c r="W911" s="2">
        <v>93241.7734375</v>
      </c>
      <c r="X911" s="4">
        <f t="shared" si="56"/>
        <v>1.2236952216302359</v>
      </c>
      <c r="Y911" s="4">
        <f t="shared" si="57"/>
        <v>0.78595883207797368</v>
      </c>
      <c r="Z911" s="4">
        <f t="shared" si="58"/>
        <v>1.4120422157878096</v>
      </c>
      <c r="AA911" s="4">
        <f t="shared" si="59"/>
        <v>0.6917500345833123</v>
      </c>
    </row>
    <row r="912" spans="1:27" x14ac:dyDescent="0.3">
      <c r="A912" t="s">
        <v>430</v>
      </c>
      <c r="B912">
        <v>124471</v>
      </c>
      <c r="C912">
        <v>2014</v>
      </c>
      <c r="D912" t="s">
        <v>100</v>
      </c>
      <c r="E912" t="s">
        <v>138</v>
      </c>
      <c r="F912">
        <v>4</v>
      </c>
      <c r="G912" t="s">
        <v>47</v>
      </c>
      <c r="H912">
        <v>4</v>
      </c>
      <c r="I912" t="s">
        <v>23</v>
      </c>
      <c r="J912" t="s">
        <v>24</v>
      </c>
      <c r="K912" t="s">
        <v>25</v>
      </c>
      <c r="L912" t="s">
        <v>102</v>
      </c>
      <c r="M912" t="s">
        <v>33</v>
      </c>
      <c r="N912">
        <v>0</v>
      </c>
      <c r="O912" t="s">
        <v>27</v>
      </c>
      <c r="S912" s="3">
        <v>2150</v>
      </c>
      <c r="T912" s="2">
        <v>3915.040771484375</v>
      </c>
      <c r="U912" s="2">
        <v>3869.849613211446</v>
      </c>
      <c r="V912" s="2">
        <v>5621.8987768849447</v>
      </c>
      <c r="W912" s="2">
        <v>4583.578125</v>
      </c>
      <c r="X912" s="4">
        <f t="shared" si="56"/>
        <v>0.54916414042473294</v>
      </c>
      <c r="Y912" s="4">
        <f t="shared" si="57"/>
        <v>0.55557714508078626</v>
      </c>
      <c r="Z912" s="4">
        <f t="shared" si="58"/>
        <v>0.3824330684927949</v>
      </c>
      <c r="AA912" s="4">
        <f t="shared" si="59"/>
        <v>0.46906585670992573</v>
      </c>
    </row>
    <row r="913" spans="1:27" x14ac:dyDescent="0.3">
      <c r="A913" t="s">
        <v>430</v>
      </c>
      <c r="B913">
        <v>73359</v>
      </c>
      <c r="C913">
        <v>2013</v>
      </c>
      <c r="D913" t="s">
        <v>119</v>
      </c>
      <c r="E913" t="s">
        <v>370</v>
      </c>
      <c r="F913">
        <v>4</v>
      </c>
      <c r="G913" t="s">
        <v>47</v>
      </c>
      <c r="H913">
        <v>4</v>
      </c>
      <c r="I913" t="s">
        <v>233</v>
      </c>
      <c r="J913" t="s">
        <v>31</v>
      </c>
      <c r="K913" t="s">
        <v>25</v>
      </c>
      <c r="L913" t="s">
        <v>127</v>
      </c>
      <c r="M913" t="s">
        <v>33</v>
      </c>
      <c r="N913">
        <v>0</v>
      </c>
      <c r="O913" t="s">
        <v>27</v>
      </c>
      <c r="S913" s="3">
        <v>1200</v>
      </c>
      <c r="T913" s="2">
        <v>4717.10595703125</v>
      </c>
      <c r="U913" s="2">
        <v>5401.6635661985038</v>
      </c>
      <c r="V913" s="2">
        <v>4723.4202233524129</v>
      </c>
      <c r="W913" s="2">
        <v>3363.255615234375</v>
      </c>
      <c r="X913" s="4">
        <f t="shared" si="56"/>
        <v>0.25439326801877266</v>
      </c>
      <c r="Y913" s="4">
        <f t="shared" si="57"/>
        <v>0.22215378379155826</v>
      </c>
      <c r="Z913" s="4">
        <f t="shared" si="58"/>
        <v>0.25405319519682895</v>
      </c>
      <c r="AA913" s="4">
        <f t="shared" si="59"/>
        <v>0.35679714457753925</v>
      </c>
    </row>
    <row r="914" spans="1:27" x14ac:dyDescent="0.3">
      <c r="A914" t="s">
        <v>430</v>
      </c>
      <c r="B914">
        <v>110046</v>
      </c>
      <c r="C914">
        <v>2015</v>
      </c>
      <c r="D914" t="s">
        <v>125</v>
      </c>
      <c r="E914" t="s">
        <v>167</v>
      </c>
      <c r="F914">
        <v>4</v>
      </c>
      <c r="G914" t="s">
        <v>47</v>
      </c>
      <c r="H914">
        <v>4</v>
      </c>
      <c r="I914" t="s">
        <v>23</v>
      </c>
      <c r="J914" t="s">
        <v>31</v>
      </c>
      <c r="K914" t="s">
        <v>25</v>
      </c>
      <c r="L914" t="s">
        <v>87</v>
      </c>
      <c r="M914" t="s">
        <v>33</v>
      </c>
      <c r="N914">
        <v>0</v>
      </c>
      <c r="O914" t="s">
        <v>27</v>
      </c>
      <c r="S914" s="3">
        <v>2100</v>
      </c>
      <c r="T914" s="2">
        <v>4391.359375</v>
      </c>
      <c r="U914" s="2">
        <v>4919.8509595689502</v>
      </c>
      <c r="V914" s="2">
        <v>3472.1439734734399</v>
      </c>
      <c r="W914" s="2">
        <v>5697.07568359375</v>
      </c>
      <c r="X914" s="4">
        <f t="shared" si="56"/>
        <v>0.47821182933815343</v>
      </c>
      <c r="Y914" s="4">
        <f t="shared" si="57"/>
        <v>0.42684219852545902</v>
      </c>
      <c r="Z914" s="4">
        <f t="shared" si="58"/>
        <v>0.60481362986201759</v>
      </c>
      <c r="AA914" s="4">
        <f t="shared" si="59"/>
        <v>0.36861016364018306</v>
      </c>
    </row>
    <row r="915" spans="1:27" x14ac:dyDescent="0.3">
      <c r="A915" t="s">
        <v>430</v>
      </c>
      <c r="B915">
        <v>113272</v>
      </c>
      <c r="C915">
        <v>2005</v>
      </c>
      <c r="D915" t="s">
        <v>236</v>
      </c>
      <c r="E915" t="s">
        <v>457</v>
      </c>
      <c r="F915">
        <v>4</v>
      </c>
      <c r="G915" t="s">
        <v>36</v>
      </c>
      <c r="H915">
        <v>4</v>
      </c>
      <c r="I915" t="s">
        <v>23</v>
      </c>
      <c r="J915" t="s">
        <v>31</v>
      </c>
      <c r="K915" t="s">
        <v>25</v>
      </c>
      <c r="L915" t="s">
        <v>427</v>
      </c>
      <c r="M915" t="s">
        <v>33</v>
      </c>
      <c r="N915">
        <v>0</v>
      </c>
      <c r="O915" t="s">
        <v>27</v>
      </c>
      <c r="S915" s="3">
        <v>300</v>
      </c>
      <c r="T915" s="2">
        <v>1439.818237304688</v>
      </c>
      <c r="U915" s="2">
        <v>1004.530703596078</v>
      </c>
      <c r="V915" s="2">
        <v>316.1292795734953</v>
      </c>
      <c r="W915" s="2">
        <v>1193.200927734375</v>
      </c>
      <c r="X915" s="4">
        <f t="shared" si="56"/>
        <v>0.20835963333927082</v>
      </c>
      <c r="Y915" s="4">
        <f t="shared" si="57"/>
        <v>0.29864691932864013</v>
      </c>
      <c r="Z915" s="4">
        <f t="shared" si="58"/>
        <v>0.94897884942749988</v>
      </c>
      <c r="AA915" s="4">
        <f t="shared" si="59"/>
        <v>0.2514245447073476</v>
      </c>
    </row>
    <row r="916" spans="1:27" x14ac:dyDescent="0.3">
      <c r="A916" t="s">
        <v>430</v>
      </c>
      <c r="B916">
        <v>188022</v>
      </c>
      <c r="C916">
        <v>2012</v>
      </c>
      <c r="D916" t="s">
        <v>141</v>
      </c>
      <c r="E916" t="s">
        <v>142</v>
      </c>
      <c r="F916">
        <v>6</v>
      </c>
      <c r="G916" t="s">
        <v>22</v>
      </c>
      <c r="H916">
        <v>4</v>
      </c>
      <c r="I916" t="s">
        <v>23</v>
      </c>
      <c r="J916" t="s">
        <v>106</v>
      </c>
      <c r="K916" t="s">
        <v>25</v>
      </c>
      <c r="L916" t="s">
        <v>26</v>
      </c>
      <c r="M916" t="s">
        <v>33</v>
      </c>
      <c r="N916">
        <v>0</v>
      </c>
      <c r="O916" t="s">
        <v>27</v>
      </c>
      <c r="S916" s="3">
        <v>525</v>
      </c>
      <c r="T916" s="2">
        <v>2743.774169921875</v>
      </c>
      <c r="U916" s="2">
        <v>2849.8057165663608</v>
      </c>
      <c r="V916" s="2">
        <v>1612.639644653178</v>
      </c>
      <c r="W916" s="2">
        <v>2222.696044921875</v>
      </c>
      <c r="X916" s="4">
        <f t="shared" si="56"/>
        <v>0.19134227800349496</v>
      </c>
      <c r="Y916" s="4">
        <f t="shared" si="57"/>
        <v>0.1842230847345466</v>
      </c>
      <c r="Z916" s="4">
        <f t="shared" si="58"/>
        <v>0.32555320200683086</v>
      </c>
      <c r="AA916" s="4">
        <f t="shared" si="59"/>
        <v>0.23619963746255421</v>
      </c>
    </row>
    <row r="917" spans="1:27" x14ac:dyDescent="0.3">
      <c r="A917" t="s">
        <v>430</v>
      </c>
      <c r="B917">
        <v>102757</v>
      </c>
      <c r="C917">
        <v>2015</v>
      </c>
      <c r="D917" t="s">
        <v>100</v>
      </c>
      <c r="E917" t="s">
        <v>343</v>
      </c>
      <c r="F917">
        <v>4</v>
      </c>
      <c r="G917" t="s">
        <v>22</v>
      </c>
      <c r="H917">
        <v>4</v>
      </c>
      <c r="I917" t="s">
        <v>23</v>
      </c>
      <c r="J917" t="s">
        <v>31</v>
      </c>
      <c r="K917" t="s">
        <v>25</v>
      </c>
      <c r="L917" t="s">
        <v>87</v>
      </c>
      <c r="M917" t="s">
        <v>33</v>
      </c>
      <c r="N917">
        <v>0</v>
      </c>
      <c r="O917" t="s">
        <v>27</v>
      </c>
      <c r="S917" s="3">
        <v>1050</v>
      </c>
      <c r="T917" s="2">
        <v>3221.586669921875</v>
      </c>
      <c r="U917" s="2">
        <v>3768.930059271323</v>
      </c>
      <c r="V917" s="2">
        <v>2949.643925326312</v>
      </c>
      <c r="W917" s="2">
        <v>3589.659423828125</v>
      </c>
      <c r="X917" s="4">
        <f t="shared" si="56"/>
        <v>0.32592635480002868</v>
      </c>
      <c r="Y917" s="4">
        <f t="shared" si="57"/>
        <v>0.2785936548270691</v>
      </c>
      <c r="Z917" s="4">
        <f t="shared" si="58"/>
        <v>0.35597517076026086</v>
      </c>
      <c r="AA917" s="4">
        <f t="shared" si="59"/>
        <v>0.29250685817994598</v>
      </c>
    </row>
    <row r="918" spans="1:27" x14ac:dyDescent="0.3">
      <c r="A918" t="s">
        <v>430</v>
      </c>
      <c r="B918">
        <v>46029</v>
      </c>
      <c r="C918">
        <v>2023</v>
      </c>
      <c r="D918" t="s">
        <v>34</v>
      </c>
      <c r="E918" t="s">
        <v>458</v>
      </c>
      <c r="F918">
        <v>4</v>
      </c>
      <c r="G918" t="s">
        <v>30</v>
      </c>
      <c r="H918">
        <v>4</v>
      </c>
      <c r="I918" t="s">
        <v>23</v>
      </c>
      <c r="J918" t="s">
        <v>440</v>
      </c>
      <c r="K918" t="s">
        <v>25</v>
      </c>
      <c r="L918" t="s">
        <v>102</v>
      </c>
      <c r="M918" t="s">
        <v>33</v>
      </c>
      <c r="N918">
        <v>0</v>
      </c>
      <c r="O918" t="s">
        <v>27</v>
      </c>
      <c r="S918" s="3">
        <v>21200</v>
      </c>
      <c r="T918" s="2">
        <v>21107.96875</v>
      </c>
      <c r="U918" s="2">
        <v>19353.94515494378</v>
      </c>
      <c r="V918" s="2">
        <v>21421.679698933531</v>
      </c>
      <c r="W918" s="2">
        <v>20221.69140625</v>
      </c>
      <c r="X918" s="4">
        <f t="shared" si="56"/>
        <v>1.0043600239838331</v>
      </c>
      <c r="Y918" s="4">
        <f t="shared" si="57"/>
        <v>1.0953839039160791</v>
      </c>
      <c r="Z918" s="4">
        <f t="shared" si="58"/>
        <v>0.9896516191984438</v>
      </c>
      <c r="AA918" s="4">
        <f t="shared" si="59"/>
        <v>1.048379167404742</v>
      </c>
    </row>
    <row r="919" spans="1:27" x14ac:dyDescent="0.3">
      <c r="A919" t="s">
        <v>430</v>
      </c>
      <c r="B919">
        <v>114347</v>
      </c>
      <c r="C919">
        <v>2020</v>
      </c>
      <c r="D919" t="s">
        <v>28</v>
      </c>
      <c r="E919" t="s">
        <v>459</v>
      </c>
      <c r="F919">
        <v>4</v>
      </c>
      <c r="G919" t="s">
        <v>36</v>
      </c>
      <c r="H919">
        <v>4</v>
      </c>
      <c r="I919" t="s">
        <v>23</v>
      </c>
      <c r="J919" t="s">
        <v>440</v>
      </c>
      <c r="K919" t="s">
        <v>25</v>
      </c>
      <c r="L919" t="s">
        <v>127</v>
      </c>
      <c r="M919" t="s">
        <v>33</v>
      </c>
      <c r="N919">
        <v>0</v>
      </c>
      <c r="O919" t="s">
        <v>27</v>
      </c>
      <c r="S919" s="3">
        <v>14600</v>
      </c>
      <c r="T919" s="2">
        <v>16410.86328125</v>
      </c>
      <c r="U919" s="2">
        <v>14634.947786056129</v>
      </c>
      <c r="V919" s="2">
        <v>17299.31422264731</v>
      </c>
      <c r="W919" s="2">
        <v>16778.484375</v>
      </c>
      <c r="X919" s="4">
        <f t="shared" si="56"/>
        <v>0.88965459950428227</v>
      </c>
      <c r="Y919" s="4">
        <f t="shared" si="57"/>
        <v>0.99761203206413718</v>
      </c>
      <c r="Z919" s="4">
        <f t="shared" si="58"/>
        <v>0.8439640908358369</v>
      </c>
      <c r="AA919" s="4">
        <f t="shared" si="59"/>
        <v>0.87016202856522906</v>
      </c>
    </row>
    <row r="920" spans="1:27" x14ac:dyDescent="0.3">
      <c r="A920" t="s">
        <v>460</v>
      </c>
      <c r="B920">
        <v>22412</v>
      </c>
      <c r="C920">
        <v>2024</v>
      </c>
      <c r="D920" t="s">
        <v>44</v>
      </c>
      <c r="E920" t="s">
        <v>276</v>
      </c>
      <c r="F920">
        <v>6</v>
      </c>
      <c r="G920" t="s">
        <v>47</v>
      </c>
      <c r="H920">
        <v>3</v>
      </c>
      <c r="I920" t="s">
        <v>23</v>
      </c>
      <c r="J920" t="s">
        <v>197</v>
      </c>
      <c r="K920" t="s">
        <v>25</v>
      </c>
      <c r="L920" t="s">
        <v>38</v>
      </c>
      <c r="M920" t="s">
        <v>78</v>
      </c>
      <c r="N920">
        <v>4.5</v>
      </c>
      <c r="O920" t="s">
        <v>27</v>
      </c>
      <c r="S920" s="3">
        <v>32200</v>
      </c>
      <c r="T920" s="2">
        <v>36067.69140625</v>
      </c>
      <c r="U920" s="2">
        <v>47367.159858084873</v>
      </c>
      <c r="V920" s="2">
        <v>39981.34121063046</v>
      </c>
      <c r="W920" s="2">
        <v>46604.99609375</v>
      </c>
      <c r="X920" s="4">
        <f t="shared" si="56"/>
        <v>0.89276576194783053</v>
      </c>
      <c r="Y920" s="4">
        <f t="shared" si="57"/>
        <v>0.67979587749135306</v>
      </c>
      <c r="Z920" s="4">
        <f t="shared" si="58"/>
        <v>0.80537568338098886</v>
      </c>
      <c r="AA920" s="4">
        <f t="shared" si="59"/>
        <v>0.69091305007786941</v>
      </c>
    </row>
    <row r="921" spans="1:27" x14ac:dyDescent="0.3">
      <c r="A921" t="s">
        <v>461</v>
      </c>
      <c r="B921">
        <v>94506</v>
      </c>
      <c r="C921">
        <v>2019</v>
      </c>
      <c r="D921" t="s">
        <v>44</v>
      </c>
      <c r="E921" t="s">
        <v>176</v>
      </c>
      <c r="F921">
        <v>4</v>
      </c>
      <c r="G921" t="s">
        <v>47</v>
      </c>
      <c r="H921">
        <v>4</v>
      </c>
      <c r="I921" t="s">
        <v>23</v>
      </c>
      <c r="J921" t="s">
        <v>24</v>
      </c>
      <c r="K921" t="s">
        <v>27</v>
      </c>
      <c r="L921" t="s">
        <v>96</v>
      </c>
      <c r="M921" t="s">
        <v>33</v>
      </c>
      <c r="N921">
        <v>1.9</v>
      </c>
      <c r="O921" t="s">
        <v>27</v>
      </c>
      <c r="S921" s="3">
        <v>7100</v>
      </c>
      <c r="T921" s="2">
        <v>8733.7353515625</v>
      </c>
      <c r="U921" s="2">
        <v>10501.612591642201</v>
      </c>
      <c r="V921" s="2">
        <v>9208.36509790727</v>
      </c>
      <c r="W921" s="2">
        <v>9576.6923828125</v>
      </c>
      <c r="X921" s="4">
        <f t="shared" si="56"/>
        <v>0.81293967749203455</v>
      </c>
      <c r="Y921" s="4">
        <f t="shared" si="57"/>
        <v>0.67608664269815066</v>
      </c>
      <c r="Z921" s="4">
        <f t="shared" si="58"/>
        <v>0.77103806425025156</v>
      </c>
      <c r="AA921" s="4">
        <f t="shared" si="59"/>
        <v>0.74138332069040103</v>
      </c>
    </row>
    <row r="922" spans="1:27" x14ac:dyDescent="0.3">
      <c r="A922" t="s">
        <v>419</v>
      </c>
      <c r="B922">
        <v>111735</v>
      </c>
      <c r="C922">
        <v>2016</v>
      </c>
      <c r="D922" t="s">
        <v>44</v>
      </c>
      <c r="E922" t="s">
        <v>117</v>
      </c>
      <c r="F922">
        <v>4</v>
      </c>
      <c r="G922" t="s">
        <v>246</v>
      </c>
      <c r="H922">
        <v>4</v>
      </c>
      <c r="I922" t="s">
        <v>23</v>
      </c>
      <c r="J922" t="s">
        <v>62</v>
      </c>
      <c r="K922" t="s">
        <v>27</v>
      </c>
      <c r="L922" t="s">
        <v>96</v>
      </c>
      <c r="M922">
        <v>4</v>
      </c>
      <c r="N922">
        <v>3.8</v>
      </c>
      <c r="O922" t="s">
        <v>27</v>
      </c>
      <c r="S922" s="3">
        <v>5600</v>
      </c>
      <c r="T922" s="2">
        <v>5598.9873046875</v>
      </c>
      <c r="U922" s="2">
        <v>6207.0163982994573</v>
      </c>
      <c r="V922" s="2">
        <v>5811.317308940148</v>
      </c>
      <c r="W922" s="2">
        <v>5505.3740234375</v>
      </c>
      <c r="X922" s="4">
        <f t="shared" si="56"/>
        <v>1.0001808711571201</v>
      </c>
      <c r="Y922" s="4">
        <f t="shared" si="57"/>
        <v>0.90220480189713015</v>
      </c>
      <c r="Z922" s="4">
        <f t="shared" si="58"/>
        <v>0.96363693501728831</v>
      </c>
      <c r="AA922" s="4">
        <f t="shared" si="59"/>
        <v>1.0171879287691732</v>
      </c>
    </row>
    <row r="923" spans="1:27" x14ac:dyDescent="0.3">
      <c r="A923" t="s">
        <v>461</v>
      </c>
      <c r="B923">
        <v>132593</v>
      </c>
      <c r="C923">
        <v>2016</v>
      </c>
      <c r="D923" t="s">
        <v>282</v>
      </c>
      <c r="E923" t="s">
        <v>462</v>
      </c>
      <c r="F923">
        <v>4</v>
      </c>
      <c r="G923" t="s">
        <v>30</v>
      </c>
      <c r="H923">
        <v>4</v>
      </c>
      <c r="I923" t="s">
        <v>23</v>
      </c>
      <c r="J923" t="s">
        <v>37</v>
      </c>
      <c r="K923" t="s">
        <v>27</v>
      </c>
      <c r="L923" t="s">
        <v>96</v>
      </c>
      <c r="M923" t="s">
        <v>78</v>
      </c>
      <c r="N923">
        <v>1.8</v>
      </c>
      <c r="O923" t="s">
        <v>27</v>
      </c>
      <c r="S923" s="3">
        <v>7000</v>
      </c>
      <c r="T923" s="2">
        <v>7802.4228515625</v>
      </c>
      <c r="U923" s="2">
        <v>8384.7298644540006</v>
      </c>
      <c r="V923" s="2">
        <v>7033.5093139607316</v>
      </c>
      <c r="W923" s="2">
        <v>7309.33447265625</v>
      </c>
      <c r="X923" s="4">
        <f t="shared" si="56"/>
        <v>0.89715722067001169</v>
      </c>
      <c r="Y923" s="4">
        <f t="shared" si="57"/>
        <v>0.83485098663412072</v>
      </c>
      <c r="Z923" s="4">
        <f t="shared" si="58"/>
        <v>0.99523576177055462</v>
      </c>
      <c r="AA923" s="4">
        <f t="shared" si="59"/>
        <v>0.95767952967353587</v>
      </c>
    </row>
    <row r="924" spans="1:27" x14ac:dyDescent="0.3">
      <c r="A924" t="s">
        <v>395</v>
      </c>
      <c r="B924">
        <v>149995</v>
      </c>
      <c r="C924">
        <v>2014</v>
      </c>
      <c r="D924" t="s">
        <v>40</v>
      </c>
      <c r="E924" t="s">
        <v>208</v>
      </c>
      <c r="F924">
        <v>6</v>
      </c>
      <c r="G924" t="s">
        <v>36</v>
      </c>
      <c r="H924">
        <v>2</v>
      </c>
      <c r="I924" t="s">
        <v>23</v>
      </c>
      <c r="J924" t="s">
        <v>83</v>
      </c>
      <c r="L924" t="s">
        <v>26</v>
      </c>
      <c r="M924" t="s">
        <v>78</v>
      </c>
      <c r="N924">
        <v>2.9</v>
      </c>
      <c r="O924" t="s">
        <v>27</v>
      </c>
      <c r="S924" s="3">
        <v>6600</v>
      </c>
      <c r="T924" s="2">
        <v>6334.9365234375</v>
      </c>
      <c r="U924" s="2">
        <v>9660.0980343292322</v>
      </c>
      <c r="V924" s="2">
        <v>5336.4310301433552</v>
      </c>
      <c r="W924" s="2">
        <v>7123.16259765625</v>
      </c>
      <c r="X924" s="4">
        <f t="shared" si="56"/>
        <v>1.0418415363092968</v>
      </c>
      <c r="Y924" s="4">
        <f t="shared" si="57"/>
        <v>0.68322287998998388</v>
      </c>
      <c r="Z924" s="4">
        <f t="shared" si="58"/>
        <v>1.2367816547650015</v>
      </c>
      <c r="AA924" s="4">
        <f t="shared" si="59"/>
        <v>0.92655473036255165</v>
      </c>
    </row>
    <row r="925" spans="1:27" x14ac:dyDescent="0.3">
      <c r="A925" t="s">
        <v>395</v>
      </c>
      <c r="B925">
        <v>121426</v>
      </c>
      <c r="C925">
        <v>2015</v>
      </c>
      <c r="D925" t="s">
        <v>40</v>
      </c>
      <c r="E925" t="s">
        <v>41</v>
      </c>
      <c r="F925">
        <v>8</v>
      </c>
      <c r="G925" t="s">
        <v>30</v>
      </c>
      <c r="H925">
        <v>4</v>
      </c>
      <c r="I925" t="s">
        <v>23</v>
      </c>
      <c r="J925" t="s">
        <v>152</v>
      </c>
      <c r="K925" t="s">
        <v>27</v>
      </c>
      <c r="L925" t="s">
        <v>43</v>
      </c>
      <c r="M925" t="s">
        <v>78</v>
      </c>
      <c r="N925">
        <v>1.4</v>
      </c>
      <c r="O925" t="s">
        <v>27</v>
      </c>
      <c r="S925" s="3">
        <v>6200</v>
      </c>
      <c r="T925" s="2">
        <v>8646.806640625</v>
      </c>
      <c r="U925" s="2">
        <v>16435.968076139379</v>
      </c>
      <c r="V925" s="2">
        <v>6527.7100216557419</v>
      </c>
      <c r="W925" s="2">
        <v>10476.7568359375</v>
      </c>
      <c r="X925" s="4">
        <f t="shared" si="56"/>
        <v>0.71702771412405009</v>
      </c>
      <c r="Y925" s="4">
        <f t="shared" si="57"/>
        <v>0.37722146765426845</v>
      </c>
      <c r="Z925" s="4">
        <f t="shared" si="58"/>
        <v>0.94979709261462886</v>
      </c>
      <c r="AA925" s="4">
        <f t="shared" si="59"/>
        <v>0.59178618890272261</v>
      </c>
    </row>
    <row r="926" spans="1:27" x14ac:dyDescent="0.3">
      <c r="A926" t="s">
        <v>395</v>
      </c>
      <c r="B926">
        <v>204837</v>
      </c>
      <c r="C926">
        <v>2016</v>
      </c>
      <c r="D926" t="s">
        <v>141</v>
      </c>
      <c r="E926" t="s">
        <v>215</v>
      </c>
      <c r="F926">
        <v>6</v>
      </c>
      <c r="G926" t="s">
        <v>47</v>
      </c>
      <c r="H926">
        <v>4</v>
      </c>
      <c r="I926" t="s">
        <v>23</v>
      </c>
      <c r="J926" t="s">
        <v>31</v>
      </c>
      <c r="K926" t="s">
        <v>27</v>
      </c>
      <c r="L926" t="s">
        <v>26</v>
      </c>
      <c r="M926" t="s">
        <v>23</v>
      </c>
      <c r="N926">
        <v>0.9</v>
      </c>
      <c r="O926" t="s">
        <v>199</v>
      </c>
      <c r="S926" s="3">
        <v>900</v>
      </c>
      <c r="T926" s="2">
        <v>1309.038452148438</v>
      </c>
      <c r="U926" s="2">
        <v>1663.0443175596431</v>
      </c>
      <c r="V926" s="2">
        <v>1923.2869077500179</v>
      </c>
      <c r="W926" s="2">
        <v>2094.905517578125</v>
      </c>
      <c r="X926" s="4">
        <f t="shared" si="56"/>
        <v>0.6875275501058733</v>
      </c>
      <c r="Y926" s="4">
        <f t="shared" si="57"/>
        <v>0.54117619746938739</v>
      </c>
      <c r="Z926" s="4">
        <f t="shared" si="58"/>
        <v>0.46794890370926334</v>
      </c>
      <c r="AA926" s="4">
        <f t="shared" si="59"/>
        <v>0.42961364722570905</v>
      </c>
    </row>
    <row r="927" spans="1:27" x14ac:dyDescent="0.3">
      <c r="A927" t="s">
        <v>395</v>
      </c>
      <c r="B927">
        <v>111266</v>
      </c>
      <c r="C927">
        <v>2019</v>
      </c>
      <c r="D927" t="s">
        <v>40</v>
      </c>
      <c r="E927" t="s">
        <v>257</v>
      </c>
      <c r="F927">
        <v>6</v>
      </c>
      <c r="G927" t="s">
        <v>47</v>
      </c>
      <c r="H927">
        <v>4</v>
      </c>
      <c r="I927" t="s">
        <v>23</v>
      </c>
      <c r="J927" t="s">
        <v>42</v>
      </c>
      <c r="L927" t="s">
        <v>26</v>
      </c>
      <c r="M927" t="s">
        <v>78</v>
      </c>
      <c r="N927">
        <v>4.2</v>
      </c>
      <c r="O927" t="s">
        <v>27</v>
      </c>
      <c r="S927" s="3">
        <v>9000</v>
      </c>
      <c r="T927" s="2">
        <v>18343.283203125</v>
      </c>
      <c r="U927" s="2">
        <v>17399.045469307199</v>
      </c>
      <c r="V927" s="2">
        <v>15755.79379966176</v>
      </c>
      <c r="W927" s="2">
        <v>17891.9375</v>
      </c>
      <c r="X927" s="4">
        <f t="shared" si="56"/>
        <v>0.49064280916007125</v>
      </c>
      <c r="Y927" s="4">
        <f t="shared" si="57"/>
        <v>0.51726975573898337</v>
      </c>
      <c r="Z927" s="4">
        <f t="shared" si="58"/>
        <v>0.57121844284311518</v>
      </c>
      <c r="AA927" s="4">
        <f t="shared" si="59"/>
        <v>0.50301986579150526</v>
      </c>
    </row>
    <row r="928" spans="1:27" x14ac:dyDescent="0.3">
      <c r="A928" t="s">
        <v>395</v>
      </c>
      <c r="B928">
        <v>136845</v>
      </c>
      <c r="C928">
        <v>2013</v>
      </c>
      <c r="D928" t="s">
        <v>40</v>
      </c>
      <c r="E928" t="s">
        <v>211</v>
      </c>
      <c r="F928">
        <v>4</v>
      </c>
      <c r="G928" t="s">
        <v>66</v>
      </c>
      <c r="H928">
        <v>4</v>
      </c>
      <c r="I928" t="s">
        <v>23</v>
      </c>
      <c r="J928" t="s">
        <v>31</v>
      </c>
      <c r="K928" t="s">
        <v>27</v>
      </c>
      <c r="L928" t="s">
        <v>121</v>
      </c>
      <c r="M928" t="s">
        <v>33</v>
      </c>
      <c r="N928">
        <v>0</v>
      </c>
      <c r="O928" t="s">
        <v>27</v>
      </c>
      <c r="S928" s="3">
        <v>1300</v>
      </c>
      <c r="T928" s="2">
        <v>3342.627197265625</v>
      </c>
      <c r="U928" s="2">
        <v>2452.3031886662502</v>
      </c>
      <c r="V928" s="2">
        <v>2409.663212332533</v>
      </c>
      <c r="W928" s="2">
        <v>2775.799560546875</v>
      </c>
      <c r="X928" s="4">
        <f t="shared" si="56"/>
        <v>0.38891564128462819</v>
      </c>
      <c r="Y928" s="4">
        <f t="shared" si="57"/>
        <v>0.53011389701248124</v>
      </c>
      <c r="Z928" s="4">
        <f t="shared" si="58"/>
        <v>0.53949447928933247</v>
      </c>
      <c r="AA928" s="4">
        <f t="shared" si="59"/>
        <v>0.46833352756345276</v>
      </c>
    </row>
    <row r="929" spans="1:27" x14ac:dyDescent="0.3">
      <c r="A929" t="s">
        <v>395</v>
      </c>
      <c r="B929">
        <v>145243</v>
      </c>
      <c r="C929">
        <v>2017</v>
      </c>
      <c r="D929" t="s">
        <v>40</v>
      </c>
      <c r="E929" t="s">
        <v>150</v>
      </c>
      <c r="F929">
        <v>6</v>
      </c>
      <c r="G929" t="s">
        <v>36</v>
      </c>
      <c r="H929">
        <v>4</v>
      </c>
      <c r="I929" t="s">
        <v>23</v>
      </c>
      <c r="J929" t="s">
        <v>24</v>
      </c>
      <c r="L929" t="s">
        <v>26</v>
      </c>
      <c r="M929" t="s">
        <v>33</v>
      </c>
      <c r="N929">
        <v>2.9</v>
      </c>
      <c r="O929" t="s">
        <v>27</v>
      </c>
      <c r="S929" s="3">
        <v>3400</v>
      </c>
      <c r="T929" s="2">
        <v>7321.7705078125</v>
      </c>
      <c r="U929" s="2">
        <v>8715.0426066730852</v>
      </c>
      <c r="V929" s="2">
        <v>5312.9522596714514</v>
      </c>
      <c r="W929" s="2">
        <v>7420.96826171875</v>
      </c>
      <c r="X929" s="4">
        <f t="shared" si="56"/>
        <v>0.4643685562627401</v>
      </c>
      <c r="Y929" s="4">
        <f t="shared" si="57"/>
        <v>0.39013004909426707</v>
      </c>
      <c r="Z929" s="4">
        <f t="shared" si="58"/>
        <v>0.63994552064923937</v>
      </c>
      <c r="AA929" s="4">
        <f t="shared" si="59"/>
        <v>0.45816123719851826</v>
      </c>
    </row>
    <row r="930" spans="1:27" x14ac:dyDescent="0.3">
      <c r="A930" t="s">
        <v>395</v>
      </c>
      <c r="B930">
        <v>176332</v>
      </c>
      <c r="C930">
        <v>2011</v>
      </c>
      <c r="D930" t="s">
        <v>44</v>
      </c>
      <c r="E930" t="s">
        <v>210</v>
      </c>
      <c r="F930">
        <v>4</v>
      </c>
      <c r="G930" t="s">
        <v>59</v>
      </c>
      <c r="H930">
        <v>4</v>
      </c>
      <c r="I930" t="s">
        <v>23</v>
      </c>
      <c r="J930" t="s">
        <v>37</v>
      </c>
      <c r="K930" t="s">
        <v>27</v>
      </c>
      <c r="L930" t="s">
        <v>128</v>
      </c>
      <c r="M930" t="s">
        <v>33</v>
      </c>
      <c r="N930">
        <v>0</v>
      </c>
      <c r="S930" s="3">
        <v>1000</v>
      </c>
      <c r="T930" s="2">
        <v>2758.265380859375</v>
      </c>
      <c r="U930" s="2">
        <v>2175.0188999536458</v>
      </c>
      <c r="V930" s="2">
        <v>2508.8746287491122</v>
      </c>
      <c r="W930" s="2">
        <v>2234.44091796875</v>
      </c>
      <c r="X930" s="4">
        <f t="shared" si="56"/>
        <v>0.36254669581084198</v>
      </c>
      <c r="Y930" s="4">
        <f t="shared" si="57"/>
        <v>0.45976611974328685</v>
      </c>
      <c r="Z930" s="4">
        <f t="shared" si="58"/>
        <v>0.39858508214839944</v>
      </c>
      <c r="AA930" s="4">
        <f t="shared" si="59"/>
        <v>0.44753924436232762</v>
      </c>
    </row>
    <row r="931" spans="1:27" x14ac:dyDescent="0.3">
      <c r="A931" t="s">
        <v>395</v>
      </c>
      <c r="B931">
        <v>222682</v>
      </c>
      <c r="C931">
        <v>2011</v>
      </c>
      <c r="D931" t="s">
        <v>34</v>
      </c>
      <c r="E931" t="s">
        <v>116</v>
      </c>
      <c r="F931">
        <v>6</v>
      </c>
      <c r="G931" t="s">
        <v>30</v>
      </c>
      <c r="H931">
        <v>4</v>
      </c>
      <c r="I931" t="s">
        <v>23</v>
      </c>
      <c r="J931" t="s">
        <v>37</v>
      </c>
      <c r="K931" t="s">
        <v>27</v>
      </c>
      <c r="L931" t="s">
        <v>38</v>
      </c>
      <c r="M931" t="s">
        <v>33</v>
      </c>
      <c r="N931">
        <v>3.1</v>
      </c>
      <c r="O931" t="s">
        <v>27</v>
      </c>
      <c r="S931" s="3">
        <v>1400</v>
      </c>
      <c r="T931" s="2">
        <v>3348.106689453125</v>
      </c>
      <c r="U931" s="2">
        <v>2640.2208469903999</v>
      </c>
      <c r="V931" s="2">
        <v>1123.398945222903</v>
      </c>
      <c r="W931" s="2">
        <v>2548.03125</v>
      </c>
      <c r="X931" s="4">
        <f t="shared" si="56"/>
        <v>0.4181467706540361</v>
      </c>
      <c r="Y931" s="4">
        <f t="shared" si="57"/>
        <v>0.53025867195763821</v>
      </c>
      <c r="Z931" s="4">
        <f t="shared" si="58"/>
        <v>1.2462180118232302</v>
      </c>
      <c r="AA931" s="4">
        <f t="shared" si="59"/>
        <v>0.5494438107852877</v>
      </c>
    </row>
    <row r="932" spans="1:27" x14ac:dyDescent="0.3">
      <c r="A932" t="s">
        <v>395</v>
      </c>
      <c r="B932">
        <v>134925</v>
      </c>
      <c r="C932">
        <v>2013</v>
      </c>
      <c r="D932" t="s">
        <v>463</v>
      </c>
      <c r="E932" t="s">
        <v>464</v>
      </c>
      <c r="F932">
        <v>0</v>
      </c>
      <c r="G932" t="s">
        <v>36</v>
      </c>
      <c r="H932">
        <v>4</v>
      </c>
      <c r="I932" t="s">
        <v>23</v>
      </c>
      <c r="J932" t="s">
        <v>31</v>
      </c>
      <c r="L932" t="s">
        <v>465</v>
      </c>
      <c r="M932" t="s">
        <v>78</v>
      </c>
      <c r="N932">
        <v>2.6</v>
      </c>
      <c r="O932" t="s">
        <v>27</v>
      </c>
      <c r="S932" s="3">
        <v>3600</v>
      </c>
      <c r="T932" s="2">
        <v>5749.341796875</v>
      </c>
      <c r="U932" s="2">
        <v>7898.4843481030994</v>
      </c>
      <c r="V932" s="2">
        <v>7384.8213965336518</v>
      </c>
      <c r="W932" s="2">
        <v>7838.943359375</v>
      </c>
      <c r="X932" s="4">
        <f t="shared" si="56"/>
        <v>0.6261586329685157</v>
      </c>
      <c r="Y932" s="4">
        <f t="shared" si="57"/>
        <v>0.45578364675300981</v>
      </c>
      <c r="Z932" s="4">
        <f t="shared" si="58"/>
        <v>0.48748640037385299</v>
      </c>
      <c r="AA932" s="4">
        <f t="shared" si="59"/>
        <v>0.45924556856181042</v>
      </c>
    </row>
    <row r="933" spans="1:27" x14ac:dyDescent="0.3">
      <c r="A933" t="s">
        <v>395</v>
      </c>
      <c r="B933">
        <v>167206</v>
      </c>
      <c r="C933">
        <v>2011</v>
      </c>
      <c r="D933" t="s">
        <v>141</v>
      </c>
      <c r="E933" t="s">
        <v>215</v>
      </c>
      <c r="F933">
        <v>6</v>
      </c>
      <c r="G933" t="s">
        <v>36</v>
      </c>
      <c r="H933">
        <v>4</v>
      </c>
      <c r="I933" t="s">
        <v>23</v>
      </c>
      <c r="J933" t="s">
        <v>31</v>
      </c>
      <c r="K933" t="s">
        <v>27</v>
      </c>
      <c r="L933" t="s">
        <v>26</v>
      </c>
      <c r="M933" t="s">
        <v>78</v>
      </c>
      <c r="N933">
        <v>0</v>
      </c>
      <c r="O933" t="s">
        <v>27</v>
      </c>
      <c r="S933" s="3">
        <v>1300</v>
      </c>
      <c r="T933" s="2">
        <v>2647.4951171875</v>
      </c>
      <c r="U933" s="2">
        <v>6423.351085226559</v>
      </c>
      <c r="V933" s="2">
        <v>3043.2562382355109</v>
      </c>
      <c r="W933" s="2">
        <v>2491.1845703125</v>
      </c>
      <c r="X933" s="4">
        <f t="shared" si="56"/>
        <v>0.49103017851115904</v>
      </c>
      <c r="Y933" s="4">
        <f t="shared" si="57"/>
        <v>0.20238657092712029</v>
      </c>
      <c r="Z933" s="4">
        <f t="shared" si="58"/>
        <v>0.4271740196131969</v>
      </c>
      <c r="AA933" s="4">
        <f t="shared" si="59"/>
        <v>0.52184009787637897</v>
      </c>
    </row>
    <row r="934" spans="1:27" x14ac:dyDescent="0.3">
      <c r="A934" t="s">
        <v>395</v>
      </c>
      <c r="B934">
        <v>107455</v>
      </c>
      <c r="C934">
        <v>2008</v>
      </c>
      <c r="D934" t="s">
        <v>282</v>
      </c>
      <c r="E934" t="s">
        <v>422</v>
      </c>
      <c r="F934">
        <v>6</v>
      </c>
      <c r="G934" t="s">
        <v>66</v>
      </c>
      <c r="H934">
        <v>4</v>
      </c>
      <c r="I934" t="s">
        <v>23</v>
      </c>
      <c r="J934" t="s">
        <v>37</v>
      </c>
      <c r="K934" t="s">
        <v>27</v>
      </c>
      <c r="L934" t="s">
        <v>38</v>
      </c>
      <c r="M934" t="s">
        <v>33</v>
      </c>
      <c r="N934">
        <v>0</v>
      </c>
      <c r="S934" s="3">
        <v>2100</v>
      </c>
      <c r="T934" s="2">
        <v>5568.8525390625</v>
      </c>
      <c r="U934" s="2">
        <v>4524.5136117516849</v>
      </c>
      <c r="V934" s="2">
        <v>4767.232621919552</v>
      </c>
      <c r="W934" s="2">
        <v>4863.583984375</v>
      </c>
      <c r="X934" s="4">
        <f t="shared" si="56"/>
        <v>0.3770974334963319</v>
      </c>
      <c r="Y934" s="4">
        <f t="shared" si="57"/>
        <v>0.46413828760412901</v>
      </c>
      <c r="Z934" s="4">
        <f t="shared" si="58"/>
        <v>0.44050713832261529</v>
      </c>
      <c r="AA934" s="4">
        <f t="shared" si="59"/>
        <v>0.43178035102232593</v>
      </c>
    </row>
    <row r="935" spans="1:27" x14ac:dyDescent="0.3">
      <c r="A935" t="s">
        <v>395</v>
      </c>
      <c r="B935">
        <v>194045</v>
      </c>
      <c r="C935">
        <v>2004</v>
      </c>
      <c r="D935" t="s">
        <v>40</v>
      </c>
      <c r="E935" t="s">
        <v>169</v>
      </c>
      <c r="F935">
        <v>8</v>
      </c>
      <c r="G935" t="s">
        <v>59</v>
      </c>
      <c r="H935">
        <v>4</v>
      </c>
      <c r="I935" t="s">
        <v>23</v>
      </c>
      <c r="J935" t="s">
        <v>42</v>
      </c>
      <c r="K935" t="s">
        <v>27</v>
      </c>
      <c r="L935" t="s">
        <v>43</v>
      </c>
      <c r="M935" t="s">
        <v>78</v>
      </c>
      <c r="N935">
        <v>0</v>
      </c>
      <c r="S935" s="3">
        <v>1200</v>
      </c>
      <c r="T935" s="2">
        <v>2766.342529296875</v>
      </c>
      <c r="U935" s="2">
        <v>12322.30897411628</v>
      </c>
      <c r="V935" s="2">
        <v>1294.638877415518</v>
      </c>
      <c r="W935" s="2">
        <v>4187.9189453125</v>
      </c>
      <c r="X935" s="4">
        <f t="shared" si="56"/>
        <v>0.43378576126832913</v>
      </c>
      <c r="Y935" s="4">
        <f t="shared" si="57"/>
        <v>9.7384345946905662E-2</v>
      </c>
      <c r="Z935" s="4">
        <f t="shared" si="58"/>
        <v>0.92689940100945745</v>
      </c>
      <c r="AA935" s="4">
        <f t="shared" si="59"/>
        <v>0.28653849696473932</v>
      </c>
    </row>
    <row r="936" spans="1:27" x14ac:dyDescent="0.3">
      <c r="A936" t="s">
        <v>395</v>
      </c>
      <c r="B936">
        <v>114290</v>
      </c>
      <c r="C936">
        <v>2015</v>
      </c>
      <c r="D936" t="s">
        <v>119</v>
      </c>
      <c r="E936" t="s">
        <v>362</v>
      </c>
      <c r="F936">
        <v>4</v>
      </c>
      <c r="G936" t="s">
        <v>66</v>
      </c>
      <c r="H936">
        <v>4</v>
      </c>
      <c r="I936" t="s">
        <v>23</v>
      </c>
      <c r="J936" t="s">
        <v>24</v>
      </c>
      <c r="K936" t="s">
        <v>27</v>
      </c>
      <c r="L936" t="s">
        <v>127</v>
      </c>
      <c r="M936" t="s">
        <v>33</v>
      </c>
      <c r="N936">
        <v>0</v>
      </c>
      <c r="O936" t="s">
        <v>27</v>
      </c>
      <c r="S936" s="3">
        <v>1800</v>
      </c>
      <c r="T936" s="2">
        <v>4239.380859375</v>
      </c>
      <c r="U936" s="2">
        <v>4113.2429121999639</v>
      </c>
      <c r="V936" s="2">
        <v>4417.933976374301</v>
      </c>
      <c r="W936" s="2">
        <v>3890.831787109375</v>
      </c>
      <c r="X936" s="4">
        <f t="shared" si="56"/>
        <v>0.42459030214741522</v>
      </c>
      <c r="Y936" s="4">
        <f t="shared" si="57"/>
        <v>0.43761091635535615</v>
      </c>
      <c r="Z936" s="4">
        <f t="shared" si="58"/>
        <v>0.40743026256748627</v>
      </c>
      <c r="AA936" s="4">
        <f t="shared" si="59"/>
        <v>0.46262601379055718</v>
      </c>
    </row>
    <row r="937" spans="1:27" x14ac:dyDescent="0.3">
      <c r="A937" t="s">
        <v>395</v>
      </c>
      <c r="B937">
        <v>71243</v>
      </c>
      <c r="C937">
        <v>2020</v>
      </c>
      <c r="D937" t="s">
        <v>54</v>
      </c>
      <c r="E937" t="s">
        <v>279</v>
      </c>
      <c r="F937">
        <v>6</v>
      </c>
      <c r="G937" t="s">
        <v>47</v>
      </c>
      <c r="H937">
        <v>4</v>
      </c>
      <c r="I937" t="s">
        <v>23</v>
      </c>
      <c r="J937" t="s">
        <v>42</v>
      </c>
      <c r="K937" t="s">
        <v>27</v>
      </c>
      <c r="L937" t="s">
        <v>26</v>
      </c>
      <c r="M937">
        <v>4</v>
      </c>
      <c r="N937">
        <v>0</v>
      </c>
      <c r="O937" t="s">
        <v>27</v>
      </c>
      <c r="S937" s="3">
        <v>23600</v>
      </c>
      <c r="T937" s="2">
        <v>28108.126953125</v>
      </c>
      <c r="U937" s="2">
        <v>24913.199433175021</v>
      </c>
      <c r="V937" s="2">
        <v>35600.687911367611</v>
      </c>
      <c r="W937" s="2">
        <v>26190.44921875</v>
      </c>
      <c r="X937" s="4">
        <f t="shared" si="56"/>
        <v>0.83961482169754476</v>
      </c>
      <c r="Y937" s="4">
        <f t="shared" si="57"/>
        <v>0.9472890089168422</v>
      </c>
      <c r="Z937" s="4">
        <f t="shared" si="58"/>
        <v>0.66290853869889166</v>
      </c>
      <c r="AA937" s="4">
        <f t="shared" si="59"/>
        <v>0.9010918370619061</v>
      </c>
    </row>
    <row r="938" spans="1:27" x14ac:dyDescent="0.3">
      <c r="A938" t="s">
        <v>395</v>
      </c>
      <c r="B938">
        <v>95212</v>
      </c>
      <c r="C938">
        <v>2011</v>
      </c>
      <c r="D938" t="s">
        <v>125</v>
      </c>
      <c r="E938" t="s">
        <v>466</v>
      </c>
      <c r="F938">
        <v>6</v>
      </c>
      <c r="G938" t="s">
        <v>36</v>
      </c>
      <c r="H938">
        <v>4</v>
      </c>
      <c r="I938" t="s">
        <v>23</v>
      </c>
      <c r="J938" t="s">
        <v>24</v>
      </c>
      <c r="K938" t="s">
        <v>27</v>
      </c>
      <c r="L938" t="s">
        <v>143</v>
      </c>
      <c r="M938" t="s">
        <v>33</v>
      </c>
      <c r="N938">
        <v>0</v>
      </c>
      <c r="S938" s="3">
        <v>8500</v>
      </c>
      <c r="T938" s="2">
        <v>5757.41748046875</v>
      </c>
      <c r="U938" s="2">
        <v>5219.9221282647723</v>
      </c>
      <c r="V938" s="2">
        <v>3719.762012628586</v>
      </c>
      <c r="W938" s="2">
        <v>5218.42919921875</v>
      </c>
      <c r="X938" s="4">
        <f t="shared" si="56"/>
        <v>1.4763563748564501</v>
      </c>
      <c r="Y938" s="4">
        <f t="shared" si="57"/>
        <v>1.6283767824761792</v>
      </c>
      <c r="Z938" s="4">
        <f t="shared" si="58"/>
        <v>2.2850924255752152</v>
      </c>
      <c r="AA938" s="4">
        <f t="shared" si="59"/>
        <v>1.6288426412439463</v>
      </c>
    </row>
    <row r="939" spans="1:27" x14ac:dyDescent="0.3">
      <c r="A939" t="s">
        <v>395</v>
      </c>
      <c r="B939">
        <v>94472</v>
      </c>
      <c r="C939">
        <v>2014</v>
      </c>
      <c r="D939" t="s">
        <v>40</v>
      </c>
      <c r="E939" t="s">
        <v>136</v>
      </c>
      <c r="F939">
        <v>4</v>
      </c>
      <c r="G939" t="s">
        <v>30</v>
      </c>
      <c r="H939">
        <v>4</v>
      </c>
      <c r="I939" t="s">
        <v>23</v>
      </c>
      <c r="J939" t="s">
        <v>31</v>
      </c>
      <c r="K939" t="s">
        <v>27</v>
      </c>
      <c r="L939" t="s">
        <v>73</v>
      </c>
      <c r="M939" t="s">
        <v>33</v>
      </c>
      <c r="N939">
        <v>0</v>
      </c>
      <c r="O939" t="s">
        <v>27</v>
      </c>
      <c r="S939" s="3">
        <v>2200</v>
      </c>
      <c r="T939" s="2">
        <v>5876.15673828125</v>
      </c>
      <c r="U939" s="2">
        <v>5393.4292350182459</v>
      </c>
      <c r="V939" s="2">
        <v>4921.9568335114845</v>
      </c>
      <c r="W939" s="2">
        <v>5714.8779296875</v>
      </c>
      <c r="X939" s="4">
        <f t="shared" si="56"/>
        <v>0.37439436999148024</v>
      </c>
      <c r="Y939" s="4">
        <f t="shared" si="57"/>
        <v>0.40790374808589797</v>
      </c>
      <c r="Z939" s="4">
        <f t="shared" si="58"/>
        <v>0.44697669533002554</v>
      </c>
      <c r="AA939" s="4">
        <f t="shared" si="59"/>
        <v>0.38496010362207334</v>
      </c>
    </row>
    <row r="940" spans="1:27" x14ac:dyDescent="0.3">
      <c r="A940" t="s">
        <v>395</v>
      </c>
      <c r="B940">
        <v>162610</v>
      </c>
      <c r="C940">
        <v>2018</v>
      </c>
      <c r="D940" t="s">
        <v>100</v>
      </c>
      <c r="E940" t="s">
        <v>101</v>
      </c>
      <c r="F940">
        <v>4</v>
      </c>
      <c r="G940" t="s">
        <v>36</v>
      </c>
      <c r="H940">
        <v>4</v>
      </c>
      <c r="I940" t="s">
        <v>23</v>
      </c>
      <c r="J940" t="s">
        <v>31</v>
      </c>
      <c r="K940" t="s">
        <v>27</v>
      </c>
      <c r="L940" t="s">
        <v>102</v>
      </c>
      <c r="M940" t="s">
        <v>33</v>
      </c>
      <c r="N940">
        <v>0</v>
      </c>
      <c r="S940" s="3">
        <v>5200</v>
      </c>
      <c r="T940" s="2">
        <v>4131.25634765625</v>
      </c>
      <c r="U940" s="2">
        <v>4644.4967714212344</v>
      </c>
      <c r="V940" s="2">
        <v>6035.7511304080545</v>
      </c>
      <c r="W940" s="2">
        <v>4701.771484375</v>
      </c>
      <c r="X940" s="4">
        <f t="shared" si="56"/>
        <v>1.2586970070133923</v>
      </c>
      <c r="Y940" s="4">
        <f t="shared" si="57"/>
        <v>1.1196046107722408</v>
      </c>
      <c r="Z940" s="4">
        <f t="shared" si="58"/>
        <v>0.86153320235528785</v>
      </c>
      <c r="AA940" s="4">
        <f t="shared" si="59"/>
        <v>1.1059661272949399</v>
      </c>
    </row>
    <row r="941" spans="1:27" x14ac:dyDescent="0.3">
      <c r="A941" t="s">
        <v>395</v>
      </c>
      <c r="B941">
        <v>126622</v>
      </c>
      <c r="C941">
        <v>2016</v>
      </c>
      <c r="D941" t="s">
        <v>239</v>
      </c>
      <c r="E941" t="s">
        <v>365</v>
      </c>
      <c r="F941">
        <v>4</v>
      </c>
      <c r="G941" t="s">
        <v>36</v>
      </c>
      <c r="H941">
        <v>4</v>
      </c>
      <c r="I941" t="s">
        <v>23</v>
      </c>
      <c r="J941" t="s">
        <v>31</v>
      </c>
      <c r="K941" t="s">
        <v>27</v>
      </c>
      <c r="L941" t="s">
        <v>127</v>
      </c>
      <c r="M941" t="s">
        <v>78</v>
      </c>
      <c r="N941">
        <v>0</v>
      </c>
      <c r="O941" t="s">
        <v>27</v>
      </c>
      <c r="S941" s="3">
        <v>2600</v>
      </c>
      <c r="T941" s="2">
        <v>4745.654296875</v>
      </c>
      <c r="U941" s="2">
        <v>4964.9289705299807</v>
      </c>
      <c r="V941" s="2">
        <v>5529.9562561632492</v>
      </c>
      <c r="W941" s="2">
        <v>5495.8642578125</v>
      </c>
      <c r="X941" s="4">
        <f t="shared" si="56"/>
        <v>0.54786965871325533</v>
      </c>
      <c r="Y941" s="4">
        <f t="shared" si="57"/>
        <v>0.52367315130441094</v>
      </c>
      <c r="Z941" s="4">
        <f t="shared" si="58"/>
        <v>0.47016646779117771</v>
      </c>
      <c r="AA941" s="4">
        <f t="shared" si="59"/>
        <v>0.47308300897425531</v>
      </c>
    </row>
    <row r="942" spans="1:27" x14ac:dyDescent="0.3">
      <c r="A942" t="s">
        <v>395</v>
      </c>
      <c r="B942">
        <v>210627</v>
      </c>
      <c r="C942">
        <v>2015</v>
      </c>
      <c r="D942" t="s">
        <v>44</v>
      </c>
      <c r="E942" t="s">
        <v>68</v>
      </c>
      <c r="F942">
        <v>6</v>
      </c>
      <c r="G942" t="s">
        <v>47</v>
      </c>
      <c r="H942">
        <v>4</v>
      </c>
      <c r="I942" t="s">
        <v>23</v>
      </c>
      <c r="J942" t="s">
        <v>62</v>
      </c>
      <c r="K942" t="s">
        <v>27</v>
      </c>
      <c r="L942" t="s">
        <v>38</v>
      </c>
      <c r="M942" t="s">
        <v>33</v>
      </c>
      <c r="N942">
        <v>0</v>
      </c>
      <c r="O942" t="s">
        <v>27</v>
      </c>
      <c r="S942" s="3">
        <v>2800</v>
      </c>
      <c r="T942" s="2">
        <v>3456.361328125</v>
      </c>
      <c r="U942" s="2">
        <v>4858.3822284491371</v>
      </c>
      <c r="V942" s="2">
        <v>4035.12257852631</v>
      </c>
      <c r="W942" s="2">
        <v>4248.46630859375</v>
      </c>
      <c r="X942" s="4">
        <f t="shared" si="56"/>
        <v>0.81010048839972948</v>
      </c>
      <c r="Y942" s="4">
        <f t="shared" si="57"/>
        <v>0.57632353082556842</v>
      </c>
      <c r="Z942" s="4">
        <f t="shared" si="58"/>
        <v>0.69390704879716536</v>
      </c>
      <c r="AA942" s="4">
        <f t="shared" si="59"/>
        <v>0.65906136394119252</v>
      </c>
    </row>
    <row r="943" spans="1:27" x14ac:dyDescent="0.3">
      <c r="A943" t="s">
        <v>395</v>
      </c>
      <c r="B943">
        <v>175895</v>
      </c>
      <c r="C943">
        <v>2017</v>
      </c>
      <c r="D943" t="s">
        <v>44</v>
      </c>
      <c r="E943" t="s">
        <v>267</v>
      </c>
      <c r="F943">
        <v>8</v>
      </c>
      <c r="G943" t="s">
        <v>47</v>
      </c>
      <c r="H943">
        <v>4</v>
      </c>
      <c r="I943" t="s">
        <v>23</v>
      </c>
      <c r="J943" t="s">
        <v>46</v>
      </c>
      <c r="K943" t="s">
        <v>27</v>
      </c>
      <c r="L943" t="s">
        <v>140</v>
      </c>
      <c r="M943">
        <v>4</v>
      </c>
      <c r="N943">
        <v>0</v>
      </c>
      <c r="S943" s="3">
        <v>30600</v>
      </c>
      <c r="T943" s="2">
        <v>13316.2734375</v>
      </c>
      <c r="U943" s="2">
        <v>22515.70483285861</v>
      </c>
      <c r="V943" s="2">
        <v>19286.879802847689</v>
      </c>
      <c r="W943" s="2">
        <v>14812.10546875</v>
      </c>
      <c r="X943" s="4">
        <f t="shared" si="56"/>
        <v>2.2979401965288009</v>
      </c>
      <c r="Y943" s="4">
        <f t="shared" si="57"/>
        <v>1.3590513922239493</v>
      </c>
      <c r="Z943" s="4">
        <f t="shared" si="58"/>
        <v>1.5865707834961433</v>
      </c>
      <c r="AA943" s="4">
        <f t="shared" si="59"/>
        <v>2.0658778095091668</v>
      </c>
    </row>
    <row r="944" spans="1:27" x14ac:dyDescent="0.3">
      <c r="A944" t="s">
        <v>395</v>
      </c>
      <c r="B944">
        <v>128331</v>
      </c>
      <c r="C944">
        <v>2012</v>
      </c>
      <c r="D944" t="s">
        <v>100</v>
      </c>
      <c r="E944" t="s">
        <v>138</v>
      </c>
      <c r="F944">
        <v>4</v>
      </c>
      <c r="G944" t="s">
        <v>36</v>
      </c>
      <c r="H944">
        <v>4</v>
      </c>
      <c r="I944" t="s">
        <v>23</v>
      </c>
      <c r="J944" t="s">
        <v>24</v>
      </c>
      <c r="K944" t="s">
        <v>27</v>
      </c>
      <c r="L944" t="s">
        <v>102</v>
      </c>
      <c r="M944" t="s">
        <v>23</v>
      </c>
      <c r="N944">
        <v>0</v>
      </c>
      <c r="S944" s="3">
        <v>2400</v>
      </c>
      <c r="T944" s="2">
        <v>2749.616455078125</v>
      </c>
      <c r="U944" s="2">
        <v>2942.2599266807179</v>
      </c>
      <c r="V944" s="2">
        <v>5303.2841384953163</v>
      </c>
      <c r="W944" s="2">
        <v>3645.717529296875</v>
      </c>
      <c r="X944" s="4">
        <f t="shared" si="56"/>
        <v>0.87284900974736446</v>
      </c>
      <c r="Y944" s="4">
        <f t="shared" si="57"/>
        <v>0.81569951663228368</v>
      </c>
      <c r="Z944" s="4">
        <f t="shared" si="58"/>
        <v>0.45254976677167902</v>
      </c>
      <c r="AA944" s="4">
        <f t="shared" si="59"/>
        <v>0.65830662433764353</v>
      </c>
    </row>
    <row r="945" spans="1:27" x14ac:dyDescent="0.3">
      <c r="A945" t="s">
        <v>395</v>
      </c>
      <c r="B945">
        <v>105430</v>
      </c>
      <c r="C945">
        <v>1989</v>
      </c>
      <c r="D945" t="s">
        <v>40</v>
      </c>
      <c r="E945" t="s">
        <v>467</v>
      </c>
      <c r="F945">
        <v>8</v>
      </c>
      <c r="G945" t="s">
        <v>36</v>
      </c>
      <c r="H945">
        <v>2</v>
      </c>
      <c r="I945" t="s">
        <v>23</v>
      </c>
      <c r="J945" t="s">
        <v>468</v>
      </c>
      <c r="L945" t="s">
        <v>84</v>
      </c>
      <c r="M945" t="s">
        <v>23</v>
      </c>
      <c r="N945">
        <v>0</v>
      </c>
      <c r="O945" t="s">
        <v>27</v>
      </c>
      <c r="S945" s="3">
        <v>2100</v>
      </c>
      <c r="T945" s="2">
        <v>6385.98388671875</v>
      </c>
      <c r="U945" s="2">
        <v>11019.10139436485</v>
      </c>
      <c r="V945" s="2">
        <v>8733.4382372950859</v>
      </c>
      <c r="W945" s="2">
        <v>6257.97509765625</v>
      </c>
      <c r="X945" s="4">
        <f t="shared" si="56"/>
        <v>0.32884517675772329</v>
      </c>
      <c r="Y945" s="4">
        <f t="shared" si="57"/>
        <v>0.1905781537752195</v>
      </c>
      <c r="Z945" s="4">
        <f t="shared" si="58"/>
        <v>0.24045512694327023</v>
      </c>
      <c r="AA945" s="4">
        <f t="shared" si="59"/>
        <v>0.3355718051333404</v>
      </c>
    </row>
    <row r="946" spans="1:27" x14ac:dyDescent="0.3">
      <c r="A946" t="s">
        <v>395</v>
      </c>
      <c r="B946">
        <v>71774</v>
      </c>
      <c r="C946">
        <v>2007</v>
      </c>
      <c r="D946" t="s">
        <v>100</v>
      </c>
      <c r="E946" t="s">
        <v>444</v>
      </c>
      <c r="F946">
        <v>4</v>
      </c>
      <c r="G946" t="s">
        <v>30</v>
      </c>
      <c r="H946">
        <v>2</v>
      </c>
      <c r="I946" t="s">
        <v>23</v>
      </c>
      <c r="J946" t="s">
        <v>49</v>
      </c>
      <c r="L946" t="s">
        <v>102</v>
      </c>
      <c r="M946" t="s">
        <v>78</v>
      </c>
      <c r="N946">
        <v>0</v>
      </c>
      <c r="S946" s="3">
        <v>4400</v>
      </c>
      <c r="T946" s="2">
        <v>4547.828125</v>
      </c>
      <c r="U946" s="2">
        <v>4902.2016183749629</v>
      </c>
      <c r="V946" s="2">
        <v>7210.238020181765</v>
      </c>
      <c r="W946" s="2">
        <v>4517.19677734375</v>
      </c>
      <c r="X946" s="4">
        <f t="shared" si="56"/>
        <v>0.96749478631627051</v>
      </c>
      <c r="Y946" s="4">
        <f t="shared" si="57"/>
        <v>0.89755590294520804</v>
      </c>
      <c r="Z946" s="4">
        <f t="shared" si="58"/>
        <v>0.61024337722058708</v>
      </c>
      <c r="AA946" s="4">
        <f t="shared" si="59"/>
        <v>0.97405541907504301</v>
      </c>
    </row>
    <row r="947" spans="1:27" x14ac:dyDescent="0.3">
      <c r="A947" t="s">
        <v>395</v>
      </c>
      <c r="B947">
        <v>90823</v>
      </c>
      <c r="C947">
        <v>2017</v>
      </c>
      <c r="D947" t="s">
        <v>396</v>
      </c>
      <c r="E947" t="s">
        <v>469</v>
      </c>
      <c r="F947">
        <v>4</v>
      </c>
      <c r="G947" t="s">
        <v>36</v>
      </c>
      <c r="H947">
        <v>4</v>
      </c>
      <c r="I947" t="s">
        <v>23</v>
      </c>
      <c r="J947" t="s">
        <v>31</v>
      </c>
      <c r="K947" t="s">
        <v>27</v>
      </c>
      <c r="L947" t="s">
        <v>60</v>
      </c>
      <c r="M947" t="s">
        <v>33</v>
      </c>
      <c r="N947">
        <v>0</v>
      </c>
      <c r="S947" s="3">
        <v>9200</v>
      </c>
      <c r="T947" s="2">
        <v>4646.88818359375</v>
      </c>
      <c r="U947" s="2">
        <v>10679.74644567255</v>
      </c>
      <c r="V947" s="2">
        <v>11208.158738081011</v>
      </c>
      <c r="W947" s="2">
        <v>8863.0205078125</v>
      </c>
      <c r="X947" s="4">
        <f t="shared" si="56"/>
        <v>1.9798195343889302</v>
      </c>
      <c r="Y947" s="4">
        <f t="shared" si="57"/>
        <v>0.8614436725441037</v>
      </c>
      <c r="Z947" s="4">
        <f t="shared" si="58"/>
        <v>0.82083063016782054</v>
      </c>
      <c r="AA947" s="4">
        <f t="shared" si="59"/>
        <v>1.0380208408510916</v>
      </c>
    </row>
    <row r="948" spans="1:27" x14ac:dyDescent="0.3">
      <c r="A948" t="s">
        <v>395</v>
      </c>
      <c r="B948">
        <v>157338</v>
      </c>
      <c r="C948">
        <v>2014</v>
      </c>
      <c r="D948" t="s">
        <v>125</v>
      </c>
      <c r="E948" t="s">
        <v>230</v>
      </c>
      <c r="F948">
        <v>4</v>
      </c>
      <c r="G948" t="s">
        <v>22</v>
      </c>
      <c r="H948">
        <v>4</v>
      </c>
      <c r="I948" t="s">
        <v>23</v>
      </c>
      <c r="J948" t="s">
        <v>31</v>
      </c>
      <c r="K948" t="s">
        <v>27</v>
      </c>
      <c r="L948" t="s">
        <v>60</v>
      </c>
      <c r="M948" t="s">
        <v>33</v>
      </c>
      <c r="N948">
        <v>0</v>
      </c>
      <c r="O948" t="s">
        <v>27</v>
      </c>
      <c r="S948" s="3">
        <v>3000</v>
      </c>
      <c r="T948" s="2">
        <v>3476.699462890625</v>
      </c>
      <c r="U948" s="2">
        <v>3362.138436794929</v>
      </c>
      <c r="V948" s="2">
        <v>2777.2777344779038</v>
      </c>
      <c r="W948" s="2">
        <v>3555.6728515625</v>
      </c>
      <c r="X948" s="4">
        <f t="shared" si="56"/>
        <v>0.8628873539462385</v>
      </c>
      <c r="Y948" s="4">
        <f t="shared" si="57"/>
        <v>0.89228925471012144</v>
      </c>
      <c r="Z948" s="4">
        <f t="shared" si="58"/>
        <v>1.0801944518393531</v>
      </c>
      <c r="AA948" s="4">
        <f t="shared" si="59"/>
        <v>0.84372216602595596</v>
      </c>
    </row>
    <row r="949" spans="1:27" x14ac:dyDescent="0.3">
      <c r="A949" t="s">
        <v>296</v>
      </c>
      <c r="B949">
        <v>208488</v>
      </c>
      <c r="C949">
        <v>2014</v>
      </c>
      <c r="D949" t="s">
        <v>44</v>
      </c>
      <c r="E949" t="s">
        <v>68</v>
      </c>
      <c r="F949">
        <v>6</v>
      </c>
      <c r="G949" t="s">
        <v>22</v>
      </c>
      <c r="H949">
        <v>4</v>
      </c>
      <c r="I949" t="s">
        <v>23</v>
      </c>
      <c r="J949" t="s">
        <v>62</v>
      </c>
      <c r="K949" t="s">
        <v>27</v>
      </c>
      <c r="L949" t="s">
        <v>38</v>
      </c>
      <c r="M949" t="s">
        <v>33</v>
      </c>
      <c r="N949">
        <v>0</v>
      </c>
      <c r="O949" t="s">
        <v>27</v>
      </c>
      <c r="S949" s="3">
        <v>2800</v>
      </c>
      <c r="T949" s="2">
        <v>3448.142333984375</v>
      </c>
      <c r="U949" s="2">
        <v>4051.580903030761</v>
      </c>
      <c r="V949" s="2">
        <v>3466.0744745625361</v>
      </c>
      <c r="W949" s="2">
        <v>4295.08837890625</v>
      </c>
      <c r="X949" s="4">
        <f t="shared" si="56"/>
        <v>0.81203144441098585</v>
      </c>
      <c r="Y949" s="4">
        <f t="shared" si="57"/>
        <v>0.69108826085774977</v>
      </c>
      <c r="Z949" s="4">
        <f t="shared" si="58"/>
        <v>0.80783030501772368</v>
      </c>
      <c r="AA949" s="4">
        <f t="shared" si="59"/>
        <v>0.65190742377995581</v>
      </c>
    </row>
    <row r="950" spans="1:27" x14ac:dyDescent="0.3">
      <c r="A950" t="s">
        <v>296</v>
      </c>
      <c r="B950">
        <v>145217</v>
      </c>
      <c r="C950">
        <v>2010</v>
      </c>
      <c r="D950" t="s">
        <v>340</v>
      </c>
      <c r="E950" t="s">
        <v>398</v>
      </c>
      <c r="F950">
        <v>4</v>
      </c>
      <c r="G950" t="s">
        <v>66</v>
      </c>
      <c r="H950">
        <v>4</v>
      </c>
      <c r="I950" t="s">
        <v>23</v>
      </c>
      <c r="J950" t="s">
        <v>31</v>
      </c>
      <c r="L950" t="s">
        <v>102</v>
      </c>
      <c r="M950" t="s">
        <v>33</v>
      </c>
      <c r="N950">
        <v>0</v>
      </c>
      <c r="O950" t="s">
        <v>27</v>
      </c>
      <c r="S950" s="3">
        <v>1000</v>
      </c>
      <c r="T950" s="2">
        <v>3059.98583984375</v>
      </c>
      <c r="U950" s="2">
        <v>3543.7935573222421</v>
      </c>
      <c r="V950" s="2">
        <v>2808.2790922339682</v>
      </c>
      <c r="W950" s="2">
        <v>2842.620361328125</v>
      </c>
      <c r="X950" s="4">
        <f t="shared" si="56"/>
        <v>0.32679889788348249</v>
      </c>
      <c r="Y950" s="4">
        <f t="shared" si="57"/>
        <v>0.28218348044958325</v>
      </c>
      <c r="Z950" s="4">
        <f t="shared" si="58"/>
        <v>0.35608996369534851</v>
      </c>
      <c r="AA950" s="4">
        <f t="shared" si="59"/>
        <v>0.35178809439498332</v>
      </c>
    </row>
    <row r="951" spans="1:27" x14ac:dyDescent="0.3">
      <c r="A951" t="s">
        <v>296</v>
      </c>
      <c r="B951">
        <v>173065</v>
      </c>
      <c r="C951">
        <v>2018</v>
      </c>
      <c r="D951" t="s">
        <v>40</v>
      </c>
      <c r="E951" t="s">
        <v>41</v>
      </c>
      <c r="F951">
        <v>8</v>
      </c>
      <c r="G951" t="s">
        <v>36</v>
      </c>
      <c r="H951">
        <v>4</v>
      </c>
      <c r="I951" t="s">
        <v>23</v>
      </c>
      <c r="J951" t="s">
        <v>42</v>
      </c>
      <c r="L951" t="s">
        <v>43</v>
      </c>
      <c r="M951" t="s">
        <v>78</v>
      </c>
      <c r="N951">
        <v>0</v>
      </c>
      <c r="O951" t="s">
        <v>27</v>
      </c>
      <c r="S951" s="3">
        <v>8000</v>
      </c>
      <c r="T951" s="2">
        <v>13695.8037109375</v>
      </c>
      <c r="U951" s="2">
        <v>23063.749094969498</v>
      </c>
      <c r="V951" s="2">
        <v>10818.86206227613</v>
      </c>
      <c r="W951" s="2">
        <v>17227.744140625</v>
      </c>
      <c r="X951" s="4">
        <f t="shared" si="56"/>
        <v>0.58412052106231505</v>
      </c>
      <c r="Y951" s="4">
        <f t="shared" si="57"/>
        <v>0.34686468219275346</v>
      </c>
      <c r="Z951" s="4">
        <f t="shared" si="58"/>
        <v>0.73944930196447267</v>
      </c>
      <c r="AA951" s="4">
        <f t="shared" si="59"/>
        <v>0.46436724011561564</v>
      </c>
    </row>
    <row r="952" spans="1:27" x14ac:dyDescent="0.3">
      <c r="A952" t="s">
        <v>296</v>
      </c>
      <c r="B952">
        <v>212841</v>
      </c>
      <c r="C952">
        <v>2012</v>
      </c>
      <c r="D952" t="s">
        <v>340</v>
      </c>
      <c r="E952" t="s">
        <v>398</v>
      </c>
      <c r="F952">
        <v>4</v>
      </c>
      <c r="G952" t="s">
        <v>22</v>
      </c>
      <c r="H952">
        <v>4</v>
      </c>
      <c r="I952" t="s">
        <v>23</v>
      </c>
      <c r="J952" t="s">
        <v>31</v>
      </c>
      <c r="L952" t="s">
        <v>127</v>
      </c>
      <c r="M952" t="s">
        <v>33</v>
      </c>
      <c r="N952">
        <v>0</v>
      </c>
      <c r="O952" t="s">
        <v>27</v>
      </c>
      <c r="S952" s="3">
        <v>1100</v>
      </c>
      <c r="T952" s="2">
        <v>2365.642333984375</v>
      </c>
      <c r="U952" s="2">
        <v>2641.8860975433008</v>
      </c>
      <c r="V952" s="2">
        <v>2013.8161418477721</v>
      </c>
      <c r="W952" s="2">
        <v>2320.912841796875</v>
      </c>
      <c r="X952" s="4">
        <f t="shared" si="56"/>
        <v>0.46498998779215517</v>
      </c>
      <c r="Y952" s="4">
        <f t="shared" si="57"/>
        <v>0.41636919964978575</v>
      </c>
      <c r="Z952" s="4">
        <f t="shared" si="58"/>
        <v>0.54622662771522812</v>
      </c>
      <c r="AA952" s="4">
        <f t="shared" si="59"/>
        <v>0.47395144711611337</v>
      </c>
    </row>
    <row r="953" spans="1:27" x14ac:dyDescent="0.3">
      <c r="A953" t="s">
        <v>296</v>
      </c>
      <c r="B953">
        <v>179359</v>
      </c>
      <c r="C953">
        <v>2018</v>
      </c>
      <c r="D953" t="s">
        <v>44</v>
      </c>
      <c r="E953" t="s">
        <v>45</v>
      </c>
      <c r="F953">
        <v>6</v>
      </c>
      <c r="G953" t="s">
        <v>30</v>
      </c>
      <c r="H953">
        <v>4</v>
      </c>
      <c r="I953" t="s">
        <v>23</v>
      </c>
      <c r="J953" t="s">
        <v>46</v>
      </c>
      <c r="K953" t="s">
        <v>27</v>
      </c>
      <c r="L953" t="s">
        <v>38</v>
      </c>
      <c r="M953" t="s">
        <v>78</v>
      </c>
      <c r="N953">
        <v>0</v>
      </c>
      <c r="O953" t="s">
        <v>27</v>
      </c>
      <c r="S953" s="3">
        <v>9600</v>
      </c>
      <c r="T953" s="2">
        <v>10608.4794921875</v>
      </c>
      <c r="U953" s="2">
        <v>9770.1293733485836</v>
      </c>
      <c r="V953" s="2">
        <v>11043.19620912451</v>
      </c>
      <c r="W953" s="2">
        <v>9377.2333984375</v>
      </c>
      <c r="X953" s="4">
        <f t="shared" si="56"/>
        <v>0.90493647153390988</v>
      </c>
      <c r="Y953" s="4">
        <f t="shared" si="57"/>
        <v>0.98258678397722443</v>
      </c>
      <c r="Z953" s="4">
        <f t="shared" si="58"/>
        <v>0.86931354095365432</v>
      </c>
      <c r="AA953" s="4">
        <f t="shared" si="59"/>
        <v>1.0237561114347029</v>
      </c>
    </row>
    <row r="954" spans="1:27" x14ac:dyDescent="0.3">
      <c r="A954" t="s">
        <v>296</v>
      </c>
      <c r="B954">
        <v>168942</v>
      </c>
      <c r="C954">
        <v>2011</v>
      </c>
      <c r="D954" t="s">
        <v>44</v>
      </c>
      <c r="E954" t="s">
        <v>45</v>
      </c>
      <c r="F954">
        <v>8</v>
      </c>
      <c r="G954" t="s">
        <v>22</v>
      </c>
      <c r="H954">
        <v>4</v>
      </c>
      <c r="I954" t="s">
        <v>23</v>
      </c>
      <c r="J954" t="s">
        <v>46</v>
      </c>
      <c r="K954" t="s">
        <v>27</v>
      </c>
      <c r="L954" t="s">
        <v>48</v>
      </c>
      <c r="M954">
        <v>4</v>
      </c>
      <c r="N954">
        <v>0</v>
      </c>
      <c r="O954" t="s">
        <v>27</v>
      </c>
      <c r="S954" s="3">
        <v>5200</v>
      </c>
      <c r="T954" s="2">
        <v>5808.47216796875</v>
      </c>
      <c r="U954" s="2">
        <v>13311.305213063129</v>
      </c>
      <c r="V954" s="2">
        <v>2906.699658807775</v>
      </c>
      <c r="W954" s="2">
        <v>6215.7197265625</v>
      </c>
      <c r="X954" s="4">
        <f t="shared" si="56"/>
        <v>0.89524402452606822</v>
      </c>
      <c r="Y954" s="4">
        <f t="shared" si="57"/>
        <v>0.3906453887705128</v>
      </c>
      <c r="Z954" s="4">
        <f t="shared" si="58"/>
        <v>1.7889705199651948</v>
      </c>
      <c r="AA954" s="4">
        <f t="shared" si="59"/>
        <v>0.83658855752104078</v>
      </c>
    </row>
    <row r="955" spans="1:27" x14ac:dyDescent="0.3">
      <c r="A955" t="s">
        <v>296</v>
      </c>
      <c r="B955">
        <v>35349</v>
      </c>
      <c r="C955">
        <v>2022</v>
      </c>
      <c r="D955" t="s">
        <v>54</v>
      </c>
      <c r="E955" t="s">
        <v>219</v>
      </c>
      <c r="F955">
        <v>6</v>
      </c>
      <c r="G955" t="s">
        <v>36</v>
      </c>
      <c r="H955">
        <v>4</v>
      </c>
      <c r="I955" t="s">
        <v>23</v>
      </c>
      <c r="J955" t="s">
        <v>24</v>
      </c>
      <c r="K955" t="s">
        <v>27</v>
      </c>
      <c r="L955" t="s">
        <v>26</v>
      </c>
      <c r="M955">
        <v>4</v>
      </c>
      <c r="N955">
        <v>0</v>
      </c>
      <c r="S955" s="3">
        <v>29200</v>
      </c>
      <c r="T955" s="2">
        <v>39433.65625</v>
      </c>
      <c r="U955" s="2">
        <v>37536.025107547641</v>
      </c>
      <c r="V955" s="2">
        <v>41419.006771385619</v>
      </c>
      <c r="W955" s="2">
        <v>38888.57421875</v>
      </c>
      <c r="X955" s="4">
        <f t="shared" si="56"/>
        <v>0.74048421518103591</v>
      </c>
      <c r="Y955" s="4">
        <f t="shared" si="57"/>
        <v>0.77791934325322432</v>
      </c>
      <c r="Z955" s="4">
        <f t="shared" si="58"/>
        <v>0.70499034805858407</v>
      </c>
      <c r="AA955" s="4">
        <f t="shared" si="59"/>
        <v>0.75086321848028348</v>
      </c>
    </row>
    <row r="956" spans="1:27" x14ac:dyDescent="0.3">
      <c r="A956" t="s">
        <v>296</v>
      </c>
      <c r="B956">
        <v>206189</v>
      </c>
      <c r="C956">
        <v>2007</v>
      </c>
      <c r="D956" t="s">
        <v>44</v>
      </c>
      <c r="E956" t="s">
        <v>45</v>
      </c>
      <c r="F956">
        <v>8</v>
      </c>
      <c r="G956" t="s">
        <v>22</v>
      </c>
      <c r="H956">
        <v>4</v>
      </c>
      <c r="I956" t="s">
        <v>23</v>
      </c>
      <c r="J956" t="s">
        <v>42</v>
      </c>
      <c r="L956" t="s">
        <v>161</v>
      </c>
      <c r="M956" t="s">
        <v>78</v>
      </c>
      <c r="N956">
        <v>0</v>
      </c>
      <c r="O956" t="s">
        <v>27</v>
      </c>
      <c r="S956" s="3">
        <v>2400</v>
      </c>
      <c r="T956" s="2">
        <v>3628.351318359375</v>
      </c>
      <c r="U956" s="2">
        <v>11050.75094845381</v>
      </c>
      <c r="V956" s="2">
        <v>507.06981273828211</v>
      </c>
      <c r="W956" s="2">
        <v>3454.6015625</v>
      </c>
      <c r="X956" s="4">
        <f t="shared" si="56"/>
        <v>0.66145744703828835</v>
      </c>
      <c r="Y956" s="4">
        <f t="shared" si="57"/>
        <v>0.21717981078342927</v>
      </c>
      <c r="Z956" s="4">
        <f t="shared" si="58"/>
        <v>4.7330760769202618</v>
      </c>
      <c r="AA956" s="4">
        <f t="shared" si="59"/>
        <v>0.69472555852814066</v>
      </c>
    </row>
    <row r="957" spans="1:27" x14ac:dyDescent="0.3">
      <c r="A957" t="s">
        <v>296</v>
      </c>
      <c r="B957">
        <v>174737</v>
      </c>
      <c r="C957">
        <v>2018</v>
      </c>
      <c r="D957" t="s">
        <v>20</v>
      </c>
      <c r="E957" t="s">
        <v>453</v>
      </c>
      <c r="F957">
        <v>8</v>
      </c>
      <c r="G957" t="s">
        <v>36</v>
      </c>
      <c r="H957">
        <v>4</v>
      </c>
      <c r="I957" t="s">
        <v>23</v>
      </c>
      <c r="J957" t="s">
        <v>42</v>
      </c>
      <c r="K957" t="s">
        <v>27</v>
      </c>
      <c r="L957" t="s">
        <v>130</v>
      </c>
      <c r="M957">
        <v>4</v>
      </c>
      <c r="N957">
        <v>0</v>
      </c>
      <c r="O957" t="s">
        <v>27</v>
      </c>
      <c r="S957" s="3">
        <v>25000</v>
      </c>
      <c r="T957" s="2">
        <v>23060.83203125</v>
      </c>
      <c r="U957" s="2">
        <v>24431.971070532509</v>
      </c>
      <c r="V957" s="2">
        <v>27500.475697666279</v>
      </c>
      <c r="W957" s="2">
        <v>22094.13671875</v>
      </c>
      <c r="X957" s="4">
        <f t="shared" si="56"/>
        <v>1.0840892456144779</v>
      </c>
      <c r="Y957" s="4">
        <f t="shared" si="57"/>
        <v>1.023249410693376</v>
      </c>
      <c r="Z957" s="4">
        <f t="shared" si="58"/>
        <v>0.90907518382023944</v>
      </c>
      <c r="AA957" s="4">
        <f t="shared" si="59"/>
        <v>1.1315219199663937</v>
      </c>
    </row>
    <row r="958" spans="1:27" x14ac:dyDescent="0.3">
      <c r="A958" t="s">
        <v>296</v>
      </c>
      <c r="B958">
        <v>97196</v>
      </c>
      <c r="C958">
        <v>2019</v>
      </c>
      <c r="D958" t="s">
        <v>44</v>
      </c>
      <c r="E958" t="s">
        <v>45</v>
      </c>
      <c r="F958">
        <v>6</v>
      </c>
      <c r="G958" t="s">
        <v>47</v>
      </c>
      <c r="H958">
        <v>4</v>
      </c>
      <c r="I958" t="s">
        <v>23</v>
      </c>
      <c r="J958" t="s">
        <v>46</v>
      </c>
      <c r="K958" t="s">
        <v>27</v>
      </c>
      <c r="L958" t="s">
        <v>242</v>
      </c>
      <c r="M958" t="s">
        <v>78</v>
      </c>
      <c r="N958">
        <v>0</v>
      </c>
      <c r="O958" t="s">
        <v>27</v>
      </c>
      <c r="S958" s="3">
        <v>16800</v>
      </c>
      <c r="T958" s="2">
        <v>20272.041015625</v>
      </c>
      <c r="U958" s="2">
        <v>19214.373243541821</v>
      </c>
      <c r="V958" s="2">
        <v>18880.196504728661</v>
      </c>
      <c r="W958" s="2">
        <v>18617.80859375</v>
      </c>
      <c r="X958" s="4">
        <f t="shared" si="56"/>
        <v>0.82872760503252396</v>
      </c>
      <c r="Y958" s="4">
        <f t="shared" si="57"/>
        <v>0.87434545936317121</v>
      </c>
      <c r="Z958" s="4">
        <f t="shared" si="58"/>
        <v>0.88982124713544886</v>
      </c>
      <c r="AA958" s="4">
        <f t="shared" si="59"/>
        <v>0.90236183895669453</v>
      </c>
    </row>
    <row r="959" spans="1:27" x14ac:dyDescent="0.3">
      <c r="A959" t="s">
        <v>296</v>
      </c>
      <c r="B959">
        <v>128262</v>
      </c>
      <c r="C959">
        <v>2023</v>
      </c>
      <c r="D959" t="s">
        <v>40</v>
      </c>
      <c r="E959" t="s">
        <v>63</v>
      </c>
      <c r="F959">
        <v>4</v>
      </c>
      <c r="G959" t="s">
        <v>22</v>
      </c>
      <c r="H959">
        <v>4</v>
      </c>
      <c r="I959" t="s">
        <v>23</v>
      </c>
      <c r="J959" t="s">
        <v>24</v>
      </c>
      <c r="K959" t="s">
        <v>27</v>
      </c>
      <c r="L959" t="s">
        <v>107</v>
      </c>
      <c r="M959" t="s">
        <v>33</v>
      </c>
      <c r="N959">
        <v>0</v>
      </c>
      <c r="O959" t="s">
        <v>27</v>
      </c>
      <c r="S959" s="3">
        <v>10000</v>
      </c>
      <c r="T959" s="2">
        <v>17323.37890625</v>
      </c>
      <c r="U959" s="2">
        <v>15115.390481244471</v>
      </c>
      <c r="V959" s="2">
        <v>10637.831916296391</v>
      </c>
      <c r="W959" s="2">
        <v>14918.7314453125</v>
      </c>
      <c r="X959" s="4">
        <f t="shared" si="56"/>
        <v>0.577254590696054</v>
      </c>
      <c r="Y959" s="4">
        <f t="shared" si="57"/>
        <v>0.66157735140274632</v>
      </c>
      <c r="Z959" s="4">
        <f t="shared" si="58"/>
        <v>0.94004117367945261</v>
      </c>
      <c r="AA959" s="4">
        <f t="shared" si="59"/>
        <v>0.67029827815166032</v>
      </c>
    </row>
    <row r="960" spans="1:27" x14ac:dyDescent="0.3">
      <c r="A960" t="s">
        <v>386</v>
      </c>
      <c r="B960">
        <v>1</v>
      </c>
      <c r="C960">
        <v>2024</v>
      </c>
      <c r="D960" t="s">
        <v>470</v>
      </c>
      <c r="E960" t="s">
        <v>471</v>
      </c>
      <c r="F960">
        <v>4</v>
      </c>
      <c r="G960" t="s">
        <v>36</v>
      </c>
      <c r="H960">
        <v>4</v>
      </c>
      <c r="I960" t="s">
        <v>23</v>
      </c>
      <c r="M960" t="s">
        <v>78</v>
      </c>
      <c r="N960">
        <v>0</v>
      </c>
      <c r="O960" t="s">
        <v>27</v>
      </c>
      <c r="S960" s="3">
        <v>50000</v>
      </c>
      <c r="T960" s="2">
        <v>20018.4375</v>
      </c>
      <c r="U960" s="2">
        <v>19915.278420380349</v>
      </c>
      <c r="V960" s="2">
        <v>-9448.2836293271939</v>
      </c>
      <c r="W960" s="2">
        <v>19745.193359375</v>
      </c>
      <c r="X960" s="4">
        <f t="shared" si="56"/>
        <v>2.4976974351769461</v>
      </c>
      <c r="Y960" s="4">
        <f t="shared" si="57"/>
        <v>2.5106352492080841</v>
      </c>
      <c r="Z960" s="4">
        <f t="shared" si="58"/>
        <v>-5.2919664524889445</v>
      </c>
      <c r="AA960" s="4">
        <f t="shared" si="59"/>
        <v>2.5322618568462913</v>
      </c>
    </row>
    <row r="961" spans="1:27" x14ac:dyDescent="0.3">
      <c r="A961" t="s">
        <v>395</v>
      </c>
      <c r="B961">
        <v>137400</v>
      </c>
      <c r="C961">
        <v>2011</v>
      </c>
      <c r="D961" t="s">
        <v>74</v>
      </c>
      <c r="E961" t="s">
        <v>75</v>
      </c>
      <c r="F961">
        <v>8</v>
      </c>
      <c r="G961" t="s">
        <v>272</v>
      </c>
      <c r="H961">
        <v>4</v>
      </c>
      <c r="I961" t="s">
        <v>23</v>
      </c>
      <c r="J961" t="s">
        <v>94</v>
      </c>
      <c r="L961" t="s">
        <v>84</v>
      </c>
      <c r="M961" t="s">
        <v>78</v>
      </c>
      <c r="N961">
        <v>1.8</v>
      </c>
      <c r="O961" t="s">
        <v>27</v>
      </c>
      <c r="S961" s="3">
        <v>3800</v>
      </c>
      <c r="T961" s="2">
        <v>5192.97021484375</v>
      </c>
      <c r="U961" s="2">
        <v>4343.5025600288845</v>
      </c>
      <c r="V961" s="2">
        <v>9833.9584567766397</v>
      </c>
      <c r="W961" s="2">
        <v>4213.92138671875</v>
      </c>
      <c r="X961" s="4">
        <f t="shared" si="56"/>
        <v>0.73175848171398328</v>
      </c>
      <c r="Y961" s="4">
        <f t="shared" si="57"/>
        <v>0.87486998050134213</v>
      </c>
      <c r="Z961" s="4">
        <f t="shared" si="58"/>
        <v>0.38641611276905458</v>
      </c>
      <c r="AA961" s="4">
        <f t="shared" si="59"/>
        <v>0.9017728740684795</v>
      </c>
    </row>
    <row r="962" spans="1:27" x14ac:dyDescent="0.3">
      <c r="A962" t="s">
        <v>395</v>
      </c>
      <c r="B962">
        <v>123932</v>
      </c>
      <c r="C962">
        <v>2018</v>
      </c>
      <c r="D962" t="s">
        <v>50</v>
      </c>
      <c r="E962" t="s">
        <v>432</v>
      </c>
      <c r="F962">
        <v>4</v>
      </c>
      <c r="G962" t="s">
        <v>47</v>
      </c>
      <c r="H962">
        <v>4</v>
      </c>
      <c r="I962" t="s">
        <v>23</v>
      </c>
      <c r="J962" t="s">
        <v>24</v>
      </c>
      <c r="K962" t="s">
        <v>27</v>
      </c>
      <c r="L962" t="s">
        <v>127</v>
      </c>
      <c r="M962" t="s">
        <v>78</v>
      </c>
      <c r="N962">
        <v>2.1</v>
      </c>
      <c r="O962" t="s">
        <v>27</v>
      </c>
      <c r="S962" s="3">
        <v>9000</v>
      </c>
      <c r="T962" s="2">
        <v>9106.51171875</v>
      </c>
      <c r="U962" s="2">
        <v>8154.1395498642914</v>
      </c>
      <c r="V962" s="2">
        <v>5728.4640739208126</v>
      </c>
      <c r="W962" s="2">
        <v>7550.68505859375</v>
      </c>
      <c r="X962" s="4">
        <f t="shared" ref="X962:X1025" si="60">S962/T962</f>
        <v>0.98830378502333704</v>
      </c>
      <c r="Y962" s="4">
        <f t="shared" ref="Y962:Y1025" si="61">S962/U962</f>
        <v>1.1037338697679986</v>
      </c>
      <c r="Z962" s="4">
        <f t="shared" ref="Z962:Z1025" si="62">S962/V962</f>
        <v>1.5711017619841692</v>
      </c>
      <c r="AA962" s="4">
        <f t="shared" ref="AA962:AA1025" si="63">S962/W962</f>
        <v>1.1919448275433928</v>
      </c>
    </row>
    <row r="963" spans="1:27" x14ac:dyDescent="0.3">
      <c r="A963" t="s">
        <v>395</v>
      </c>
      <c r="B963">
        <v>101158</v>
      </c>
      <c r="C963">
        <v>2020</v>
      </c>
      <c r="D963" t="s">
        <v>44</v>
      </c>
      <c r="E963" t="s">
        <v>210</v>
      </c>
      <c r="F963">
        <v>4</v>
      </c>
      <c r="G963" t="s">
        <v>36</v>
      </c>
      <c r="H963">
        <v>4</v>
      </c>
      <c r="I963" t="s">
        <v>23</v>
      </c>
      <c r="J963" t="s">
        <v>37</v>
      </c>
      <c r="K963" t="s">
        <v>27</v>
      </c>
      <c r="L963" t="s">
        <v>200</v>
      </c>
      <c r="M963" t="s">
        <v>33</v>
      </c>
      <c r="N963">
        <v>2.5</v>
      </c>
      <c r="O963" t="s">
        <v>27</v>
      </c>
      <c r="S963" s="3">
        <v>4800</v>
      </c>
      <c r="T963" s="2">
        <v>8124.62353515625</v>
      </c>
      <c r="U963" s="2">
        <v>7705.5973431374641</v>
      </c>
      <c r="V963" s="2">
        <v>6976.6478848436582</v>
      </c>
      <c r="W963" s="2">
        <v>8487.72265625</v>
      </c>
      <c r="X963" s="4">
        <f t="shared" si="60"/>
        <v>0.59079660481864871</v>
      </c>
      <c r="Y963" s="4">
        <f t="shared" si="61"/>
        <v>0.62292380282170301</v>
      </c>
      <c r="Z963" s="4">
        <f t="shared" si="62"/>
        <v>0.68800949671370215</v>
      </c>
      <c r="AA963" s="4">
        <f t="shared" si="63"/>
        <v>0.56552271962674028</v>
      </c>
    </row>
    <row r="964" spans="1:27" x14ac:dyDescent="0.3">
      <c r="A964" t="s">
        <v>395</v>
      </c>
      <c r="B964">
        <v>111412</v>
      </c>
      <c r="C964">
        <v>2018</v>
      </c>
      <c r="D964" t="s">
        <v>81</v>
      </c>
      <c r="E964" t="s">
        <v>201</v>
      </c>
      <c r="F964">
        <v>4</v>
      </c>
      <c r="G964" t="s">
        <v>47</v>
      </c>
      <c r="H964">
        <v>4</v>
      </c>
      <c r="I964" t="s">
        <v>23</v>
      </c>
      <c r="J964" t="s">
        <v>24</v>
      </c>
      <c r="L964" t="s">
        <v>60</v>
      </c>
      <c r="M964" t="s">
        <v>33</v>
      </c>
      <c r="N964">
        <v>0.9</v>
      </c>
      <c r="O964" t="s">
        <v>199</v>
      </c>
      <c r="S964" s="3">
        <v>1200</v>
      </c>
      <c r="T964" s="2">
        <v>7382.78076171875</v>
      </c>
      <c r="U964" s="2">
        <v>4250.2223691584422</v>
      </c>
      <c r="V964" s="2">
        <v>3181.004692167146</v>
      </c>
      <c r="W964" s="2">
        <v>4217.6025390625</v>
      </c>
      <c r="X964" s="4">
        <f t="shared" si="60"/>
        <v>0.1625403812913217</v>
      </c>
      <c r="Y964" s="4">
        <f t="shared" si="61"/>
        <v>0.28233816863506928</v>
      </c>
      <c r="Z964" s="4">
        <f t="shared" si="62"/>
        <v>0.37723930522795529</v>
      </c>
      <c r="AA964" s="4">
        <f t="shared" si="63"/>
        <v>0.28452183174821855</v>
      </c>
    </row>
    <row r="965" spans="1:27" x14ac:dyDescent="0.3">
      <c r="A965" t="s">
        <v>395</v>
      </c>
      <c r="B965">
        <v>83806</v>
      </c>
      <c r="C965">
        <v>2018</v>
      </c>
      <c r="D965" t="s">
        <v>44</v>
      </c>
      <c r="E965" t="s">
        <v>117</v>
      </c>
      <c r="F965">
        <v>4</v>
      </c>
      <c r="G965" t="s">
        <v>66</v>
      </c>
      <c r="H965">
        <v>4</v>
      </c>
      <c r="I965" t="s">
        <v>23</v>
      </c>
      <c r="J965" t="s">
        <v>62</v>
      </c>
      <c r="K965" t="s">
        <v>27</v>
      </c>
      <c r="L965" t="s">
        <v>200</v>
      </c>
      <c r="M965" t="s">
        <v>33</v>
      </c>
      <c r="N965">
        <v>1.3</v>
      </c>
      <c r="O965" t="s">
        <v>27</v>
      </c>
      <c r="S965" s="3">
        <v>3500</v>
      </c>
      <c r="T965" s="2">
        <v>6396.0234375</v>
      </c>
      <c r="U965" s="2">
        <v>5804.1786669908797</v>
      </c>
      <c r="V965" s="2">
        <v>4866.7469832902352</v>
      </c>
      <c r="W965" s="2">
        <v>5968.890625</v>
      </c>
      <c r="X965" s="4">
        <f t="shared" si="60"/>
        <v>0.54721500541718426</v>
      </c>
      <c r="Y965" s="4">
        <f t="shared" si="61"/>
        <v>0.60301382862401465</v>
      </c>
      <c r="Z965" s="4">
        <f t="shared" si="62"/>
        <v>0.71916621349272902</v>
      </c>
      <c r="AA965" s="4">
        <f t="shared" si="63"/>
        <v>0.58637361946969835</v>
      </c>
    </row>
    <row r="966" spans="1:27" x14ac:dyDescent="0.3">
      <c r="A966" t="s">
        <v>395</v>
      </c>
      <c r="B966">
        <v>133999</v>
      </c>
      <c r="C966">
        <v>2014</v>
      </c>
      <c r="D966" t="s">
        <v>40</v>
      </c>
      <c r="E966" t="s">
        <v>153</v>
      </c>
      <c r="F966">
        <v>6</v>
      </c>
      <c r="G966" t="s">
        <v>30</v>
      </c>
      <c r="H966">
        <v>4</v>
      </c>
      <c r="I966" t="s">
        <v>23</v>
      </c>
      <c r="J966" t="s">
        <v>31</v>
      </c>
      <c r="L966" t="s">
        <v>26</v>
      </c>
      <c r="M966" t="s">
        <v>33</v>
      </c>
      <c r="N966">
        <v>1.4</v>
      </c>
      <c r="O966" t="s">
        <v>27</v>
      </c>
      <c r="S966" s="3">
        <v>1900</v>
      </c>
      <c r="T966" s="2">
        <v>6329.62646484375</v>
      </c>
      <c r="U966" s="2">
        <v>3790.1585862545689</v>
      </c>
      <c r="V966" s="2">
        <v>2894.3261184785879</v>
      </c>
      <c r="W966" s="2">
        <v>4733.41748046875</v>
      </c>
      <c r="X966" s="4">
        <f t="shared" si="60"/>
        <v>0.30017569133866773</v>
      </c>
      <c r="Y966" s="4">
        <f t="shared" si="61"/>
        <v>0.50129828521966369</v>
      </c>
      <c r="Z966" s="4">
        <f t="shared" si="62"/>
        <v>0.65645677861579099</v>
      </c>
      <c r="AA966" s="4">
        <f t="shared" si="63"/>
        <v>0.40140131476673446</v>
      </c>
    </row>
    <row r="967" spans="1:27" x14ac:dyDescent="0.3">
      <c r="A967" t="s">
        <v>395</v>
      </c>
      <c r="B967">
        <v>147016</v>
      </c>
      <c r="C967">
        <v>2019</v>
      </c>
      <c r="D967" t="s">
        <v>100</v>
      </c>
      <c r="E967" t="s">
        <v>101</v>
      </c>
      <c r="F967">
        <v>4</v>
      </c>
      <c r="G967" t="s">
        <v>30</v>
      </c>
      <c r="H967">
        <v>4</v>
      </c>
      <c r="I967" t="s">
        <v>23</v>
      </c>
      <c r="J967" t="s">
        <v>31</v>
      </c>
      <c r="K967" t="s">
        <v>27</v>
      </c>
      <c r="L967" t="s">
        <v>102</v>
      </c>
      <c r="M967" t="s">
        <v>33</v>
      </c>
      <c r="N967">
        <v>3.6</v>
      </c>
      <c r="O967" t="s">
        <v>27</v>
      </c>
      <c r="S967" s="3">
        <v>3700</v>
      </c>
      <c r="T967" s="2">
        <v>5709.2734375</v>
      </c>
      <c r="U967" s="2">
        <v>7331.2634099116322</v>
      </c>
      <c r="V967" s="2">
        <v>7546.4259486054598</v>
      </c>
      <c r="W967" s="2">
        <v>6255.64404296875</v>
      </c>
      <c r="X967" s="4">
        <f t="shared" si="60"/>
        <v>0.64806845223026677</v>
      </c>
      <c r="Y967" s="4">
        <f t="shared" si="61"/>
        <v>0.50468790890772242</v>
      </c>
      <c r="Z967" s="4">
        <f t="shared" si="62"/>
        <v>0.4902983246902119</v>
      </c>
      <c r="AA967" s="4">
        <f t="shared" si="63"/>
        <v>0.59146587858667321</v>
      </c>
    </row>
    <row r="968" spans="1:27" x14ac:dyDescent="0.3">
      <c r="A968" t="s">
        <v>395</v>
      </c>
      <c r="B968">
        <v>160728</v>
      </c>
      <c r="C968">
        <v>2012</v>
      </c>
      <c r="D968" t="s">
        <v>85</v>
      </c>
      <c r="E968" t="s">
        <v>270</v>
      </c>
      <c r="F968">
        <v>6</v>
      </c>
      <c r="G968" t="s">
        <v>36</v>
      </c>
      <c r="H968">
        <v>4</v>
      </c>
      <c r="I968" t="s">
        <v>23</v>
      </c>
      <c r="J968" t="s">
        <v>24</v>
      </c>
      <c r="L968" t="s">
        <v>53</v>
      </c>
      <c r="M968" t="s">
        <v>33</v>
      </c>
      <c r="N968">
        <v>3.7</v>
      </c>
      <c r="O968" t="s">
        <v>27</v>
      </c>
      <c r="S968" s="3">
        <v>1700</v>
      </c>
      <c r="T968" s="2">
        <v>3113.051513671875</v>
      </c>
      <c r="U968" s="2">
        <v>3557.6334046128909</v>
      </c>
      <c r="V968" s="2">
        <v>2156.134396681809</v>
      </c>
      <c r="W968" s="2">
        <v>3419.9208984375</v>
      </c>
      <c r="X968" s="4">
        <f t="shared" si="60"/>
        <v>0.54608797590851077</v>
      </c>
      <c r="Y968" s="4">
        <f t="shared" si="61"/>
        <v>0.47784574931069335</v>
      </c>
      <c r="Z968" s="4">
        <f t="shared" si="62"/>
        <v>0.78844806827265557</v>
      </c>
      <c r="AA968" s="4">
        <f t="shared" si="63"/>
        <v>0.49708752058467176</v>
      </c>
    </row>
    <row r="969" spans="1:27" x14ac:dyDescent="0.3">
      <c r="A969" t="s">
        <v>395</v>
      </c>
      <c r="B969">
        <v>59986</v>
      </c>
      <c r="C969">
        <v>2018</v>
      </c>
      <c r="D969" t="s">
        <v>44</v>
      </c>
      <c r="E969" t="s">
        <v>210</v>
      </c>
      <c r="F969">
        <v>4</v>
      </c>
      <c r="G969" t="s">
        <v>36</v>
      </c>
      <c r="H969">
        <v>4</v>
      </c>
      <c r="I969" t="s">
        <v>23</v>
      </c>
      <c r="J969" t="s">
        <v>37</v>
      </c>
      <c r="K969" t="s">
        <v>27</v>
      </c>
      <c r="L969" t="s">
        <v>200</v>
      </c>
      <c r="M969" t="s">
        <v>33</v>
      </c>
      <c r="N969">
        <v>2.5</v>
      </c>
      <c r="O969" t="s">
        <v>27</v>
      </c>
      <c r="S969" s="3">
        <v>6000</v>
      </c>
      <c r="T969" s="2">
        <v>9226.689453125</v>
      </c>
      <c r="U969" s="2">
        <v>8616.6463606189463</v>
      </c>
      <c r="V969" s="2">
        <v>8252.6448289699892</v>
      </c>
      <c r="W969" s="2">
        <v>8729.6494140625</v>
      </c>
      <c r="X969" s="4">
        <f t="shared" si="60"/>
        <v>0.65028741137135071</v>
      </c>
      <c r="Y969" s="4">
        <f t="shared" si="61"/>
        <v>0.69632659260824203</v>
      </c>
      <c r="Z969" s="4">
        <f t="shared" si="62"/>
        <v>0.72703964902714213</v>
      </c>
      <c r="AA969" s="4">
        <f t="shared" si="63"/>
        <v>0.68731282499554491</v>
      </c>
    </row>
    <row r="970" spans="1:27" x14ac:dyDescent="0.3">
      <c r="A970" t="s">
        <v>395</v>
      </c>
      <c r="B970">
        <v>188867</v>
      </c>
      <c r="C970">
        <v>2016</v>
      </c>
      <c r="D970" t="s">
        <v>74</v>
      </c>
      <c r="E970" t="s">
        <v>75</v>
      </c>
      <c r="F970">
        <v>8</v>
      </c>
      <c r="G970" t="s">
        <v>36</v>
      </c>
      <c r="H970">
        <v>4</v>
      </c>
      <c r="I970" t="s">
        <v>23</v>
      </c>
      <c r="J970" t="s">
        <v>42</v>
      </c>
      <c r="L970" t="s">
        <v>84</v>
      </c>
      <c r="M970" t="s">
        <v>78</v>
      </c>
      <c r="N970">
        <v>1.9</v>
      </c>
      <c r="O970" t="s">
        <v>27</v>
      </c>
      <c r="S970" s="3">
        <v>3300</v>
      </c>
      <c r="T970" s="2">
        <v>6331.16650390625</v>
      </c>
      <c r="U970" s="2">
        <v>8016.8338483962743</v>
      </c>
      <c r="V970" s="2">
        <v>9600.5188479233238</v>
      </c>
      <c r="W970" s="2">
        <v>7680.58349609375</v>
      </c>
      <c r="X970" s="4">
        <f t="shared" si="60"/>
        <v>0.52123096082908915</v>
      </c>
      <c r="Y970" s="4">
        <f t="shared" si="61"/>
        <v>0.41163382731951564</v>
      </c>
      <c r="Z970" s="4">
        <f t="shared" si="62"/>
        <v>0.34373142246513261</v>
      </c>
      <c r="AA970" s="4">
        <f t="shared" si="63"/>
        <v>0.42965485651947399</v>
      </c>
    </row>
    <row r="971" spans="1:27" x14ac:dyDescent="0.3">
      <c r="A971" t="s">
        <v>395</v>
      </c>
      <c r="B971">
        <v>103249</v>
      </c>
      <c r="C971">
        <v>2018</v>
      </c>
      <c r="D971" t="s">
        <v>40</v>
      </c>
      <c r="E971" t="s">
        <v>122</v>
      </c>
      <c r="F971">
        <v>4</v>
      </c>
      <c r="G971" t="s">
        <v>47</v>
      </c>
      <c r="H971">
        <v>4</v>
      </c>
      <c r="I971" t="s">
        <v>23</v>
      </c>
      <c r="J971" t="s">
        <v>24</v>
      </c>
      <c r="K971" t="s">
        <v>27</v>
      </c>
      <c r="L971" t="s">
        <v>73</v>
      </c>
      <c r="M971" t="s">
        <v>33</v>
      </c>
      <c r="N971">
        <v>0</v>
      </c>
      <c r="S971" s="3">
        <v>4300</v>
      </c>
      <c r="T971" s="2">
        <v>8310.734375</v>
      </c>
      <c r="U971" s="2">
        <v>7407.5564950614034</v>
      </c>
      <c r="V971" s="2">
        <v>6168.4529323815414</v>
      </c>
      <c r="W971" s="2">
        <v>7026.6884765625</v>
      </c>
      <c r="X971" s="4">
        <f t="shared" si="60"/>
        <v>0.5174031326202746</v>
      </c>
      <c r="Y971" s="4">
        <f t="shared" si="61"/>
        <v>0.58048831660842515</v>
      </c>
      <c r="Z971" s="4">
        <f t="shared" si="62"/>
        <v>0.69709537336776572</v>
      </c>
      <c r="AA971" s="4">
        <f t="shared" si="63"/>
        <v>0.61195255977871199</v>
      </c>
    </row>
    <row r="972" spans="1:27" x14ac:dyDescent="0.3">
      <c r="A972" t="s">
        <v>395</v>
      </c>
      <c r="B972">
        <v>145118</v>
      </c>
      <c r="C972">
        <v>2013</v>
      </c>
      <c r="D972" t="s">
        <v>44</v>
      </c>
      <c r="E972" t="s">
        <v>95</v>
      </c>
      <c r="F972">
        <v>4</v>
      </c>
      <c r="G972" t="s">
        <v>66</v>
      </c>
      <c r="H972">
        <v>4</v>
      </c>
      <c r="I972" t="s">
        <v>23</v>
      </c>
      <c r="J972" t="s">
        <v>145</v>
      </c>
      <c r="L972" t="s">
        <v>96</v>
      </c>
      <c r="M972" t="s">
        <v>33</v>
      </c>
      <c r="N972">
        <v>0</v>
      </c>
      <c r="S972" s="3">
        <v>1500</v>
      </c>
      <c r="T972" s="2">
        <v>4184.25634765625</v>
      </c>
      <c r="U972" s="2">
        <v>2709.829383052635</v>
      </c>
      <c r="V972" s="2">
        <v>2543.061518415429</v>
      </c>
      <c r="W972" s="2">
        <v>3056.96435546875</v>
      </c>
      <c r="X972" s="4">
        <f t="shared" si="60"/>
        <v>0.35848664024617016</v>
      </c>
      <c r="Y972" s="4">
        <f t="shared" si="61"/>
        <v>0.55354038500765068</v>
      </c>
      <c r="Z972" s="4">
        <f t="shared" si="62"/>
        <v>0.58984023356801996</v>
      </c>
      <c r="AA972" s="4">
        <f t="shared" si="63"/>
        <v>0.490682855793388</v>
      </c>
    </row>
    <row r="973" spans="1:27" x14ac:dyDescent="0.3">
      <c r="A973" t="s">
        <v>395</v>
      </c>
      <c r="B973">
        <v>108806</v>
      </c>
      <c r="C973">
        <v>2016</v>
      </c>
      <c r="D973" t="s">
        <v>40</v>
      </c>
      <c r="E973" t="s">
        <v>153</v>
      </c>
      <c r="F973">
        <v>6</v>
      </c>
      <c r="G973" t="s">
        <v>47</v>
      </c>
      <c r="H973">
        <v>4</v>
      </c>
      <c r="I973" t="s">
        <v>23</v>
      </c>
      <c r="J973" t="s">
        <v>31</v>
      </c>
      <c r="L973" t="s">
        <v>26</v>
      </c>
      <c r="M973" t="s">
        <v>33</v>
      </c>
      <c r="N973">
        <v>0</v>
      </c>
      <c r="S973" s="3">
        <v>650</v>
      </c>
      <c r="T973" s="2">
        <v>10855.359375</v>
      </c>
      <c r="U973" s="2">
        <v>9997.607249837889</v>
      </c>
      <c r="V973" s="2">
        <v>7440.0458469140031</v>
      </c>
      <c r="W973" s="2">
        <v>9887.5869140625</v>
      </c>
      <c r="X973" s="4">
        <f t="shared" si="60"/>
        <v>5.9878257139690506E-2</v>
      </c>
      <c r="Y973" s="4">
        <f t="shared" si="61"/>
        <v>6.5015556598359045E-2</v>
      </c>
      <c r="Z973" s="4">
        <f t="shared" si="62"/>
        <v>8.7365053035205198E-2</v>
      </c>
      <c r="AA973" s="4">
        <f t="shared" si="63"/>
        <v>6.5738992299076066E-2</v>
      </c>
    </row>
    <row r="974" spans="1:27" x14ac:dyDescent="0.3">
      <c r="A974" t="s">
        <v>296</v>
      </c>
      <c r="B974">
        <v>150079</v>
      </c>
      <c r="C974">
        <v>2019</v>
      </c>
      <c r="D974" t="s">
        <v>44</v>
      </c>
      <c r="E974" t="s">
        <v>267</v>
      </c>
      <c r="F974">
        <v>8</v>
      </c>
      <c r="G974" t="s">
        <v>47</v>
      </c>
      <c r="H974">
        <v>4</v>
      </c>
      <c r="I974" t="s">
        <v>23</v>
      </c>
      <c r="J974" t="s">
        <v>46</v>
      </c>
      <c r="K974" t="s">
        <v>27</v>
      </c>
      <c r="L974" t="s">
        <v>313</v>
      </c>
      <c r="M974">
        <v>4</v>
      </c>
      <c r="N974">
        <v>0</v>
      </c>
      <c r="O974" t="s">
        <v>27</v>
      </c>
      <c r="S974" s="3">
        <v>16750</v>
      </c>
      <c r="T974" s="2">
        <v>17702.916015625</v>
      </c>
      <c r="U974" s="2">
        <v>27080.359941335359</v>
      </c>
      <c r="V974" s="2">
        <v>27038.538353045551</v>
      </c>
      <c r="W974" s="2">
        <v>22882.001953125</v>
      </c>
      <c r="X974" s="4">
        <f t="shared" si="60"/>
        <v>0.94617180498489994</v>
      </c>
      <c r="Y974" s="4">
        <f t="shared" si="61"/>
        <v>0.61852944481852556</v>
      </c>
      <c r="Z974" s="4">
        <f t="shared" si="62"/>
        <v>0.61948614904005428</v>
      </c>
      <c r="AA974" s="4">
        <f t="shared" si="63"/>
        <v>0.73201636964778116</v>
      </c>
    </row>
    <row r="975" spans="1:27" x14ac:dyDescent="0.3">
      <c r="A975" t="s">
        <v>296</v>
      </c>
      <c r="B975">
        <v>88319</v>
      </c>
      <c r="C975">
        <v>2014</v>
      </c>
      <c r="D975" t="s">
        <v>71</v>
      </c>
      <c r="E975" t="s">
        <v>72</v>
      </c>
      <c r="F975">
        <v>4</v>
      </c>
      <c r="G975" t="s">
        <v>22</v>
      </c>
      <c r="H975">
        <v>4</v>
      </c>
      <c r="I975" t="s">
        <v>23</v>
      </c>
      <c r="J975" t="s">
        <v>24</v>
      </c>
      <c r="K975" t="s">
        <v>27</v>
      </c>
      <c r="L975" t="s">
        <v>73</v>
      </c>
      <c r="M975" t="s">
        <v>33</v>
      </c>
      <c r="N975">
        <v>0</v>
      </c>
      <c r="O975" t="s">
        <v>27</v>
      </c>
      <c r="S975" s="3">
        <v>4400</v>
      </c>
      <c r="T975" s="2">
        <v>7817.52294921875</v>
      </c>
      <c r="U975" s="2">
        <v>6669.8989650771537</v>
      </c>
      <c r="V975" s="2">
        <v>6667.9318149344299</v>
      </c>
      <c r="W975" s="2">
        <v>7499.44189453125</v>
      </c>
      <c r="X975" s="4">
        <f t="shared" si="60"/>
        <v>0.56283813025962626</v>
      </c>
      <c r="Y975" s="4">
        <f t="shared" si="61"/>
        <v>0.65968015753130727</v>
      </c>
      <c r="Z975" s="4">
        <f t="shared" si="62"/>
        <v>0.65987477408589368</v>
      </c>
      <c r="AA975" s="4">
        <f t="shared" si="63"/>
        <v>0.5867103261655473</v>
      </c>
    </row>
    <row r="976" spans="1:27" x14ac:dyDescent="0.3">
      <c r="A976" t="s">
        <v>296</v>
      </c>
      <c r="B976">
        <v>171263</v>
      </c>
      <c r="C976">
        <v>2013</v>
      </c>
      <c r="D976" t="s">
        <v>44</v>
      </c>
      <c r="E976" t="s">
        <v>45</v>
      </c>
      <c r="F976">
        <v>8</v>
      </c>
      <c r="G976" t="s">
        <v>47</v>
      </c>
      <c r="H976">
        <v>4</v>
      </c>
      <c r="I976" t="s">
        <v>23</v>
      </c>
      <c r="J976" t="s">
        <v>46</v>
      </c>
      <c r="K976" t="s">
        <v>27</v>
      </c>
      <c r="L976" t="s">
        <v>48</v>
      </c>
      <c r="M976">
        <v>4</v>
      </c>
      <c r="N976">
        <v>0</v>
      </c>
      <c r="O976" t="s">
        <v>27</v>
      </c>
      <c r="S976" s="3">
        <v>10300</v>
      </c>
      <c r="T976" s="2">
        <v>6006.70361328125</v>
      </c>
      <c r="U976" s="2">
        <v>14681.148510287871</v>
      </c>
      <c r="V976" s="2">
        <v>4614.7522338794006</v>
      </c>
      <c r="W976" s="2">
        <v>7784.96728515625</v>
      </c>
      <c r="X976" s="4">
        <f t="shared" si="60"/>
        <v>1.7147508289281939</v>
      </c>
      <c r="Y976" s="4">
        <f t="shared" si="61"/>
        <v>0.70157998829466484</v>
      </c>
      <c r="Z976" s="4">
        <f t="shared" si="62"/>
        <v>2.2319724825922638</v>
      </c>
      <c r="AA976" s="4">
        <f t="shared" si="63"/>
        <v>1.3230627211034287</v>
      </c>
    </row>
    <row r="977" spans="1:27" x14ac:dyDescent="0.3">
      <c r="A977" t="s">
        <v>296</v>
      </c>
      <c r="B977">
        <v>220941</v>
      </c>
      <c r="C977">
        <v>2012</v>
      </c>
      <c r="D977" t="s">
        <v>44</v>
      </c>
      <c r="E977" t="s">
        <v>45</v>
      </c>
      <c r="F977">
        <v>6</v>
      </c>
      <c r="G977" t="s">
        <v>30</v>
      </c>
      <c r="H977">
        <v>4</v>
      </c>
      <c r="I977" t="s">
        <v>23</v>
      </c>
      <c r="J977" t="s">
        <v>46</v>
      </c>
      <c r="K977" t="s">
        <v>27</v>
      </c>
      <c r="L977" t="s">
        <v>38</v>
      </c>
      <c r="M977">
        <v>4</v>
      </c>
      <c r="N977">
        <v>0</v>
      </c>
      <c r="O977" t="s">
        <v>27</v>
      </c>
      <c r="S977" s="3">
        <v>5200</v>
      </c>
      <c r="T977" s="2">
        <v>4296.078125</v>
      </c>
      <c r="U977" s="2">
        <v>4189.7595593548158</v>
      </c>
      <c r="V977" s="2">
        <v>8758.4942078424774</v>
      </c>
      <c r="W977" s="2">
        <v>4695.50341796875</v>
      </c>
      <c r="X977" s="4">
        <f t="shared" si="60"/>
        <v>1.2104062935308002</v>
      </c>
      <c r="Y977" s="4">
        <f t="shared" si="61"/>
        <v>1.2411213403379051</v>
      </c>
      <c r="Z977" s="4">
        <f t="shared" si="62"/>
        <v>0.59370936106161354</v>
      </c>
      <c r="AA977" s="4">
        <f t="shared" si="63"/>
        <v>1.1074424906391598</v>
      </c>
    </row>
    <row r="978" spans="1:27" x14ac:dyDescent="0.3">
      <c r="A978" t="s">
        <v>296</v>
      </c>
      <c r="B978">
        <v>177690</v>
      </c>
      <c r="C978">
        <v>2014</v>
      </c>
      <c r="D978" t="s">
        <v>54</v>
      </c>
      <c r="E978" t="s">
        <v>275</v>
      </c>
      <c r="F978">
        <v>4</v>
      </c>
      <c r="G978" t="s">
        <v>30</v>
      </c>
      <c r="H978">
        <v>4</v>
      </c>
      <c r="I978" t="s">
        <v>23</v>
      </c>
      <c r="J978" t="s">
        <v>24</v>
      </c>
      <c r="K978" t="s">
        <v>27</v>
      </c>
      <c r="L978" t="s">
        <v>60</v>
      </c>
      <c r="M978" t="s">
        <v>33</v>
      </c>
      <c r="N978">
        <v>0</v>
      </c>
      <c r="O978" t="s">
        <v>39</v>
      </c>
      <c r="S978" s="3">
        <v>1000</v>
      </c>
      <c r="T978" s="2">
        <v>2495.387939453125</v>
      </c>
      <c r="U978" s="2">
        <v>2496.2553672771542</v>
      </c>
      <c r="V978" s="2">
        <v>855.76905826126131</v>
      </c>
      <c r="W978" s="2">
        <v>2240.896484375</v>
      </c>
      <c r="X978" s="4">
        <f t="shared" si="60"/>
        <v>0.40073929355415344</v>
      </c>
      <c r="Y978" s="4">
        <f t="shared" si="61"/>
        <v>0.4006000400074341</v>
      </c>
      <c r="Z978" s="4">
        <f t="shared" si="62"/>
        <v>1.1685395613996432</v>
      </c>
      <c r="AA978" s="4">
        <f t="shared" si="63"/>
        <v>0.44624997494201801</v>
      </c>
    </row>
    <row r="979" spans="1:27" x14ac:dyDescent="0.3">
      <c r="A979" t="s">
        <v>296</v>
      </c>
      <c r="B979">
        <v>205715</v>
      </c>
      <c r="C979">
        <v>2003</v>
      </c>
      <c r="D979" t="s">
        <v>81</v>
      </c>
      <c r="E979" t="s">
        <v>377</v>
      </c>
      <c r="F979">
        <v>8</v>
      </c>
      <c r="G979" t="s">
        <v>59</v>
      </c>
      <c r="H979">
        <v>4</v>
      </c>
      <c r="I979" t="s">
        <v>23</v>
      </c>
      <c r="J979" t="s">
        <v>94</v>
      </c>
      <c r="L979" t="s">
        <v>84</v>
      </c>
      <c r="M979" t="s">
        <v>78</v>
      </c>
      <c r="N979">
        <v>0</v>
      </c>
      <c r="O979" t="s">
        <v>27</v>
      </c>
      <c r="S979" s="3">
        <v>500</v>
      </c>
      <c r="T979" s="2">
        <v>3037.004638671875</v>
      </c>
      <c r="U979" s="2">
        <v>12152.36790408452</v>
      </c>
      <c r="V979" s="2">
        <v>2101.489110666444</v>
      </c>
      <c r="W979" s="2">
        <v>3992.099609375</v>
      </c>
      <c r="X979" s="4">
        <f t="shared" si="60"/>
        <v>0.16463590263683531</v>
      </c>
      <c r="Y979" s="4">
        <f t="shared" si="61"/>
        <v>4.1144244804499831E-2</v>
      </c>
      <c r="Z979" s="4">
        <f t="shared" si="62"/>
        <v>0.23792652432133482</v>
      </c>
      <c r="AA979" s="4">
        <f t="shared" si="63"/>
        <v>0.12524737579839088</v>
      </c>
    </row>
    <row r="980" spans="1:27" x14ac:dyDescent="0.3">
      <c r="A980" t="s">
        <v>296</v>
      </c>
      <c r="B980">
        <v>148600</v>
      </c>
      <c r="C980">
        <v>2015</v>
      </c>
      <c r="D980" t="s">
        <v>85</v>
      </c>
      <c r="E980" t="s">
        <v>228</v>
      </c>
      <c r="F980">
        <v>4</v>
      </c>
      <c r="G980" t="s">
        <v>47</v>
      </c>
      <c r="H980">
        <v>4</v>
      </c>
      <c r="I980" t="s">
        <v>23</v>
      </c>
      <c r="J980" t="s">
        <v>31</v>
      </c>
      <c r="K980" t="s">
        <v>27</v>
      </c>
      <c r="L980" t="s">
        <v>60</v>
      </c>
      <c r="M980" t="s">
        <v>33</v>
      </c>
      <c r="N980">
        <v>0</v>
      </c>
      <c r="O980" t="s">
        <v>27</v>
      </c>
      <c r="S980" s="3">
        <v>2000</v>
      </c>
      <c r="T980" s="2">
        <v>4596.19189453125</v>
      </c>
      <c r="U980" s="2">
        <v>4355.8455084955176</v>
      </c>
      <c r="V980" s="2">
        <v>3842.9198691014449</v>
      </c>
      <c r="W980" s="2">
        <v>5302.99462890625</v>
      </c>
      <c r="X980" s="4">
        <f t="shared" si="60"/>
        <v>0.43514284126815667</v>
      </c>
      <c r="Y980" s="4">
        <f t="shared" si="61"/>
        <v>0.45915310726683412</v>
      </c>
      <c r="Z980" s="4">
        <f t="shared" si="62"/>
        <v>0.52043760164784336</v>
      </c>
      <c r="AA980" s="4">
        <f t="shared" si="63"/>
        <v>0.37714539424538374</v>
      </c>
    </row>
    <row r="981" spans="1:27" x14ac:dyDescent="0.3">
      <c r="A981" t="s">
        <v>296</v>
      </c>
      <c r="B981">
        <v>165404</v>
      </c>
      <c r="C981">
        <v>2015</v>
      </c>
      <c r="D981" t="s">
        <v>100</v>
      </c>
      <c r="E981" t="s">
        <v>192</v>
      </c>
      <c r="F981">
        <v>4</v>
      </c>
      <c r="G981" t="s">
        <v>36</v>
      </c>
      <c r="H981">
        <v>4</v>
      </c>
      <c r="I981" t="s">
        <v>23</v>
      </c>
      <c r="J981" t="s">
        <v>31</v>
      </c>
      <c r="K981" t="s">
        <v>27</v>
      </c>
      <c r="L981" t="s">
        <v>32</v>
      </c>
      <c r="M981" t="s">
        <v>33</v>
      </c>
      <c r="N981">
        <v>0</v>
      </c>
      <c r="O981" t="s">
        <v>27</v>
      </c>
      <c r="S981" s="3">
        <v>1500</v>
      </c>
      <c r="T981" s="2">
        <v>1930.200805664062</v>
      </c>
      <c r="U981" s="2">
        <v>2327.5189267828409</v>
      </c>
      <c r="V981" s="2">
        <v>4719.7560766944607</v>
      </c>
      <c r="W981" s="2">
        <v>2460.20654296875</v>
      </c>
      <c r="X981" s="4">
        <f t="shared" si="60"/>
        <v>0.77712121743931373</v>
      </c>
      <c r="Y981" s="4">
        <f t="shared" si="61"/>
        <v>0.64446307299135064</v>
      </c>
      <c r="Z981" s="4">
        <f t="shared" si="62"/>
        <v>0.31781303432327873</v>
      </c>
      <c r="AA981" s="4">
        <f t="shared" si="63"/>
        <v>0.60970490639779318</v>
      </c>
    </row>
    <row r="982" spans="1:27" x14ac:dyDescent="0.3">
      <c r="A982" t="s">
        <v>296</v>
      </c>
      <c r="B982">
        <v>159125</v>
      </c>
      <c r="C982">
        <v>2016</v>
      </c>
      <c r="D982" t="s">
        <v>44</v>
      </c>
      <c r="E982" t="s">
        <v>405</v>
      </c>
      <c r="F982">
        <v>4</v>
      </c>
      <c r="G982" t="s">
        <v>22</v>
      </c>
      <c r="H982">
        <v>4</v>
      </c>
      <c r="I982" t="s">
        <v>23</v>
      </c>
      <c r="J982" t="s">
        <v>472</v>
      </c>
      <c r="L982" t="s">
        <v>128</v>
      </c>
      <c r="M982" t="s">
        <v>33</v>
      </c>
      <c r="N982">
        <v>0</v>
      </c>
      <c r="O982" t="s">
        <v>27</v>
      </c>
      <c r="S982" s="3">
        <v>1900</v>
      </c>
      <c r="T982" s="2">
        <v>7428.94384765625</v>
      </c>
      <c r="U982" s="2">
        <v>6073.9639750649103</v>
      </c>
      <c r="V982" s="2">
        <v>5458.163604610113</v>
      </c>
      <c r="W982" s="2">
        <v>6232.05419921875</v>
      </c>
      <c r="X982" s="4">
        <f t="shared" si="60"/>
        <v>0.25575640884665307</v>
      </c>
      <c r="Y982" s="4">
        <f t="shared" si="61"/>
        <v>0.3128105480704132</v>
      </c>
      <c r="Z982" s="4">
        <f t="shared" si="62"/>
        <v>0.34810242741628494</v>
      </c>
      <c r="AA982" s="4">
        <f t="shared" si="63"/>
        <v>0.30487539730289637</v>
      </c>
    </row>
    <row r="983" spans="1:27" x14ac:dyDescent="0.3">
      <c r="A983" t="s">
        <v>296</v>
      </c>
      <c r="B983">
        <v>135628</v>
      </c>
      <c r="C983">
        <v>2012</v>
      </c>
      <c r="D983" t="s">
        <v>473</v>
      </c>
      <c r="E983" t="s">
        <v>474</v>
      </c>
      <c r="F983">
        <v>4</v>
      </c>
      <c r="G983" t="s">
        <v>99</v>
      </c>
      <c r="H983">
        <v>4</v>
      </c>
      <c r="I983" t="s">
        <v>337</v>
      </c>
      <c r="J983" t="s">
        <v>31</v>
      </c>
      <c r="L983" t="s">
        <v>87</v>
      </c>
      <c r="M983" t="s">
        <v>33</v>
      </c>
      <c r="N983">
        <v>0</v>
      </c>
      <c r="O983" t="s">
        <v>27</v>
      </c>
      <c r="S983" s="3">
        <v>3400</v>
      </c>
      <c r="T983" s="2">
        <v>3650.73486328125</v>
      </c>
      <c r="U983" s="2">
        <v>3307.647069006915</v>
      </c>
      <c r="V983" s="2">
        <v>4274.4057038488017</v>
      </c>
      <c r="W983" s="2">
        <v>3669.224609375</v>
      </c>
      <c r="X983" s="4">
        <f t="shared" si="60"/>
        <v>0.93131934455084153</v>
      </c>
      <c r="Y983" s="4">
        <f t="shared" si="61"/>
        <v>1.0279210354267976</v>
      </c>
      <c r="Z983" s="4">
        <f t="shared" si="62"/>
        <v>0.79543221574370893</v>
      </c>
      <c r="AA983" s="4">
        <f t="shared" si="63"/>
        <v>0.92662629355337867</v>
      </c>
    </row>
    <row r="984" spans="1:27" x14ac:dyDescent="0.3">
      <c r="A984" t="s">
        <v>296</v>
      </c>
      <c r="B984">
        <v>52835</v>
      </c>
      <c r="C984">
        <v>2020</v>
      </c>
      <c r="D984" t="s">
        <v>40</v>
      </c>
      <c r="E984" t="s">
        <v>63</v>
      </c>
      <c r="F984">
        <v>4</v>
      </c>
      <c r="G984" t="s">
        <v>66</v>
      </c>
      <c r="H984">
        <v>4</v>
      </c>
      <c r="I984" t="s">
        <v>23</v>
      </c>
      <c r="J984" t="s">
        <v>24</v>
      </c>
      <c r="K984" t="s">
        <v>27</v>
      </c>
      <c r="L984" t="s">
        <v>107</v>
      </c>
      <c r="M984" t="s">
        <v>33</v>
      </c>
      <c r="N984">
        <v>0</v>
      </c>
      <c r="S984" s="3">
        <v>15500</v>
      </c>
      <c r="T984" s="2">
        <v>19914.28515625</v>
      </c>
      <c r="U984" s="2">
        <v>19766.916177428811</v>
      </c>
      <c r="V984" s="2">
        <v>16830.85112078454</v>
      </c>
      <c r="W984" s="2">
        <v>18054.482421875</v>
      </c>
      <c r="X984" s="4">
        <f t="shared" si="60"/>
        <v>0.77833574634414637</v>
      </c>
      <c r="Y984" s="4">
        <f t="shared" si="61"/>
        <v>0.78413849994967544</v>
      </c>
      <c r="Z984" s="4">
        <f t="shared" si="62"/>
        <v>0.92092787754856542</v>
      </c>
      <c r="AA984" s="4">
        <f t="shared" si="63"/>
        <v>0.85851256423834321</v>
      </c>
    </row>
    <row r="985" spans="1:27" x14ac:dyDescent="0.3">
      <c r="A985" t="s">
        <v>416</v>
      </c>
      <c r="B985">
        <v>110018</v>
      </c>
      <c r="C985">
        <v>2014</v>
      </c>
      <c r="D985" t="s">
        <v>50</v>
      </c>
      <c r="E985" t="s">
        <v>475</v>
      </c>
      <c r="F985">
        <v>8</v>
      </c>
      <c r="G985" t="s">
        <v>36</v>
      </c>
      <c r="H985">
        <v>4</v>
      </c>
      <c r="I985" t="s">
        <v>23</v>
      </c>
      <c r="J985" t="s">
        <v>24</v>
      </c>
      <c r="K985" t="s">
        <v>25</v>
      </c>
      <c r="L985" t="s">
        <v>77</v>
      </c>
      <c r="M985" t="s">
        <v>23</v>
      </c>
      <c r="N985">
        <v>3.9</v>
      </c>
      <c r="O985" t="s">
        <v>27</v>
      </c>
      <c r="S985" s="3">
        <v>6000</v>
      </c>
      <c r="T985" s="2">
        <v>11241.271484375</v>
      </c>
      <c r="U985" s="2">
        <v>11618.25686021814</v>
      </c>
      <c r="V985" s="2">
        <v>6814.4381689749789</v>
      </c>
      <c r="W985" s="2">
        <v>9925.763671875</v>
      </c>
      <c r="X985" s="4">
        <f t="shared" si="60"/>
        <v>0.53374745093024434</v>
      </c>
      <c r="Y985" s="4">
        <f t="shared" si="61"/>
        <v>0.51642858926148294</v>
      </c>
      <c r="Z985" s="4">
        <f t="shared" si="62"/>
        <v>0.88048344576916371</v>
      </c>
      <c r="AA985" s="4">
        <f t="shared" si="63"/>
        <v>0.60448749318918515</v>
      </c>
    </row>
    <row r="986" spans="1:27" x14ac:dyDescent="0.3">
      <c r="A986" t="s">
        <v>442</v>
      </c>
      <c r="B986">
        <v>30784</v>
      </c>
      <c r="C986">
        <v>2022</v>
      </c>
      <c r="D986" t="s">
        <v>28</v>
      </c>
      <c r="E986" t="s">
        <v>220</v>
      </c>
      <c r="F986">
        <v>6</v>
      </c>
      <c r="G986" t="s">
        <v>22</v>
      </c>
      <c r="H986">
        <v>4</v>
      </c>
      <c r="I986" t="s">
        <v>23</v>
      </c>
      <c r="J986" t="s">
        <v>24</v>
      </c>
      <c r="K986" t="s">
        <v>27</v>
      </c>
      <c r="L986" t="s">
        <v>53</v>
      </c>
      <c r="M986" t="s">
        <v>23</v>
      </c>
      <c r="N986">
        <v>3.1</v>
      </c>
      <c r="O986" t="s">
        <v>27</v>
      </c>
      <c r="S986" s="3">
        <v>29000</v>
      </c>
      <c r="T986" s="2">
        <v>38652.609375</v>
      </c>
      <c r="U986" s="2">
        <v>38171.210496944317</v>
      </c>
      <c r="V986" s="2">
        <v>29853.089834448379</v>
      </c>
      <c r="W986" s="2">
        <v>43349.90234375</v>
      </c>
      <c r="X986" s="4">
        <f t="shared" si="60"/>
        <v>0.75027276214776895</v>
      </c>
      <c r="Y986" s="4">
        <f t="shared" si="61"/>
        <v>0.75973487930966999</v>
      </c>
      <c r="Z986" s="4">
        <f t="shared" si="62"/>
        <v>0.97142373405301674</v>
      </c>
      <c r="AA986" s="4">
        <f t="shared" si="63"/>
        <v>0.66897497876788392</v>
      </c>
    </row>
    <row r="987" spans="1:27" x14ac:dyDescent="0.3">
      <c r="A987" t="s">
        <v>395</v>
      </c>
      <c r="B987">
        <v>74098</v>
      </c>
      <c r="C987">
        <v>2018</v>
      </c>
      <c r="D987" t="s">
        <v>20</v>
      </c>
      <c r="E987" t="s">
        <v>21</v>
      </c>
      <c r="F987">
        <v>4</v>
      </c>
      <c r="G987" t="s">
        <v>47</v>
      </c>
      <c r="H987">
        <v>4</v>
      </c>
      <c r="I987" t="s">
        <v>23</v>
      </c>
      <c r="J987" t="s">
        <v>24</v>
      </c>
      <c r="K987" t="s">
        <v>27</v>
      </c>
      <c r="L987" t="s">
        <v>107</v>
      </c>
      <c r="M987" t="s">
        <v>33</v>
      </c>
      <c r="N987">
        <v>2.2999999999999901</v>
      </c>
      <c r="O987" t="s">
        <v>27</v>
      </c>
      <c r="S987" s="3">
        <v>8800</v>
      </c>
      <c r="T987" s="2">
        <v>9864.7890625</v>
      </c>
      <c r="U987" s="2">
        <v>9801.9096054996644</v>
      </c>
      <c r="V987" s="2">
        <v>10850.027251982179</v>
      </c>
      <c r="W987" s="2">
        <v>10800.2041015625</v>
      </c>
      <c r="X987" s="4">
        <f t="shared" si="60"/>
        <v>0.8920616491894704</v>
      </c>
      <c r="Y987" s="4">
        <f t="shared" si="61"/>
        <v>0.89778424349705166</v>
      </c>
      <c r="Z987" s="4">
        <f t="shared" si="62"/>
        <v>0.81105787069726831</v>
      </c>
      <c r="AA987" s="4">
        <f t="shared" si="63"/>
        <v>0.81479941649684895</v>
      </c>
    </row>
    <row r="988" spans="1:27" x14ac:dyDescent="0.3">
      <c r="A988" t="s">
        <v>395</v>
      </c>
      <c r="B988">
        <v>78648</v>
      </c>
      <c r="C988">
        <v>2020</v>
      </c>
      <c r="D988" t="s">
        <v>100</v>
      </c>
      <c r="E988" t="s">
        <v>192</v>
      </c>
      <c r="F988">
        <v>4</v>
      </c>
      <c r="G988" t="s">
        <v>47</v>
      </c>
      <c r="H988">
        <v>4</v>
      </c>
      <c r="I988" t="s">
        <v>23</v>
      </c>
      <c r="J988" t="s">
        <v>31</v>
      </c>
      <c r="K988" t="s">
        <v>27</v>
      </c>
      <c r="L988" t="s">
        <v>127</v>
      </c>
      <c r="M988" t="s">
        <v>33</v>
      </c>
      <c r="N988">
        <v>3.9</v>
      </c>
      <c r="O988" t="s">
        <v>27</v>
      </c>
      <c r="S988" s="3">
        <v>8000</v>
      </c>
      <c r="T988" s="2">
        <v>9388.63671875</v>
      </c>
      <c r="U988" s="2">
        <v>11722.949185885969</v>
      </c>
      <c r="V988" s="2">
        <v>12103.63390424116</v>
      </c>
      <c r="W988" s="2">
        <v>11497.0859375</v>
      </c>
      <c r="X988" s="4">
        <f t="shared" si="60"/>
        <v>0.85209389175994421</v>
      </c>
      <c r="Y988" s="4">
        <f t="shared" si="61"/>
        <v>0.68242213398243912</v>
      </c>
      <c r="Z988" s="4">
        <f t="shared" si="62"/>
        <v>0.66095852396830745</v>
      </c>
      <c r="AA988" s="4">
        <f t="shared" si="63"/>
        <v>0.69582849458456519</v>
      </c>
    </row>
    <row r="989" spans="1:27" x14ac:dyDescent="0.3">
      <c r="A989" t="s">
        <v>395</v>
      </c>
      <c r="B989">
        <v>112377</v>
      </c>
      <c r="C989">
        <v>2015</v>
      </c>
      <c r="D989" t="s">
        <v>141</v>
      </c>
      <c r="E989" t="s">
        <v>259</v>
      </c>
      <c r="F989">
        <v>6</v>
      </c>
      <c r="G989" t="s">
        <v>22</v>
      </c>
      <c r="H989">
        <v>4</v>
      </c>
      <c r="I989" t="s">
        <v>23</v>
      </c>
      <c r="J989" t="s">
        <v>31</v>
      </c>
      <c r="K989" t="s">
        <v>27</v>
      </c>
      <c r="L989" t="s">
        <v>26</v>
      </c>
      <c r="M989" t="s">
        <v>33</v>
      </c>
      <c r="N989">
        <v>0.9</v>
      </c>
      <c r="O989" t="s">
        <v>199</v>
      </c>
      <c r="S989" s="3">
        <v>800</v>
      </c>
      <c r="T989" s="2">
        <v>3083.727294921875</v>
      </c>
      <c r="U989" s="2">
        <v>2956.525557462081</v>
      </c>
      <c r="V989" s="2">
        <v>2659.9584961617279</v>
      </c>
      <c r="W989" s="2">
        <v>3074.511962890625</v>
      </c>
      <c r="X989" s="4">
        <f t="shared" si="60"/>
        <v>0.25942631221554491</v>
      </c>
      <c r="Y989" s="4">
        <f t="shared" si="61"/>
        <v>0.27058788583134391</v>
      </c>
      <c r="Z989" s="4">
        <f t="shared" si="62"/>
        <v>0.30075657238802245</v>
      </c>
      <c r="AA989" s="4">
        <f t="shared" si="63"/>
        <v>0.26020389891338985</v>
      </c>
    </row>
    <row r="990" spans="1:27" x14ac:dyDescent="0.3">
      <c r="A990" t="s">
        <v>395</v>
      </c>
      <c r="B990">
        <v>175645</v>
      </c>
      <c r="C990">
        <v>2008</v>
      </c>
      <c r="D990" t="s">
        <v>54</v>
      </c>
      <c r="E990" t="s">
        <v>206</v>
      </c>
      <c r="F990">
        <v>6</v>
      </c>
      <c r="G990" t="s">
        <v>364</v>
      </c>
      <c r="H990">
        <v>4</v>
      </c>
      <c r="I990" t="s">
        <v>23</v>
      </c>
      <c r="J990" t="s">
        <v>24</v>
      </c>
      <c r="K990" t="s">
        <v>27</v>
      </c>
      <c r="L990" t="s">
        <v>143</v>
      </c>
      <c r="M990">
        <v>4</v>
      </c>
      <c r="N990">
        <v>2.1</v>
      </c>
      <c r="O990" t="s">
        <v>27</v>
      </c>
      <c r="S990" s="3">
        <v>3700</v>
      </c>
      <c r="T990" s="2">
        <v>4244.51318359375</v>
      </c>
      <c r="U990" s="2">
        <v>5404.2397557892264</v>
      </c>
      <c r="V990" s="2">
        <v>7626.1524057695806</v>
      </c>
      <c r="W990" s="2">
        <v>5301.06982421875</v>
      </c>
      <c r="X990" s="4">
        <f t="shared" si="60"/>
        <v>0.87171363121253853</v>
      </c>
      <c r="Y990" s="4">
        <f t="shared" si="61"/>
        <v>0.68464764096308273</v>
      </c>
      <c r="Z990" s="4">
        <f t="shared" si="62"/>
        <v>0.48517257499348659</v>
      </c>
      <c r="AA990" s="4">
        <f t="shared" si="63"/>
        <v>0.69797231930354564</v>
      </c>
    </row>
    <row r="991" spans="1:27" x14ac:dyDescent="0.3">
      <c r="A991" t="s">
        <v>395</v>
      </c>
      <c r="B991">
        <v>170728</v>
      </c>
      <c r="C991">
        <v>2015</v>
      </c>
      <c r="D991" t="s">
        <v>85</v>
      </c>
      <c r="E991" t="s">
        <v>86</v>
      </c>
      <c r="F991">
        <v>4</v>
      </c>
      <c r="G991" t="s">
        <v>22</v>
      </c>
      <c r="H991">
        <v>4</v>
      </c>
      <c r="I991" t="s">
        <v>23</v>
      </c>
      <c r="J991" t="s">
        <v>31</v>
      </c>
      <c r="L991" t="s">
        <v>87</v>
      </c>
      <c r="M991" t="s">
        <v>33</v>
      </c>
      <c r="N991">
        <v>2.2000000000000002</v>
      </c>
      <c r="O991" t="s">
        <v>27</v>
      </c>
      <c r="S991" s="3">
        <v>1200</v>
      </c>
      <c r="T991" s="2">
        <v>4041.794677734375</v>
      </c>
      <c r="U991" s="2">
        <v>3217.02327783791</v>
      </c>
      <c r="V991" s="2">
        <v>2408.9600471920089</v>
      </c>
      <c r="W991" s="2">
        <v>3076.491455078125</v>
      </c>
      <c r="X991" s="4">
        <f t="shared" si="60"/>
        <v>0.2968978128974773</v>
      </c>
      <c r="Y991" s="4">
        <f t="shared" si="61"/>
        <v>0.37301564097058487</v>
      </c>
      <c r="Z991" s="4">
        <f t="shared" si="62"/>
        <v>0.49814026654313898</v>
      </c>
      <c r="AA991" s="4">
        <f t="shared" si="63"/>
        <v>0.39005471574421358</v>
      </c>
    </row>
    <row r="992" spans="1:27" x14ac:dyDescent="0.3">
      <c r="A992" t="s">
        <v>395</v>
      </c>
      <c r="B992">
        <v>47873</v>
      </c>
      <c r="C992">
        <v>2020</v>
      </c>
      <c r="D992" t="s">
        <v>50</v>
      </c>
      <c r="E992" t="s">
        <v>476</v>
      </c>
      <c r="F992">
        <v>6</v>
      </c>
      <c r="G992" t="s">
        <v>59</v>
      </c>
      <c r="H992">
        <v>4</v>
      </c>
      <c r="I992" t="s">
        <v>23</v>
      </c>
      <c r="J992" t="s">
        <v>24</v>
      </c>
      <c r="K992" t="s">
        <v>27</v>
      </c>
      <c r="L992" t="s">
        <v>218</v>
      </c>
      <c r="M992" t="s">
        <v>23</v>
      </c>
      <c r="N992">
        <v>4</v>
      </c>
      <c r="O992" t="s">
        <v>27</v>
      </c>
      <c r="S992" s="3">
        <v>33600</v>
      </c>
      <c r="T992" s="2">
        <v>40259.23046875</v>
      </c>
      <c r="U992" s="2">
        <v>42481.82693491345</v>
      </c>
      <c r="V992" s="2">
        <v>27808.97947502133</v>
      </c>
      <c r="W992" s="2">
        <v>40993.1640625</v>
      </c>
      <c r="X992" s="4">
        <f t="shared" si="60"/>
        <v>0.83459121321459373</v>
      </c>
      <c r="Y992" s="4">
        <f t="shared" si="61"/>
        <v>0.79092643664969198</v>
      </c>
      <c r="Z992" s="4">
        <f t="shared" si="62"/>
        <v>1.2082428278312154</v>
      </c>
      <c r="AA992" s="4">
        <f t="shared" si="63"/>
        <v>0.81964885532553544</v>
      </c>
    </row>
    <row r="993" spans="1:27" x14ac:dyDescent="0.3">
      <c r="A993" t="s">
        <v>395</v>
      </c>
      <c r="B993">
        <v>103892</v>
      </c>
      <c r="C993">
        <v>2019</v>
      </c>
      <c r="D993" t="s">
        <v>321</v>
      </c>
      <c r="E993" t="s">
        <v>477</v>
      </c>
      <c r="F993">
        <v>6</v>
      </c>
      <c r="G993" t="s">
        <v>22</v>
      </c>
      <c r="H993">
        <v>4</v>
      </c>
      <c r="I993" t="s">
        <v>23</v>
      </c>
      <c r="J993" t="s">
        <v>24</v>
      </c>
      <c r="K993" t="s">
        <v>27</v>
      </c>
      <c r="L993" t="s">
        <v>218</v>
      </c>
      <c r="M993" t="s">
        <v>23</v>
      </c>
      <c r="N993">
        <v>3.4</v>
      </c>
      <c r="O993" t="s">
        <v>27</v>
      </c>
      <c r="S993" s="3">
        <v>14200</v>
      </c>
      <c r="T993" s="2">
        <v>17455.224609375</v>
      </c>
      <c r="U993" s="2">
        <v>17494.732313306729</v>
      </c>
      <c r="V993" s="2">
        <v>16160.671043271101</v>
      </c>
      <c r="W993" s="2">
        <v>18455.396484375</v>
      </c>
      <c r="X993" s="4">
        <f t="shared" si="60"/>
        <v>0.8135100130635583</v>
      </c>
      <c r="Y993" s="4">
        <f t="shared" si="61"/>
        <v>0.81167289362863182</v>
      </c>
      <c r="Z993" s="4">
        <f t="shared" si="62"/>
        <v>0.87867638428990391</v>
      </c>
      <c r="AA993" s="4">
        <f t="shared" si="63"/>
        <v>0.76942264621744805</v>
      </c>
    </row>
    <row r="994" spans="1:27" x14ac:dyDescent="0.3">
      <c r="A994" t="s">
        <v>395</v>
      </c>
      <c r="B994">
        <v>162523</v>
      </c>
      <c r="C994">
        <v>2005</v>
      </c>
      <c r="D994" t="s">
        <v>54</v>
      </c>
      <c r="E994" t="s">
        <v>206</v>
      </c>
      <c r="F994">
        <v>6</v>
      </c>
      <c r="G994" t="s">
        <v>36</v>
      </c>
      <c r="H994">
        <v>2</v>
      </c>
      <c r="I994" t="s">
        <v>23</v>
      </c>
      <c r="J994" t="s">
        <v>24</v>
      </c>
      <c r="L994" t="s">
        <v>348</v>
      </c>
      <c r="M994">
        <v>4</v>
      </c>
      <c r="N994">
        <v>1.7</v>
      </c>
      <c r="O994" t="s">
        <v>27</v>
      </c>
      <c r="S994" s="3">
        <v>1700</v>
      </c>
      <c r="T994" s="2">
        <v>4897.76318359375</v>
      </c>
      <c r="U994" s="2">
        <v>5473.4736230354602</v>
      </c>
      <c r="V994" s="2">
        <v>7009.4578583451566</v>
      </c>
      <c r="W994" s="2">
        <v>5229.76611328125</v>
      </c>
      <c r="X994" s="4">
        <f t="shared" si="60"/>
        <v>0.34709722301285695</v>
      </c>
      <c r="Y994" s="4">
        <f t="shared" si="61"/>
        <v>0.31058887227398746</v>
      </c>
      <c r="Z994" s="4">
        <f t="shared" si="62"/>
        <v>0.24252945582318519</v>
      </c>
      <c r="AA994" s="4">
        <f t="shared" si="63"/>
        <v>0.32506233800451723</v>
      </c>
    </row>
    <row r="995" spans="1:27" x14ac:dyDescent="0.3">
      <c r="A995" t="s">
        <v>395</v>
      </c>
      <c r="B995">
        <v>178600</v>
      </c>
      <c r="C995">
        <v>2017</v>
      </c>
      <c r="D995" t="s">
        <v>85</v>
      </c>
      <c r="E995" t="s">
        <v>228</v>
      </c>
      <c r="F995">
        <v>4</v>
      </c>
      <c r="G995" t="s">
        <v>59</v>
      </c>
      <c r="H995">
        <v>4</v>
      </c>
      <c r="I995" t="s">
        <v>23</v>
      </c>
      <c r="J995" t="s">
        <v>31</v>
      </c>
      <c r="K995" t="s">
        <v>27</v>
      </c>
      <c r="L995" t="s">
        <v>60</v>
      </c>
      <c r="M995" t="s">
        <v>33</v>
      </c>
      <c r="N995">
        <v>1.6</v>
      </c>
      <c r="O995" t="s">
        <v>27</v>
      </c>
      <c r="S995" s="3">
        <v>1100</v>
      </c>
      <c r="T995" s="2">
        <v>3044.070556640625</v>
      </c>
      <c r="U995" s="2">
        <v>2925.6049718574541</v>
      </c>
      <c r="V995" s="2">
        <v>2544.0970572878068</v>
      </c>
      <c r="W995" s="2">
        <v>4928.52685546875</v>
      </c>
      <c r="X995" s="4">
        <f t="shared" si="60"/>
        <v>0.36135824696978702</v>
      </c>
      <c r="Y995" s="4">
        <f t="shared" si="61"/>
        <v>0.37599061068781775</v>
      </c>
      <c r="Z995" s="4">
        <f t="shared" si="62"/>
        <v>0.43237344143335488</v>
      </c>
      <c r="AA995" s="4">
        <f t="shared" si="63"/>
        <v>0.22319042429066352</v>
      </c>
    </row>
    <row r="996" spans="1:27" x14ac:dyDescent="0.3">
      <c r="A996" t="s">
        <v>395</v>
      </c>
      <c r="B996">
        <v>134324</v>
      </c>
      <c r="C996">
        <v>2016</v>
      </c>
      <c r="D996" t="s">
        <v>90</v>
      </c>
      <c r="E996" t="s">
        <v>91</v>
      </c>
      <c r="F996">
        <v>4</v>
      </c>
      <c r="G996" t="s">
        <v>22</v>
      </c>
      <c r="H996">
        <v>4</v>
      </c>
      <c r="I996" t="s">
        <v>23</v>
      </c>
      <c r="J996" t="s">
        <v>31</v>
      </c>
      <c r="L996" t="s">
        <v>32</v>
      </c>
      <c r="M996" t="s">
        <v>33</v>
      </c>
      <c r="N996">
        <v>2.7</v>
      </c>
      <c r="O996" t="s">
        <v>27</v>
      </c>
      <c r="S996" s="3">
        <v>2600</v>
      </c>
      <c r="T996" s="2">
        <v>3679.074951171875</v>
      </c>
      <c r="U996" s="2">
        <v>3866.735943087006</v>
      </c>
      <c r="V996" s="2">
        <v>3397.021357463178</v>
      </c>
      <c r="W996" s="2">
        <v>4192.8330078125</v>
      </c>
      <c r="X996" s="4">
        <f t="shared" si="60"/>
        <v>0.70669938354254969</v>
      </c>
      <c r="Y996" s="4">
        <f t="shared" si="61"/>
        <v>0.67240174614155102</v>
      </c>
      <c r="Z996" s="4">
        <f t="shared" si="62"/>
        <v>0.76537640668283102</v>
      </c>
      <c r="AA996" s="4">
        <f t="shared" si="63"/>
        <v>0.62010578412148143</v>
      </c>
    </row>
    <row r="997" spans="1:27" x14ac:dyDescent="0.3">
      <c r="A997" t="s">
        <v>395</v>
      </c>
      <c r="B997">
        <v>42172</v>
      </c>
      <c r="C997">
        <v>2019</v>
      </c>
      <c r="D997" t="s">
        <v>125</v>
      </c>
      <c r="E997" t="s">
        <v>230</v>
      </c>
      <c r="F997">
        <v>4</v>
      </c>
      <c r="G997" t="s">
        <v>22</v>
      </c>
      <c r="H997">
        <v>4</v>
      </c>
      <c r="I997" t="s">
        <v>23</v>
      </c>
      <c r="J997" t="s">
        <v>31</v>
      </c>
      <c r="K997" t="s">
        <v>27</v>
      </c>
      <c r="L997" t="s">
        <v>60</v>
      </c>
      <c r="M997" t="s">
        <v>33</v>
      </c>
      <c r="N997">
        <v>4.5</v>
      </c>
      <c r="O997" t="s">
        <v>27</v>
      </c>
      <c r="S997" s="3">
        <v>12400</v>
      </c>
      <c r="T997" s="2">
        <v>17086.48046875</v>
      </c>
      <c r="U997" s="2">
        <v>18188.773904140038</v>
      </c>
      <c r="V997" s="2">
        <v>13648.2065741155</v>
      </c>
      <c r="W997" s="2">
        <v>16029.4951171875</v>
      </c>
      <c r="X997" s="4">
        <f t="shared" si="60"/>
        <v>0.7257199645461655</v>
      </c>
      <c r="Y997" s="4">
        <f t="shared" si="61"/>
        <v>0.68173919063217192</v>
      </c>
      <c r="Z997" s="4">
        <f t="shared" si="62"/>
        <v>0.90854427888842293</v>
      </c>
      <c r="AA997" s="4">
        <f t="shared" si="63"/>
        <v>0.77357395908896709</v>
      </c>
    </row>
    <row r="998" spans="1:27" x14ac:dyDescent="0.3">
      <c r="A998" t="s">
        <v>395</v>
      </c>
      <c r="B998">
        <v>182364</v>
      </c>
      <c r="C998">
        <v>2009</v>
      </c>
      <c r="D998" t="s">
        <v>34</v>
      </c>
      <c r="E998" t="s">
        <v>88</v>
      </c>
      <c r="F998">
        <v>4</v>
      </c>
      <c r="G998" t="s">
        <v>59</v>
      </c>
      <c r="H998">
        <v>4</v>
      </c>
      <c r="I998" t="s">
        <v>23</v>
      </c>
      <c r="J998" t="s">
        <v>37</v>
      </c>
      <c r="L998" t="s">
        <v>89</v>
      </c>
      <c r="M998" t="s">
        <v>33</v>
      </c>
      <c r="N998">
        <v>2.1</v>
      </c>
      <c r="O998" t="s">
        <v>27</v>
      </c>
      <c r="S998" s="3">
        <v>2000</v>
      </c>
      <c r="T998" s="2">
        <v>2175.185302734375</v>
      </c>
      <c r="U998" s="2">
        <v>2230.9055627218199</v>
      </c>
      <c r="V998" s="2">
        <v>1101.131545548247</v>
      </c>
      <c r="W998" s="2">
        <v>2065.055908203125</v>
      </c>
      <c r="X998" s="4">
        <f t="shared" si="60"/>
        <v>0.91946189480309859</v>
      </c>
      <c r="Y998" s="4">
        <f t="shared" si="61"/>
        <v>0.89649693533414154</v>
      </c>
      <c r="Z998" s="4">
        <f t="shared" si="62"/>
        <v>1.8163134169443957</v>
      </c>
      <c r="AA998" s="4">
        <f t="shared" si="63"/>
        <v>0.96849678115507665</v>
      </c>
    </row>
    <row r="999" spans="1:27" x14ac:dyDescent="0.3">
      <c r="A999" t="s">
        <v>430</v>
      </c>
      <c r="B999">
        <v>71944</v>
      </c>
      <c r="C999">
        <v>2008</v>
      </c>
      <c r="D999" t="s">
        <v>34</v>
      </c>
      <c r="E999" t="s">
        <v>116</v>
      </c>
      <c r="F999">
        <v>4</v>
      </c>
      <c r="G999" t="s">
        <v>66</v>
      </c>
      <c r="H999">
        <v>4</v>
      </c>
      <c r="I999" t="s">
        <v>23</v>
      </c>
      <c r="J999" t="s">
        <v>37</v>
      </c>
      <c r="K999" t="s">
        <v>25</v>
      </c>
      <c r="L999" t="s">
        <v>295</v>
      </c>
      <c r="M999" t="s">
        <v>33</v>
      </c>
      <c r="N999">
        <v>0</v>
      </c>
      <c r="O999" t="s">
        <v>27</v>
      </c>
      <c r="S999" s="3">
        <v>3600</v>
      </c>
      <c r="T999" s="2">
        <v>5148.5029296875</v>
      </c>
      <c r="U999" s="2">
        <v>4134.7839915553232</v>
      </c>
      <c r="V999" s="2">
        <v>3498.6127387235601</v>
      </c>
      <c r="W999" s="2">
        <v>4627.7119140625</v>
      </c>
      <c r="X999" s="4">
        <f t="shared" si="60"/>
        <v>0.69923238835925261</v>
      </c>
      <c r="Y999" s="4">
        <f t="shared" si="61"/>
        <v>0.87066216937872953</v>
      </c>
      <c r="Z999" s="4">
        <f t="shared" si="62"/>
        <v>1.0289792751722016</v>
      </c>
      <c r="AA999" s="4">
        <f t="shared" si="63"/>
        <v>0.7779222360537329</v>
      </c>
    </row>
    <row r="1000" spans="1:27" x14ac:dyDescent="0.3">
      <c r="A1000" t="s">
        <v>430</v>
      </c>
      <c r="B1000">
        <v>84108</v>
      </c>
      <c r="C1000">
        <v>2019</v>
      </c>
      <c r="D1000" t="s">
        <v>40</v>
      </c>
      <c r="E1000" t="s">
        <v>257</v>
      </c>
      <c r="F1000">
        <v>6</v>
      </c>
      <c r="G1000" t="s">
        <v>66</v>
      </c>
      <c r="H1000">
        <v>4</v>
      </c>
      <c r="I1000" t="s">
        <v>23</v>
      </c>
      <c r="J1000" t="s">
        <v>42</v>
      </c>
      <c r="K1000" t="s">
        <v>25</v>
      </c>
      <c r="L1000" t="s">
        <v>26</v>
      </c>
      <c r="M1000" t="s">
        <v>78</v>
      </c>
      <c r="N1000">
        <v>0</v>
      </c>
      <c r="O1000" t="s">
        <v>27</v>
      </c>
      <c r="S1000" s="3">
        <v>9700</v>
      </c>
      <c r="T1000" s="2">
        <v>19802.77734375</v>
      </c>
      <c r="U1000" s="2">
        <v>19198.819037280351</v>
      </c>
      <c r="V1000" s="2">
        <v>20377.60795476798</v>
      </c>
      <c r="W1000" s="2">
        <v>19134.51953125</v>
      </c>
      <c r="X1000" s="4">
        <f t="shared" si="60"/>
        <v>0.48983028146107188</v>
      </c>
      <c r="Y1000" s="4">
        <f t="shared" si="61"/>
        <v>0.50523940983893323</v>
      </c>
      <c r="Z1000" s="4">
        <f t="shared" si="62"/>
        <v>0.47601269106418259</v>
      </c>
      <c r="AA1000" s="4">
        <f t="shared" si="63"/>
        <v>0.50693721282931681</v>
      </c>
    </row>
    <row r="1001" spans="1:27" x14ac:dyDescent="0.3">
      <c r="A1001" t="s">
        <v>430</v>
      </c>
      <c r="B1001">
        <v>104745</v>
      </c>
      <c r="C1001">
        <v>2019</v>
      </c>
      <c r="D1001" t="s">
        <v>100</v>
      </c>
      <c r="E1001" t="s">
        <v>478</v>
      </c>
      <c r="F1001">
        <v>4</v>
      </c>
      <c r="G1001" t="s">
        <v>36</v>
      </c>
      <c r="H1001">
        <v>4</v>
      </c>
      <c r="I1001" t="s">
        <v>23</v>
      </c>
      <c r="J1001" t="s">
        <v>31</v>
      </c>
      <c r="K1001" t="s">
        <v>25</v>
      </c>
      <c r="L1001" t="s">
        <v>87</v>
      </c>
      <c r="M1001" t="s">
        <v>33</v>
      </c>
      <c r="N1001">
        <v>0</v>
      </c>
      <c r="O1001" t="s">
        <v>27</v>
      </c>
      <c r="S1001" s="3">
        <v>2100</v>
      </c>
      <c r="T1001" s="2">
        <v>3395.900146484375</v>
      </c>
      <c r="U1001" s="2">
        <v>6467.0637328642297</v>
      </c>
      <c r="V1001" s="2">
        <v>7244.3726405781399</v>
      </c>
      <c r="W1001" s="2">
        <v>5259.37158203125</v>
      </c>
      <c r="X1001" s="4">
        <f t="shared" si="60"/>
        <v>0.6183927410745681</v>
      </c>
      <c r="Y1001" s="4">
        <f t="shared" si="61"/>
        <v>0.32472232944423463</v>
      </c>
      <c r="Z1001" s="4">
        <f t="shared" si="62"/>
        <v>0.28988017378305497</v>
      </c>
      <c r="AA1001" s="4">
        <f t="shared" si="63"/>
        <v>0.39928724701154272</v>
      </c>
    </row>
    <row r="1002" spans="1:27" x14ac:dyDescent="0.3">
      <c r="A1002" t="s">
        <v>430</v>
      </c>
      <c r="B1002">
        <v>156678</v>
      </c>
      <c r="C1002">
        <v>2009</v>
      </c>
      <c r="D1002" t="s">
        <v>34</v>
      </c>
      <c r="E1002" t="s">
        <v>88</v>
      </c>
      <c r="F1002">
        <v>4</v>
      </c>
      <c r="G1002" t="s">
        <v>66</v>
      </c>
      <c r="H1002">
        <v>4</v>
      </c>
      <c r="I1002" t="s">
        <v>23</v>
      </c>
      <c r="J1002" t="s">
        <v>37</v>
      </c>
      <c r="K1002" t="s">
        <v>25</v>
      </c>
      <c r="L1002" t="s">
        <v>89</v>
      </c>
      <c r="M1002" t="s">
        <v>33</v>
      </c>
      <c r="N1002">
        <v>0</v>
      </c>
      <c r="O1002" t="s">
        <v>27</v>
      </c>
      <c r="S1002" s="3">
        <v>2200</v>
      </c>
      <c r="T1002" s="2">
        <v>2489.923828125</v>
      </c>
      <c r="U1002" s="2">
        <v>2388.571490995264</v>
      </c>
      <c r="V1002" s="2">
        <v>2190.480582402</v>
      </c>
      <c r="W1002" s="2">
        <v>2638.728759765625</v>
      </c>
      <c r="X1002" s="4">
        <f t="shared" si="60"/>
        <v>0.8835611656669341</v>
      </c>
      <c r="Y1002" s="4">
        <f t="shared" si="61"/>
        <v>0.92105260750780771</v>
      </c>
      <c r="Z1002" s="4">
        <f t="shared" si="62"/>
        <v>1.0043458123639524</v>
      </c>
      <c r="AA1002" s="4">
        <f t="shared" si="63"/>
        <v>0.83373480197919492</v>
      </c>
    </row>
    <row r="1003" spans="1:27" x14ac:dyDescent="0.3">
      <c r="A1003" t="s">
        <v>430</v>
      </c>
      <c r="B1003">
        <v>35759</v>
      </c>
      <c r="C1003">
        <v>2023</v>
      </c>
      <c r="D1003" t="s">
        <v>74</v>
      </c>
      <c r="E1003" t="s">
        <v>479</v>
      </c>
      <c r="F1003">
        <v>6</v>
      </c>
      <c r="G1003" t="s">
        <v>47</v>
      </c>
      <c r="H1003">
        <v>3</v>
      </c>
      <c r="I1003" t="s">
        <v>23</v>
      </c>
      <c r="J1003" t="s">
        <v>418</v>
      </c>
      <c r="K1003" t="s">
        <v>25</v>
      </c>
      <c r="L1003" t="s">
        <v>26</v>
      </c>
      <c r="M1003" t="s">
        <v>33</v>
      </c>
      <c r="N1003">
        <v>0</v>
      </c>
      <c r="O1003" t="s">
        <v>27</v>
      </c>
      <c r="S1003" s="3">
        <v>26800</v>
      </c>
      <c r="T1003" s="2">
        <v>27814.572265625</v>
      </c>
      <c r="U1003" s="2">
        <v>31631.648402248971</v>
      </c>
      <c r="V1003" s="2">
        <v>31379.01213991328</v>
      </c>
      <c r="W1003" s="2">
        <v>31363.771484375</v>
      </c>
      <c r="X1003" s="4">
        <f t="shared" si="60"/>
        <v>0.96352371498162948</v>
      </c>
      <c r="Y1003" s="4">
        <f t="shared" si="61"/>
        <v>0.84725271535626179</v>
      </c>
      <c r="Z1003" s="4">
        <f t="shared" si="62"/>
        <v>0.85407405053109053</v>
      </c>
      <c r="AA1003" s="4">
        <f t="shared" si="63"/>
        <v>0.85448907231553428</v>
      </c>
    </row>
    <row r="1004" spans="1:27" x14ac:dyDescent="0.3">
      <c r="A1004" t="s">
        <v>430</v>
      </c>
      <c r="B1004">
        <v>73702</v>
      </c>
      <c r="C1004">
        <v>2021</v>
      </c>
      <c r="D1004" t="s">
        <v>239</v>
      </c>
      <c r="E1004" t="s">
        <v>480</v>
      </c>
      <c r="F1004">
        <v>4</v>
      </c>
      <c r="G1004" t="s">
        <v>66</v>
      </c>
      <c r="H1004">
        <v>4</v>
      </c>
      <c r="I1004" t="s">
        <v>23</v>
      </c>
      <c r="J1004" t="s">
        <v>440</v>
      </c>
      <c r="K1004" t="s">
        <v>25</v>
      </c>
      <c r="L1004" t="s">
        <v>127</v>
      </c>
      <c r="M1004" t="s">
        <v>23</v>
      </c>
      <c r="N1004">
        <v>0</v>
      </c>
      <c r="O1004" t="s">
        <v>27</v>
      </c>
      <c r="S1004" s="3">
        <v>17500</v>
      </c>
      <c r="T1004" s="2">
        <v>23734.884765625</v>
      </c>
      <c r="U1004" s="2">
        <v>23169.1625148682</v>
      </c>
      <c r="V1004" s="2">
        <v>27959.443938244971</v>
      </c>
      <c r="W1004" s="2">
        <v>22108.587890625</v>
      </c>
      <c r="X1004" s="4">
        <f t="shared" si="60"/>
        <v>0.73731135300665451</v>
      </c>
      <c r="Y1004" s="4">
        <f t="shared" si="61"/>
        <v>0.75531431007788197</v>
      </c>
      <c r="Z1004" s="4">
        <f t="shared" si="62"/>
        <v>0.62590658235739161</v>
      </c>
      <c r="AA1004" s="4">
        <f t="shared" si="63"/>
        <v>0.79154761428344134</v>
      </c>
    </row>
    <row r="1005" spans="1:27" x14ac:dyDescent="0.3">
      <c r="A1005" t="s">
        <v>461</v>
      </c>
      <c r="B1005">
        <v>1</v>
      </c>
      <c r="C1005">
        <v>2007</v>
      </c>
      <c r="D1005" t="s">
        <v>20</v>
      </c>
      <c r="E1005" t="s">
        <v>390</v>
      </c>
      <c r="F1005">
        <v>8</v>
      </c>
      <c r="G1005" t="s">
        <v>30</v>
      </c>
      <c r="H1005">
        <v>4</v>
      </c>
      <c r="I1005" t="s">
        <v>23</v>
      </c>
      <c r="J1005" t="s">
        <v>24</v>
      </c>
      <c r="L1005" t="s">
        <v>43</v>
      </c>
      <c r="M1005" t="s">
        <v>78</v>
      </c>
      <c r="N1005">
        <v>0</v>
      </c>
      <c r="O1005" t="s">
        <v>27</v>
      </c>
      <c r="S1005" s="3">
        <v>1400</v>
      </c>
      <c r="T1005" s="2">
        <v>59686.734375</v>
      </c>
      <c r="U1005" s="2">
        <v>67980.024951129439</v>
      </c>
      <c r="V1005" s="2">
        <v>30370.753147572021</v>
      </c>
      <c r="W1005" s="2">
        <v>93241.7734375</v>
      </c>
      <c r="X1005" s="4">
        <f t="shared" si="60"/>
        <v>2.3455798255003796E-2</v>
      </c>
      <c r="Y1005" s="4">
        <f t="shared" si="61"/>
        <v>2.0594284880101975E-2</v>
      </c>
      <c r="Z1005" s="4">
        <f t="shared" si="62"/>
        <v>4.6096979985888908E-2</v>
      </c>
      <c r="AA1005" s="4">
        <f t="shared" si="63"/>
        <v>1.5014729432816083E-2</v>
      </c>
    </row>
    <row r="1006" spans="1:27" x14ac:dyDescent="0.3">
      <c r="A1006" t="s">
        <v>461</v>
      </c>
      <c r="B1006">
        <v>95832</v>
      </c>
      <c r="C1006">
        <v>2019</v>
      </c>
      <c r="D1006" t="s">
        <v>44</v>
      </c>
      <c r="E1006" t="s">
        <v>176</v>
      </c>
      <c r="F1006">
        <v>4</v>
      </c>
      <c r="G1006" t="s">
        <v>47</v>
      </c>
      <c r="H1006">
        <v>4</v>
      </c>
      <c r="I1006" t="s">
        <v>23</v>
      </c>
      <c r="J1006" t="s">
        <v>62</v>
      </c>
      <c r="K1006" t="s">
        <v>27</v>
      </c>
      <c r="L1006" t="s">
        <v>96</v>
      </c>
      <c r="M1006" t="s">
        <v>33</v>
      </c>
      <c r="N1006">
        <v>1.7</v>
      </c>
      <c r="O1006" t="s">
        <v>27</v>
      </c>
      <c r="S1006" s="3">
        <v>5100</v>
      </c>
      <c r="T1006" s="2">
        <v>7782.72509765625</v>
      </c>
      <c r="U1006" s="2">
        <v>9579.9448643494725</v>
      </c>
      <c r="V1006" s="2">
        <v>8297.4983183649565</v>
      </c>
      <c r="W1006" s="2">
        <v>8120.56591796875</v>
      </c>
      <c r="X1006" s="4">
        <f t="shared" si="60"/>
        <v>0.65529746149402779</v>
      </c>
      <c r="Y1006" s="4">
        <f t="shared" si="61"/>
        <v>0.53236214531661774</v>
      </c>
      <c r="Z1006" s="4">
        <f t="shared" si="62"/>
        <v>0.61464308931670486</v>
      </c>
      <c r="AA1006" s="4">
        <f t="shared" si="63"/>
        <v>0.62803504725144776</v>
      </c>
    </row>
    <row r="1007" spans="1:27" x14ac:dyDescent="0.3">
      <c r="A1007" t="s">
        <v>461</v>
      </c>
      <c r="B1007">
        <v>160273</v>
      </c>
      <c r="C1007">
        <v>2016</v>
      </c>
      <c r="D1007" t="s">
        <v>125</v>
      </c>
      <c r="E1007" t="s">
        <v>481</v>
      </c>
      <c r="F1007">
        <v>4</v>
      </c>
      <c r="G1007" t="s">
        <v>22</v>
      </c>
      <c r="H1007">
        <v>3</v>
      </c>
      <c r="I1007" t="s">
        <v>23</v>
      </c>
      <c r="J1007" t="s">
        <v>482</v>
      </c>
      <c r="K1007" t="s">
        <v>27</v>
      </c>
      <c r="L1007" t="s">
        <v>87</v>
      </c>
      <c r="M1007" t="s">
        <v>33</v>
      </c>
      <c r="N1007">
        <v>1.6</v>
      </c>
      <c r="O1007" t="s">
        <v>27</v>
      </c>
      <c r="S1007" s="3">
        <v>700</v>
      </c>
      <c r="T1007" s="2">
        <v>2798.730224609375</v>
      </c>
      <c r="U1007" s="2">
        <v>3717.3640433273449</v>
      </c>
      <c r="V1007" s="2">
        <v>2418.9821837039958</v>
      </c>
      <c r="W1007" s="2">
        <v>3096.0654296875</v>
      </c>
      <c r="X1007" s="4">
        <f t="shared" si="60"/>
        <v>0.25011342423963018</v>
      </c>
      <c r="Y1007" s="4">
        <f t="shared" si="61"/>
        <v>0.18830547448170901</v>
      </c>
      <c r="Z1007" s="4">
        <f t="shared" si="62"/>
        <v>0.28937790642515004</v>
      </c>
      <c r="AA1007" s="4">
        <f t="shared" si="63"/>
        <v>0.22609341304219602</v>
      </c>
    </row>
    <row r="1008" spans="1:27" x14ac:dyDescent="0.3">
      <c r="A1008" t="s">
        <v>461</v>
      </c>
      <c r="B1008">
        <v>150296</v>
      </c>
      <c r="C1008">
        <v>2019</v>
      </c>
      <c r="D1008" t="s">
        <v>141</v>
      </c>
      <c r="E1008" t="s">
        <v>215</v>
      </c>
      <c r="F1008">
        <v>6</v>
      </c>
      <c r="G1008" t="s">
        <v>22</v>
      </c>
      <c r="H1008">
        <v>4</v>
      </c>
      <c r="I1008" t="s">
        <v>23</v>
      </c>
      <c r="J1008" t="s">
        <v>31</v>
      </c>
      <c r="K1008" t="s">
        <v>27</v>
      </c>
      <c r="L1008" t="s">
        <v>26</v>
      </c>
      <c r="M1008" t="s">
        <v>78</v>
      </c>
      <c r="N1008">
        <v>0</v>
      </c>
      <c r="S1008" s="3">
        <v>6000</v>
      </c>
      <c r="T1008" s="2">
        <v>9751.4736328125</v>
      </c>
      <c r="U1008" s="2">
        <v>9644.355945505853</v>
      </c>
      <c r="V1008" s="2">
        <v>9233.3335201458485</v>
      </c>
      <c r="W1008" s="2">
        <v>10177.03125</v>
      </c>
      <c r="X1008" s="4">
        <f t="shared" si="60"/>
        <v>0.61529161908521635</v>
      </c>
      <c r="Y1008" s="4">
        <f t="shared" si="61"/>
        <v>0.6221255243898296</v>
      </c>
      <c r="Z1008" s="4">
        <f t="shared" si="62"/>
        <v>0.64981948143742829</v>
      </c>
      <c r="AA1008" s="4">
        <f t="shared" si="63"/>
        <v>0.5895628943853346</v>
      </c>
    </row>
    <row r="1009" spans="1:27" x14ac:dyDescent="0.3">
      <c r="A1009" t="s">
        <v>461</v>
      </c>
      <c r="B1009">
        <v>86872</v>
      </c>
      <c r="C1009">
        <v>2012</v>
      </c>
      <c r="D1009" t="s">
        <v>282</v>
      </c>
      <c r="E1009" t="s">
        <v>483</v>
      </c>
      <c r="F1009">
        <v>6</v>
      </c>
      <c r="G1009" t="s">
        <v>47</v>
      </c>
      <c r="H1009">
        <v>4</v>
      </c>
      <c r="I1009" t="s">
        <v>23</v>
      </c>
      <c r="J1009" t="s">
        <v>62</v>
      </c>
      <c r="K1009" t="s">
        <v>27</v>
      </c>
      <c r="L1009" t="s">
        <v>38</v>
      </c>
      <c r="M1009" t="s">
        <v>33</v>
      </c>
      <c r="N1009">
        <v>0</v>
      </c>
      <c r="O1009" t="s">
        <v>27</v>
      </c>
      <c r="S1009" s="3">
        <v>9750</v>
      </c>
      <c r="T1009" s="2">
        <v>11141.1982421875</v>
      </c>
      <c r="U1009" s="2">
        <v>10852.042578004461</v>
      </c>
      <c r="V1009" s="2">
        <v>10075.799794111041</v>
      </c>
      <c r="W1009" s="2">
        <v>11061.0966796875</v>
      </c>
      <c r="X1009" s="4">
        <f t="shared" si="60"/>
        <v>0.87513028563484685</v>
      </c>
      <c r="Y1009" s="4">
        <f t="shared" si="61"/>
        <v>0.89844837319030213</v>
      </c>
      <c r="Z1009" s="4">
        <f t="shared" si="62"/>
        <v>0.96766511832624347</v>
      </c>
      <c r="AA1009" s="4">
        <f t="shared" si="63"/>
        <v>0.88146774974897502</v>
      </c>
    </row>
    <row r="1010" spans="1:27" x14ac:dyDescent="0.3">
      <c r="A1010" t="s">
        <v>461</v>
      </c>
      <c r="B1010">
        <v>107145</v>
      </c>
      <c r="C1010">
        <v>2003</v>
      </c>
      <c r="D1010" t="s">
        <v>44</v>
      </c>
      <c r="E1010" t="s">
        <v>117</v>
      </c>
      <c r="F1010">
        <v>6</v>
      </c>
      <c r="G1010" t="s">
        <v>59</v>
      </c>
      <c r="H1010">
        <v>4</v>
      </c>
      <c r="I1010" t="s">
        <v>23</v>
      </c>
      <c r="J1010" t="s">
        <v>24</v>
      </c>
      <c r="K1010" t="s">
        <v>27</v>
      </c>
      <c r="L1010" t="s">
        <v>218</v>
      </c>
      <c r="M1010" t="s">
        <v>33</v>
      </c>
      <c r="N1010">
        <v>0</v>
      </c>
      <c r="O1010" t="s">
        <v>27</v>
      </c>
      <c r="S1010" s="3">
        <v>400</v>
      </c>
      <c r="T1010" s="2">
        <v>2975.159423828125</v>
      </c>
      <c r="U1010" s="2">
        <v>2795.286451697712</v>
      </c>
      <c r="V1010" s="2">
        <v>2220.990308921238</v>
      </c>
      <c r="W1010" s="2">
        <v>2485.4892578125</v>
      </c>
      <c r="X1010" s="4">
        <f t="shared" si="60"/>
        <v>0.13444657681077193</v>
      </c>
      <c r="Y1010" s="4">
        <f t="shared" si="61"/>
        <v>0.14309803553659439</v>
      </c>
      <c r="Z1010" s="4">
        <f t="shared" si="62"/>
        <v>0.18009984032496065</v>
      </c>
      <c r="AA1010" s="4">
        <f t="shared" si="63"/>
        <v>0.16093410934796934</v>
      </c>
    </row>
    <row r="1011" spans="1:27" x14ac:dyDescent="0.3">
      <c r="A1011" t="s">
        <v>461</v>
      </c>
      <c r="B1011">
        <v>205650</v>
      </c>
      <c r="C1011">
        <v>2004</v>
      </c>
      <c r="D1011" t="s">
        <v>28</v>
      </c>
      <c r="E1011" t="s">
        <v>216</v>
      </c>
      <c r="F1011">
        <v>6</v>
      </c>
      <c r="G1011" t="s">
        <v>36</v>
      </c>
      <c r="H1011">
        <v>4</v>
      </c>
      <c r="I1011" t="s">
        <v>23</v>
      </c>
      <c r="J1011" t="s">
        <v>106</v>
      </c>
      <c r="K1011" t="s">
        <v>27</v>
      </c>
      <c r="L1011" t="s">
        <v>53</v>
      </c>
      <c r="M1011" t="s">
        <v>33</v>
      </c>
      <c r="N1011">
        <v>0</v>
      </c>
      <c r="O1011" t="s">
        <v>27</v>
      </c>
      <c r="S1011" s="3">
        <v>300</v>
      </c>
      <c r="T1011" s="2">
        <v>1890.12890625</v>
      </c>
      <c r="U1011" s="2">
        <v>2383.2990307134569</v>
      </c>
      <c r="V1011" s="2">
        <v>678.83779976424375</v>
      </c>
      <c r="W1011" s="2">
        <v>1922.971069335938</v>
      </c>
      <c r="X1011" s="4">
        <f t="shared" si="60"/>
        <v>0.15871933337879982</v>
      </c>
      <c r="Y1011" s="4">
        <f t="shared" si="61"/>
        <v>0.12587593756969429</v>
      </c>
      <c r="Z1011" s="4">
        <f t="shared" si="62"/>
        <v>0.44193178415254453</v>
      </c>
      <c r="AA1011" s="4">
        <f t="shared" si="63"/>
        <v>0.15600858732814912</v>
      </c>
    </row>
    <row r="1012" spans="1:27" x14ac:dyDescent="0.3">
      <c r="A1012" t="s">
        <v>461</v>
      </c>
      <c r="B1012">
        <v>69972</v>
      </c>
      <c r="C1012">
        <v>2017</v>
      </c>
      <c r="D1012" t="s">
        <v>159</v>
      </c>
      <c r="E1012" t="s">
        <v>484</v>
      </c>
      <c r="F1012">
        <v>4</v>
      </c>
      <c r="G1012" t="s">
        <v>30</v>
      </c>
      <c r="H1012">
        <v>4</v>
      </c>
      <c r="I1012" t="s">
        <v>23</v>
      </c>
      <c r="J1012" t="s">
        <v>62</v>
      </c>
      <c r="K1012" t="s">
        <v>27</v>
      </c>
      <c r="L1012" t="s">
        <v>96</v>
      </c>
      <c r="M1012" t="s">
        <v>33</v>
      </c>
      <c r="N1012">
        <v>0</v>
      </c>
      <c r="O1012" t="s">
        <v>27</v>
      </c>
      <c r="S1012" s="3">
        <v>11250</v>
      </c>
      <c r="T1012" s="2">
        <v>10696.4150390625</v>
      </c>
      <c r="U1012" s="2">
        <v>10787.737369662251</v>
      </c>
      <c r="V1012" s="2">
        <v>9829.2064257481888</v>
      </c>
      <c r="W1012" s="2">
        <v>11453.1083984375</v>
      </c>
      <c r="X1012" s="4">
        <f t="shared" si="60"/>
        <v>1.0517542521411005</v>
      </c>
      <c r="Y1012" s="4">
        <f t="shared" si="61"/>
        <v>1.0428507493737977</v>
      </c>
      <c r="Z1012" s="4">
        <f t="shared" si="62"/>
        <v>1.1445481468910814</v>
      </c>
      <c r="AA1012" s="4">
        <f t="shared" si="63"/>
        <v>0.98226608957397021</v>
      </c>
    </row>
    <row r="1013" spans="1:27" x14ac:dyDescent="0.3">
      <c r="A1013" t="s">
        <v>461</v>
      </c>
      <c r="B1013">
        <v>963</v>
      </c>
      <c r="C1013">
        <v>2024</v>
      </c>
      <c r="D1013" t="s">
        <v>44</v>
      </c>
      <c r="E1013" t="s">
        <v>485</v>
      </c>
      <c r="F1013">
        <v>3</v>
      </c>
      <c r="G1013" t="s">
        <v>56</v>
      </c>
      <c r="H1013">
        <v>4</v>
      </c>
      <c r="I1013" t="s">
        <v>23</v>
      </c>
      <c r="J1013" t="s">
        <v>62</v>
      </c>
      <c r="K1013" t="s">
        <v>27</v>
      </c>
      <c r="L1013" t="s">
        <v>200</v>
      </c>
      <c r="M1013">
        <v>4</v>
      </c>
      <c r="N1013">
        <v>0</v>
      </c>
      <c r="O1013" t="s">
        <v>27</v>
      </c>
      <c r="S1013" s="3">
        <v>23500</v>
      </c>
      <c r="T1013" s="2">
        <v>33395.109375</v>
      </c>
      <c r="U1013" s="2">
        <v>37159.277750802008</v>
      </c>
      <c r="V1013" s="2">
        <v>30161.983557936899</v>
      </c>
      <c r="W1013" s="2">
        <v>33297.63671875</v>
      </c>
      <c r="X1013" s="4">
        <f t="shared" si="60"/>
        <v>0.70369585366869303</v>
      </c>
      <c r="Y1013" s="4">
        <f t="shared" si="61"/>
        <v>0.63241272227076051</v>
      </c>
      <c r="Z1013" s="4">
        <f t="shared" si="62"/>
        <v>0.77912647737042318</v>
      </c>
      <c r="AA1013" s="4">
        <f t="shared" si="63"/>
        <v>0.70575579277574008</v>
      </c>
    </row>
    <row r="1014" spans="1:27" x14ac:dyDescent="0.3">
      <c r="A1014" t="s">
        <v>461</v>
      </c>
      <c r="B1014">
        <v>124661</v>
      </c>
      <c r="C1014">
        <v>2018</v>
      </c>
      <c r="D1014" t="s">
        <v>44</v>
      </c>
      <c r="E1014" t="s">
        <v>95</v>
      </c>
      <c r="F1014">
        <v>4</v>
      </c>
      <c r="G1014" t="s">
        <v>22</v>
      </c>
      <c r="H1014">
        <v>4</v>
      </c>
      <c r="I1014" t="s">
        <v>23</v>
      </c>
      <c r="J1014" t="s">
        <v>37</v>
      </c>
      <c r="K1014" t="s">
        <v>27</v>
      </c>
      <c r="L1014" t="s">
        <v>96</v>
      </c>
      <c r="M1014" t="s">
        <v>33</v>
      </c>
      <c r="N1014">
        <v>0</v>
      </c>
      <c r="O1014" t="s">
        <v>27</v>
      </c>
      <c r="S1014" s="3">
        <v>4200</v>
      </c>
      <c r="T1014" s="2">
        <v>6010.3916015625</v>
      </c>
      <c r="U1014" s="2">
        <v>5220.6960778737903</v>
      </c>
      <c r="V1014" s="2">
        <v>5213.8674049871242</v>
      </c>
      <c r="W1014" s="2">
        <v>4471.9755859375</v>
      </c>
      <c r="X1014" s="4">
        <f t="shared" si="60"/>
        <v>0.69878974256987536</v>
      </c>
      <c r="Y1014" s="4">
        <f t="shared" si="61"/>
        <v>0.80449042375792068</v>
      </c>
      <c r="Z1014" s="4">
        <f t="shared" si="62"/>
        <v>0.80554407578195253</v>
      </c>
      <c r="AA1014" s="4">
        <f t="shared" si="63"/>
        <v>0.93918222926065387</v>
      </c>
    </row>
    <row r="1015" spans="1:27" x14ac:dyDescent="0.3">
      <c r="A1015" t="s">
        <v>461</v>
      </c>
      <c r="B1015">
        <v>130008</v>
      </c>
      <c r="C1015">
        <v>2017</v>
      </c>
      <c r="D1015" t="s">
        <v>125</v>
      </c>
      <c r="E1015" t="s">
        <v>306</v>
      </c>
      <c r="F1015">
        <v>4</v>
      </c>
      <c r="G1015" t="s">
        <v>22</v>
      </c>
      <c r="H1015">
        <v>4</v>
      </c>
      <c r="I1015" t="s">
        <v>23</v>
      </c>
      <c r="J1015" t="s">
        <v>24</v>
      </c>
      <c r="K1015" t="s">
        <v>27</v>
      </c>
      <c r="L1015" t="s">
        <v>60</v>
      </c>
      <c r="M1015" t="s">
        <v>23</v>
      </c>
      <c r="N1015">
        <v>0</v>
      </c>
      <c r="O1015" t="s">
        <v>199</v>
      </c>
      <c r="S1015" s="3">
        <v>3000</v>
      </c>
      <c r="T1015" s="2">
        <v>3381.572265625</v>
      </c>
      <c r="U1015" s="2">
        <v>4461.6631495054899</v>
      </c>
      <c r="V1015" s="2">
        <v>3059.7794741813691</v>
      </c>
      <c r="W1015" s="2">
        <v>4450.66552734375</v>
      </c>
      <c r="X1015" s="4">
        <f t="shared" si="60"/>
        <v>0.88716128603731736</v>
      </c>
      <c r="Y1015" s="4">
        <f t="shared" si="61"/>
        <v>0.67239500147663689</v>
      </c>
      <c r="Z1015" s="4">
        <f t="shared" si="62"/>
        <v>0.98046281613240682</v>
      </c>
      <c r="AA1015" s="4">
        <f t="shared" si="63"/>
        <v>0.67405649370162002</v>
      </c>
    </row>
    <row r="1016" spans="1:27" x14ac:dyDescent="0.3">
      <c r="A1016" t="s">
        <v>461</v>
      </c>
      <c r="B1016">
        <v>126406</v>
      </c>
      <c r="C1016">
        <v>2016</v>
      </c>
      <c r="D1016" t="s">
        <v>74</v>
      </c>
      <c r="E1016" t="s">
        <v>75</v>
      </c>
      <c r="F1016">
        <v>6</v>
      </c>
      <c r="G1016" t="s">
        <v>22</v>
      </c>
      <c r="H1016">
        <v>4</v>
      </c>
      <c r="I1016" t="s">
        <v>23</v>
      </c>
      <c r="J1016" t="s">
        <v>94</v>
      </c>
      <c r="K1016" t="s">
        <v>27</v>
      </c>
      <c r="L1016" t="s">
        <v>26</v>
      </c>
      <c r="M1016" t="s">
        <v>78</v>
      </c>
      <c r="N1016">
        <v>0</v>
      </c>
      <c r="O1016" t="s">
        <v>27</v>
      </c>
      <c r="S1016" s="3">
        <v>7500</v>
      </c>
      <c r="T1016" s="2">
        <v>9073.2294921875</v>
      </c>
      <c r="U1016" s="2">
        <v>7185.7498998228539</v>
      </c>
      <c r="V1016" s="2">
        <v>7292.3172112938128</v>
      </c>
      <c r="W1016" s="2">
        <v>7379.58447265625</v>
      </c>
      <c r="X1016" s="4">
        <f t="shared" si="60"/>
        <v>0.82660754987602503</v>
      </c>
      <c r="Y1016" s="4">
        <f t="shared" si="61"/>
        <v>1.0437324015667304</v>
      </c>
      <c r="Z1016" s="4">
        <f t="shared" si="62"/>
        <v>1.0284796701362007</v>
      </c>
      <c r="AA1016" s="4">
        <f t="shared" si="63"/>
        <v>1.0163173858622974</v>
      </c>
    </row>
    <row r="1017" spans="1:27" x14ac:dyDescent="0.3">
      <c r="A1017" t="s">
        <v>461</v>
      </c>
      <c r="B1017">
        <v>123832</v>
      </c>
      <c r="C1017">
        <v>2018</v>
      </c>
      <c r="D1017" t="s">
        <v>44</v>
      </c>
      <c r="E1017" t="s">
        <v>45</v>
      </c>
      <c r="F1017">
        <v>6</v>
      </c>
      <c r="G1017" t="s">
        <v>171</v>
      </c>
      <c r="H1017">
        <v>4</v>
      </c>
      <c r="I1017" t="s">
        <v>23</v>
      </c>
      <c r="J1017" t="s">
        <v>46</v>
      </c>
      <c r="K1017" t="s">
        <v>27</v>
      </c>
      <c r="L1017" t="s">
        <v>38</v>
      </c>
      <c r="M1017">
        <v>4</v>
      </c>
      <c r="N1017">
        <v>0</v>
      </c>
      <c r="O1017" t="s">
        <v>27</v>
      </c>
      <c r="S1017" s="3">
        <v>18750</v>
      </c>
      <c r="T1017" s="2">
        <v>16045.212890625</v>
      </c>
      <c r="U1017" s="2">
        <v>15580.985072565531</v>
      </c>
      <c r="V1017" s="2">
        <v>24962.385551703279</v>
      </c>
      <c r="W1017" s="2">
        <v>14611.185546875</v>
      </c>
      <c r="X1017" s="4">
        <f t="shared" si="60"/>
        <v>1.1685728402491544</v>
      </c>
      <c r="Y1017" s="4">
        <f t="shared" si="61"/>
        <v>1.2033898956115658</v>
      </c>
      <c r="Z1017" s="4">
        <f t="shared" si="62"/>
        <v>0.75113013382331228</v>
      </c>
      <c r="AA1017" s="4">
        <f t="shared" si="63"/>
        <v>1.283263424439244</v>
      </c>
    </row>
    <row r="1018" spans="1:27" x14ac:dyDescent="0.3">
      <c r="A1018" t="s">
        <v>461</v>
      </c>
      <c r="B1018">
        <v>184555</v>
      </c>
      <c r="C1018">
        <v>2009</v>
      </c>
      <c r="D1018" t="s">
        <v>34</v>
      </c>
      <c r="E1018" t="s">
        <v>173</v>
      </c>
      <c r="F1018">
        <v>4</v>
      </c>
      <c r="G1018" t="s">
        <v>30</v>
      </c>
      <c r="H1018">
        <v>4</v>
      </c>
      <c r="I1018" t="s">
        <v>23</v>
      </c>
      <c r="J1018" t="s">
        <v>62</v>
      </c>
      <c r="K1018" t="s">
        <v>27</v>
      </c>
      <c r="L1018" t="s">
        <v>128</v>
      </c>
      <c r="M1018" t="s">
        <v>33</v>
      </c>
      <c r="N1018">
        <v>0</v>
      </c>
      <c r="O1018" t="s">
        <v>27</v>
      </c>
      <c r="S1018" s="3">
        <v>4750</v>
      </c>
      <c r="T1018" s="2">
        <v>3413.302001953125</v>
      </c>
      <c r="U1018" s="2">
        <v>3165.7258564867861</v>
      </c>
      <c r="V1018" s="2">
        <v>2332.7786840675399</v>
      </c>
      <c r="W1018" s="2">
        <v>2740.207275390625</v>
      </c>
      <c r="X1018" s="4">
        <f t="shared" si="60"/>
        <v>1.3916143362884394</v>
      </c>
      <c r="Y1018" s="4">
        <f t="shared" si="61"/>
        <v>1.5004457793674488</v>
      </c>
      <c r="Z1018" s="4">
        <f t="shared" si="62"/>
        <v>2.0361983039546994</v>
      </c>
      <c r="AA1018" s="4">
        <f t="shared" si="63"/>
        <v>1.7334455107316189</v>
      </c>
    </row>
    <row r="1019" spans="1:27" x14ac:dyDescent="0.3">
      <c r="A1019" t="s">
        <v>461</v>
      </c>
      <c r="B1019">
        <v>95208</v>
      </c>
      <c r="C1019">
        <v>2015</v>
      </c>
      <c r="D1019" t="s">
        <v>40</v>
      </c>
      <c r="E1019" t="s">
        <v>63</v>
      </c>
      <c r="F1019">
        <v>4</v>
      </c>
      <c r="G1019" t="s">
        <v>56</v>
      </c>
      <c r="H1019">
        <v>4</v>
      </c>
      <c r="I1019" t="s">
        <v>23</v>
      </c>
      <c r="J1019" t="s">
        <v>24</v>
      </c>
      <c r="K1019" t="s">
        <v>27</v>
      </c>
      <c r="L1019" t="s">
        <v>60</v>
      </c>
      <c r="M1019" t="s">
        <v>33</v>
      </c>
      <c r="N1019">
        <v>0</v>
      </c>
      <c r="O1019" t="s">
        <v>27</v>
      </c>
      <c r="S1019" s="3">
        <v>2300</v>
      </c>
      <c r="T1019" s="2">
        <v>7289.11474609375</v>
      </c>
      <c r="U1019" s="2">
        <v>7530.6561305271553</v>
      </c>
      <c r="V1019" s="2">
        <v>6981.6154305075706</v>
      </c>
      <c r="W1019" s="2">
        <v>7427.03369140625</v>
      </c>
      <c r="X1019" s="4">
        <f t="shared" si="60"/>
        <v>0.31553900303635285</v>
      </c>
      <c r="Y1019" s="4">
        <f t="shared" si="61"/>
        <v>0.30541827433554547</v>
      </c>
      <c r="Z1019" s="4">
        <f t="shared" si="62"/>
        <v>0.32943665014112467</v>
      </c>
      <c r="AA1019" s="4">
        <f t="shared" si="63"/>
        <v>0.30967948922344435</v>
      </c>
    </row>
    <row r="1020" spans="1:27" x14ac:dyDescent="0.3">
      <c r="A1020" t="s">
        <v>461</v>
      </c>
      <c r="B1020">
        <v>108948</v>
      </c>
      <c r="C1020">
        <v>2016</v>
      </c>
      <c r="D1020" t="s">
        <v>28</v>
      </c>
      <c r="E1020" t="s">
        <v>137</v>
      </c>
      <c r="F1020">
        <v>4</v>
      </c>
      <c r="G1020" t="s">
        <v>36</v>
      </c>
      <c r="H1020">
        <v>4</v>
      </c>
      <c r="I1020" t="s">
        <v>23</v>
      </c>
      <c r="J1020" t="s">
        <v>31</v>
      </c>
      <c r="K1020" t="s">
        <v>27</v>
      </c>
      <c r="L1020" t="s">
        <v>60</v>
      </c>
      <c r="M1020" t="s">
        <v>33</v>
      </c>
      <c r="N1020">
        <v>0</v>
      </c>
      <c r="O1020" t="s">
        <v>27</v>
      </c>
      <c r="S1020" s="3">
        <v>8000</v>
      </c>
      <c r="T1020" s="2">
        <v>10396.150390625</v>
      </c>
      <c r="U1020" s="2">
        <v>10289.96272427258</v>
      </c>
      <c r="V1020" s="2">
        <v>10059.121322016221</v>
      </c>
      <c r="W1020" s="2">
        <v>12446.0390625</v>
      </c>
      <c r="X1020" s="4">
        <f t="shared" si="60"/>
        <v>0.76951560908682204</v>
      </c>
      <c r="Y1020" s="4">
        <f t="shared" si="61"/>
        <v>0.7774566550303551</v>
      </c>
      <c r="Z1020" s="4">
        <f t="shared" si="62"/>
        <v>0.79529809253722206</v>
      </c>
      <c r="AA1020" s="4">
        <f t="shared" si="63"/>
        <v>0.64277477837138197</v>
      </c>
    </row>
    <row r="1021" spans="1:27" x14ac:dyDescent="0.3">
      <c r="A1021" t="s">
        <v>461</v>
      </c>
      <c r="B1021">
        <v>222091</v>
      </c>
      <c r="C1021">
        <v>2014</v>
      </c>
      <c r="D1021" t="s">
        <v>28</v>
      </c>
      <c r="E1021" t="s">
        <v>216</v>
      </c>
      <c r="F1021">
        <v>6</v>
      </c>
      <c r="G1021" t="s">
        <v>59</v>
      </c>
      <c r="H1021">
        <v>4</v>
      </c>
      <c r="I1021" t="s">
        <v>23</v>
      </c>
      <c r="J1021" t="s">
        <v>106</v>
      </c>
      <c r="K1021" t="s">
        <v>27</v>
      </c>
      <c r="L1021" t="s">
        <v>53</v>
      </c>
      <c r="M1021" t="s">
        <v>33</v>
      </c>
      <c r="N1021">
        <v>0</v>
      </c>
      <c r="O1021" t="s">
        <v>27</v>
      </c>
      <c r="S1021" s="3">
        <v>3750</v>
      </c>
      <c r="T1021" s="2">
        <v>4528.11572265625</v>
      </c>
      <c r="U1021" s="2">
        <v>4778.7308933606328</v>
      </c>
      <c r="V1021" s="2">
        <v>3810.0604457746599</v>
      </c>
      <c r="W1021" s="2">
        <v>4978.46826171875</v>
      </c>
      <c r="X1021" s="4">
        <f t="shared" si="60"/>
        <v>0.82815904665091078</v>
      </c>
      <c r="Y1021" s="4">
        <f t="shared" si="61"/>
        <v>0.78472717624884292</v>
      </c>
      <c r="Z1021" s="4">
        <f t="shared" si="62"/>
        <v>0.98423635356198436</v>
      </c>
      <c r="AA1021" s="4">
        <f t="shared" si="63"/>
        <v>0.75324372936855122</v>
      </c>
    </row>
    <row r="1022" spans="1:27" x14ac:dyDescent="0.3">
      <c r="A1022" t="s">
        <v>461</v>
      </c>
      <c r="B1022">
        <v>150403</v>
      </c>
      <c r="C1022">
        <v>2019</v>
      </c>
      <c r="D1022" t="s">
        <v>90</v>
      </c>
      <c r="E1022" t="s">
        <v>486</v>
      </c>
      <c r="F1022">
        <v>4</v>
      </c>
      <c r="G1022" t="s">
        <v>59</v>
      </c>
      <c r="H1022">
        <v>4</v>
      </c>
      <c r="I1022" t="s">
        <v>23</v>
      </c>
      <c r="J1022" t="s">
        <v>31</v>
      </c>
      <c r="L1022" t="s">
        <v>73</v>
      </c>
      <c r="M1022" t="s">
        <v>33</v>
      </c>
      <c r="N1022">
        <v>0</v>
      </c>
      <c r="O1022" t="s">
        <v>27</v>
      </c>
      <c r="S1022" s="3">
        <v>7000</v>
      </c>
      <c r="T1022" s="2">
        <v>5792.66357421875</v>
      </c>
      <c r="U1022" s="2">
        <v>4991.2805573729074</v>
      </c>
      <c r="V1022" s="2">
        <v>5581.2588315842859</v>
      </c>
      <c r="W1022" s="2">
        <v>5752.994140625</v>
      </c>
      <c r="X1022" s="4">
        <f t="shared" si="60"/>
        <v>1.2084250898247759</v>
      </c>
      <c r="Y1022" s="4">
        <f t="shared" si="61"/>
        <v>1.4024457089794116</v>
      </c>
      <c r="Z1022" s="4">
        <f t="shared" si="62"/>
        <v>1.2541973435073595</v>
      </c>
      <c r="AA1022" s="4">
        <f t="shared" si="63"/>
        <v>1.2167577141386636</v>
      </c>
    </row>
    <row r="1023" spans="1:27" x14ac:dyDescent="0.3">
      <c r="A1023" t="s">
        <v>461</v>
      </c>
      <c r="B1023">
        <v>130712</v>
      </c>
      <c r="C1023">
        <v>2017</v>
      </c>
      <c r="D1023" t="s">
        <v>81</v>
      </c>
      <c r="E1023" t="s">
        <v>201</v>
      </c>
      <c r="F1023">
        <v>6</v>
      </c>
      <c r="G1023" t="s">
        <v>47</v>
      </c>
      <c r="H1023">
        <v>4</v>
      </c>
      <c r="I1023" t="s">
        <v>23</v>
      </c>
      <c r="J1023" t="s">
        <v>24</v>
      </c>
      <c r="L1023" t="s">
        <v>26</v>
      </c>
      <c r="M1023" t="s">
        <v>33</v>
      </c>
      <c r="N1023">
        <v>0</v>
      </c>
      <c r="O1023" t="s">
        <v>27</v>
      </c>
      <c r="S1023" s="3">
        <v>4250</v>
      </c>
      <c r="T1023" s="2">
        <v>7808.98779296875</v>
      </c>
      <c r="U1023" s="2">
        <v>7951.4378007652967</v>
      </c>
      <c r="V1023" s="2">
        <v>5172.3827107271873</v>
      </c>
      <c r="W1023" s="2">
        <v>7884.2314453125</v>
      </c>
      <c r="X1023" s="4">
        <f t="shared" si="60"/>
        <v>0.54424467199535387</v>
      </c>
      <c r="Y1023" s="4">
        <f t="shared" si="61"/>
        <v>0.53449452872422054</v>
      </c>
      <c r="Z1023" s="4">
        <f t="shared" si="62"/>
        <v>0.82167160430448716</v>
      </c>
      <c r="AA1023" s="4">
        <f t="shared" si="63"/>
        <v>0.53905063917508411</v>
      </c>
    </row>
    <row r="1024" spans="1:27" x14ac:dyDescent="0.3">
      <c r="A1024" t="s">
        <v>395</v>
      </c>
      <c r="B1024">
        <v>101435</v>
      </c>
      <c r="C1024">
        <v>2012</v>
      </c>
      <c r="D1024" t="s">
        <v>71</v>
      </c>
      <c r="E1024" t="s">
        <v>212</v>
      </c>
      <c r="F1024">
        <v>6</v>
      </c>
      <c r="G1024" t="s">
        <v>59</v>
      </c>
      <c r="H1024">
        <v>4</v>
      </c>
      <c r="I1024" t="s">
        <v>23</v>
      </c>
      <c r="J1024" t="s">
        <v>31</v>
      </c>
      <c r="K1024" t="s">
        <v>27</v>
      </c>
      <c r="L1024" t="s">
        <v>26</v>
      </c>
      <c r="M1024" t="s">
        <v>33</v>
      </c>
      <c r="N1024">
        <v>0</v>
      </c>
      <c r="O1024" t="s">
        <v>27</v>
      </c>
      <c r="S1024" s="3">
        <v>6800</v>
      </c>
      <c r="T1024" s="2">
        <v>6693.45703125</v>
      </c>
      <c r="U1024" s="2">
        <v>5304.8685791917169</v>
      </c>
      <c r="V1024" s="2">
        <v>6048.7468362198179</v>
      </c>
      <c r="W1024" s="2">
        <v>5853.91455078125</v>
      </c>
      <c r="X1024" s="4">
        <f t="shared" si="60"/>
        <v>1.0159174800484381</v>
      </c>
      <c r="Y1024" s="4">
        <f t="shared" si="61"/>
        <v>1.2818413686387855</v>
      </c>
      <c r="Z1024" s="4">
        <f t="shared" si="62"/>
        <v>1.1241998027230513</v>
      </c>
      <c r="AA1024" s="4">
        <f t="shared" si="63"/>
        <v>1.1616158625158763</v>
      </c>
    </row>
    <row r="1025" spans="1:27" x14ac:dyDescent="0.3">
      <c r="A1025" t="s">
        <v>395</v>
      </c>
      <c r="B1025">
        <v>96937</v>
      </c>
      <c r="C1025">
        <v>2008</v>
      </c>
      <c r="D1025" t="s">
        <v>44</v>
      </c>
      <c r="E1025" t="s">
        <v>487</v>
      </c>
      <c r="F1025">
        <v>8</v>
      </c>
      <c r="G1025" t="s">
        <v>59</v>
      </c>
      <c r="H1025">
        <v>3</v>
      </c>
      <c r="I1025" t="s">
        <v>23</v>
      </c>
      <c r="J1025" t="s">
        <v>448</v>
      </c>
      <c r="L1025" t="s">
        <v>311</v>
      </c>
      <c r="M1025" t="s">
        <v>78</v>
      </c>
      <c r="N1025">
        <v>0</v>
      </c>
      <c r="O1025" t="s">
        <v>27</v>
      </c>
      <c r="S1025" s="3">
        <v>5300</v>
      </c>
      <c r="T1025" s="2">
        <v>7044.9072265625</v>
      </c>
      <c r="U1025" s="2">
        <v>12887.12127728731</v>
      </c>
      <c r="V1025" s="2">
        <v>4309.3290741149522</v>
      </c>
      <c r="W1025" s="2">
        <v>8737.9462890625</v>
      </c>
      <c r="X1025" s="4">
        <f t="shared" si="60"/>
        <v>0.75231650745045908</v>
      </c>
      <c r="Y1025" s="4">
        <f t="shared" si="61"/>
        <v>0.41126329813787788</v>
      </c>
      <c r="Z1025" s="4">
        <f t="shared" si="62"/>
        <v>1.2298898294483374</v>
      </c>
      <c r="AA1025" s="4">
        <f t="shared" si="63"/>
        <v>0.60654984874811357</v>
      </c>
    </row>
    <row r="1026" spans="1:27" x14ac:dyDescent="0.3">
      <c r="A1026" t="s">
        <v>395</v>
      </c>
      <c r="B1026">
        <v>262097</v>
      </c>
      <c r="C1026">
        <v>2017</v>
      </c>
      <c r="D1026" t="s">
        <v>28</v>
      </c>
      <c r="E1026" t="s">
        <v>58</v>
      </c>
      <c r="F1026">
        <v>4</v>
      </c>
      <c r="G1026" t="s">
        <v>30</v>
      </c>
      <c r="H1026">
        <v>4</v>
      </c>
      <c r="I1026" t="s">
        <v>23</v>
      </c>
      <c r="J1026" t="s">
        <v>24</v>
      </c>
      <c r="K1026" t="s">
        <v>27</v>
      </c>
      <c r="L1026" t="s">
        <v>107</v>
      </c>
      <c r="M1026" t="s">
        <v>33</v>
      </c>
      <c r="N1026">
        <v>0</v>
      </c>
      <c r="S1026" s="3">
        <v>6400</v>
      </c>
      <c r="T1026" s="2">
        <v>6384.86083984375</v>
      </c>
      <c r="U1026" s="2">
        <v>6518.5358132314304</v>
      </c>
      <c r="V1026" s="2">
        <v>4319.4265064845486</v>
      </c>
      <c r="W1026" s="2">
        <v>7398.2060546875</v>
      </c>
      <c r="X1026" s="4">
        <f t="shared" ref="X1026:X1089" si="64">S1026/T1026</f>
        <v>1.0023711026028597</v>
      </c>
      <c r="Y1026" s="4">
        <f t="shared" ref="Y1026:Y1089" si="65">S1026/U1026</f>
        <v>0.98181557689829291</v>
      </c>
      <c r="Z1026" s="4">
        <f t="shared" ref="Z1026:Z1089" si="66">S1026/V1026</f>
        <v>1.4816781788952738</v>
      </c>
      <c r="AA1026" s="4">
        <f t="shared" ref="AA1026:AA1089" si="67">S1026/W1026</f>
        <v>0.86507458060660025</v>
      </c>
    </row>
    <row r="1027" spans="1:27" x14ac:dyDescent="0.3">
      <c r="A1027" t="s">
        <v>395</v>
      </c>
      <c r="B1027">
        <v>155853</v>
      </c>
      <c r="C1027">
        <v>2012</v>
      </c>
      <c r="D1027" t="s">
        <v>44</v>
      </c>
      <c r="E1027" t="s">
        <v>210</v>
      </c>
      <c r="F1027">
        <v>6</v>
      </c>
      <c r="G1027" t="s">
        <v>30</v>
      </c>
      <c r="H1027">
        <v>4</v>
      </c>
      <c r="I1027" t="s">
        <v>23</v>
      </c>
      <c r="J1027" t="s">
        <v>37</v>
      </c>
      <c r="K1027" t="s">
        <v>27</v>
      </c>
      <c r="L1027" t="s">
        <v>168</v>
      </c>
      <c r="M1027" t="s">
        <v>33</v>
      </c>
      <c r="N1027">
        <v>0</v>
      </c>
      <c r="O1027" t="s">
        <v>27</v>
      </c>
      <c r="S1027" s="3">
        <v>700</v>
      </c>
      <c r="T1027" s="2">
        <v>3097.70654296875</v>
      </c>
      <c r="U1027" s="2">
        <v>3398.839280525443</v>
      </c>
      <c r="V1027" s="2">
        <v>2725.936306419168</v>
      </c>
      <c r="W1027" s="2">
        <v>3238.602294921875</v>
      </c>
      <c r="X1027" s="4">
        <f t="shared" si="64"/>
        <v>0.22597363252141398</v>
      </c>
      <c r="Y1027" s="4">
        <f t="shared" si="65"/>
        <v>0.20595266272543009</v>
      </c>
      <c r="Z1027" s="4">
        <f t="shared" si="66"/>
        <v>0.25679250037926632</v>
      </c>
      <c r="AA1027" s="4">
        <f t="shared" si="67"/>
        <v>0.21614262458147432</v>
      </c>
    </row>
    <row r="1028" spans="1:27" x14ac:dyDescent="0.3">
      <c r="A1028" t="s">
        <v>395</v>
      </c>
      <c r="B1028">
        <v>193602</v>
      </c>
      <c r="C1028">
        <v>2016</v>
      </c>
      <c r="D1028" t="s">
        <v>44</v>
      </c>
      <c r="E1028" t="s">
        <v>210</v>
      </c>
      <c r="F1028">
        <v>4</v>
      </c>
      <c r="G1028" t="s">
        <v>22</v>
      </c>
      <c r="H1028">
        <v>4</v>
      </c>
      <c r="I1028" t="s">
        <v>23</v>
      </c>
      <c r="J1028" t="s">
        <v>37</v>
      </c>
      <c r="K1028" t="s">
        <v>27</v>
      </c>
      <c r="L1028" t="s">
        <v>128</v>
      </c>
      <c r="M1028" t="s">
        <v>33</v>
      </c>
      <c r="N1028">
        <v>0</v>
      </c>
      <c r="O1028" t="s">
        <v>27</v>
      </c>
      <c r="S1028" s="3">
        <v>1500</v>
      </c>
      <c r="T1028" s="2">
        <v>2885.61083984375</v>
      </c>
      <c r="U1028" s="2">
        <v>3028.0157592492878</v>
      </c>
      <c r="V1028" s="2">
        <v>3398.2737854791858</v>
      </c>
      <c r="W1028" s="2">
        <v>2821.27880859375</v>
      </c>
      <c r="X1028" s="4">
        <f t="shared" si="64"/>
        <v>0.51982061450851147</v>
      </c>
      <c r="Y1028" s="4">
        <f t="shared" si="65"/>
        <v>0.49537390795214459</v>
      </c>
      <c r="Z1028" s="4">
        <f t="shared" si="66"/>
        <v>0.44140057414134665</v>
      </c>
      <c r="AA1028" s="4">
        <f t="shared" si="67"/>
        <v>0.53167379113008195</v>
      </c>
    </row>
    <row r="1029" spans="1:27" x14ac:dyDescent="0.3">
      <c r="A1029" t="s">
        <v>395</v>
      </c>
      <c r="B1029">
        <v>146193</v>
      </c>
      <c r="C1029">
        <v>2012</v>
      </c>
      <c r="D1029" t="s">
        <v>71</v>
      </c>
      <c r="E1029" t="s">
        <v>170</v>
      </c>
      <c r="F1029">
        <v>6</v>
      </c>
      <c r="G1029" t="s">
        <v>99</v>
      </c>
      <c r="H1029">
        <v>4</v>
      </c>
      <c r="I1029" t="s">
        <v>23</v>
      </c>
      <c r="J1029" t="s">
        <v>24</v>
      </c>
      <c r="K1029" t="s">
        <v>27</v>
      </c>
      <c r="L1029" t="s">
        <v>26</v>
      </c>
      <c r="M1029" t="s">
        <v>33</v>
      </c>
      <c r="N1029">
        <v>0</v>
      </c>
      <c r="O1029" t="s">
        <v>27</v>
      </c>
      <c r="S1029" s="3">
        <v>2200</v>
      </c>
      <c r="T1029" s="2">
        <v>5067.677734375</v>
      </c>
      <c r="U1029" s="2">
        <v>4268.7686226330798</v>
      </c>
      <c r="V1029" s="2">
        <v>4477.6390086768133</v>
      </c>
      <c r="W1029" s="2">
        <v>3961.390380859375</v>
      </c>
      <c r="X1029" s="4">
        <f t="shared" si="64"/>
        <v>0.43412389566072662</v>
      </c>
      <c r="Y1029" s="4">
        <f t="shared" si="65"/>
        <v>0.51537110452310875</v>
      </c>
      <c r="Z1029" s="4">
        <f t="shared" si="66"/>
        <v>0.49133036310806166</v>
      </c>
      <c r="AA1029" s="4">
        <f t="shared" si="67"/>
        <v>0.55536056497485031</v>
      </c>
    </row>
    <row r="1030" spans="1:27" x14ac:dyDescent="0.3">
      <c r="A1030" t="s">
        <v>395</v>
      </c>
      <c r="B1030">
        <v>159831</v>
      </c>
      <c r="C1030">
        <v>2017</v>
      </c>
      <c r="D1030" t="s">
        <v>44</v>
      </c>
      <c r="E1030" t="s">
        <v>117</v>
      </c>
      <c r="F1030">
        <v>4</v>
      </c>
      <c r="G1030" t="s">
        <v>66</v>
      </c>
      <c r="H1030">
        <v>4</v>
      </c>
      <c r="I1030" t="s">
        <v>23</v>
      </c>
      <c r="J1030" t="s">
        <v>62</v>
      </c>
      <c r="L1030" t="s">
        <v>200</v>
      </c>
      <c r="M1030">
        <v>4</v>
      </c>
      <c r="N1030">
        <v>0</v>
      </c>
      <c r="O1030" t="s">
        <v>27</v>
      </c>
      <c r="S1030" s="3">
        <v>700</v>
      </c>
      <c r="T1030" s="2">
        <v>4614.486328125</v>
      </c>
      <c r="U1030" s="2">
        <v>4393.187934757294</v>
      </c>
      <c r="V1030" s="2">
        <v>4030.1413161500809</v>
      </c>
      <c r="W1030" s="2">
        <v>5480.373046875</v>
      </c>
      <c r="X1030" s="4">
        <f t="shared" si="64"/>
        <v>0.15169619113042868</v>
      </c>
      <c r="Y1030" s="4">
        <f t="shared" si="65"/>
        <v>0.15933759502111355</v>
      </c>
      <c r="Z1030" s="4">
        <f t="shared" si="66"/>
        <v>0.17369117980922241</v>
      </c>
      <c r="AA1030" s="4">
        <f t="shared" si="67"/>
        <v>0.12772853125375319</v>
      </c>
    </row>
    <row r="1031" spans="1:27" x14ac:dyDescent="0.3">
      <c r="A1031" t="s">
        <v>395</v>
      </c>
      <c r="B1031">
        <v>88494</v>
      </c>
      <c r="C1031">
        <v>2019</v>
      </c>
      <c r="D1031" t="s">
        <v>239</v>
      </c>
      <c r="E1031" t="s">
        <v>488</v>
      </c>
      <c r="F1031">
        <v>4</v>
      </c>
      <c r="G1031" t="s">
        <v>36</v>
      </c>
      <c r="H1031">
        <v>4</v>
      </c>
      <c r="I1031" t="s">
        <v>23</v>
      </c>
      <c r="J1031" t="s">
        <v>24</v>
      </c>
      <c r="K1031" t="s">
        <v>27</v>
      </c>
      <c r="L1031" t="s">
        <v>127</v>
      </c>
      <c r="M1031" t="s">
        <v>23</v>
      </c>
      <c r="N1031">
        <v>0</v>
      </c>
      <c r="O1031" t="s">
        <v>27</v>
      </c>
      <c r="S1031" s="3">
        <v>16400</v>
      </c>
      <c r="T1031" s="2">
        <v>20030.15234375</v>
      </c>
      <c r="U1031" s="2">
        <v>17525.912511571911</v>
      </c>
      <c r="V1031" s="2">
        <v>16102.133196039769</v>
      </c>
      <c r="W1031" s="2">
        <v>17220.734375</v>
      </c>
      <c r="X1031" s="4">
        <f t="shared" si="64"/>
        <v>0.81876561488646316</v>
      </c>
      <c r="Y1031" s="4">
        <f t="shared" si="65"/>
        <v>0.93575726737032949</v>
      </c>
      <c r="Z1031" s="4">
        <f t="shared" si="66"/>
        <v>1.0184985927227015</v>
      </c>
      <c r="AA1031" s="4">
        <f t="shared" si="67"/>
        <v>0.95234033827317544</v>
      </c>
    </row>
    <row r="1032" spans="1:27" x14ac:dyDescent="0.3">
      <c r="A1032" t="s">
        <v>395</v>
      </c>
      <c r="B1032">
        <v>205559</v>
      </c>
      <c r="C1032">
        <v>2015</v>
      </c>
      <c r="D1032" t="s">
        <v>34</v>
      </c>
      <c r="E1032" t="s">
        <v>61</v>
      </c>
      <c r="F1032">
        <v>6</v>
      </c>
      <c r="G1032" t="s">
        <v>30</v>
      </c>
      <c r="H1032">
        <v>4</v>
      </c>
      <c r="I1032" t="s">
        <v>23</v>
      </c>
      <c r="J1032" t="s">
        <v>62</v>
      </c>
      <c r="K1032" t="s">
        <v>27</v>
      </c>
      <c r="L1032" t="s">
        <v>38</v>
      </c>
      <c r="M1032" t="s">
        <v>33</v>
      </c>
      <c r="N1032">
        <v>0</v>
      </c>
      <c r="S1032" s="3">
        <v>9200</v>
      </c>
      <c r="T1032" s="2">
        <v>6378.49658203125</v>
      </c>
      <c r="U1032" s="2">
        <v>6240.1416490282854</v>
      </c>
      <c r="V1032" s="2">
        <v>4387.4777728537774</v>
      </c>
      <c r="W1032" s="2">
        <v>6635.16552734375</v>
      </c>
      <c r="X1032" s="4">
        <f t="shared" si="64"/>
        <v>1.442346151899988</v>
      </c>
      <c r="Y1032" s="4">
        <f t="shared" si="65"/>
        <v>1.474325506927014</v>
      </c>
      <c r="Z1032" s="4">
        <f t="shared" si="66"/>
        <v>2.0968767196775975</v>
      </c>
      <c r="AA1032" s="4">
        <f t="shared" si="67"/>
        <v>1.3865516937123086</v>
      </c>
    </row>
    <row r="1033" spans="1:27" x14ac:dyDescent="0.3">
      <c r="A1033" t="s">
        <v>395</v>
      </c>
      <c r="B1033">
        <v>174167</v>
      </c>
      <c r="C1033">
        <v>2016</v>
      </c>
      <c r="D1033" t="s">
        <v>40</v>
      </c>
      <c r="E1033" t="s">
        <v>229</v>
      </c>
      <c r="F1033">
        <v>4</v>
      </c>
      <c r="G1033" t="s">
        <v>171</v>
      </c>
      <c r="H1033">
        <v>4</v>
      </c>
      <c r="I1033" t="s">
        <v>23</v>
      </c>
      <c r="J1033" t="s">
        <v>31</v>
      </c>
      <c r="K1033" t="s">
        <v>27</v>
      </c>
      <c r="L1033" t="s">
        <v>107</v>
      </c>
      <c r="M1033" t="s">
        <v>33</v>
      </c>
      <c r="N1033">
        <v>0</v>
      </c>
      <c r="O1033" t="s">
        <v>27</v>
      </c>
      <c r="S1033" s="3">
        <v>1800</v>
      </c>
      <c r="T1033" s="2">
        <v>4335.8837890625</v>
      </c>
      <c r="U1033" s="2">
        <v>4210.2457389224801</v>
      </c>
      <c r="V1033" s="2">
        <v>3610.187268242652</v>
      </c>
      <c r="W1033" s="2">
        <v>3924.42138671875</v>
      </c>
      <c r="X1033" s="4">
        <f t="shared" si="64"/>
        <v>0.41514027763857436</v>
      </c>
      <c r="Y1033" s="4">
        <f t="shared" si="65"/>
        <v>0.42752848921846315</v>
      </c>
      <c r="Z1033" s="4">
        <f t="shared" si="66"/>
        <v>0.49858909420956288</v>
      </c>
      <c r="AA1033" s="4">
        <f t="shared" si="67"/>
        <v>0.45866634151257618</v>
      </c>
    </row>
    <row r="1034" spans="1:27" x14ac:dyDescent="0.3">
      <c r="A1034" t="s">
        <v>395</v>
      </c>
      <c r="B1034">
        <v>169273</v>
      </c>
      <c r="C1034">
        <v>2005</v>
      </c>
      <c r="D1034" t="s">
        <v>54</v>
      </c>
      <c r="E1034" t="s">
        <v>55</v>
      </c>
      <c r="F1034">
        <v>6</v>
      </c>
      <c r="G1034" t="s">
        <v>59</v>
      </c>
      <c r="H1034">
        <v>4</v>
      </c>
      <c r="I1034" t="s">
        <v>23</v>
      </c>
      <c r="J1034" t="s">
        <v>24</v>
      </c>
      <c r="K1034" t="s">
        <v>27</v>
      </c>
      <c r="L1034" t="s">
        <v>57</v>
      </c>
      <c r="M1034" t="s">
        <v>78</v>
      </c>
      <c r="N1034">
        <v>0</v>
      </c>
      <c r="O1034" t="s">
        <v>27</v>
      </c>
      <c r="S1034" s="3">
        <v>1200</v>
      </c>
      <c r="T1034" s="2">
        <v>1744.898803710938</v>
      </c>
      <c r="U1034" s="2">
        <v>5334.1083817365943</v>
      </c>
      <c r="V1034" s="2">
        <v>215.38563285322201</v>
      </c>
      <c r="W1034" s="2">
        <v>1279.694702148438</v>
      </c>
      <c r="X1034" s="4">
        <f t="shared" si="64"/>
        <v>0.68771896539095423</v>
      </c>
      <c r="Y1034" s="4">
        <f t="shared" si="65"/>
        <v>0.22496730739642809</v>
      </c>
      <c r="Z1034" s="4">
        <f t="shared" si="66"/>
        <v>5.5714022523394551</v>
      </c>
      <c r="AA1034" s="4">
        <f t="shared" si="67"/>
        <v>0.93772366017094455</v>
      </c>
    </row>
    <row r="1035" spans="1:27" x14ac:dyDescent="0.3">
      <c r="A1035" t="s">
        <v>395</v>
      </c>
      <c r="B1035">
        <v>156771</v>
      </c>
      <c r="C1035">
        <v>2008</v>
      </c>
      <c r="D1035" t="s">
        <v>44</v>
      </c>
      <c r="E1035" t="s">
        <v>68</v>
      </c>
      <c r="F1035">
        <v>6</v>
      </c>
      <c r="G1035" t="s">
        <v>36</v>
      </c>
      <c r="H1035">
        <v>4</v>
      </c>
      <c r="I1035" t="s">
        <v>23</v>
      </c>
      <c r="J1035" t="s">
        <v>24</v>
      </c>
      <c r="L1035" t="s">
        <v>348</v>
      </c>
      <c r="M1035" t="s">
        <v>78</v>
      </c>
      <c r="N1035">
        <v>0</v>
      </c>
      <c r="O1035" t="s">
        <v>27</v>
      </c>
      <c r="S1035" s="3">
        <v>1000</v>
      </c>
      <c r="T1035" s="2">
        <v>3287.593505859375</v>
      </c>
      <c r="U1035" s="2">
        <v>3157.7366561319991</v>
      </c>
      <c r="V1035" s="2">
        <v>1827.777801160697</v>
      </c>
      <c r="W1035" s="2">
        <v>2636.34375</v>
      </c>
      <c r="X1035" s="4">
        <f t="shared" si="64"/>
        <v>0.30417385793521351</v>
      </c>
      <c r="Y1035" s="4">
        <f t="shared" si="65"/>
        <v>0.31668251944255804</v>
      </c>
      <c r="Z1035" s="4">
        <f t="shared" si="66"/>
        <v>0.54711245500682204</v>
      </c>
      <c r="AA1035" s="4">
        <f t="shared" si="67"/>
        <v>0.37931320602633856</v>
      </c>
    </row>
    <row r="1036" spans="1:27" x14ac:dyDescent="0.3">
      <c r="A1036" t="s">
        <v>395</v>
      </c>
      <c r="B1036">
        <v>204677</v>
      </c>
      <c r="C1036">
        <v>2007</v>
      </c>
      <c r="D1036" t="s">
        <v>40</v>
      </c>
      <c r="E1036" t="s">
        <v>41</v>
      </c>
      <c r="F1036">
        <v>8</v>
      </c>
      <c r="G1036" t="s">
        <v>30</v>
      </c>
      <c r="H1036">
        <v>2</v>
      </c>
      <c r="I1036" t="s">
        <v>23</v>
      </c>
      <c r="J1036" t="s">
        <v>49</v>
      </c>
      <c r="L1036" t="s">
        <v>334</v>
      </c>
      <c r="M1036">
        <v>4</v>
      </c>
      <c r="N1036">
        <v>0</v>
      </c>
      <c r="S1036" s="3">
        <v>4200</v>
      </c>
      <c r="T1036" s="2">
        <v>3192.20068359375</v>
      </c>
      <c r="U1036" s="2">
        <v>9592.9036716442151</v>
      </c>
      <c r="V1036" s="2">
        <v>2406.35622032938</v>
      </c>
      <c r="W1036" s="2">
        <v>5373.7119140625</v>
      </c>
      <c r="X1036" s="4">
        <f t="shared" si="64"/>
        <v>1.3157067541479499</v>
      </c>
      <c r="Y1036" s="4">
        <f t="shared" si="65"/>
        <v>0.43782363961548293</v>
      </c>
      <c r="Z1036" s="4">
        <f t="shared" si="66"/>
        <v>1.7453774983593691</v>
      </c>
      <c r="AA1036" s="4">
        <f t="shared" si="67"/>
        <v>0.78158265034807584</v>
      </c>
    </row>
    <row r="1037" spans="1:27" x14ac:dyDescent="0.3">
      <c r="A1037" t="s">
        <v>429</v>
      </c>
      <c r="B1037">
        <v>19443</v>
      </c>
      <c r="C1037">
        <v>2023</v>
      </c>
      <c r="D1037" t="s">
        <v>187</v>
      </c>
      <c r="E1037" t="s">
        <v>411</v>
      </c>
      <c r="F1037">
        <v>4</v>
      </c>
      <c r="G1037" t="s">
        <v>30</v>
      </c>
      <c r="H1037">
        <v>4</v>
      </c>
      <c r="I1037" t="s">
        <v>23</v>
      </c>
      <c r="J1037" t="s">
        <v>24</v>
      </c>
      <c r="K1037" t="s">
        <v>25</v>
      </c>
      <c r="L1037" t="s">
        <v>102</v>
      </c>
      <c r="M1037" t="s">
        <v>23</v>
      </c>
      <c r="N1037">
        <v>0</v>
      </c>
      <c r="O1037" t="s">
        <v>27</v>
      </c>
      <c r="S1037" s="3">
        <v>30200</v>
      </c>
      <c r="T1037" s="2">
        <v>24725.96484375</v>
      </c>
      <c r="U1037" s="2">
        <v>23476.88493003093</v>
      </c>
      <c r="V1037" s="2">
        <v>27985.961336278349</v>
      </c>
      <c r="W1037" s="2">
        <v>26229.060546875</v>
      </c>
      <c r="X1037" s="4">
        <f t="shared" si="64"/>
        <v>1.2213881314982811</v>
      </c>
      <c r="Y1037" s="4">
        <f t="shared" si="65"/>
        <v>1.2863716838927408</v>
      </c>
      <c r="Z1037" s="4">
        <f t="shared" si="66"/>
        <v>1.0791124748983192</v>
      </c>
      <c r="AA1037" s="4">
        <f t="shared" si="67"/>
        <v>1.1513946504499608</v>
      </c>
    </row>
    <row r="1038" spans="1:27" x14ac:dyDescent="0.3">
      <c r="A1038" t="s">
        <v>430</v>
      </c>
      <c r="B1038">
        <v>112452</v>
      </c>
      <c r="C1038">
        <v>2007</v>
      </c>
      <c r="D1038" t="s">
        <v>489</v>
      </c>
      <c r="E1038" t="s">
        <v>490</v>
      </c>
      <c r="F1038">
        <v>6</v>
      </c>
      <c r="G1038" t="s">
        <v>47</v>
      </c>
      <c r="H1038">
        <v>4</v>
      </c>
      <c r="I1038" t="s">
        <v>23</v>
      </c>
      <c r="J1038" t="s">
        <v>24</v>
      </c>
      <c r="K1038" t="s">
        <v>25</v>
      </c>
      <c r="L1038" t="s">
        <v>301</v>
      </c>
      <c r="M1038" t="s">
        <v>33</v>
      </c>
      <c r="N1038">
        <v>0</v>
      </c>
      <c r="O1038" t="s">
        <v>27</v>
      </c>
      <c r="S1038" s="3">
        <v>400</v>
      </c>
      <c r="T1038" s="2">
        <v>2550.367431640625</v>
      </c>
      <c r="U1038" s="2">
        <v>1927.182135020334</v>
      </c>
      <c r="V1038" s="2">
        <v>984.92577211445132</v>
      </c>
      <c r="W1038" s="2">
        <v>2033.3369140625</v>
      </c>
      <c r="X1038" s="4">
        <f t="shared" si="64"/>
        <v>0.1568401458697597</v>
      </c>
      <c r="Y1038" s="4">
        <f t="shared" si="65"/>
        <v>0.20755692611055651</v>
      </c>
      <c r="Z1038" s="4">
        <f t="shared" si="66"/>
        <v>0.40612197520354743</v>
      </c>
      <c r="AA1038" s="4">
        <f t="shared" si="67"/>
        <v>0.19672096504696857</v>
      </c>
    </row>
    <row r="1039" spans="1:27" x14ac:dyDescent="0.3">
      <c r="A1039" t="s">
        <v>430</v>
      </c>
      <c r="B1039">
        <v>95802</v>
      </c>
      <c r="C1039">
        <v>2014</v>
      </c>
      <c r="D1039" t="s">
        <v>40</v>
      </c>
      <c r="E1039" t="s">
        <v>136</v>
      </c>
      <c r="F1039">
        <v>4</v>
      </c>
      <c r="G1039" t="s">
        <v>59</v>
      </c>
      <c r="H1039">
        <v>4</v>
      </c>
      <c r="I1039" t="s">
        <v>23</v>
      </c>
      <c r="J1039" t="s">
        <v>31</v>
      </c>
      <c r="K1039" t="s">
        <v>25</v>
      </c>
      <c r="L1039" t="s">
        <v>73</v>
      </c>
      <c r="M1039" t="s">
        <v>33</v>
      </c>
      <c r="N1039">
        <v>0</v>
      </c>
      <c r="O1039" t="s">
        <v>27</v>
      </c>
      <c r="S1039" s="3">
        <v>600</v>
      </c>
      <c r="T1039" s="2">
        <v>6085.0048828125</v>
      </c>
      <c r="U1039" s="2">
        <v>5428.8658470955615</v>
      </c>
      <c r="V1039" s="2">
        <v>3745.2699855818441</v>
      </c>
      <c r="W1039" s="2">
        <v>5714.8779296875</v>
      </c>
      <c r="X1039" s="4">
        <f t="shared" si="64"/>
        <v>9.860304330974981E-2</v>
      </c>
      <c r="Y1039" s="4">
        <f t="shared" si="65"/>
        <v>0.11052032172078805</v>
      </c>
      <c r="Z1039" s="4">
        <f t="shared" si="66"/>
        <v>0.16020206882543006</v>
      </c>
      <c r="AA1039" s="4">
        <f t="shared" si="67"/>
        <v>0.10498911916965636</v>
      </c>
    </row>
    <row r="1040" spans="1:27" x14ac:dyDescent="0.3">
      <c r="A1040" t="s">
        <v>430</v>
      </c>
      <c r="B1040">
        <v>175726</v>
      </c>
      <c r="C1040">
        <v>2005</v>
      </c>
      <c r="D1040" t="s">
        <v>119</v>
      </c>
      <c r="E1040" t="s">
        <v>491</v>
      </c>
      <c r="F1040">
        <v>4</v>
      </c>
      <c r="G1040" t="s">
        <v>36</v>
      </c>
      <c r="H1040">
        <v>4</v>
      </c>
      <c r="I1040" t="s">
        <v>23</v>
      </c>
      <c r="J1040" t="s">
        <v>31</v>
      </c>
      <c r="K1040" t="s">
        <v>25</v>
      </c>
      <c r="L1040" t="s">
        <v>60</v>
      </c>
      <c r="M1040" t="s">
        <v>33</v>
      </c>
      <c r="N1040">
        <v>0</v>
      </c>
      <c r="O1040" t="s">
        <v>27</v>
      </c>
      <c r="S1040" s="3">
        <v>300</v>
      </c>
      <c r="T1040" s="2">
        <v>656.03900146484375</v>
      </c>
      <c r="U1040" s="2">
        <v>581.67367424238546</v>
      </c>
      <c r="V1040" s="2">
        <v>482.45136161590932</v>
      </c>
      <c r="W1040" s="2">
        <v>923.24102783203125</v>
      </c>
      <c r="X1040" s="4">
        <f t="shared" si="64"/>
        <v>0.45728988570823043</v>
      </c>
      <c r="Y1040" s="4">
        <f t="shared" si="65"/>
        <v>0.51575309883284992</v>
      </c>
      <c r="Z1040" s="4">
        <f t="shared" si="66"/>
        <v>0.62182434099716966</v>
      </c>
      <c r="AA1040" s="4">
        <f t="shared" si="67"/>
        <v>0.32494223172085906</v>
      </c>
    </row>
    <row r="1041" spans="1:27" x14ac:dyDescent="0.3">
      <c r="A1041" t="s">
        <v>430</v>
      </c>
      <c r="B1041">
        <v>88305</v>
      </c>
      <c r="C1041">
        <v>2014</v>
      </c>
      <c r="D1041" t="s">
        <v>100</v>
      </c>
      <c r="E1041" t="s">
        <v>444</v>
      </c>
      <c r="F1041">
        <v>6</v>
      </c>
      <c r="G1041" t="s">
        <v>66</v>
      </c>
      <c r="H1041">
        <v>4</v>
      </c>
      <c r="I1041" t="s">
        <v>23</v>
      </c>
      <c r="J1041" t="s">
        <v>42</v>
      </c>
      <c r="K1041" t="s">
        <v>25</v>
      </c>
      <c r="L1041" t="s">
        <v>348</v>
      </c>
      <c r="M1041" t="s">
        <v>78</v>
      </c>
      <c r="N1041">
        <v>0</v>
      </c>
      <c r="O1041" t="s">
        <v>27</v>
      </c>
      <c r="S1041" s="3">
        <v>6200</v>
      </c>
      <c r="T1041" s="2">
        <v>10431.4931640625</v>
      </c>
      <c r="U1041" s="2">
        <v>11848.54055438561</v>
      </c>
      <c r="V1041" s="2">
        <v>10690.88985228387</v>
      </c>
      <c r="W1041" s="2">
        <v>11098.7392578125</v>
      </c>
      <c r="X1041" s="4">
        <f t="shared" si="64"/>
        <v>0.59435402990624564</v>
      </c>
      <c r="Y1041" s="4">
        <f t="shared" si="65"/>
        <v>0.52327119711846171</v>
      </c>
      <c r="Z1041" s="4">
        <f t="shared" si="66"/>
        <v>0.57993301639671357</v>
      </c>
      <c r="AA1041" s="4">
        <f t="shared" si="67"/>
        <v>0.55862200705686149</v>
      </c>
    </row>
    <row r="1042" spans="1:27" x14ac:dyDescent="0.3">
      <c r="A1042" t="s">
        <v>430</v>
      </c>
      <c r="B1042">
        <v>204535</v>
      </c>
      <c r="C1042">
        <v>2013</v>
      </c>
      <c r="D1042" t="s">
        <v>44</v>
      </c>
      <c r="E1042" t="s">
        <v>45</v>
      </c>
      <c r="F1042">
        <v>8</v>
      </c>
      <c r="G1042" t="s">
        <v>30</v>
      </c>
      <c r="H1042">
        <v>4</v>
      </c>
      <c r="I1042" t="s">
        <v>23</v>
      </c>
      <c r="J1042" t="s">
        <v>46</v>
      </c>
      <c r="K1042" t="s">
        <v>25</v>
      </c>
      <c r="L1042" t="s">
        <v>48</v>
      </c>
      <c r="M1042" t="s">
        <v>78</v>
      </c>
      <c r="N1042">
        <v>0</v>
      </c>
      <c r="O1042" t="s">
        <v>27</v>
      </c>
      <c r="S1042" s="3">
        <v>2600</v>
      </c>
      <c r="T1042" s="2">
        <v>5527.28515625</v>
      </c>
      <c r="U1042" s="2">
        <v>5494.1859026382172</v>
      </c>
      <c r="V1042" s="2">
        <v>2333.3092334101129</v>
      </c>
      <c r="W1042" s="2">
        <v>4459.9736328125</v>
      </c>
      <c r="X1042" s="4">
        <f t="shared" si="64"/>
        <v>0.47039367908493729</v>
      </c>
      <c r="Y1042" s="4">
        <f t="shared" si="65"/>
        <v>0.4732275256196779</v>
      </c>
      <c r="Z1042" s="4">
        <f t="shared" si="66"/>
        <v>1.1142972233475117</v>
      </c>
      <c r="AA1042" s="4">
        <f t="shared" si="67"/>
        <v>0.582963087689919</v>
      </c>
    </row>
    <row r="1043" spans="1:27" x14ac:dyDescent="0.3">
      <c r="A1043" t="s">
        <v>430</v>
      </c>
      <c r="B1043">
        <v>276887</v>
      </c>
      <c r="C1043">
        <v>2007</v>
      </c>
      <c r="D1043" t="s">
        <v>28</v>
      </c>
      <c r="E1043" t="s">
        <v>310</v>
      </c>
      <c r="F1043">
        <v>4</v>
      </c>
      <c r="G1043" t="s">
        <v>59</v>
      </c>
      <c r="H1043">
        <v>4</v>
      </c>
      <c r="I1043" t="s">
        <v>23</v>
      </c>
      <c r="J1043" t="s">
        <v>31</v>
      </c>
      <c r="K1043" t="s">
        <v>25</v>
      </c>
      <c r="L1043" t="s">
        <v>60</v>
      </c>
      <c r="M1043" t="s">
        <v>33</v>
      </c>
      <c r="N1043">
        <v>0</v>
      </c>
      <c r="O1043" t="s">
        <v>27</v>
      </c>
      <c r="S1043" s="3">
        <v>1000</v>
      </c>
      <c r="T1043" s="2">
        <v>1565.982666015625</v>
      </c>
      <c r="U1043" s="2">
        <v>1594.063417993038</v>
      </c>
      <c r="V1043" s="2">
        <v>531.04538577815219</v>
      </c>
      <c r="W1043" s="2">
        <v>1524.538940429688</v>
      </c>
      <c r="X1043" s="4">
        <f t="shared" si="64"/>
        <v>0.63857667246364158</v>
      </c>
      <c r="Y1043" s="4">
        <f t="shared" si="65"/>
        <v>0.62732761363975265</v>
      </c>
      <c r="Z1043" s="4">
        <f t="shared" si="66"/>
        <v>1.8830782203948135</v>
      </c>
      <c r="AA1043" s="4">
        <f t="shared" si="67"/>
        <v>0.65593601677248869</v>
      </c>
    </row>
    <row r="1044" spans="1:27" x14ac:dyDescent="0.3">
      <c r="A1044" t="s">
        <v>460</v>
      </c>
      <c r="B1044">
        <v>81843</v>
      </c>
      <c r="C1044">
        <v>2021</v>
      </c>
      <c r="D1044" t="s">
        <v>20</v>
      </c>
      <c r="E1044" t="s">
        <v>151</v>
      </c>
      <c r="F1044">
        <v>8</v>
      </c>
      <c r="G1044" t="s">
        <v>66</v>
      </c>
      <c r="H1044">
        <v>4</v>
      </c>
      <c r="I1044" t="s">
        <v>23</v>
      </c>
      <c r="J1044" t="s">
        <v>152</v>
      </c>
      <c r="K1044" t="s">
        <v>25</v>
      </c>
      <c r="L1044" t="s">
        <v>43</v>
      </c>
      <c r="M1044">
        <v>4</v>
      </c>
      <c r="N1044">
        <v>3.7</v>
      </c>
      <c r="O1044" t="s">
        <v>27</v>
      </c>
      <c r="S1044" s="3">
        <v>19510</v>
      </c>
      <c r="T1044" s="2">
        <v>39874.625</v>
      </c>
      <c r="U1044" s="2">
        <v>32521.295451818609</v>
      </c>
      <c r="V1044" s="2">
        <v>29334.585864672521</v>
      </c>
      <c r="W1044" s="2">
        <v>36410.203125</v>
      </c>
      <c r="X1044" s="4">
        <f t="shared" si="64"/>
        <v>0.48928359827835372</v>
      </c>
      <c r="Y1044" s="4">
        <f t="shared" si="65"/>
        <v>0.59991460146182429</v>
      </c>
      <c r="Z1044" s="4">
        <f t="shared" si="66"/>
        <v>0.66508523726921898</v>
      </c>
      <c r="AA1044" s="4">
        <f t="shared" si="67"/>
        <v>0.53583881235213515</v>
      </c>
    </row>
    <row r="1045" spans="1:27" x14ac:dyDescent="0.3">
      <c r="A1045" t="s">
        <v>461</v>
      </c>
      <c r="B1045">
        <v>146849</v>
      </c>
      <c r="C1045">
        <v>2017</v>
      </c>
      <c r="D1045" t="s">
        <v>44</v>
      </c>
      <c r="E1045" t="s">
        <v>68</v>
      </c>
      <c r="F1045">
        <v>6</v>
      </c>
      <c r="G1045" t="s">
        <v>59</v>
      </c>
      <c r="H1045">
        <v>4</v>
      </c>
      <c r="I1045" t="s">
        <v>23</v>
      </c>
      <c r="J1045" t="s">
        <v>62</v>
      </c>
      <c r="L1045" t="s">
        <v>38</v>
      </c>
      <c r="M1045" t="s">
        <v>33</v>
      </c>
      <c r="N1045">
        <v>2</v>
      </c>
      <c r="O1045" t="s">
        <v>27</v>
      </c>
      <c r="S1045" s="3">
        <v>4500</v>
      </c>
      <c r="T1045" s="2">
        <v>7178.59814453125</v>
      </c>
      <c r="U1045" s="2">
        <v>7384.1739883330811</v>
      </c>
      <c r="V1045" s="2">
        <v>5839.5791638495639</v>
      </c>
      <c r="W1045" s="2">
        <v>7548.12744140625</v>
      </c>
      <c r="X1045" s="4">
        <f t="shared" si="64"/>
        <v>0.62686333869073851</v>
      </c>
      <c r="Y1045" s="4">
        <f t="shared" si="65"/>
        <v>0.6094114259915806</v>
      </c>
      <c r="Z1045" s="4">
        <f t="shared" si="66"/>
        <v>0.77060347565072018</v>
      </c>
      <c r="AA1045" s="4">
        <f t="shared" si="67"/>
        <v>0.5961743538290909</v>
      </c>
    </row>
    <row r="1046" spans="1:27" x14ac:dyDescent="0.3">
      <c r="A1046" t="s">
        <v>461</v>
      </c>
      <c r="B1046">
        <v>186210</v>
      </c>
      <c r="C1046">
        <v>2019</v>
      </c>
      <c r="D1046" t="s">
        <v>44</v>
      </c>
      <c r="E1046" t="s">
        <v>45</v>
      </c>
      <c r="F1046">
        <v>8</v>
      </c>
      <c r="G1046" t="s">
        <v>30</v>
      </c>
      <c r="H1046">
        <v>4</v>
      </c>
      <c r="I1046" t="s">
        <v>23</v>
      </c>
      <c r="J1046" t="s">
        <v>46</v>
      </c>
      <c r="K1046" t="s">
        <v>27</v>
      </c>
      <c r="L1046" t="s">
        <v>48</v>
      </c>
      <c r="M1046">
        <v>4</v>
      </c>
      <c r="N1046">
        <v>0</v>
      </c>
      <c r="O1046" t="s">
        <v>27</v>
      </c>
      <c r="S1046" s="3">
        <v>11750</v>
      </c>
      <c r="T1046" s="2">
        <v>9548.0986328125</v>
      </c>
      <c r="U1046" s="2">
        <v>19789.490473181741</v>
      </c>
      <c r="V1046" s="2">
        <v>10985.265305129191</v>
      </c>
      <c r="W1046" s="2">
        <v>11331.904296875</v>
      </c>
      <c r="X1046" s="4">
        <f t="shared" si="64"/>
        <v>1.230611502024137</v>
      </c>
      <c r="Y1046" s="4">
        <f t="shared" si="65"/>
        <v>0.59374949627547657</v>
      </c>
      <c r="Z1046" s="4">
        <f t="shared" si="66"/>
        <v>1.0696145858683761</v>
      </c>
      <c r="AA1046" s="4">
        <f t="shared" si="67"/>
        <v>1.0368954495353706</v>
      </c>
    </row>
    <row r="1047" spans="1:27" x14ac:dyDescent="0.3">
      <c r="A1047" t="s">
        <v>461</v>
      </c>
      <c r="B1047">
        <v>103468</v>
      </c>
      <c r="C1047">
        <v>2015</v>
      </c>
      <c r="D1047" t="s">
        <v>239</v>
      </c>
      <c r="E1047" t="s">
        <v>438</v>
      </c>
      <c r="F1047">
        <v>4</v>
      </c>
      <c r="G1047" t="s">
        <v>22</v>
      </c>
      <c r="H1047">
        <v>4</v>
      </c>
      <c r="I1047" t="s">
        <v>23</v>
      </c>
      <c r="J1047" t="s">
        <v>31</v>
      </c>
      <c r="K1047" t="s">
        <v>27</v>
      </c>
      <c r="L1047" t="s">
        <v>127</v>
      </c>
      <c r="M1047" t="s">
        <v>78</v>
      </c>
      <c r="N1047">
        <v>1.7</v>
      </c>
      <c r="O1047" t="s">
        <v>27</v>
      </c>
      <c r="S1047" s="3">
        <v>3800</v>
      </c>
      <c r="T1047" s="2">
        <v>2761.217041015625</v>
      </c>
      <c r="U1047" s="2">
        <v>4270.9919507458544</v>
      </c>
      <c r="V1047" s="2">
        <v>5568.3692349166686</v>
      </c>
      <c r="W1047" s="2">
        <v>4670.50537109375</v>
      </c>
      <c r="X1047" s="4">
        <f t="shared" si="64"/>
        <v>1.3762047472379397</v>
      </c>
      <c r="Y1047" s="4">
        <f t="shared" si="65"/>
        <v>0.88972305352539849</v>
      </c>
      <c r="Z1047" s="4">
        <f t="shared" si="66"/>
        <v>0.68242601014529658</v>
      </c>
      <c r="AA1047" s="4">
        <f t="shared" si="67"/>
        <v>0.81361645005668992</v>
      </c>
    </row>
    <row r="1048" spans="1:27" x14ac:dyDescent="0.3">
      <c r="A1048" t="s">
        <v>461</v>
      </c>
      <c r="B1048">
        <v>111375</v>
      </c>
      <c r="C1048">
        <v>2020</v>
      </c>
      <c r="D1048" t="s">
        <v>119</v>
      </c>
      <c r="E1048" t="s">
        <v>120</v>
      </c>
      <c r="F1048">
        <v>3</v>
      </c>
      <c r="G1048" t="s">
        <v>66</v>
      </c>
      <c r="H1048">
        <v>4</v>
      </c>
      <c r="I1048" t="s">
        <v>233</v>
      </c>
      <c r="J1048" t="s">
        <v>31</v>
      </c>
      <c r="L1048" t="s">
        <v>121</v>
      </c>
      <c r="M1048" t="s">
        <v>33</v>
      </c>
      <c r="N1048">
        <v>1.9</v>
      </c>
      <c r="O1048" t="s">
        <v>27</v>
      </c>
      <c r="S1048" s="3">
        <v>2200</v>
      </c>
      <c r="T1048" s="2">
        <v>5041.4296875</v>
      </c>
      <c r="U1048" s="2">
        <v>4520.4423098436791</v>
      </c>
      <c r="V1048" s="2">
        <v>5101.7994729264574</v>
      </c>
      <c r="W1048" s="2">
        <v>4573.9248046875</v>
      </c>
      <c r="X1048" s="4">
        <f t="shared" si="64"/>
        <v>0.43638414822184307</v>
      </c>
      <c r="Y1048" s="4">
        <f t="shared" si="65"/>
        <v>0.48667803927268299</v>
      </c>
      <c r="Z1048" s="4">
        <f t="shared" si="66"/>
        <v>0.43122039815062585</v>
      </c>
      <c r="AA1048" s="4">
        <f t="shared" si="67"/>
        <v>0.48098735636085921</v>
      </c>
    </row>
    <row r="1049" spans="1:27" x14ac:dyDescent="0.3">
      <c r="A1049" t="s">
        <v>395</v>
      </c>
      <c r="B1049">
        <v>104063</v>
      </c>
      <c r="C1049">
        <v>2011</v>
      </c>
      <c r="D1049" t="s">
        <v>44</v>
      </c>
      <c r="E1049" t="s">
        <v>182</v>
      </c>
      <c r="F1049">
        <v>6</v>
      </c>
      <c r="G1049" t="s">
        <v>47</v>
      </c>
      <c r="H1049">
        <v>2</v>
      </c>
      <c r="I1049" t="s">
        <v>23</v>
      </c>
      <c r="J1049" t="s">
        <v>209</v>
      </c>
      <c r="L1049" t="s">
        <v>198</v>
      </c>
      <c r="M1049" t="s">
        <v>78</v>
      </c>
      <c r="N1049">
        <v>0</v>
      </c>
      <c r="O1049" t="s">
        <v>27</v>
      </c>
      <c r="S1049" s="3">
        <v>5000</v>
      </c>
      <c r="T1049" s="2">
        <v>8066.4697265625</v>
      </c>
      <c r="U1049" s="2">
        <v>6681.1240632387771</v>
      </c>
      <c r="V1049" s="2">
        <v>5998.8234614600833</v>
      </c>
      <c r="W1049" s="2">
        <v>6742.90478515625</v>
      </c>
      <c r="X1049" s="4">
        <f t="shared" si="64"/>
        <v>0.61984984379662877</v>
      </c>
      <c r="Y1049" s="4">
        <f t="shared" si="65"/>
        <v>0.74837706240350421</v>
      </c>
      <c r="Z1049" s="4">
        <f t="shared" si="66"/>
        <v>0.83349677351282236</v>
      </c>
      <c r="AA1049" s="4">
        <f t="shared" si="67"/>
        <v>0.74152018444735279</v>
      </c>
    </row>
    <row r="1050" spans="1:27" x14ac:dyDescent="0.3">
      <c r="A1050" t="s">
        <v>395</v>
      </c>
      <c r="B1050">
        <v>148669</v>
      </c>
      <c r="C1050">
        <v>2016</v>
      </c>
      <c r="D1050" t="s">
        <v>282</v>
      </c>
      <c r="E1050" t="s">
        <v>492</v>
      </c>
      <c r="F1050">
        <v>4</v>
      </c>
      <c r="G1050" t="s">
        <v>30</v>
      </c>
      <c r="H1050">
        <v>4</v>
      </c>
      <c r="I1050" t="s">
        <v>23</v>
      </c>
      <c r="J1050" t="s">
        <v>37</v>
      </c>
      <c r="K1050" t="s">
        <v>27</v>
      </c>
      <c r="L1050" t="s">
        <v>96</v>
      </c>
      <c r="M1050" t="s">
        <v>78</v>
      </c>
      <c r="N1050">
        <v>0</v>
      </c>
      <c r="O1050" t="s">
        <v>27</v>
      </c>
      <c r="S1050" s="3">
        <v>9000</v>
      </c>
      <c r="T1050" s="2">
        <v>8841.197265625</v>
      </c>
      <c r="U1050" s="2">
        <v>8857.9791410060643</v>
      </c>
      <c r="V1050" s="2">
        <v>7600.0702791002241</v>
      </c>
      <c r="W1050" s="2">
        <v>7280.12890625</v>
      </c>
      <c r="X1050" s="4">
        <f t="shared" si="64"/>
        <v>1.017961677542524</v>
      </c>
      <c r="Y1050" s="4">
        <f t="shared" si="65"/>
        <v>1.0160330992806792</v>
      </c>
      <c r="Z1050" s="4">
        <f t="shared" si="66"/>
        <v>1.184199575726228</v>
      </c>
      <c r="AA1050" s="4">
        <f t="shared" si="67"/>
        <v>1.2362418462499323</v>
      </c>
    </row>
    <row r="1051" spans="1:27" x14ac:dyDescent="0.3">
      <c r="A1051" t="s">
        <v>395</v>
      </c>
      <c r="B1051">
        <v>145163</v>
      </c>
      <c r="C1051">
        <v>2013</v>
      </c>
      <c r="D1051" t="s">
        <v>44</v>
      </c>
      <c r="E1051" t="s">
        <v>117</v>
      </c>
      <c r="F1051">
        <v>4</v>
      </c>
      <c r="G1051" t="s">
        <v>22</v>
      </c>
      <c r="H1051">
        <v>4</v>
      </c>
      <c r="I1051" t="s">
        <v>23</v>
      </c>
      <c r="J1051" t="s">
        <v>62</v>
      </c>
      <c r="K1051" t="s">
        <v>27</v>
      </c>
      <c r="L1051" t="s">
        <v>96</v>
      </c>
      <c r="M1051">
        <v>4</v>
      </c>
      <c r="N1051">
        <v>0</v>
      </c>
      <c r="S1051" s="3">
        <v>1600</v>
      </c>
      <c r="T1051" s="2">
        <v>3262.560546875</v>
      </c>
      <c r="U1051" s="2">
        <v>2716.7159120672982</v>
      </c>
      <c r="V1051" s="2">
        <v>4293.1305622877226</v>
      </c>
      <c r="W1051" s="2">
        <v>2770.90234375</v>
      </c>
      <c r="X1051" s="4">
        <f t="shared" si="64"/>
        <v>0.49041235465577449</v>
      </c>
      <c r="Y1051" s="4">
        <f t="shared" si="65"/>
        <v>0.58894637930046656</v>
      </c>
      <c r="Z1051" s="4">
        <f t="shared" si="66"/>
        <v>0.37268840925895164</v>
      </c>
      <c r="AA1051" s="4">
        <f t="shared" si="67"/>
        <v>0.57742922756153159</v>
      </c>
    </row>
    <row r="1052" spans="1:27" x14ac:dyDescent="0.3">
      <c r="A1052" t="s">
        <v>395</v>
      </c>
      <c r="B1052">
        <v>201969</v>
      </c>
      <c r="C1052">
        <v>2017</v>
      </c>
      <c r="D1052" t="s">
        <v>44</v>
      </c>
      <c r="E1052" t="s">
        <v>45</v>
      </c>
      <c r="F1052">
        <v>8</v>
      </c>
      <c r="G1052" t="s">
        <v>47</v>
      </c>
      <c r="H1052">
        <v>4</v>
      </c>
      <c r="I1052" t="s">
        <v>23</v>
      </c>
      <c r="J1052" t="s">
        <v>46</v>
      </c>
      <c r="K1052" t="s">
        <v>27</v>
      </c>
      <c r="L1052" t="s">
        <v>48</v>
      </c>
      <c r="M1052">
        <v>4</v>
      </c>
      <c r="N1052">
        <v>0</v>
      </c>
      <c r="S1052" s="3">
        <v>7600</v>
      </c>
      <c r="T1052" s="2">
        <v>8851.4482421875</v>
      </c>
      <c r="U1052" s="2">
        <v>17678.55914474589</v>
      </c>
      <c r="V1052" s="2">
        <v>7363.7902795600976</v>
      </c>
      <c r="W1052" s="2">
        <v>9411.662109375</v>
      </c>
      <c r="X1052" s="4">
        <f t="shared" si="64"/>
        <v>0.85861655539904913</v>
      </c>
      <c r="Y1052" s="4">
        <f t="shared" si="65"/>
        <v>0.42989928861135374</v>
      </c>
      <c r="Z1052" s="4">
        <f t="shared" si="66"/>
        <v>1.0320771927869208</v>
      </c>
      <c r="AA1052" s="4">
        <f t="shared" si="67"/>
        <v>0.80750880255567237</v>
      </c>
    </row>
    <row r="1053" spans="1:27" x14ac:dyDescent="0.3">
      <c r="A1053" t="s">
        <v>395</v>
      </c>
      <c r="B1053">
        <v>128351</v>
      </c>
      <c r="C1053">
        <v>2016</v>
      </c>
      <c r="D1053" t="s">
        <v>40</v>
      </c>
      <c r="E1053" t="s">
        <v>229</v>
      </c>
      <c r="F1053">
        <v>4</v>
      </c>
      <c r="G1053" t="s">
        <v>66</v>
      </c>
      <c r="H1053">
        <v>4</v>
      </c>
      <c r="I1053" t="s">
        <v>23</v>
      </c>
      <c r="J1053" t="s">
        <v>31</v>
      </c>
      <c r="K1053" t="s">
        <v>27</v>
      </c>
      <c r="L1053" t="s">
        <v>107</v>
      </c>
      <c r="M1053" t="s">
        <v>33</v>
      </c>
      <c r="N1053">
        <v>0</v>
      </c>
      <c r="S1053" s="3">
        <v>3200</v>
      </c>
      <c r="T1053" s="2">
        <v>6638.70166015625</v>
      </c>
      <c r="U1053" s="2">
        <v>6366.4741501690414</v>
      </c>
      <c r="V1053" s="2">
        <v>5660.9865518364677</v>
      </c>
      <c r="W1053" s="2">
        <v>5948.9443359375</v>
      </c>
      <c r="X1053" s="4">
        <f t="shared" si="64"/>
        <v>0.48202196209622772</v>
      </c>
      <c r="Y1053" s="4">
        <f t="shared" si="65"/>
        <v>0.50263299976094844</v>
      </c>
      <c r="Z1053" s="4">
        <f t="shared" si="66"/>
        <v>0.56527249635699894</v>
      </c>
      <c r="AA1053" s="4">
        <f t="shared" si="67"/>
        <v>0.53791056350432442</v>
      </c>
    </row>
    <row r="1054" spans="1:27" x14ac:dyDescent="0.3">
      <c r="A1054" t="s">
        <v>395</v>
      </c>
      <c r="B1054">
        <v>93356</v>
      </c>
      <c r="C1054">
        <v>2016</v>
      </c>
      <c r="D1054" t="s">
        <v>396</v>
      </c>
      <c r="E1054" t="s">
        <v>449</v>
      </c>
      <c r="F1054">
        <v>6</v>
      </c>
      <c r="G1054" t="s">
        <v>47</v>
      </c>
      <c r="H1054">
        <v>4</v>
      </c>
      <c r="I1054" t="s">
        <v>23</v>
      </c>
      <c r="J1054" t="s">
        <v>24</v>
      </c>
      <c r="K1054" t="s">
        <v>27</v>
      </c>
      <c r="L1054" t="s">
        <v>53</v>
      </c>
      <c r="M1054" t="s">
        <v>33</v>
      </c>
      <c r="N1054">
        <v>0</v>
      </c>
      <c r="S1054" s="3">
        <v>12200</v>
      </c>
      <c r="T1054" s="2">
        <v>6976.85986328125</v>
      </c>
      <c r="U1054" s="2">
        <v>12103.13168933648</v>
      </c>
      <c r="V1054" s="2">
        <v>12796.68093301001</v>
      </c>
      <c r="W1054" s="2">
        <v>11147.9541015625</v>
      </c>
      <c r="X1054" s="4">
        <f t="shared" si="64"/>
        <v>1.748637673548209</v>
      </c>
      <c r="Y1054" s="4">
        <f t="shared" si="65"/>
        <v>1.0080035740459525</v>
      </c>
      <c r="Z1054" s="4">
        <f t="shared" si="66"/>
        <v>0.95337221142469641</v>
      </c>
      <c r="AA1054" s="4">
        <f t="shared" si="67"/>
        <v>1.0943712082820689</v>
      </c>
    </row>
    <row r="1055" spans="1:27" x14ac:dyDescent="0.3">
      <c r="A1055" t="s">
        <v>395</v>
      </c>
      <c r="B1055">
        <v>119967</v>
      </c>
      <c r="C1055">
        <v>2007</v>
      </c>
      <c r="D1055" t="s">
        <v>236</v>
      </c>
      <c r="E1055" t="s">
        <v>493</v>
      </c>
      <c r="F1055">
        <v>6</v>
      </c>
      <c r="G1055" t="s">
        <v>22</v>
      </c>
      <c r="H1055">
        <v>4</v>
      </c>
      <c r="I1055" t="s">
        <v>23</v>
      </c>
      <c r="J1055" t="s">
        <v>31</v>
      </c>
      <c r="L1055" t="s">
        <v>26</v>
      </c>
      <c r="M1055" t="s">
        <v>33</v>
      </c>
      <c r="N1055">
        <v>0</v>
      </c>
      <c r="S1055" s="3">
        <v>2700</v>
      </c>
      <c r="T1055" s="2">
        <v>2634.60595703125</v>
      </c>
      <c r="U1055" s="2">
        <v>2749.5436059021922</v>
      </c>
      <c r="V1055" s="2">
        <v>1726.4867726033351</v>
      </c>
      <c r="W1055" s="2">
        <v>2284.893798828125</v>
      </c>
      <c r="X1055" s="4">
        <f t="shared" si="64"/>
        <v>1.0248211854202431</v>
      </c>
      <c r="Y1055" s="4">
        <f t="shared" si="65"/>
        <v>0.98198115287357457</v>
      </c>
      <c r="Z1055" s="4">
        <f t="shared" si="66"/>
        <v>1.5638694966244795</v>
      </c>
      <c r="AA1055" s="4">
        <f t="shared" si="67"/>
        <v>1.181674177322716</v>
      </c>
    </row>
    <row r="1056" spans="1:27" x14ac:dyDescent="0.3">
      <c r="A1056" t="s">
        <v>395</v>
      </c>
      <c r="B1056">
        <v>97457</v>
      </c>
      <c r="C1056">
        <v>2017</v>
      </c>
      <c r="D1056" t="s">
        <v>50</v>
      </c>
      <c r="E1056" t="s">
        <v>369</v>
      </c>
      <c r="F1056">
        <v>4</v>
      </c>
      <c r="G1056" t="s">
        <v>47</v>
      </c>
      <c r="H1056">
        <v>2</v>
      </c>
      <c r="I1056" t="s">
        <v>23</v>
      </c>
      <c r="J1056" t="s">
        <v>209</v>
      </c>
      <c r="K1056" t="s">
        <v>27</v>
      </c>
      <c r="L1056" t="s">
        <v>127</v>
      </c>
      <c r="M1056" t="s">
        <v>78</v>
      </c>
      <c r="N1056">
        <v>0</v>
      </c>
      <c r="O1056" t="s">
        <v>27</v>
      </c>
      <c r="S1056" s="3">
        <v>12600</v>
      </c>
      <c r="T1056" s="2">
        <v>12373.0126953125</v>
      </c>
      <c r="U1056" s="2">
        <v>10886.408471461349</v>
      </c>
      <c r="V1056" s="2">
        <v>10843.08541883243</v>
      </c>
      <c r="W1056" s="2">
        <v>11319.458984375</v>
      </c>
      <c r="X1056" s="4">
        <f t="shared" si="64"/>
        <v>1.0183453545451784</v>
      </c>
      <c r="Y1056" s="4">
        <f t="shared" si="65"/>
        <v>1.1574065067492938</v>
      </c>
      <c r="Z1056" s="4">
        <f t="shared" si="66"/>
        <v>1.162030871592705</v>
      </c>
      <c r="AA1056" s="4">
        <f t="shared" si="67"/>
        <v>1.1131274045334336</v>
      </c>
    </row>
    <row r="1057" spans="1:27" x14ac:dyDescent="0.3">
      <c r="A1057" t="s">
        <v>395</v>
      </c>
      <c r="B1057">
        <v>83429</v>
      </c>
      <c r="C1057">
        <v>2015</v>
      </c>
      <c r="D1057" t="s">
        <v>71</v>
      </c>
      <c r="E1057" t="s">
        <v>494</v>
      </c>
      <c r="F1057">
        <v>4</v>
      </c>
      <c r="G1057" t="s">
        <v>30</v>
      </c>
      <c r="H1057">
        <v>4</v>
      </c>
      <c r="I1057" t="s">
        <v>23</v>
      </c>
      <c r="J1057" t="s">
        <v>31</v>
      </c>
      <c r="K1057" t="s">
        <v>27</v>
      </c>
      <c r="L1057" t="s">
        <v>60</v>
      </c>
      <c r="M1057" t="s">
        <v>33</v>
      </c>
      <c r="N1057">
        <v>0</v>
      </c>
      <c r="O1057" t="s">
        <v>27</v>
      </c>
      <c r="S1057" s="3">
        <v>4400</v>
      </c>
      <c r="T1057" s="2">
        <v>9027.912109375</v>
      </c>
      <c r="U1057" s="2">
        <v>7283.4314887984656</v>
      </c>
      <c r="V1057" s="2">
        <v>6591.9496099106618</v>
      </c>
      <c r="W1057" s="2">
        <v>7579.3330078125</v>
      </c>
      <c r="X1057" s="4">
        <f t="shared" si="64"/>
        <v>0.48737736330317583</v>
      </c>
      <c r="Y1057" s="4">
        <f t="shared" si="65"/>
        <v>0.6041108517004613</v>
      </c>
      <c r="Z1057" s="4">
        <f t="shared" si="66"/>
        <v>0.66748083046399853</v>
      </c>
      <c r="AA1057" s="4">
        <f t="shared" si="67"/>
        <v>0.58052601666461157</v>
      </c>
    </row>
    <row r="1058" spans="1:27" x14ac:dyDescent="0.3">
      <c r="A1058" t="s">
        <v>395</v>
      </c>
      <c r="B1058">
        <v>134202</v>
      </c>
      <c r="C1058">
        <v>2015</v>
      </c>
      <c r="D1058" t="s">
        <v>34</v>
      </c>
      <c r="E1058" t="s">
        <v>116</v>
      </c>
      <c r="F1058">
        <v>4</v>
      </c>
      <c r="G1058" t="s">
        <v>47</v>
      </c>
      <c r="H1058">
        <v>4</v>
      </c>
      <c r="I1058" t="s">
        <v>23</v>
      </c>
      <c r="J1058" t="s">
        <v>37</v>
      </c>
      <c r="L1058" t="s">
        <v>128</v>
      </c>
      <c r="M1058" t="s">
        <v>33</v>
      </c>
      <c r="N1058">
        <v>0</v>
      </c>
      <c r="O1058" t="s">
        <v>27</v>
      </c>
      <c r="S1058" s="3">
        <v>6700</v>
      </c>
      <c r="T1058" s="2">
        <v>5911.34521484375</v>
      </c>
      <c r="U1058" s="2">
        <v>5494.0480008721424</v>
      </c>
      <c r="V1058" s="2">
        <v>5396.0805344425717</v>
      </c>
      <c r="W1058" s="2">
        <v>6027.50927734375</v>
      </c>
      <c r="X1058" s="4">
        <f t="shared" si="64"/>
        <v>1.1334137588811239</v>
      </c>
      <c r="Y1058" s="4">
        <f t="shared" si="65"/>
        <v>1.219501540382687</v>
      </c>
      <c r="Z1058" s="4">
        <f t="shared" si="66"/>
        <v>1.2416419579423728</v>
      </c>
      <c r="AA1058" s="4">
        <f t="shared" si="67"/>
        <v>1.1115702509466079</v>
      </c>
    </row>
    <row r="1059" spans="1:27" x14ac:dyDescent="0.3">
      <c r="A1059" t="s">
        <v>395</v>
      </c>
      <c r="B1059">
        <v>118194</v>
      </c>
      <c r="C1059">
        <v>2014</v>
      </c>
      <c r="D1059" t="s">
        <v>44</v>
      </c>
      <c r="E1059" t="s">
        <v>267</v>
      </c>
      <c r="F1059">
        <v>8</v>
      </c>
      <c r="G1059" t="s">
        <v>36</v>
      </c>
      <c r="H1059">
        <v>4</v>
      </c>
      <c r="I1059" t="s">
        <v>23</v>
      </c>
      <c r="J1059" t="s">
        <v>46</v>
      </c>
      <c r="K1059" t="s">
        <v>27</v>
      </c>
      <c r="L1059" t="s">
        <v>313</v>
      </c>
      <c r="M1059">
        <v>4</v>
      </c>
      <c r="N1059">
        <v>0</v>
      </c>
      <c r="S1059" s="3">
        <v>14500</v>
      </c>
      <c r="T1059" s="2">
        <v>15139.05859375</v>
      </c>
      <c r="U1059" s="2">
        <v>25206.467254277381</v>
      </c>
      <c r="V1059" s="2">
        <v>21034.29019184026</v>
      </c>
      <c r="W1059" s="2">
        <v>18054.482421875</v>
      </c>
      <c r="X1059" s="4">
        <f t="shared" si="64"/>
        <v>0.9577874284723471</v>
      </c>
      <c r="Y1059" s="4">
        <f t="shared" si="65"/>
        <v>0.57524919512628014</v>
      </c>
      <c r="Z1059" s="4">
        <f t="shared" si="66"/>
        <v>0.68935057317146464</v>
      </c>
      <c r="AA1059" s="4">
        <f t="shared" si="67"/>
        <v>0.80312465686812751</v>
      </c>
    </row>
    <row r="1060" spans="1:27" x14ac:dyDescent="0.3">
      <c r="A1060" t="s">
        <v>429</v>
      </c>
      <c r="B1060">
        <v>9877</v>
      </c>
      <c r="C1060">
        <v>2016</v>
      </c>
      <c r="D1060" t="s">
        <v>239</v>
      </c>
      <c r="E1060" t="s">
        <v>495</v>
      </c>
      <c r="F1060">
        <v>6</v>
      </c>
      <c r="G1060" t="s">
        <v>22</v>
      </c>
      <c r="H1060">
        <v>2</v>
      </c>
      <c r="I1060" t="s">
        <v>23</v>
      </c>
      <c r="J1060" t="s">
        <v>83</v>
      </c>
      <c r="K1060" t="s">
        <v>25</v>
      </c>
      <c r="L1060" t="s">
        <v>218</v>
      </c>
      <c r="M1060" t="s">
        <v>78</v>
      </c>
      <c r="N1060">
        <v>0</v>
      </c>
      <c r="O1060" t="s">
        <v>27</v>
      </c>
      <c r="S1060" s="3">
        <v>45200</v>
      </c>
      <c r="T1060" s="2">
        <v>61216.66796875</v>
      </c>
      <c r="U1060" s="2">
        <v>51285.339886980779</v>
      </c>
      <c r="V1060" s="2">
        <v>55305.172643438287</v>
      </c>
      <c r="W1060" s="2">
        <v>46604.99609375</v>
      </c>
      <c r="X1060" s="4">
        <f t="shared" si="64"/>
        <v>0.73836099709108283</v>
      </c>
      <c r="Y1060" s="4">
        <f t="shared" si="65"/>
        <v>0.88134348138490948</v>
      </c>
      <c r="Z1060" s="4">
        <f t="shared" si="66"/>
        <v>0.81728340839675107</v>
      </c>
      <c r="AA1060" s="4">
        <f t="shared" si="67"/>
        <v>0.96985310135154335</v>
      </c>
    </row>
    <row r="1061" spans="1:27" x14ac:dyDescent="0.3">
      <c r="A1061" t="s">
        <v>429</v>
      </c>
      <c r="B1061">
        <v>27731</v>
      </c>
      <c r="C1061">
        <v>2023</v>
      </c>
      <c r="D1061" t="s">
        <v>44</v>
      </c>
      <c r="E1061" t="s">
        <v>45</v>
      </c>
      <c r="F1061">
        <v>6</v>
      </c>
      <c r="G1061" t="s">
        <v>47</v>
      </c>
      <c r="H1061">
        <v>4</v>
      </c>
      <c r="I1061" t="s">
        <v>23</v>
      </c>
      <c r="J1061" t="s">
        <v>46</v>
      </c>
      <c r="K1061" t="s">
        <v>25</v>
      </c>
      <c r="L1061" t="s">
        <v>38</v>
      </c>
      <c r="M1061">
        <v>4</v>
      </c>
      <c r="N1061">
        <v>0</v>
      </c>
      <c r="O1061" t="s">
        <v>27</v>
      </c>
      <c r="S1061" s="3">
        <v>52600</v>
      </c>
      <c r="T1061" s="2">
        <v>45385.5078125</v>
      </c>
      <c r="U1061" s="2">
        <v>44105.554076902627</v>
      </c>
      <c r="V1061" s="2">
        <v>56483.917558585752</v>
      </c>
      <c r="W1061" s="2">
        <v>42246.41796875</v>
      </c>
      <c r="X1061" s="4">
        <f t="shared" si="64"/>
        <v>1.1589602614408336</v>
      </c>
      <c r="Y1061" s="4">
        <f t="shared" si="65"/>
        <v>1.1925935656150339</v>
      </c>
      <c r="Z1061" s="4">
        <f t="shared" si="66"/>
        <v>0.93123852369911653</v>
      </c>
      <c r="AA1061" s="4">
        <f t="shared" si="67"/>
        <v>1.2450759739892889</v>
      </c>
    </row>
    <row r="1062" spans="1:27" x14ac:dyDescent="0.3">
      <c r="A1062" t="s">
        <v>430</v>
      </c>
      <c r="B1062">
        <v>137840</v>
      </c>
      <c r="C1062">
        <v>2012</v>
      </c>
      <c r="D1062" t="s">
        <v>100</v>
      </c>
      <c r="E1062" t="s">
        <v>192</v>
      </c>
      <c r="F1062">
        <v>4</v>
      </c>
      <c r="G1062" t="s">
        <v>47</v>
      </c>
      <c r="H1062">
        <v>4</v>
      </c>
      <c r="I1062" t="s">
        <v>23</v>
      </c>
      <c r="J1062" t="s">
        <v>31</v>
      </c>
      <c r="K1062" t="s">
        <v>25</v>
      </c>
      <c r="L1062" t="s">
        <v>127</v>
      </c>
      <c r="M1062" t="s">
        <v>33</v>
      </c>
      <c r="N1062">
        <v>0</v>
      </c>
      <c r="O1062" t="s">
        <v>27</v>
      </c>
      <c r="S1062" s="3">
        <v>700</v>
      </c>
      <c r="T1062" s="2">
        <v>1727.455444335938</v>
      </c>
      <c r="U1062" s="2">
        <v>2521.3737600961672</v>
      </c>
      <c r="V1062" s="2">
        <v>3377.890130599747</v>
      </c>
      <c r="W1062" s="2">
        <v>2249.57421875</v>
      </c>
      <c r="X1062" s="4">
        <f t="shared" si="64"/>
        <v>0.40522029224845879</v>
      </c>
      <c r="Y1062" s="4">
        <f t="shared" si="65"/>
        <v>0.27762643170098728</v>
      </c>
      <c r="Z1062" s="4">
        <f t="shared" si="66"/>
        <v>0.20722994915045223</v>
      </c>
      <c r="AA1062" s="4">
        <f t="shared" si="67"/>
        <v>0.31116999571099391</v>
      </c>
    </row>
    <row r="1063" spans="1:27" x14ac:dyDescent="0.3">
      <c r="A1063" t="s">
        <v>430</v>
      </c>
      <c r="B1063">
        <v>111537</v>
      </c>
      <c r="C1063">
        <v>2017</v>
      </c>
      <c r="D1063" t="s">
        <v>40</v>
      </c>
      <c r="E1063" t="s">
        <v>496</v>
      </c>
      <c r="F1063">
        <v>4</v>
      </c>
      <c r="G1063" t="s">
        <v>66</v>
      </c>
      <c r="H1063">
        <v>4</v>
      </c>
      <c r="I1063" t="s">
        <v>23</v>
      </c>
      <c r="J1063" t="s">
        <v>31</v>
      </c>
      <c r="K1063" t="s">
        <v>25</v>
      </c>
      <c r="L1063" t="s">
        <v>73</v>
      </c>
      <c r="M1063" t="s">
        <v>33</v>
      </c>
      <c r="N1063">
        <v>0</v>
      </c>
      <c r="O1063" t="s">
        <v>27</v>
      </c>
      <c r="S1063" s="3">
        <v>1900</v>
      </c>
      <c r="T1063" s="2">
        <v>5781.71044921875</v>
      </c>
      <c r="U1063" s="2">
        <v>6222.3169197091629</v>
      </c>
      <c r="V1063" s="2">
        <v>3910.0370707135271</v>
      </c>
      <c r="W1063" s="2">
        <v>5042.798828125</v>
      </c>
      <c r="X1063" s="4">
        <f t="shared" si="64"/>
        <v>0.32862247542277673</v>
      </c>
      <c r="Y1063" s="4">
        <f t="shared" si="65"/>
        <v>0.30535249562454109</v>
      </c>
      <c r="Z1063" s="4">
        <f t="shared" si="66"/>
        <v>0.48592889674400874</v>
      </c>
      <c r="AA1063" s="4">
        <f t="shared" si="67"/>
        <v>0.37677489520367263</v>
      </c>
    </row>
    <row r="1064" spans="1:27" x14ac:dyDescent="0.3">
      <c r="A1064" t="s">
        <v>430</v>
      </c>
      <c r="B1064">
        <v>186182</v>
      </c>
      <c r="C1064">
        <v>2007</v>
      </c>
      <c r="D1064" t="s">
        <v>34</v>
      </c>
      <c r="E1064" t="s">
        <v>497</v>
      </c>
      <c r="F1064">
        <v>4</v>
      </c>
      <c r="G1064" t="s">
        <v>59</v>
      </c>
      <c r="H1064">
        <v>4</v>
      </c>
      <c r="I1064" t="s">
        <v>23</v>
      </c>
      <c r="J1064" t="s">
        <v>145</v>
      </c>
      <c r="K1064" t="s">
        <v>25</v>
      </c>
      <c r="L1064" t="s">
        <v>89</v>
      </c>
      <c r="M1064" t="s">
        <v>33</v>
      </c>
      <c r="N1064">
        <v>0</v>
      </c>
      <c r="O1064" t="s">
        <v>27</v>
      </c>
      <c r="S1064" s="3">
        <v>350</v>
      </c>
      <c r="T1064" s="2">
        <v>1619.15380859375</v>
      </c>
      <c r="U1064" s="2">
        <v>1615.251100858075</v>
      </c>
      <c r="V1064" s="2">
        <v>790.10299601659972</v>
      </c>
      <c r="W1064" s="2">
        <v>1560.550537109375</v>
      </c>
      <c r="X1064" s="4">
        <f t="shared" si="64"/>
        <v>0.2161622930090738</v>
      </c>
      <c r="Y1064" s="4">
        <f t="shared" si="65"/>
        <v>0.21668457604769215</v>
      </c>
      <c r="Z1064" s="4">
        <f t="shared" si="66"/>
        <v>0.44298022126807207</v>
      </c>
      <c r="AA1064" s="4">
        <f t="shared" si="67"/>
        <v>0.2242798241243176</v>
      </c>
    </row>
    <row r="1065" spans="1:27" x14ac:dyDescent="0.3">
      <c r="A1065" t="s">
        <v>430</v>
      </c>
      <c r="B1065">
        <v>148225</v>
      </c>
      <c r="C1065">
        <v>2016</v>
      </c>
      <c r="D1065" t="s">
        <v>34</v>
      </c>
      <c r="E1065" t="s">
        <v>262</v>
      </c>
      <c r="F1065">
        <v>8</v>
      </c>
      <c r="G1065" t="s">
        <v>47</v>
      </c>
      <c r="H1065">
        <v>4</v>
      </c>
      <c r="I1065" t="s">
        <v>23</v>
      </c>
      <c r="J1065" t="s">
        <v>152</v>
      </c>
      <c r="K1065" t="s">
        <v>25</v>
      </c>
      <c r="L1065" t="s">
        <v>378</v>
      </c>
      <c r="M1065" t="s">
        <v>78</v>
      </c>
      <c r="N1065">
        <v>0</v>
      </c>
      <c r="O1065" t="s">
        <v>27</v>
      </c>
      <c r="S1065" s="3">
        <v>7400</v>
      </c>
      <c r="T1065" s="2">
        <v>11609.8779296875</v>
      </c>
      <c r="U1065" s="2">
        <v>11695.45686807552</v>
      </c>
      <c r="V1065" s="2">
        <v>11961.647616535351</v>
      </c>
      <c r="W1065" s="2">
        <v>11728.8427734375</v>
      </c>
      <c r="X1065" s="4">
        <f t="shared" si="64"/>
        <v>0.63738826926659886</v>
      </c>
      <c r="Y1065" s="4">
        <f t="shared" si="65"/>
        <v>0.63272432051794358</v>
      </c>
      <c r="Z1065" s="4">
        <f t="shared" si="66"/>
        <v>0.61864387225138673</v>
      </c>
      <c r="AA1065" s="4">
        <f t="shared" si="67"/>
        <v>0.63092328398833175</v>
      </c>
    </row>
    <row r="1066" spans="1:27" x14ac:dyDescent="0.3">
      <c r="A1066" t="s">
        <v>430</v>
      </c>
      <c r="B1066">
        <v>101554</v>
      </c>
      <c r="C1066">
        <v>2014</v>
      </c>
      <c r="D1066" t="s">
        <v>40</v>
      </c>
      <c r="E1066" t="s">
        <v>136</v>
      </c>
      <c r="F1066">
        <v>4</v>
      </c>
      <c r="G1066" t="s">
        <v>30</v>
      </c>
      <c r="H1066">
        <v>4</v>
      </c>
      <c r="I1066" t="s">
        <v>23</v>
      </c>
      <c r="J1066" t="s">
        <v>31</v>
      </c>
      <c r="K1066" t="s">
        <v>25</v>
      </c>
      <c r="L1066" t="s">
        <v>73</v>
      </c>
      <c r="M1066" t="s">
        <v>33</v>
      </c>
      <c r="N1066">
        <v>0</v>
      </c>
      <c r="O1066" t="s">
        <v>27</v>
      </c>
      <c r="S1066" s="3">
        <v>300</v>
      </c>
      <c r="T1066" s="2">
        <v>5693.27978515625</v>
      </c>
      <c r="U1066" s="2">
        <v>5206.1443673752956</v>
      </c>
      <c r="V1066" s="2">
        <v>3474.563478084779</v>
      </c>
      <c r="W1066" s="2">
        <v>5178.50634765625</v>
      </c>
      <c r="X1066" s="4">
        <f t="shared" si="64"/>
        <v>5.2693704037200521E-2</v>
      </c>
      <c r="Y1066" s="4">
        <f t="shared" si="65"/>
        <v>5.7624218390863895E-2</v>
      </c>
      <c r="Z1066" s="4">
        <f t="shared" si="66"/>
        <v>8.6341781317912078E-2</v>
      </c>
      <c r="AA1066" s="4">
        <f t="shared" si="67"/>
        <v>5.7931762531444532E-2</v>
      </c>
    </row>
    <row r="1067" spans="1:27" x14ac:dyDescent="0.3">
      <c r="A1067" t="s">
        <v>430</v>
      </c>
      <c r="B1067">
        <v>14978</v>
      </c>
      <c r="C1067">
        <v>2021</v>
      </c>
      <c r="D1067" t="s">
        <v>54</v>
      </c>
      <c r="E1067" t="s">
        <v>498</v>
      </c>
      <c r="F1067">
        <v>4</v>
      </c>
      <c r="G1067" t="s">
        <v>47</v>
      </c>
      <c r="H1067">
        <v>4</v>
      </c>
      <c r="I1067" t="s">
        <v>23</v>
      </c>
      <c r="J1067" t="s">
        <v>165</v>
      </c>
      <c r="K1067" t="s">
        <v>25</v>
      </c>
      <c r="L1067" t="s">
        <v>127</v>
      </c>
      <c r="M1067">
        <v>4</v>
      </c>
      <c r="N1067">
        <v>0</v>
      </c>
      <c r="O1067" t="s">
        <v>27</v>
      </c>
      <c r="S1067" s="3">
        <v>35000</v>
      </c>
      <c r="T1067" s="2">
        <v>46048.30859375</v>
      </c>
      <c r="U1067" s="2">
        <v>40103.925289923391</v>
      </c>
      <c r="V1067" s="2">
        <v>40894.829989448161</v>
      </c>
      <c r="W1067" s="2">
        <v>38033.30859375</v>
      </c>
      <c r="X1067" s="4">
        <f t="shared" si="64"/>
        <v>0.7600713483046464</v>
      </c>
      <c r="Y1067" s="4">
        <f t="shared" si="65"/>
        <v>0.87273252548159386</v>
      </c>
      <c r="Z1067" s="4">
        <f t="shared" si="66"/>
        <v>0.855853906448097</v>
      </c>
      <c r="AA1067" s="4">
        <f t="shared" si="67"/>
        <v>0.92024599736641211</v>
      </c>
    </row>
    <row r="1068" spans="1:27" x14ac:dyDescent="0.3">
      <c r="A1068" t="s">
        <v>430</v>
      </c>
      <c r="B1068">
        <v>15000</v>
      </c>
      <c r="C1068">
        <v>2024</v>
      </c>
      <c r="D1068" t="s">
        <v>40</v>
      </c>
      <c r="E1068" t="s">
        <v>499</v>
      </c>
      <c r="F1068">
        <v>8</v>
      </c>
      <c r="G1068" t="s">
        <v>66</v>
      </c>
      <c r="H1068">
        <v>4</v>
      </c>
      <c r="I1068" t="s">
        <v>23</v>
      </c>
      <c r="J1068" t="s">
        <v>110</v>
      </c>
      <c r="K1068" t="s">
        <v>25</v>
      </c>
      <c r="L1068" t="s">
        <v>130</v>
      </c>
      <c r="M1068">
        <v>4</v>
      </c>
      <c r="N1068">
        <v>0</v>
      </c>
      <c r="O1068" t="s">
        <v>27</v>
      </c>
      <c r="S1068" s="3">
        <v>74500</v>
      </c>
      <c r="T1068" s="2">
        <v>85515.765625</v>
      </c>
      <c r="U1068" s="2">
        <v>81819.484972398946</v>
      </c>
      <c r="V1068" s="2">
        <v>66604.582402798551</v>
      </c>
      <c r="W1068" s="2">
        <v>93241.7734375</v>
      </c>
      <c r="X1068" s="4">
        <f t="shared" si="64"/>
        <v>0.87118438869733272</v>
      </c>
      <c r="Y1068" s="4">
        <f t="shared" si="65"/>
        <v>0.91054105296717391</v>
      </c>
      <c r="Z1068" s="4">
        <f t="shared" si="66"/>
        <v>1.1185416575312046</v>
      </c>
      <c r="AA1068" s="4">
        <f t="shared" si="67"/>
        <v>0.79899810196057008</v>
      </c>
    </row>
    <row r="1069" spans="1:27" x14ac:dyDescent="0.3">
      <c r="A1069" t="s">
        <v>430</v>
      </c>
      <c r="B1069">
        <v>45521</v>
      </c>
      <c r="C1069">
        <v>2022</v>
      </c>
      <c r="D1069" t="s">
        <v>20</v>
      </c>
      <c r="E1069" t="s">
        <v>500</v>
      </c>
      <c r="F1069">
        <v>4</v>
      </c>
      <c r="G1069" t="s">
        <v>47</v>
      </c>
      <c r="H1069">
        <v>4</v>
      </c>
      <c r="I1069" t="s">
        <v>23</v>
      </c>
      <c r="J1069" t="s">
        <v>165</v>
      </c>
      <c r="K1069" t="s">
        <v>25</v>
      </c>
      <c r="L1069" t="s">
        <v>107</v>
      </c>
      <c r="M1069" t="s">
        <v>23</v>
      </c>
      <c r="N1069">
        <v>0</v>
      </c>
      <c r="O1069" t="s">
        <v>27</v>
      </c>
      <c r="S1069" s="3">
        <v>22600</v>
      </c>
      <c r="T1069" s="2">
        <v>28074.4921875</v>
      </c>
      <c r="U1069" s="2">
        <v>28596.613271270729</v>
      </c>
      <c r="V1069" s="2">
        <v>25440.05705506551</v>
      </c>
      <c r="W1069" s="2">
        <v>30635.52734375</v>
      </c>
      <c r="X1069" s="4">
        <f t="shared" si="64"/>
        <v>0.80500120355026461</v>
      </c>
      <c r="Y1069" s="4">
        <f t="shared" si="65"/>
        <v>0.79030337563451403</v>
      </c>
      <c r="Z1069" s="4">
        <f t="shared" si="66"/>
        <v>0.88836278751583964</v>
      </c>
      <c r="AA1069" s="4">
        <f t="shared" si="67"/>
        <v>0.73770559737437191</v>
      </c>
    </row>
    <row r="1070" spans="1:27" x14ac:dyDescent="0.3">
      <c r="A1070" t="s">
        <v>430</v>
      </c>
      <c r="B1070">
        <v>23686</v>
      </c>
      <c r="C1070">
        <v>2023</v>
      </c>
      <c r="D1070" t="s">
        <v>463</v>
      </c>
      <c r="E1070" t="s">
        <v>501</v>
      </c>
      <c r="F1070">
        <v>0</v>
      </c>
      <c r="G1070" t="s">
        <v>47</v>
      </c>
      <c r="H1070">
        <v>4</v>
      </c>
      <c r="I1070" t="s">
        <v>23</v>
      </c>
      <c r="J1070" t="s">
        <v>165</v>
      </c>
      <c r="K1070" t="s">
        <v>25</v>
      </c>
      <c r="M1070" t="s">
        <v>23</v>
      </c>
      <c r="N1070">
        <v>0</v>
      </c>
      <c r="O1070" t="s">
        <v>27</v>
      </c>
      <c r="S1070" s="3">
        <v>32300</v>
      </c>
      <c r="T1070" s="2">
        <v>34144.828125</v>
      </c>
      <c r="U1070" s="2">
        <v>33371.91771104488</v>
      </c>
      <c r="V1070" s="2">
        <v>32111.99909547807</v>
      </c>
      <c r="W1070" s="2">
        <v>31799.650390625</v>
      </c>
      <c r="X1070" s="4">
        <f t="shared" si="64"/>
        <v>0.94597049608080286</v>
      </c>
      <c r="Y1070" s="4">
        <f t="shared" si="65"/>
        <v>0.96787964898133161</v>
      </c>
      <c r="Z1070" s="4">
        <f t="shared" si="66"/>
        <v>1.0058545375503702</v>
      </c>
      <c r="AA1070" s="4">
        <f t="shared" si="67"/>
        <v>1.0157344374302464</v>
      </c>
    </row>
    <row r="1071" spans="1:27" x14ac:dyDescent="0.3">
      <c r="A1071" t="s">
        <v>461</v>
      </c>
      <c r="B1071">
        <v>48525</v>
      </c>
      <c r="C1071">
        <v>2018</v>
      </c>
      <c r="D1071" t="s">
        <v>71</v>
      </c>
      <c r="E1071" t="s">
        <v>170</v>
      </c>
      <c r="F1071">
        <v>6</v>
      </c>
      <c r="G1071" t="s">
        <v>47</v>
      </c>
      <c r="H1071">
        <v>4</v>
      </c>
      <c r="I1071" t="s">
        <v>23</v>
      </c>
      <c r="J1071" t="s">
        <v>24</v>
      </c>
      <c r="K1071" t="s">
        <v>27</v>
      </c>
      <c r="L1071" t="s">
        <v>26</v>
      </c>
      <c r="M1071" t="s">
        <v>33</v>
      </c>
      <c r="N1071">
        <v>1.9</v>
      </c>
      <c r="O1071" t="s">
        <v>27</v>
      </c>
      <c r="S1071" s="3">
        <v>11400</v>
      </c>
      <c r="T1071" s="2">
        <v>17343.03515625</v>
      </c>
      <c r="U1071" s="2">
        <v>17423.586790080852</v>
      </c>
      <c r="V1071" s="2">
        <v>14275.972665539941</v>
      </c>
      <c r="W1071" s="2">
        <v>17693.513671875</v>
      </c>
      <c r="X1071" s="4">
        <f t="shared" si="64"/>
        <v>0.65732438972146823</v>
      </c>
      <c r="Y1071" s="4">
        <f t="shared" si="65"/>
        <v>0.65428548882311388</v>
      </c>
      <c r="Z1071" s="4">
        <f t="shared" si="66"/>
        <v>0.79854453823086202</v>
      </c>
      <c r="AA1071" s="4">
        <f t="shared" si="67"/>
        <v>0.64430390771512203</v>
      </c>
    </row>
    <row r="1072" spans="1:27" x14ac:dyDescent="0.3">
      <c r="A1072" t="s">
        <v>461</v>
      </c>
      <c r="B1072">
        <v>142022</v>
      </c>
      <c r="C1072">
        <v>2016</v>
      </c>
      <c r="D1072" t="s">
        <v>71</v>
      </c>
      <c r="E1072" t="s">
        <v>72</v>
      </c>
      <c r="F1072">
        <v>4</v>
      </c>
      <c r="G1072" t="s">
        <v>22</v>
      </c>
      <c r="H1072">
        <v>4</v>
      </c>
      <c r="I1072" t="s">
        <v>23</v>
      </c>
      <c r="J1072" t="s">
        <v>24</v>
      </c>
      <c r="K1072" t="s">
        <v>27</v>
      </c>
      <c r="L1072" t="s">
        <v>73</v>
      </c>
      <c r="M1072" t="s">
        <v>33</v>
      </c>
      <c r="N1072">
        <v>2.2999999999999901</v>
      </c>
      <c r="O1072" t="s">
        <v>27</v>
      </c>
      <c r="S1072" s="3">
        <v>1800</v>
      </c>
      <c r="T1072" s="2">
        <v>5152.6416015625</v>
      </c>
      <c r="U1072" s="2">
        <v>3772.3587930692001</v>
      </c>
      <c r="V1072" s="2">
        <v>3461.406913188835</v>
      </c>
      <c r="W1072" s="2">
        <v>4527.54052734375</v>
      </c>
      <c r="X1072" s="4">
        <f t="shared" si="64"/>
        <v>0.34933537769329104</v>
      </c>
      <c r="Y1072" s="4">
        <f t="shared" si="65"/>
        <v>0.47715503713672891</v>
      </c>
      <c r="Z1072" s="4">
        <f t="shared" si="66"/>
        <v>0.52001976223643198</v>
      </c>
      <c r="AA1072" s="4">
        <f t="shared" si="67"/>
        <v>0.39756684432287942</v>
      </c>
    </row>
    <row r="1073" spans="1:27" x14ac:dyDescent="0.3">
      <c r="A1073" t="s">
        <v>461</v>
      </c>
      <c r="B1073">
        <v>204440</v>
      </c>
      <c r="C1073">
        <v>2015</v>
      </c>
      <c r="D1073" t="s">
        <v>40</v>
      </c>
      <c r="E1073" t="s">
        <v>502</v>
      </c>
      <c r="F1073">
        <v>8</v>
      </c>
      <c r="G1073" t="s">
        <v>47</v>
      </c>
      <c r="H1073">
        <v>3</v>
      </c>
      <c r="I1073" t="s">
        <v>23</v>
      </c>
      <c r="J1073" t="s">
        <v>448</v>
      </c>
      <c r="L1073" t="s">
        <v>334</v>
      </c>
      <c r="M1073" t="s">
        <v>78</v>
      </c>
      <c r="N1073">
        <v>2.2000000000000002</v>
      </c>
      <c r="O1073" t="s">
        <v>27</v>
      </c>
      <c r="S1073" s="3">
        <v>3300</v>
      </c>
      <c r="T1073" s="2">
        <v>7752.32177734375</v>
      </c>
      <c r="U1073" s="2">
        <v>14919.681570761741</v>
      </c>
      <c r="V1073" s="2">
        <v>2877.4797959748089</v>
      </c>
      <c r="W1073" s="2">
        <v>10297.1591796875</v>
      </c>
      <c r="X1073" s="4">
        <f t="shared" si="64"/>
        <v>0.42567892494404558</v>
      </c>
      <c r="Y1073" s="4">
        <f t="shared" si="65"/>
        <v>0.22118434527899344</v>
      </c>
      <c r="Z1073" s="4">
        <f t="shared" si="66"/>
        <v>1.1468368968623994</v>
      </c>
      <c r="AA1073" s="4">
        <f t="shared" si="67"/>
        <v>0.32047673949817962</v>
      </c>
    </row>
    <row r="1074" spans="1:27" x14ac:dyDescent="0.3">
      <c r="A1074" t="s">
        <v>430</v>
      </c>
      <c r="B1074">
        <v>87052</v>
      </c>
      <c r="C1074">
        <v>2022</v>
      </c>
      <c r="D1074" t="s">
        <v>463</v>
      </c>
      <c r="E1074" t="s">
        <v>503</v>
      </c>
      <c r="F1074">
        <v>0</v>
      </c>
      <c r="G1074" t="s">
        <v>36</v>
      </c>
      <c r="H1074">
        <v>4</v>
      </c>
      <c r="I1074" t="s">
        <v>23</v>
      </c>
      <c r="J1074" t="s">
        <v>440</v>
      </c>
      <c r="K1074" t="s">
        <v>25</v>
      </c>
      <c r="M1074" t="s">
        <v>78</v>
      </c>
      <c r="N1074">
        <v>0</v>
      </c>
      <c r="O1074" t="s">
        <v>27</v>
      </c>
      <c r="S1074" s="3">
        <v>20000</v>
      </c>
      <c r="T1074" s="2">
        <v>18396.435546875</v>
      </c>
      <c r="U1074" s="2">
        <v>17651.84316668312</v>
      </c>
      <c r="V1074" s="2">
        <v>19029.039792246698</v>
      </c>
      <c r="W1074" s="2">
        <v>20353.966796875</v>
      </c>
      <c r="X1074" s="4">
        <f t="shared" si="64"/>
        <v>1.0871671280579893</v>
      </c>
      <c r="Y1074" s="4">
        <f t="shared" si="65"/>
        <v>1.1330261554639742</v>
      </c>
      <c r="Z1074" s="4">
        <f t="shared" si="66"/>
        <v>1.0510251814255449</v>
      </c>
      <c r="AA1074" s="4">
        <f t="shared" si="67"/>
        <v>0.98260944412421147</v>
      </c>
    </row>
    <row r="1075" spans="1:27" x14ac:dyDescent="0.3">
      <c r="A1075" t="s">
        <v>461</v>
      </c>
      <c r="B1075">
        <v>146061</v>
      </c>
      <c r="C1075">
        <v>2019</v>
      </c>
      <c r="D1075" t="s">
        <v>40</v>
      </c>
      <c r="E1075" t="s">
        <v>229</v>
      </c>
      <c r="F1075">
        <v>4</v>
      </c>
      <c r="G1075" t="s">
        <v>30</v>
      </c>
      <c r="H1075">
        <v>4</v>
      </c>
      <c r="I1075" t="s">
        <v>23</v>
      </c>
      <c r="J1075" t="s">
        <v>31</v>
      </c>
      <c r="K1075" t="s">
        <v>27</v>
      </c>
      <c r="L1075" t="s">
        <v>107</v>
      </c>
      <c r="M1075" t="s">
        <v>33</v>
      </c>
      <c r="N1075">
        <v>1.7</v>
      </c>
      <c r="O1075" t="s">
        <v>27</v>
      </c>
      <c r="S1075" s="3">
        <v>2300</v>
      </c>
      <c r="T1075" s="2">
        <v>5725.6318359375</v>
      </c>
      <c r="U1075" s="2">
        <v>6432.977343541932</v>
      </c>
      <c r="V1075" s="2">
        <v>4960.5135821513641</v>
      </c>
      <c r="W1075" s="2">
        <v>5549.7724609375</v>
      </c>
      <c r="X1075" s="4">
        <f t="shared" si="64"/>
        <v>0.40170239126515617</v>
      </c>
      <c r="Y1075" s="4">
        <f t="shared" si="65"/>
        <v>0.35753273751367565</v>
      </c>
      <c r="Z1075" s="4">
        <f t="shared" si="66"/>
        <v>0.46366166767000261</v>
      </c>
      <c r="AA1075" s="4">
        <f t="shared" si="67"/>
        <v>0.41443140528530253</v>
      </c>
    </row>
    <row r="1076" spans="1:27" x14ac:dyDescent="0.3">
      <c r="A1076" t="s">
        <v>461</v>
      </c>
      <c r="B1076">
        <v>152370</v>
      </c>
      <c r="C1076">
        <v>2014</v>
      </c>
      <c r="D1076" t="s">
        <v>100</v>
      </c>
      <c r="E1076" t="s">
        <v>363</v>
      </c>
      <c r="F1076">
        <v>4</v>
      </c>
      <c r="G1076" t="s">
        <v>22</v>
      </c>
      <c r="H1076">
        <v>4</v>
      </c>
      <c r="I1076" t="s">
        <v>23</v>
      </c>
      <c r="J1076" t="s">
        <v>24</v>
      </c>
      <c r="K1076" t="s">
        <v>27</v>
      </c>
      <c r="L1076" t="s">
        <v>87</v>
      </c>
      <c r="M1076" t="s">
        <v>23</v>
      </c>
      <c r="N1076">
        <v>1.8</v>
      </c>
      <c r="O1076" t="s">
        <v>199</v>
      </c>
      <c r="S1076" s="3">
        <v>500</v>
      </c>
      <c r="T1076" s="2">
        <v>1637.141235351562</v>
      </c>
      <c r="U1076" s="2">
        <v>716.24032070948124</v>
      </c>
      <c r="V1076" s="2">
        <v>1089.9502266668951</v>
      </c>
      <c r="W1076" s="2">
        <v>1878.338012695312</v>
      </c>
      <c r="X1076" s="4">
        <f t="shared" si="64"/>
        <v>0.30541042471062629</v>
      </c>
      <c r="Y1076" s="4">
        <f t="shared" si="65"/>
        <v>0.69808971310735268</v>
      </c>
      <c r="Z1076" s="4">
        <f t="shared" si="66"/>
        <v>0.45873654389615298</v>
      </c>
      <c r="AA1076" s="4">
        <f t="shared" si="67"/>
        <v>0.26619277074765019</v>
      </c>
    </row>
    <row r="1077" spans="1:27" x14ac:dyDescent="0.3">
      <c r="A1077" t="s">
        <v>461</v>
      </c>
      <c r="B1077">
        <v>169793</v>
      </c>
      <c r="C1077">
        <v>2014</v>
      </c>
      <c r="D1077" t="s">
        <v>40</v>
      </c>
      <c r="E1077" t="s">
        <v>172</v>
      </c>
      <c r="F1077">
        <v>4</v>
      </c>
      <c r="G1077" t="s">
        <v>30</v>
      </c>
      <c r="H1077">
        <v>4</v>
      </c>
      <c r="I1077" t="s">
        <v>23</v>
      </c>
      <c r="J1077" t="s">
        <v>31</v>
      </c>
      <c r="K1077" t="s">
        <v>27</v>
      </c>
      <c r="L1077" t="s">
        <v>102</v>
      </c>
      <c r="M1077" t="s">
        <v>33</v>
      </c>
      <c r="N1077">
        <v>1.8</v>
      </c>
      <c r="O1077" t="s">
        <v>27</v>
      </c>
      <c r="S1077" s="3">
        <v>3000</v>
      </c>
      <c r="T1077" s="2">
        <v>4354.263671875</v>
      </c>
      <c r="U1077" s="2">
        <v>3645.7925453034209</v>
      </c>
      <c r="V1077" s="2">
        <v>3230.23731202923</v>
      </c>
      <c r="W1077" s="2">
        <v>3742.127685546875</v>
      </c>
      <c r="X1077" s="4">
        <f t="shared" si="64"/>
        <v>0.68897986572966596</v>
      </c>
      <c r="Y1077" s="4">
        <f t="shared" si="65"/>
        <v>0.82286634873524467</v>
      </c>
      <c r="Z1077" s="4">
        <f t="shared" si="66"/>
        <v>0.92872433515276454</v>
      </c>
      <c r="AA1077" s="4">
        <f t="shared" si="67"/>
        <v>0.80168296009428652</v>
      </c>
    </row>
    <row r="1078" spans="1:27" x14ac:dyDescent="0.3">
      <c r="A1078" t="s">
        <v>461</v>
      </c>
      <c r="B1078">
        <v>85940</v>
      </c>
      <c r="C1078">
        <v>2020</v>
      </c>
      <c r="D1078" t="s">
        <v>34</v>
      </c>
      <c r="E1078" t="s">
        <v>116</v>
      </c>
      <c r="F1078">
        <v>4</v>
      </c>
      <c r="G1078" t="s">
        <v>59</v>
      </c>
      <c r="H1078">
        <v>4</v>
      </c>
      <c r="I1078" t="s">
        <v>23</v>
      </c>
      <c r="J1078" t="s">
        <v>37</v>
      </c>
      <c r="K1078" t="s">
        <v>27</v>
      </c>
      <c r="L1078" t="s">
        <v>128</v>
      </c>
      <c r="M1078" t="s">
        <v>33</v>
      </c>
      <c r="N1078">
        <v>2.9</v>
      </c>
      <c r="O1078" t="s">
        <v>27</v>
      </c>
      <c r="S1078" s="3">
        <v>14200</v>
      </c>
      <c r="T1078" s="2">
        <v>10740.220703125</v>
      </c>
      <c r="U1078" s="2">
        <v>12511.77677734693</v>
      </c>
      <c r="V1078" s="2">
        <v>14317.19743442596</v>
      </c>
      <c r="W1078" s="2">
        <v>11964.6435546875</v>
      </c>
      <c r="X1078" s="4">
        <f t="shared" si="64"/>
        <v>1.3221329796200869</v>
      </c>
      <c r="Y1078" s="4">
        <f t="shared" si="65"/>
        <v>1.1349307338754369</v>
      </c>
      <c r="Z1078" s="4">
        <f t="shared" si="66"/>
        <v>0.99181421958014238</v>
      </c>
      <c r="AA1078" s="4">
        <f t="shared" si="67"/>
        <v>1.1868301746805263</v>
      </c>
    </row>
    <row r="1079" spans="1:27" x14ac:dyDescent="0.3">
      <c r="A1079" t="s">
        <v>461</v>
      </c>
      <c r="B1079">
        <v>113976</v>
      </c>
      <c r="C1079">
        <v>2011</v>
      </c>
      <c r="D1079" t="s">
        <v>20</v>
      </c>
      <c r="E1079" t="s">
        <v>154</v>
      </c>
      <c r="F1079">
        <v>6</v>
      </c>
      <c r="G1079" t="s">
        <v>99</v>
      </c>
      <c r="H1079">
        <v>4</v>
      </c>
      <c r="I1079" t="s">
        <v>23</v>
      </c>
      <c r="J1079" t="s">
        <v>24</v>
      </c>
      <c r="L1079" t="s">
        <v>26</v>
      </c>
      <c r="M1079" t="s">
        <v>33</v>
      </c>
      <c r="N1079">
        <v>1</v>
      </c>
      <c r="O1079" t="s">
        <v>199</v>
      </c>
      <c r="S1079" s="3">
        <v>400</v>
      </c>
      <c r="T1079" s="2">
        <v>2137.958984375</v>
      </c>
      <c r="U1079" s="2">
        <v>2908.4775229798402</v>
      </c>
      <c r="V1079" s="2">
        <v>698.98243332424136</v>
      </c>
      <c r="W1079" s="2">
        <v>2475.327880859375</v>
      </c>
      <c r="X1079" s="4">
        <f t="shared" si="64"/>
        <v>0.18709432824640176</v>
      </c>
      <c r="Y1079" s="4">
        <f t="shared" si="65"/>
        <v>0.13752899819221762</v>
      </c>
      <c r="Z1079" s="4">
        <f t="shared" si="66"/>
        <v>0.57226044737300219</v>
      </c>
      <c r="AA1079" s="4">
        <f t="shared" si="67"/>
        <v>0.16159475400936765</v>
      </c>
    </row>
    <row r="1080" spans="1:27" x14ac:dyDescent="0.3">
      <c r="A1080" t="s">
        <v>461</v>
      </c>
      <c r="B1080">
        <v>77069</v>
      </c>
      <c r="C1080">
        <v>2017</v>
      </c>
      <c r="D1080" t="s">
        <v>97</v>
      </c>
      <c r="E1080" t="s">
        <v>504</v>
      </c>
      <c r="F1080">
        <v>4</v>
      </c>
      <c r="G1080" t="s">
        <v>99</v>
      </c>
      <c r="H1080">
        <v>4</v>
      </c>
      <c r="I1080" t="s">
        <v>23</v>
      </c>
      <c r="J1080" t="s">
        <v>31</v>
      </c>
      <c r="K1080" t="s">
        <v>27</v>
      </c>
      <c r="L1080" t="s">
        <v>73</v>
      </c>
      <c r="M1080" t="s">
        <v>33</v>
      </c>
      <c r="N1080">
        <v>2.5</v>
      </c>
      <c r="O1080" t="s">
        <v>27</v>
      </c>
      <c r="S1080" s="3">
        <v>3000</v>
      </c>
      <c r="T1080" s="2">
        <v>6469.81103515625</v>
      </c>
      <c r="U1080" s="2">
        <v>6088.9658799900144</v>
      </c>
      <c r="V1080" s="2">
        <v>5583.6570373269024</v>
      </c>
      <c r="W1080" s="2">
        <v>6403.49609375</v>
      </c>
      <c r="X1080" s="4">
        <f t="shared" si="64"/>
        <v>0.46369205896406029</v>
      </c>
      <c r="Y1080" s="4">
        <f t="shared" si="65"/>
        <v>0.49269450003962245</v>
      </c>
      <c r="Z1080" s="4">
        <f t="shared" si="66"/>
        <v>0.53728228290973401</v>
      </c>
      <c r="AA1080" s="4">
        <f t="shared" si="67"/>
        <v>0.4684940782470513</v>
      </c>
    </row>
    <row r="1081" spans="1:27" x14ac:dyDescent="0.3">
      <c r="A1081" t="s">
        <v>461</v>
      </c>
      <c r="B1081">
        <v>204952</v>
      </c>
      <c r="C1081">
        <v>2019</v>
      </c>
      <c r="D1081" t="s">
        <v>44</v>
      </c>
      <c r="E1081" t="s">
        <v>45</v>
      </c>
      <c r="F1081">
        <v>8</v>
      </c>
      <c r="G1081" t="s">
        <v>59</v>
      </c>
      <c r="H1081">
        <v>4</v>
      </c>
      <c r="I1081" t="s">
        <v>23</v>
      </c>
      <c r="J1081" t="s">
        <v>46</v>
      </c>
      <c r="K1081" t="s">
        <v>27</v>
      </c>
      <c r="L1081" t="s">
        <v>48</v>
      </c>
      <c r="M1081">
        <v>4</v>
      </c>
      <c r="N1081">
        <v>2</v>
      </c>
      <c r="O1081" t="s">
        <v>27</v>
      </c>
      <c r="S1081" s="3">
        <v>7600</v>
      </c>
      <c r="T1081" s="2">
        <v>8236.7529296875</v>
      </c>
      <c r="U1081" s="2">
        <v>16417.19946976002</v>
      </c>
      <c r="V1081" s="2">
        <v>6239.2237782388474</v>
      </c>
      <c r="W1081" s="2">
        <v>7789.2412109375</v>
      </c>
      <c r="X1081" s="4">
        <f t="shared" si="64"/>
        <v>0.92269369554688607</v>
      </c>
      <c r="Y1081" s="4">
        <f t="shared" si="65"/>
        <v>0.46292913806638991</v>
      </c>
      <c r="Z1081" s="4">
        <f t="shared" si="66"/>
        <v>1.2181002429352294</v>
      </c>
      <c r="AA1081" s="4">
        <f t="shared" si="67"/>
        <v>0.97570479513822594</v>
      </c>
    </row>
    <row r="1082" spans="1:27" x14ac:dyDescent="0.3">
      <c r="A1082" t="s">
        <v>461</v>
      </c>
      <c r="B1082">
        <v>92965</v>
      </c>
      <c r="C1082">
        <v>2019</v>
      </c>
      <c r="D1082" t="s">
        <v>54</v>
      </c>
      <c r="E1082" t="s">
        <v>275</v>
      </c>
      <c r="F1082">
        <v>4</v>
      </c>
      <c r="G1082" t="s">
        <v>66</v>
      </c>
      <c r="H1082">
        <v>4</v>
      </c>
      <c r="I1082" t="s">
        <v>23</v>
      </c>
      <c r="J1082" t="s">
        <v>24</v>
      </c>
      <c r="K1082" t="s">
        <v>27</v>
      </c>
      <c r="L1082" t="s">
        <v>60</v>
      </c>
      <c r="M1082" t="s">
        <v>33</v>
      </c>
      <c r="N1082">
        <v>1</v>
      </c>
      <c r="O1082" t="s">
        <v>199</v>
      </c>
      <c r="S1082" s="3">
        <v>6750</v>
      </c>
      <c r="T1082" s="2">
        <v>7644.58349609375</v>
      </c>
      <c r="U1082" s="2">
        <v>6625.2109456008238</v>
      </c>
      <c r="V1082" s="2">
        <v>4138.7385997056444</v>
      </c>
      <c r="W1082" s="2">
        <v>6890.14794921875</v>
      </c>
      <c r="X1082" s="4">
        <f t="shared" si="64"/>
        <v>0.88297812476626536</v>
      </c>
      <c r="Y1082" s="4">
        <f t="shared" si="65"/>
        <v>1.0188354839451621</v>
      </c>
      <c r="Z1082" s="4">
        <f t="shared" si="66"/>
        <v>1.6309317047662961</v>
      </c>
      <c r="AA1082" s="4">
        <f t="shared" si="67"/>
        <v>0.97965966039457242</v>
      </c>
    </row>
    <row r="1083" spans="1:27" x14ac:dyDescent="0.3">
      <c r="A1083" t="s">
        <v>461</v>
      </c>
      <c r="B1083">
        <v>106197</v>
      </c>
      <c r="C1083">
        <v>2015</v>
      </c>
      <c r="D1083" t="s">
        <v>34</v>
      </c>
      <c r="E1083" t="s">
        <v>330</v>
      </c>
      <c r="F1083">
        <v>6</v>
      </c>
      <c r="G1083" t="s">
        <v>47</v>
      </c>
      <c r="H1083">
        <v>4</v>
      </c>
      <c r="I1083" t="s">
        <v>23</v>
      </c>
      <c r="J1083" t="s">
        <v>62</v>
      </c>
      <c r="K1083" t="s">
        <v>27</v>
      </c>
      <c r="L1083" t="s">
        <v>319</v>
      </c>
      <c r="M1083" t="s">
        <v>78</v>
      </c>
      <c r="N1083">
        <v>0</v>
      </c>
      <c r="S1083" s="3">
        <v>16250</v>
      </c>
      <c r="T1083" s="2">
        <v>13081.6123046875</v>
      </c>
      <c r="U1083" s="2">
        <v>14698.65656096065</v>
      </c>
      <c r="V1083" s="2">
        <v>11318.77496816474</v>
      </c>
      <c r="W1083" s="2">
        <v>15294.5830078125</v>
      </c>
      <c r="X1083" s="4">
        <f t="shared" si="64"/>
        <v>1.2422016202220869</v>
      </c>
      <c r="Y1083" s="4">
        <f t="shared" si="65"/>
        <v>1.1055432129191785</v>
      </c>
      <c r="Z1083" s="4">
        <f t="shared" si="66"/>
        <v>1.4356677330987546</v>
      </c>
      <c r="AA1083" s="4">
        <f t="shared" si="67"/>
        <v>1.0624676718351505</v>
      </c>
    </row>
    <row r="1084" spans="1:27" x14ac:dyDescent="0.3">
      <c r="A1084" t="s">
        <v>461</v>
      </c>
      <c r="B1084">
        <v>160135</v>
      </c>
      <c r="C1084">
        <v>2014</v>
      </c>
      <c r="D1084" t="s">
        <v>85</v>
      </c>
      <c r="E1084" t="s">
        <v>228</v>
      </c>
      <c r="F1084">
        <v>4</v>
      </c>
      <c r="G1084" t="s">
        <v>36</v>
      </c>
      <c r="H1084">
        <v>4</v>
      </c>
      <c r="I1084" t="s">
        <v>23</v>
      </c>
      <c r="J1084" t="s">
        <v>31</v>
      </c>
      <c r="K1084" t="s">
        <v>27</v>
      </c>
      <c r="L1084" t="s">
        <v>60</v>
      </c>
      <c r="M1084" t="s">
        <v>33</v>
      </c>
      <c r="N1084">
        <v>0</v>
      </c>
      <c r="O1084" t="s">
        <v>27</v>
      </c>
      <c r="S1084" s="3">
        <v>1250</v>
      </c>
      <c r="T1084" s="2">
        <v>3749.11376953125</v>
      </c>
      <c r="U1084" s="2">
        <v>3299.9794503584412</v>
      </c>
      <c r="V1084" s="2">
        <v>3032.2779590731188</v>
      </c>
      <c r="W1084" s="2">
        <v>3717.915771484375</v>
      </c>
      <c r="X1084" s="4">
        <f t="shared" si="64"/>
        <v>0.33341212799639497</v>
      </c>
      <c r="Y1084" s="4">
        <f t="shared" si="65"/>
        <v>0.37879023757685099</v>
      </c>
      <c r="Z1084" s="4">
        <f t="shared" si="66"/>
        <v>0.4122313379153702</v>
      </c>
      <c r="AA1084" s="4">
        <f t="shared" si="67"/>
        <v>0.33620987586303991</v>
      </c>
    </row>
    <row r="1085" spans="1:27" x14ac:dyDescent="0.3">
      <c r="A1085" t="s">
        <v>461</v>
      </c>
      <c r="B1085">
        <v>93316</v>
      </c>
      <c r="C1085">
        <v>2017</v>
      </c>
      <c r="D1085" t="s">
        <v>239</v>
      </c>
      <c r="E1085" t="s">
        <v>505</v>
      </c>
      <c r="F1085">
        <v>4</v>
      </c>
      <c r="G1085" t="s">
        <v>36</v>
      </c>
      <c r="H1085">
        <v>4</v>
      </c>
      <c r="I1085" t="s">
        <v>23</v>
      </c>
      <c r="J1085" t="s">
        <v>24</v>
      </c>
      <c r="K1085" t="s">
        <v>27</v>
      </c>
      <c r="L1085" t="s">
        <v>127</v>
      </c>
      <c r="M1085" t="s">
        <v>23</v>
      </c>
      <c r="N1085">
        <v>0</v>
      </c>
      <c r="O1085" t="s">
        <v>27</v>
      </c>
      <c r="S1085" s="3">
        <v>7500</v>
      </c>
      <c r="T1085" s="2">
        <v>13647.3251953125</v>
      </c>
      <c r="U1085" s="2">
        <v>10653.599919401689</v>
      </c>
      <c r="V1085" s="2">
        <v>10901.871363794829</v>
      </c>
      <c r="W1085" s="2">
        <v>10226.9326171875</v>
      </c>
      <c r="X1085" s="4">
        <f t="shared" si="64"/>
        <v>0.54955823889768918</v>
      </c>
      <c r="Y1085" s="4">
        <f t="shared" si="65"/>
        <v>0.70398738987198639</v>
      </c>
      <c r="Z1085" s="4">
        <f t="shared" si="66"/>
        <v>0.68795528306337739</v>
      </c>
      <c r="AA1085" s="4">
        <f t="shared" si="67"/>
        <v>0.73335772129713794</v>
      </c>
    </row>
    <row r="1086" spans="1:27" x14ac:dyDescent="0.3">
      <c r="A1086" t="s">
        <v>461</v>
      </c>
      <c r="B1086">
        <v>162822</v>
      </c>
      <c r="C1086">
        <v>2005</v>
      </c>
      <c r="D1086" t="s">
        <v>100</v>
      </c>
      <c r="E1086" t="s">
        <v>192</v>
      </c>
      <c r="F1086">
        <v>4</v>
      </c>
      <c r="G1086" t="s">
        <v>47</v>
      </c>
      <c r="H1086">
        <v>4</v>
      </c>
      <c r="I1086" t="s">
        <v>23</v>
      </c>
      <c r="J1086" t="s">
        <v>31</v>
      </c>
      <c r="L1086" t="s">
        <v>32</v>
      </c>
      <c r="M1086" t="s">
        <v>33</v>
      </c>
      <c r="N1086">
        <v>0</v>
      </c>
      <c r="O1086" t="s">
        <v>123</v>
      </c>
      <c r="S1086" s="3">
        <v>300</v>
      </c>
      <c r="T1086" s="2">
        <v>71.432731628417969</v>
      </c>
      <c r="U1086" s="2">
        <v>-103.3594314718157</v>
      </c>
      <c r="V1086" s="2">
        <v>1322.8136762225511</v>
      </c>
      <c r="W1086" s="2">
        <v>995.46551513671875</v>
      </c>
      <c r="X1086" s="4">
        <f t="shared" si="64"/>
        <v>4.1997553944955328</v>
      </c>
      <c r="Y1086" s="4">
        <f t="shared" si="65"/>
        <v>-2.9024927452489395</v>
      </c>
      <c r="Z1086" s="4">
        <f t="shared" si="66"/>
        <v>0.2267893093278904</v>
      </c>
      <c r="AA1086" s="4">
        <f t="shared" si="67"/>
        <v>0.3013665420231032</v>
      </c>
    </row>
    <row r="1087" spans="1:27" x14ac:dyDescent="0.3">
      <c r="A1087" t="s">
        <v>461</v>
      </c>
      <c r="B1087">
        <v>116109</v>
      </c>
      <c r="C1087">
        <v>2017</v>
      </c>
      <c r="D1087" t="s">
        <v>396</v>
      </c>
      <c r="E1087" t="s">
        <v>397</v>
      </c>
      <c r="F1087">
        <v>6</v>
      </c>
      <c r="G1087" t="s">
        <v>272</v>
      </c>
      <c r="H1087">
        <v>4</v>
      </c>
      <c r="I1087" t="s">
        <v>23</v>
      </c>
      <c r="J1087" t="s">
        <v>24</v>
      </c>
      <c r="K1087" t="s">
        <v>27</v>
      </c>
      <c r="L1087" t="s">
        <v>53</v>
      </c>
      <c r="M1087" t="s">
        <v>23</v>
      </c>
      <c r="N1087">
        <v>0</v>
      </c>
      <c r="O1087" t="s">
        <v>27</v>
      </c>
      <c r="S1087" s="3">
        <v>11750</v>
      </c>
      <c r="T1087" s="2">
        <v>6932.80224609375</v>
      </c>
      <c r="U1087" s="2">
        <v>12403.458147871001</v>
      </c>
      <c r="V1087" s="2">
        <v>14202.606732567579</v>
      </c>
      <c r="W1087" s="2">
        <v>11392.638671875</v>
      </c>
      <c r="X1087" s="4">
        <f t="shared" si="64"/>
        <v>1.6948413618202471</v>
      </c>
      <c r="Y1087" s="4">
        <f t="shared" si="65"/>
        <v>0.94731645480795501</v>
      </c>
      <c r="Z1087" s="4">
        <f t="shared" si="66"/>
        <v>0.82731291665328033</v>
      </c>
      <c r="AA1087" s="4">
        <f t="shared" si="67"/>
        <v>1.031367740030869</v>
      </c>
    </row>
    <row r="1088" spans="1:27" x14ac:dyDescent="0.3">
      <c r="A1088" t="s">
        <v>461</v>
      </c>
      <c r="B1088">
        <v>150625</v>
      </c>
      <c r="C1088">
        <v>2013</v>
      </c>
      <c r="D1088" t="s">
        <v>44</v>
      </c>
      <c r="E1088" t="s">
        <v>68</v>
      </c>
      <c r="F1088">
        <v>6</v>
      </c>
      <c r="G1088" t="s">
        <v>47</v>
      </c>
      <c r="H1088">
        <v>4</v>
      </c>
      <c r="I1088" t="s">
        <v>23</v>
      </c>
      <c r="J1088" t="s">
        <v>62</v>
      </c>
      <c r="K1088" t="s">
        <v>27</v>
      </c>
      <c r="L1088" t="s">
        <v>38</v>
      </c>
      <c r="M1088" t="s">
        <v>33</v>
      </c>
      <c r="N1088">
        <v>0</v>
      </c>
      <c r="O1088" t="s">
        <v>27</v>
      </c>
      <c r="S1088" s="3">
        <v>5250</v>
      </c>
      <c r="T1088" s="2">
        <v>4862.80712890625</v>
      </c>
      <c r="U1088" s="2">
        <v>5435.2901467619067</v>
      </c>
      <c r="V1088" s="2">
        <v>5035.6743467449978</v>
      </c>
      <c r="W1088" s="2">
        <v>5445.0673828125</v>
      </c>
      <c r="X1088" s="4">
        <f t="shared" si="64"/>
        <v>1.0796233247237257</v>
      </c>
      <c r="Y1088" s="4">
        <f t="shared" si="65"/>
        <v>0.96590979657777898</v>
      </c>
      <c r="Z1088" s="4">
        <f t="shared" si="66"/>
        <v>1.0425614601932192</v>
      </c>
      <c r="AA1088" s="4">
        <f t="shared" si="67"/>
        <v>0.96417539598715796</v>
      </c>
    </row>
    <row r="1089" spans="1:27" x14ac:dyDescent="0.3">
      <c r="A1089" t="s">
        <v>461</v>
      </c>
      <c r="B1089">
        <v>124297</v>
      </c>
      <c r="C1089">
        <v>2019</v>
      </c>
      <c r="D1089" t="s">
        <v>489</v>
      </c>
      <c r="E1089" t="s">
        <v>490</v>
      </c>
      <c r="F1089">
        <v>4</v>
      </c>
      <c r="G1089" t="s">
        <v>36</v>
      </c>
      <c r="H1089">
        <v>4</v>
      </c>
      <c r="I1089" t="s">
        <v>23</v>
      </c>
      <c r="J1089" t="s">
        <v>24</v>
      </c>
      <c r="K1089" t="s">
        <v>27</v>
      </c>
      <c r="L1089" t="s">
        <v>127</v>
      </c>
      <c r="M1089" t="s">
        <v>33</v>
      </c>
      <c r="N1089">
        <v>0</v>
      </c>
      <c r="O1089" t="s">
        <v>27</v>
      </c>
      <c r="S1089" s="3">
        <v>12250</v>
      </c>
      <c r="T1089" s="2">
        <v>9740.1005859375</v>
      </c>
      <c r="U1089" s="2">
        <v>12266.712675065901</v>
      </c>
      <c r="V1089" s="2">
        <v>11523.706570827009</v>
      </c>
      <c r="W1089" s="2">
        <v>10617.9775390625</v>
      </c>
      <c r="X1089" s="4">
        <f t="shared" si="64"/>
        <v>1.2576872170792801</v>
      </c>
      <c r="Y1089" s="4">
        <f t="shared" si="65"/>
        <v>0.99863755877319338</v>
      </c>
      <c r="Z1089" s="4">
        <f t="shared" si="66"/>
        <v>1.0630260259326325</v>
      </c>
      <c r="AA1089" s="4">
        <f t="shared" si="67"/>
        <v>1.1537037025114669</v>
      </c>
    </row>
    <row r="1090" spans="1:27" x14ac:dyDescent="0.3">
      <c r="A1090" t="s">
        <v>461</v>
      </c>
      <c r="B1090">
        <v>1</v>
      </c>
      <c r="C1090">
        <v>2001</v>
      </c>
      <c r="D1090" t="s">
        <v>40</v>
      </c>
      <c r="E1090" t="s">
        <v>506</v>
      </c>
      <c r="F1090">
        <v>6</v>
      </c>
      <c r="G1090" t="s">
        <v>47</v>
      </c>
      <c r="H1090">
        <v>4</v>
      </c>
      <c r="I1090" t="s">
        <v>23</v>
      </c>
      <c r="J1090" t="s">
        <v>24</v>
      </c>
      <c r="K1090" t="s">
        <v>27</v>
      </c>
      <c r="L1090" t="s">
        <v>308</v>
      </c>
      <c r="M1090" t="s">
        <v>78</v>
      </c>
      <c r="N1090">
        <v>0</v>
      </c>
      <c r="O1090" t="s">
        <v>123</v>
      </c>
      <c r="S1090" s="3">
        <v>2000</v>
      </c>
      <c r="T1090" s="2">
        <v>12088.6123046875</v>
      </c>
      <c r="U1090" s="2">
        <v>7627.3707306377019</v>
      </c>
      <c r="V1090" s="2">
        <v>9945.8542095271023</v>
      </c>
      <c r="W1090" s="2">
        <v>14689.091796875</v>
      </c>
      <c r="X1090" s="4">
        <f t="shared" ref="X1090:X1153" si="68">S1090/T1090</f>
        <v>0.16544496172025278</v>
      </c>
      <c r="Y1090" s="4">
        <f t="shared" ref="Y1090:Y1153" si="69">S1090/U1090</f>
        <v>0.26221355571014521</v>
      </c>
      <c r="Z1090" s="4">
        <f t="shared" ref="Z1090:Z1153" si="70">S1090/V1090</f>
        <v>0.2010888112641151</v>
      </c>
      <c r="AA1090" s="4">
        <f t="shared" ref="AA1090:AA1153" si="71">S1090/W1090</f>
        <v>0.13615545655623759</v>
      </c>
    </row>
    <row r="1091" spans="1:27" x14ac:dyDescent="0.3">
      <c r="A1091" t="s">
        <v>461</v>
      </c>
      <c r="B1091">
        <v>1</v>
      </c>
      <c r="C1091">
        <v>2015</v>
      </c>
      <c r="D1091" t="s">
        <v>125</v>
      </c>
      <c r="E1091" t="s">
        <v>230</v>
      </c>
      <c r="F1091">
        <v>4</v>
      </c>
      <c r="G1091" t="s">
        <v>36</v>
      </c>
      <c r="H1091">
        <v>4</v>
      </c>
      <c r="I1091" t="s">
        <v>23</v>
      </c>
      <c r="J1091" t="s">
        <v>31</v>
      </c>
      <c r="K1091" t="s">
        <v>27</v>
      </c>
      <c r="L1091" t="s">
        <v>60</v>
      </c>
      <c r="M1091" t="s">
        <v>33</v>
      </c>
      <c r="N1091">
        <v>0</v>
      </c>
      <c r="O1091" t="s">
        <v>123</v>
      </c>
      <c r="S1091" s="3">
        <v>1500</v>
      </c>
      <c r="T1091" s="2">
        <v>17217.62109375</v>
      </c>
      <c r="U1091" s="2">
        <v>10472.43046279999</v>
      </c>
      <c r="V1091" s="2">
        <v>-4484.5552841791014</v>
      </c>
      <c r="W1091" s="2">
        <v>8422.8984375</v>
      </c>
      <c r="X1091" s="4">
        <f t="shared" si="68"/>
        <v>8.7120049386177997E-2</v>
      </c>
      <c r="Y1091" s="4">
        <f t="shared" si="69"/>
        <v>0.14323322607185385</v>
      </c>
      <c r="Z1091" s="4">
        <f t="shared" si="70"/>
        <v>-0.33448132645209999</v>
      </c>
      <c r="AA1091" s="4">
        <f t="shared" si="71"/>
        <v>0.17808596543462715</v>
      </c>
    </row>
    <row r="1092" spans="1:27" x14ac:dyDescent="0.3">
      <c r="A1092" t="s">
        <v>461</v>
      </c>
      <c r="B1092">
        <v>95603</v>
      </c>
      <c r="C1092">
        <v>2017</v>
      </c>
      <c r="D1092" t="s">
        <v>40</v>
      </c>
      <c r="E1092" t="s">
        <v>41</v>
      </c>
      <c r="F1092">
        <v>8</v>
      </c>
      <c r="G1092" t="s">
        <v>99</v>
      </c>
      <c r="H1092">
        <v>4</v>
      </c>
      <c r="I1092" t="s">
        <v>23</v>
      </c>
      <c r="J1092" t="s">
        <v>42</v>
      </c>
      <c r="K1092" t="s">
        <v>27</v>
      </c>
      <c r="L1092" t="s">
        <v>43</v>
      </c>
      <c r="M1092">
        <v>4</v>
      </c>
      <c r="N1092">
        <v>0</v>
      </c>
      <c r="O1092" t="s">
        <v>27</v>
      </c>
      <c r="S1092" s="3">
        <v>22000</v>
      </c>
      <c r="T1092" s="2">
        <v>20416.6796875</v>
      </c>
      <c r="U1092" s="2">
        <v>27963.060308533029</v>
      </c>
      <c r="V1092" s="2">
        <v>20927.451543755891</v>
      </c>
      <c r="W1092" s="2">
        <v>24786.66796875</v>
      </c>
      <c r="X1092" s="4">
        <f t="shared" si="68"/>
        <v>1.0775503331949405</v>
      </c>
      <c r="Y1092" s="4">
        <f t="shared" si="69"/>
        <v>0.78675222802014344</v>
      </c>
      <c r="Z1092" s="4">
        <f t="shared" si="70"/>
        <v>1.0512507915262201</v>
      </c>
      <c r="AA1092" s="4">
        <f t="shared" si="71"/>
        <v>0.88757391787136075</v>
      </c>
    </row>
    <row r="1093" spans="1:27" x14ac:dyDescent="0.3">
      <c r="A1093" t="s">
        <v>461</v>
      </c>
      <c r="B1093">
        <v>111300</v>
      </c>
      <c r="C1093">
        <v>2019</v>
      </c>
      <c r="D1093" t="s">
        <v>44</v>
      </c>
      <c r="E1093" t="s">
        <v>45</v>
      </c>
      <c r="F1093">
        <v>6</v>
      </c>
      <c r="G1093" t="s">
        <v>47</v>
      </c>
      <c r="H1093">
        <v>4</v>
      </c>
      <c r="I1093" t="s">
        <v>23</v>
      </c>
      <c r="J1093" t="s">
        <v>46</v>
      </c>
      <c r="K1093" t="s">
        <v>27</v>
      </c>
      <c r="L1093" t="s">
        <v>38</v>
      </c>
      <c r="M1093">
        <v>4</v>
      </c>
      <c r="N1093">
        <v>3.5</v>
      </c>
      <c r="O1093" t="s">
        <v>27</v>
      </c>
      <c r="S1093" s="3">
        <v>20250</v>
      </c>
      <c r="T1093" s="2">
        <v>18296.603515625</v>
      </c>
      <c r="U1093" s="2">
        <v>18819.217469731171</v>
      </c>
      <c r="V1093" s="2">
        <v>22513.213391827619</v>
      </c>
      <c r="W1093" s="2">
        <v>17662.88671875</v>
      </c>
      <c r="X1093" s="4">
        <f t="shared" si="68"/>
        <v>1.106762792488061</v>
      </c>
      <c r="Y1093" s="4">
        <f t="shared" si="69"/>
        <v>1.0760277377404295</v>
      </c>
      <c r="Z1093" s="4">
        <f t="shared" si="70"/>
        <v>0.89947177453356464</v>
      </c>
      <c r="AA1093" s="4">
        <f t="shared" si="71"/>
        <v>1.1464717133979949</v>
      </c>
    </row>
    <row r="1094" spans="1:27" x14ac:dyDescent="0.3">
      <c r="A1094" t="s">
        <v>461</v>
      </c>
      <c r="B1094">
        <v>21611</v>
      </c>
      <c r="C1094">
        <v>2024</v>
      </c>
      <c r="D1094" t="s">
        <v>40</v>
      </c>
      <c r="E1094" t="s">
        <v>63</v>
      </c>
      <c r="F1094">
        <v>4</v>
      </c>
      <c r="G1094" t="s">
        <v>36</v>
      </c>
      <c r="H1094">
        <v>4</v>
      </c>
      <c r="I1094" t="s">
        <v>23</v>
      </c>
      <c r="J1094" t="s">
        <v>24</v>
      </c>
      <c r="K1094" t="s">
        <v>27</v>
      </c>
      <c r="L1094" t="s">
        <v>107</v>
      </c>
      <c r="M1094" t="s">
        <v>23</v>
      </c>
      <c r="N1094">
        <v>4.8</v>
      </c>
      <c r="O1094" t="s">
        <v>27</v>
      </c>
      <c r="S1094" s="3">
        <v>20500</v>
      </c>
      <c r="T1094" s="2">
        <v>32093.5078125</v>
      </c>
      <c r="U1094" s="2">
        <v>31446.703032447462</v>
      </c>
      <c r="V1094" s="2">
        <v>24567.269943014238</v>
      </c>
      <c r="W1094" s="2">
        <v>31388.9453125</v>
      </c>
      <c r="X1094" s="4">
        <f t="shared" si="68"/>
        <v>0.63875847164377331</v>
      </c>
      <c r="Y1094" s="4">
        <f t="shared" si="69"/>
        <v>0.65189663853942359</v>
      </c>
      <c r="Z1094" s="4">
        <f t="shared" si="70"/>
        <v>0.83444355223642686</v>
      </c>
      <c r="AA1094" s="4">
        <f t="shared" si="71"/>
        <v>0.65309617114902863</v>
      </c>
    </row>
    <row r="1095" spans="1:27" x14ac:dyDescent="0.3">
      <c r="A1095" t="s">
        <v>461</v>
      </c>
      <c r="B1095">
        <v>96373</v>
      </c>
      <c r="C1095">
        <v>2021</v>
      </c>
      <c r="D1095" t="s">
        <v>34</v>
      </c>
      <c r="E1095" t="s">
        <v>116</v>
      </c>
      <c r="F1095">
        <v>4</v>
      </c>
      <c r="G1095" t="s">
        <v>47</v>
      </c>
      <c r="H1095">
        <v>4</v>
      </c>
      <c r="I1095" t="s">
        <v>23</v>
      </c>
      <c r="J1095" t="s">
        <v>37</v>
      </c>
      <c r="K1095" t="s">
        <v>27</v>
      </c>
      <c r="L1095" t="s">
        <v>128</v>
      </c>
      <c r="M1095" t="s">
        <v>33</v>
      </c>
      <c r="N1095">
        <v>4.3</v>
      </c>
      <c r="O1095" t="s">
        <v>27</v>
      </c>
      <c r="S1095" s="3">
        <v>16750</v>
      </c>
      <c r="T1095" s="2">
        <v>15118.677734375</v>
      </c>
      <c r="U1095" s="2">
        <v>14095.29041578037</v>
      </c>
      <c r="V1095" s="2">
        <v>16059.556871653171</v>
      </c>
      <c r="W1095" s="2">
        <v>15097.345703125</v>
      </c>
      <c r="X1095" s="4">
        <f t="shared" si="68"/>
        <v>1.1079011203417544</v>
      </c>
      <c r="Y1095" s="4">
        <f t="shared" si="69"/>
        <v>1.1883401835585845</v>
      </c>
      <c r="Z1095" s="4">
        <f t="shared" si="70"/>
        <v>1.0429926637369138</v>
      </c>
      <c r="AA1095" s="4">
        <f t="shared" si="71"/>
        <v>1.1094665465952016</v>
      </c>
    </row>
    <row r="1096" spans="1:27" x14ac:dyDescent="0.3">
      <c r="A1096" t="s">
        <v>461</v>
      </c>
      <c r="B1096">
        <v>148019</v>
      </c>
      <c r="C1096">
        <v>2016</v>
      </c>
      <c r="D1096" t="s">
        <v>28</v>
      </c>
      <c r="E1096" t="s">
        <v>58</v>
      </c>
      <c r="F1096">
        <v>4</v>
      </c>
      <c r="G1096" t="s">
        <v>66</v>
      </c>
      <c r="H1096">
        <v>4</v>
      </c>
      <c r="I1096" t="s">
        <v>23</v>
      </c>
      <c r="J1096" t="s">
        <v>24</v>
      </c>
      <c r="K1096" t="s">
        <v>27</v>
      </c>
      <c r="L1096" t="s">
        <v>60</v>
      </c>
      <c r="M1096" t="s">
        <v>23</v>
      </c>
      <c r="N1096">
        <v>0</v>
      </c>
      <c r="S1096" s="3">
        <v>9000</v>
      </c>
      <c r="T1096" s="2">
        <v>10642.2734375</v>
      </c>
      <c r="U1096" s="2">
        <v>9452.8505685196942</v>
      </c>
      <c r="V1096" s="2">
        <v>8255.7111869212986</v>
      </c>
      <c r="W1096" s="2">
        <v>10364.1884765625</v>
      </c>
      <c r="X1096" s="4">
        <f t="shared" si="68"/>
        <v>0.84568396525942013</v>
      </c>
      <c r="Y1096" s="4">
        <f t="shared" si="69"/>
        <v>0.95209375571557242</v>
      </c>
      <c r="Z1096" s="4">
        <f t="shared" si="70"/>
        <v>1.0901544150742342</v>
      </c>
      <c r="AA1096" s="4">
        <f t="shared" si="71"/>
        <v>0.86837479078584245</v>
      </c>
    </row>
    <row r="1097" spans="1:27" x14ac:dyDescent="0.3">
      <c r="A1097" t="s">
        <v>461</v>
      </c>
      <c r="B1097">
        <v>223321</v>
      </c>
      <c r="C1097">
        <v>2008</v>
      </c>
      <c r="D1097" t="s">
        <v>159</v>
      </c>
      <c r="E1097" t="s">
        <v>361</v>
      </c>
      <c r="F1097">
        <v>6</v>
      </c>
      <c r="G1097" t="s">
        <v>47</v>
      </c>
      <c r="H1097">
        <v>4</v>
      </c>
      <c r="I1097" t="s">
        <v>23</v>
      </c>
      <c r="J1097" t="s">
        <v>31</v>
      </c>
      <c r="K1097" t="s">
        <v>27</v>
      </c>
      <c r="L1097" t="s">
        <v>53</v>
      </c>
      <c r="M1097" t="s">
        <v>23</v>
      </c>
      <c r="N1097">
        <v>0</v>
      </c>
      <c r="S1097" s="3">
        <v>1200</v>
      </c>
      <c r="T1097" s="2">
        <v>1977.73974609375</v>
      </c>
      <c r="U1097" s="2">
        <v>1151.9683987407809</v>
      </c>
      <c r="V1097" s="2">
        <v>1836.3522080423941</v>
      </c>
      <c r="W1097" s="2">
        <v>1445.547241210938</v>
      </c>
      <c r="X1097" s="4">
        <f t="shared" si="68"/>
        <v>0.60675324059706537</v>
      </c>
      <c r="Y1097" s="4">
        <f t="shared" si="69"/>
        <v>1.0416952420845247</v>
      </c>
      <c r="Z1097" s="4">
        <f t="shared" si="70"/>
        <v>0.65346941329911634</v>
      </c>
      <c r="AA1097" s="4">
        <f t="shared" si="71"/>
        <v>0.83013544337351264</v>
      </c>
    </row>
    <row r="1098" spans="1:27" x14ac:dyDescent="0.3">
      <c r="A1098" t="s">
        <v>461</v>
      </c>
      <c r="B1098">
        <v>55025</v>
      </c>
      <c r="C1098">
        <v>2021</v>
      </c>
      <c r="D1098" t="s">
        <v>44</v>
      </c>
      <c r="E1098" t="s">
        <v>45</v>
      </c>
      <c r="F1098">
        <v>6</v>
      </c>
      <c r="G1098" t="s">
        <v>66</v>
      </c>
      <c r="H1098">
        <v>4</v>
      </c>
      <c r="I1098" t="s">
        <v>23</v>
      </c>
      <c r="J1098" t="s">
        <v>46</v>
      </c>
      <c r="K1098" t="s">
        <v>27</v>
      </c>
      <c r="L1098" t="s">
        <v>38</v>
      </c>
      <c r="M1098" t="s">
        <v>78</v>
      </c>
      <c r="N1098">
        <v>0</v>
      </c>
      <c r="O1098" t="s">
        <v>27</v>
      </c>
      <c r="S1098" s="3">
        <v>30250</v>
      </c>
      <c r="T1098" s="2">
        <v>30838.259765625</v>
      </c>
      <c r="U1098" s="2">
        <v>35435.493063594047</v>
      </c>
      <c r="V1098" s="2">
        <v>26573.085306434012</v>
      </c>
      <c r="W1098" s="2">
        <v>31190.9375</v>
      </c>
      <c r="X1098" s="4">
        <f t="shared" si="68"/>
        <v>0.98092435273274647</v>
      </c>
      <c r="Y1098" s="4">
        <f t="shared" si="69"/>
        <v>0.85366386593554833</v>
      </c>
      <c r="Z1098" s="4">
        <f t="shared" si="70"/>
        <v>1.1383698825772299</v>
      </c>
      <c r="AA1098" s="4">
        <f t="shared" si="71"/>
        <v>0.96983298434040333</v>
      </c>
    </row>
    <row r="1099" spans="1:27" x14ac:dyDescent="0.3">
      <c r="A1099" t="s">
        <v>461</v>
      </c>
      <c r="B1099">
        <v>174202</v>
      </c>
      <c r="C1099">
        <v>2009</v>
      </c>
      <c r="D1099" t="s">
        <v>125</v>
      </c>
      <c r="E1099" t="s">
        <v>264</v>
      </c>
      <c r="F1099">
        <v>6</v>
      </c>
      <c r="G1099" t="s">
        <v>30</v>
      </c>
      <c r="H1099">
        <v>4</v>
      </c>
      <c r="I1099" t="s">
        <v>23</v>
      </c>
      <c r="J1099" t="s">
        <v>24</v>
      </c>
      <c r="K1099" t="s">
        <v>27</v>
      </c>
      <c r="L1099" t="s">
        <v>271</v>
      </c>
      <c r="M1099" t="s">
        <v>33</v>
      </c>
      <c r="N1099">
        <v>1.5</v>
      </c>
      <c r="O1099" t="s">
        <v>27</v>
      </c>
      <c r="S1099" s="3">
        <v>1200</v>
      </c>
      <c r="T1099" s="2">
        <v>1889.682250976562</v>
      </c>
      <c r="U1099" s="2">
        <v>2005.942989226794</v>
      </c>
      <c r="V1099" s="2">
        <v>913.86788639660881</v>
      </c>
      <c r="W1099" s="2">
        <v>2068.9853515625</v>
      </c>
      <c r="X1099" s="4">
        <f t="shared" si="68"/>
        <v>0.63502739647359041</v>
      </c>
      <c r="Y1099" s="4">
        <f t="shared" si="69"/>
        <v>0.59822238540415806</v>
      </c>
      <c r="Z1099" s="4">
        <f t="shared" si="70"/>
        <v>1.3131000857592374</v>
      </c>
      <c r="AA1099" s="4">
        <f t="shared" si="71"/>
        <v>0.57999443983194887</v>
      </c>
    </row>
    <row r="1100" spans="1:27" x14ac:dyDescent="0.3">
      <c r="A1100" t="s">
        <v>461</v>
      </c>
      <c r="B1100">
        <v>127531</v>
      </c>
      <c r="C1100">
        <v>2018</v>
      </c>
      <c r="D1100" t="s">
        <v>44</v>
      </c>
      <c r="E1100" t="s">
        <v>45</v>
      </c>
      <c r="F1100">
        <v>8</v>
      </c>
      <c r="G1100" t="s">
        <v>47</v>
      </c>
      <c r="H1100">
        <v>4</v>
      </c>
      <c r="I1100" t="s">
        <v>23</v>
      </c>
      <c r="J1100" t="s">
        <v>156</v>
      </c>
      <c r="K1100" t="s">
        <v>27</v>
      </c>
      <c r="L1100" t="s">
        <v>48</v>
      </c>
      <c r="M1100">
        <v>4</v>
      </c>
      <c r="N1100">
        <v>2.4</v>
      </c>
      <c r="O1100" t="s">
        <v>27</v>
      </c>
      <c r="S1100" s="3">
        <v>7000</v>
      </c>
      <c r="T1100" s="2">
        <v>7938.35595703125</v>
      </c>
      <c r="U1100" s="2">
        <v>14955.472942969651</v>
      </c>
      <c r="V1100" s="2">
        <v>6740.6323846622236</v>
      </c>
      <c r="W1100" s="2">
        <v>9707.0908203125</v>
      </c>
      <c r="X1100" s="4">
        <f t="shared" si="68"/>
        <v>0.88179467359357722</v>
      </c>
      <c r="Y1100" s="4">
        <f t="shared" si="69"/>
        <v>0.46805607730985183</v>
      </c>
      <c r="Z1100" s="4">
        <f t="shared" si="70"/>
        <v>1.0384782317943857</v>
      </c>
      <c r="AA1100" s="4">
        <f t="shared" si="71"/>
        <v>0.721122335164744</v>
      </c>
    </row>
    <row r="1101" spans="1:27" x14ac:dyDescent="0.3">
      <c r="A1101" t="s">
        <v>461</v>
      </c>
      <c r="B1101">
        <v>230889</v>
      </c>
      <c r="C1101">
        <v>2012</v>
      </c>
      <c r="D1101" t="s">
        <v>44</v>
      </c>
      <c r="E1101" t="s">
        <v>45</v>
      </c>
      <c r="F1101">
        <v>8</v>
      </c>
      <c r="G1101" t="s">
        <v>66</v>
      </c>
      <c r="H1101">
        <v>4</v>
      </c>
      <c r="I1101" t="s">
        <v>23</v>
      </c>
      <c r="J1101" t="s">
        <v>46</v>
      </c>
      <c r="K1101" t="s">
        <v>27</v>
      </c>
      <c r="L1101" t="s">
        <v>48</v>
      </c>
      <c r="M1101">
        <v>4</v>
      </c>
      <c r="N1101">
        <v>2.2999999999999901</v>
      </c>
      <c r="O1101" t="s">
        <v>27</v>
      </c>
      <c r="S1101" s="3">
        <v>3900</v>
      </c>
      <c r="T1101" s="2">
        <v>3997.994873046875</v>
      </c>
      <c r="U1101" s="2">
        <v>10230.823417227</v>
      </c>
      <c r="V1101" s="2">
        <v>790.54987150805027</v>
      </c>
      <c r="W1101" s="2">
        <v>3880.1015625</v>
      </c>
      <c r="X1101" s="4">
        <f t="shared" si="68"/>
        <v>0.97548899481899709</v>
      </c>
      <c r="Y1101" s="4">
        <f t="shared" si="69"/>
        <v>0.38120098851799655</v>
      </c>
      <c r="Z1101" s="4">
        <f t="shared" si="70"/>
        <v>4.9332751045299306</v>
      </c>
      <c r="AA1101" s="4">
        <f t="shared" si="71"/>
        <v>1.0051283290345574</v>
      </c>
    </row>
    <row r="1102" spans="1:27" x14ac:dyDescent="0.3">
      <c r="A1102" t="s">
        <v>461</v>
      </c>
      <c r="B1102">
        <v>116842</v>
      </c>
      <c r="C1102">
        <v>2015</v>
      </c>
      <c r="D1102" t="s">
        <v>239</v>
      </c>
      <c r="E1102" t="s">
        <v>365</v>
      </c>
      <c r="F1102">
        <v>4</v>
      </c>
      <c r="G1102" t="s">
        <v>36</v>
      </c>
      <c r="H1102">
        <v>4</v>
      </c>
      <c r="I1102" t="s">
        <v>23</v>
      </c>
      <c r="J1102" t="s">
        <v>31</v>
      </c>
      <c r="L1102" t="s">
        <v>127</v>
      </c>
      <c r="M1102" t="s">
        <v>78</v>
      </c>
      <c r="N1102">
        <v>0</v>
      </c>
      <c r="O1102" t="s">
        <v>27</v>
      </c>
      <c r="S1102" s="3">
        <v>3250</v>
      </c>
      <c r="T1102" s="2">
        <v>7703.1650390625</v>
      </c>
      <c r="U1102" s="2">
        <v>6786.3235155070361</v>
      </c>
      <c r="V1102" s="2">
        <v>7081.1066422268304</v>
      </c>
      <c r="W1102" s="2">
        <v>7393.61962890625</v>
      </c>
      <c r="X1102" s="4">
        <f t="shared" si="68"/>
        <v>0.42190450074993269</v>
      </c>
      <c r="Y1102" s="4">
        <f t="shared" si="69"/>
        <v>0.47890437179624767</v>
      </c>
      <c r="Z1102" s="4">
        <f t="shared" si="70"/>
        <v>0.45896780887598049</v>
      </c>
      <c r="AA1102" s="4">
        <f t="shared" si="71"/>
        <v>0.43956819029393018</v>
      </c>
    </row>
    <row r="1103" spans="1:27" x14ac:dyDescent="0.3">
      <c r="A1103" t="s">
        <v>461</v>
      </c>
      <c r="B1103">
        <v>185513</v>
      </c>
      <c r="C1103">
        <v>2011</v>
      </c>
      <c r="D1103" t="s">
        <v>34</v>
      </c>
      <c r="E1103" t="s">
        <v>116</v>
      </c>
      <c r="F1103">
        <v>4</v>
      </c>
      <c r="G1103" t="s">
        <v>30</v>
      </c>
      <c r="H1103">
        <v>4</v>
      </c>
      <c r="I1103" t="s">
        <v>23</v>
      </c>
      <c r="J1103" t="s">
        <v>37</v>
      </c>
      <c r="L1103" t="s">
        <v>128</v>
      </c>
      <c r="M1103" t="s">
        <v>33</v>
      </c>
      <c r="N1103">
        <v>0</v>
      </c>
      <c r="O1103" t="s">
        <v>27</v>
      </c>
      <c r="S1103" s="3">
        <v>4000</v>
      </c>
      <c r="T1103" s="2">
        <v>3537.4619140625</v>
      </c>
      <c r="U1103" s="2">
        <v>3049.1870843770439</v>
      </c>
      <c r="V1103" s="2">
        <v>2696.816028158722</v>
      </c>
      <c r="W1103" s="2">
        <v>3045.418212890625</v>
      </c>
      <c r="X1103" s="4">
        <f t="shared" si="68"/>
        <v>1.1307542235575085</v>
      </c>
      <c r="Y1103" s="4">
        <f t="shared" si="69"/>
        <v>1.3118250501894702</v>
      </c>
      <c r="Z1103" s="4">
        <f t="shared" si="70"/>
        <v>1.4832305794070202</v>
      </c>
      <c r="AA1103" s="4">
        <f t="shared" si="71"/>
        <v>1.313448505387151</v>
      </c>
    </row>
    <row r="1104" spans="1:27" x14ac:dyDescent="0.3">
      <c r="A1104" t="s">
        <v>461</v>
      </c>
      <c r="B1104">
        <v>141272</v>
      </c>
      <c r="C1104">
        <v>2007</v>
      </c>
      <c r="D1104" t="s">
        <v>507</v>
      </c>
      <c r="E1104" t="s">
        <v>508</v>
      </c>
      <c r="F1104">
        <v>4</v>
      </c>
      <c r="G1104" t="s">
        <v>36</v>
      </c>
      <c r="H1104">
        <v>4</v>
      </c>
      <c r="I1104" t="s">
        <v>23</v>
      </c>
      <c r="J1104" t="s">
        <v>31</v>
      </c>
      <c r="K1104" t="s">
        <v>27</v>
      </c>
      <c r="L1104" t="s">
        <v>127</v>
      </c>
      <c r="M1104" t="s">
        <v>33</v>
      </c>
      <c r="N1104">
        <v>0</v>
      </c>
      <c r="O1104" t="s">
        <v>123</v>
      </c>
      <c r="S1104" s="3">
        <v>300</v>
      </c>
      <c r="T1104" s="2">
        <v>570.11724853515625</v>
      </c>
      <c r="U1104" s="2">
        <v>190.29763413735421</v>
      </c>
      <c r="V1104" s="2">
        <v>-1623.5325156272429</v>
      </c>
      <c r="W1104" s="2">
        <v>918.12872314453125</v>
      </c>
      <c r="X1104" s="4">
        <f t="shared" si="68"/>
        <v>0.52620754900998323</v>
      </c>
      <c r="Y1104" s="4">
        <f t="shared" si="69"/>
        <v>1.5764778230688046</v>
      </c>
      <c r="Z1104" s="4">
        <f t="shared" si="70"/>
        <v>-0.18478225542904919</v>
      </c>
      <c r="AA1104" s="4">
        <f t="shared" si="71"/>
        <v>0.32675156809441652</v>
      </c>
    </row>
    <row r="1105" spans="1:27" x14ac:dyDescent="0.3">
      <c r="A1105" t="s">
        <v>461</v>
      </c>
      <c r="B1105">
        <v>165695</v>
      </c>
      <c r="C1105">
        <v>2012</v>
      </c>
      <c r="D1105" t="s">
        <v>40</v>
      </c>
      <c r="E1105" t="s">
        <v>172</v>
      </c>
      <c r="F1105">
        <v>6</v>
      </c>
      <c r="G1105" t="s">
        <v>36</v>
      </c>
      <c r="H1105">
        <v>4</v>
      </c>
      <c r="I1105" t="s">
        <v>23</v>
      </c>
      <c r="J1105" t="s">
        <v>31</v>
      </c>
      <c r="K1105" t="s">
        <v>27</v>
      </c>
      <c r="L1105" t="s">
        <v>26</v>
      </c>
      <c r="M1105" t="s">
        <v>33</v>
      </c>
      <c r="N1105">
        <v>0</v>
      </c>
      <c r="O1105" t="s">
        <v>27</v>
      </c>
      <c r="S1105" s="3">
        <v>800</v>
      </c>
      <c r="T1105" s="2">
        <v>3617.20849609375</v>
      </c>
      <c r="U1105" s="2">
        <v>4045.758564530051</v>
      </c>
      <c r="V1105" s="2">
        <v>3107.1088454472979</v>
      </c>
      <c r="W1105" s="2">
        <v>3904.219482421875</v>
      </c>
      <c r="X1105" s="4">
        <f t="shared" si="68"/>
        <v>0.22116502293520704</v>
      </c>
      <c r="Y1105" s="4">
        <f t="shared" si="69"/>
        <v>0.19773794882713835</v>
      </c>
      <c r="Z1105" s="4">
        <f t="shared" si="70"/>
        <v>0.25747408275452044</v>
      </c>
      <c r="AA1105" s="4">
        <f t="shared" si="71"/>
        <v>0.20490651296677154</v>
      </c>
    </row>
    <row r="1106" spans="1:27" x14ac:dyDescent="0.3">
      <c r="A1106" t="s">
        <v>461</v>
      </c>
      <c r="B1106">
        <v>139377</v>
      </c>
      <c r="C1106">
        <v>2016</v>
      </c>
      <c r="D1106" t="s">
        <v>125</v>
      </c>
      <c r="E1106" t="s">
        <v>230</v>
      </c>
      <c r="F1106">
        <v>4</v>
      </c>
      <c r="G1106" t="s">
        <v>30</v>
      </c>
      <c r="H1106">
        <v>4</v>
      </c>
      <c r="I1106" t="s">
        <v>23</v>
      </c>
      <c r="J1106" t="s">
        <v>31</v>
      </c>
      <c r="K1106" t="s">
        <v>27</v>
      </c>
      <c r="L1106" t="s">
        <v>60</v>
      </c>
      <c r="M1106" t="s">
        <v>33</v>
      </c>
      <c r="N1106">
        <v>0</v>
      </c>
      <c r="O1106" t="s">
        <v>27</v>
      </c>
      <c r="S1106" s="3">
        <v>900</v>
      </c>
      <c r="T1106" s="2">
        <v>5177.875</v>
      </c>
      <c r="U1106" s="2">
        <v>5051.4922386833332</v>
      </c>
      <c r="V1106" s="2">
        <v>4436.4719651719643</v>
      </c>
      <c r="W1106" s="2">
        <v>6838.93359375</v>
      </c>
      <c r="X1106" s="4">
        <f t="shared" si="68"/>
        <v>0.17381647876783429</v>
      </c>
      <c r="Y1106" s="4">
        <f t="shared" si="69"/>
        <v>0.17816517525415107</v>
      </c>
      <c r="Z1106" s="4">
        <f t="shared" si="70"/>
        <v>0.20286389885146375</v>
      </c>
      <c r="AA1106" s="4">
        <f t="shared" si="71"/>
        <v>0.13159946469176081</v>
      </c>
    </row>
    <row r="1107" spans="1:27" x14ac:dyDescent="0.3">
      <c r="A1107" t="s">
        <v>461</v>
      </c>
      <c r="B1107">
        <v>23872</v>
      </c>
      <c r="C1107">
        <v>2020</v>
      </c>
      <c r="D1107" t="s">
        <v>40</v>
      </c>
      <c r="E1107" t="s">
        <v>41</v>
      </c>
      <c r="F1107">
        <v>8</v>
      </c>
      <c r="G1107" t="s">
        <v>66</v>
      </c>
      <c r="H1107">
        <v>4</v>
      </c>
      <c r="I1107" t="s">
        <v>23</v>
      </c>
      <c r="J1107" t="s">
        <v>42</v>
      </c>
      <c r="K1107" t="s">
        <v>27</v>
      </c>
      <c r="L1107" t="s">
        <v>43</v>
      </c>
      <c r="M1107" t="s">
        <v>78</v>
      </c>
      <c r="N1107">
        <v>0</v>
      </c>
      <c r="O1107" t="s">
        <v>27</v>
      </c>
      <c r="S1107" s="3">
        <v>30750</v>
      </c>
      <c r="T1107" s="2">
        <v>48362.5703125</v>
      </c>
      <c r="U1107" s="2">
        <v>51358.026222004322</v>
      </c>
      <c r="V1107" s="2">
        <v>39112.69385895443</v>
      </c>
      <c r="W1107" s="2">
        <v>64722.8828125</v>
      </c>
      <c r="X1107" s="4">
        <f t="shared" si="68"/>
        <v>0.63582228573265509</v>
      </c>
      <c r="Y1107" s="4">
        <f t="shared" si="69"/>
        <v>0.5987379629247741</v>
      </c>
      <c r="Z1107" s="4">
        <f t="shared" si="70"/>
        <v>0.78618977539334378</v>
      </c>
      <c r="AA1107" s="4">
        <f t="shared" si="71"/>
        <v>0.47510244698280374</v>
      </c>
    </row>
    <row r="1108" spans="1:27" x14ac:dyDescent="0.3">
      <c r="A1108" t="s">
        <v>461</v>
      </c>
      <c r="B1108">
        <v>88765</v>
      </c>
      <c r="C1108">
        <v>2020</v>
      </c>
      <c r="D1108" t="s">
        <v>340</v>
      </c>
      <c r="E1108" t="s">
        <v>341</v>
      </c>
      <c r="F1108">
        <v>4</v>
      </c>
      <c r="G1108" t="s">
        <v>36</v>
      </c>
      <c r="H1108">
        <v>4</v>
      </c>
      <c r="I1108" t="s">
        <v>23</v>
      </c>
      <c r="J1108" t="s">
        <v>24</v>
      </c>
      <c r="L1108" t="s">
        <v>102</v>
      </c>
      <c r="M1108" t="s">
        <v>33</v>
      </c>
      <c r="N1108">
        <v>0</v>
      </c>
      <c r="O1108" t="s">
        <v>27</v>
      </c>
      <c r="S1108" s="3">
        <v>14250</v>
      </c>
      <c r="T1108" s="2">
        <v>14696.7451171875</v>
      </c>
      <c r="U1108" s="2">
        <v>15013.387203295781</v>
      </c>
      <c r="V1108" s="2">
        <v>14865.01559134906</v>
      </c>
      <c r="W1108" s="2">
        <v>15420.6572265625</v>
      </c>
      <c r="X1108" s="4">
        <f t="shared" si="68"/>
        <v>0.96960244505669202</v>
      </c>
      <c r="Y1108" s="4">
        <f t="shared" si="69"/>
        <v>0.9491528998114297</v>
      </c>
      <c r="Z1108" s="4">
        <f t="shared" si="70"/>
        <v>0.9586266433715025</v>
      </c>
      <c r="AA1108" s="4">
        <f t="shared" si="71"/>
        <v>0.92408512754268268</v>
      </c>
    </row>
    <row r="1109" spans="1:27" x14ac:dyDescent="0.3">
      <c r="A1109" t="s">
        <v>461</v>
      </c>
      <c r="B1109">
        <v>151800</v>
      </c>
      <c r="C1109">
        <v>2020</v>
      </c>
      <c r="D1109" t="s">
        <v>20</v>
      </c>
      <c r="E1109" t="s">
        <v>410</v>
      </c>
      <c r="F1109">
        <v>8</v>
      </c>
      <c r="G1109" t="s">
        <v>47</v>
      </c>
      <c r="H1109">
        <v>4</v>
      </c>
      <c r="I1109" t="s">
        <v>23</v>
      </c>
      <c r="J1109" t="s">
        <v>42</v>
      </c>
      <c r="K1109" t="s">
        <v>27</v>
      </c>
      <c r="L1109" t="s">
        <v>130</v>
      </c>
      <c r="M1109">
        <v>4</v>
      </c>
      <c r="N1109">
        <v>0</v>
      </c>
      <c r="O1109" t="s">
        <v>27</v>
      </c>
      <c r="S1109" s="3">
        <v>37250</v>
      </c>
      <c r="T1109" s="2">
        <v>25163.45703125</v>
      </c>
      <c r="U1109" s="2">
        <v>30022.952616204391</v>
      </c>
      <c r="V1109" s="2">
        <v>39122.237565856041</v>
      </c>
      <c r="W1109" s="2">
        <v>30136.13671875</v>
      </c>
      <c r="X1109" s="4">
        <f t="shared" si="68"/>
        <v>1.480321243370494</v>
      </c>
      <c r="Y1109" s="4">
        <f t="shared" si="69"/>
        <v>1.2407174096492737</v>
      </c>
      <c r="Z1109" s="4">
        <f t="shared" si="70"/>
        <v>0.95214390376561597</v>
      </c>
      <c r="AA1109" s="4">
        <f t="shared" si="71"/>
        <v>1.236057572596023</v>
      </c>
    </row>
    <row r="1110" spans="1:27" x14ac:dyDescent="0.3">
      <c r="A1110" t="s">
        <v>461</v>
      </c>
      <c r="B1110">
        <v>142431</v>
      </c>
      <c r="C1110">
        <v>2017</v>
      </c>
      <c r="D1110" t="s">
        <v>71</v>
      </c>
      <c r="E1110" t="s">
        <v>269</v>
      </c>
      <c r="F1110">
        <v>4</v>
      </c>
      <c r="G1110" t="s">
        <v>47</v>
      </c>
      <c r="H1110">
        <v>4</v>
      </c>
      <c r="I1110" t="s">
        <v>23</v>
      </c>
      <c r="J1110" t="s">
        <v>24</v>
      </c>
      <c r="K1110" t="s">
        <v>27</v>
      </c>
      <c r="L1110" t="s">
        <v>127</v>
      </c>
      <c r="M1110" t="s">
        <v>23</v>
      </c>
      <c r="N1110">
        <v>0</v>
      </c>
      <c r="O1110" t="s">
        <v>27</v>
      </c>
      <c r="S1110" s="3">
        <v>4250</v>
      </c>
      <c r="T1110" s="2">
        <v>8704.2470703125</v>
      </c>
      <c r="U1110" s="2">
        <v>7899.1742291975524</v>
      </c>
      <c r="V1110" s="2">
        <v>9443.481228170871</v>
      </c>
      <c r="W1110" s="2">
        <v>7478.12158203125</v>
      </c>
      <c r="X1110" s="4">
        <f t="shared" si="68"/>
        <v>0.48826739012216669</v>
      </c>
      <c r="Y1110" s="4">
        <f t="shared" si="69"/>
        <v>0.53803092281352827</v>
      </c>
      <c r="Z1110" s="4">
        <f t="shared" si="70"/>
        <v>0.45004589910358639</v>
      </c>
      <c r="AA1110" s="4">
        <f t="shared" si="71"/>
        <v>0.56832453890721457</v>
      </c>
    </row>
    <row r="1111" spans="1:27" x14ac:dyDescent="0.3">
      <c r="A1111" t="s">
        <v>461</v>
      </c>
      <c r="B1111">
        <v>161636</v>
      </c>
      <c r="C1111">
        <v>2009</v>
      </c>
      <c r="D1111" t="s">
        <v>71</v>
      </c>
      <c r="E1111" t="s">
        <v>170</v>
      </c>
      <c r="F1111">
        <v>6</v>
      </c>
      <c r="G1111" t="s">
        <v>30</v>
      </c>
      <c r="H1111">
        <v>4</v>
      </c>
      <c r="I1111" t="s">
        <v>23</v>
      </c>
      <c r="J1111" t="s">
        <v>24</v>
      </c>
      <c r="K1111" t="s">
        <v>27</v>
      </c>
      <c r="L1111" t="s">
        <v>26</v>
      </c>
      <c r="M1111" t="s">
        <v>23</v>
      </c>
      <c r="N1111">
        <v>0</v>
      </c>
      <c r="O1111" t="s">
        <v>27</v>
      </c>
      <c r="S1111" s="3">
        <v>3700</v>
      </c>
      <c r="T1111" s="2">
        <v>3249.556640625</v>
      </c>
      <c r="U1111" s="2">
        <v>2891.4106944157929</v>
      </c>
      <c r="V1111" s="2">
        <v>3179.4611208872998</v>
      </c>
      <c r="W1111" s="2">
        <v>2852.54541015625</v>
      </c>
      <c r="X1111" s="4">
        <f t="shared" si="68"/>
        <v>1.1386168666037975</v>
      </c>
      <c r="Y1111" s="4">
        <f t="shared" si="69"/>
        <v>1.2796521805587295</v>
      </c>
      <c r="Z1111" s="4">
        <f t="shared" si="70"/>
        <v>1.1637192150874398</v>
      </c>
      <c r="AA1111" s="4">
        <f t="shared" si="71"/>
        <v>1.2970871512952813</v>
      </c>
    </row>
    <row r="1112" spans="1:27" x14ac:dyDescent="0.3">
      <c r="A1112" t="s">
        <v>461</v>
      </c>
      <c r="B1112">
        <v>137891</v>
      </c>
      <c r="C1112">
        <v>2016</v>
      </c>
      <c r="D1112" t="s">
        <v>28</v>
      </c>
      <c r="E1112" t="s">
        <v>289</v>
      </c>
      <c r="F1112">
        <v>4</v>
      </c>
      <c r="G1112" t="s">
        <v>22</v>
      </c>
      <c r="H1112">
        <v>4</v>
      </c>
      <c r="I1112" t="s">
        <v>23</v>
      </c>
      <c r="J1112" t="s">
        <v>31</v>
      </c>
      <c r="K1112" t="s">
        <v>27</v>
      </c>
      <c r="L1112" t="s">
        <v>127</v>
      </c>
      <c r="M1112" t="s">
        <v>33</v>
      </c>
      <c r="N1112">
        <v>0</v>
      </c>
      <c r="O1112" t="s">
        <v>27</v>
      </c>
      <c r="S1112" s="3">
        <v>6750</v>
      </c>
      <c r="T1112" s="2">
        <v>8517.296875</v>
      </c>
      <c r="U1112" s="2">
        <v>7804.1743761696234</v>
      </c>
      <c r="V1112" s="2">
        <v>8506.303064564876</v>
      </c>
      <c r="W1112" s="2">
        <v>9405.431640625</v>
      </c>
      <c r="X1112" s="4">
        <f t="shared" si="68"/>
        <v>0.79250495774224139</v>
      </c>
      <c r="Y1112" s="4">
        <f t="shared" si="69"/>
        <v>0.86492172965937442</v>
      </c>
      <c r="Z1112" s="4">
        <f t="shared" si="70"/>
        <v>0.79352921577868607</v>
      </c>
      <c r="AA1112" s="4">
        <f t="shared" si="71"/>
        <v>0.71767041193990921</v>
      </c>
    </row>
    <row r="1113" spans="1:27" x14ac:dyDescent="0.3">
      <c r="A1113" t="s">
        <v>461</v>
      </c>
      <c r="B1113">
        <v>12350</v>
      </c>
      <c r="C1113">
        <v>2025</v>
      </c>
      <c r="D1113" t="s">
        <v>28</v>
      </c>
      <c r="E1113" t="s">
        <v>289</v>
      </c>
      <c r="F1113">
        <v>4</v>
      </c>
      <c r="G1113" t="s">
        <v>22</v>
      </c>
      <c r="H1113">
        <v>4</v>
      </c>
      <c r="I1113" t="s">
        <v>23</v>
      </c>
      <c r="J1113" t="s">
        <v>31</v>
      </c>
      <c r="K1113" t="s">
        <v>27</v>
      </c>
      <c r="L1113" t="s">
        <v>127</v>
      </c>
      <c r="M1113" t="s">
        <v>33</v>
      </c>
      <c r="N1113">
        <v>0</v>
      </c>
      <c r="O1113" t="s">
        <v>27</v>
      </c>
      <c r="S1113" s="3">
        <v>23250</v>
      </c>
      <c r="T1113" s="2">
        <v>30179.923828125</v>
      </c>
      <c r="U1113" s="2">
        <v>29124.289580895769</v>
      </c>
      <c r="V1113" s="2">
        <v>26368.804619610321</v>
      </c>
      <c r="W1113" s="2">
        <v>30056.470703125</v>
      </c>
      <c r="X1113" s="4">
        <f t="shared" si="68"/>
        <v>0.77037967797430529</v>
      </c>
      <c r="Y1113" s="4">
        <f t="shared" si="69"/>
        <v>0.79830273406054031</v>
      </c>
      <c r="Z1113" s="4">
        <f t="shared" si="70"/>
        <v>0.88172370099436037</v>
      </c>
      <c r="AA1113" s="4">
        <f t="shared" si="71"/>
        <v>0.77354391437523884</v>
      </c>
    </row>
    <row r="1114" spans="1:27" x14ac:dyDescent="0.3">
      <c r="A1114" t="s">
        <v>461</v>
      </c>
      <c r="B1114">
        <v>224995</v>
      </c>
      <c r="C1114">
        <v>2014</v>
      </c>
      <c r="D1114" t="s">
        <v>100</v>
      </c>
      <c r="E1114" t="s">
        <v>101</v>
      </c>
      <c r="F1114">
        <v>4</v>
      </c>
      <c r="G1114" t="s">
        <v>22</v>
      </c>
      <c r="H1114">
        <v>4</v>
      </c>
      <c r="I1114" t="s">
        <v>23</v>
      </c>
      <c r="J1114" t="s">
        <v>31</v>
      </c>
      <c r="K1114" t="s">
        <v>27</v>
      </c>
      <c r="L1114" t="s">
        <v>102</v>
      </c>
      <c r="M1114" t="s">
        <v>33</v>
      </c>
      <c r="N1114">
        <v>0</v>
      </c>
      <c r="O1114" t="s">
        <v>27</v>
      </c>
      <c r="S1114" s="3">
        <v>2000</v>
      </c>
      <c r="T1114" s="2">
        <v>1827.240966796875</v>
      </c>
      <c r="U1114" s="2">
        <v>2055.1287229083059</v>
      </c>
      <c r="V1114" s="2">
        <v>3757.914192352901</v>
      </c>
      <c r="W1114" s="2">
        <v>2280.76123046875</v>
      </c>
      <c r="X1114" s="4">
        <f t="shared" si="68"/>
        <v>1.0945463878833501</v>
      </c>
      <c r="Y1114" s="4">
        <f t="shared" si="69"/>
        <v>0.97317505113242209</v>
      </c>
      <c r="Z1114" s="4">
        <f t="shared" si="70"/>
        <v>0.53221012977621029</v>
      </c>
      <c r="AA1114" s="4">
        <f t="shared" si="71"/>
        <v>0.8769002091415562</v>
      </c>
    </row>
    <row r="1115" spans="1:27" x14ac:dyDescent="0.3">
      <c r="A1115" t="s">
        <v>461</v>
      </c>
      <c r="B1115">
        <v>111322</v>
      </c>
      <c r="C1115">
        <v>2012</v>
      </c>
      <c r="D1115" t="s">
        <v>85</v>
      </c>
      <c r="E1115" t="s">
        <v>509</v>
      </c>
      <c r="F1115">
        <v>4</v>
      </c>
      <c r="G1115" t="s">
        <v>30</v>
      </c>
      <c r="H1115">
        <v>2</v>
      </c>
      <c r="I1115" t="s">
        <v>23</v>
      </c>
      <c r="J1115" t="s">
        <v>83</v>
      </c>
      <c r="L1115" t="s">
        <v>60</v>
      </c>
      <c r="M1115" t="s">
        <v>33</v>
      </c>
      <c r="N1115">
        <v>0</v>
      </c>
      <c r="O1115" t="s">
        <v>27</v>
      </c>
      <c r="S1115" s="3">
        <v>4500</v>
      </c>
      <c r="T1115" s="2">
        <v>5429.861328125</v>
      </c>
      <c r="U1115" s="2">
        <v>4669.4588122523473</v>
      </c>
      <c r="V1115" s="2">
        <v>3444.9721688289978</v>
      </c>
      <c r="W1115" s="2">
        <v>4896.1376953125</v>
      </c>
      <c r="X1115" s="4">
        <f t="shared" si="68"/>
        <v>0.82875044647851204</v>
      </c>
      <c r="Y1115" s="4">
        <f t="shared" si="69"/>
        <v>0.96370911082721222</v>
      </c>
      <c r="Z1115" s="4">
        <f t="shared" si="70"/>
        <v>1.3062514817150535</v>
      </c>
      <c r="AA1115" s="4">
        <f t="shared" si="71"/>
        <v>0.91909179848194278</v>
      </c>
    </row>
    <row r="1116" spans="1:27" x14ac:dyDescent="0.3">
      <c r="A1116" t="s">
        <v>461</v>
      </c>
      <c r="B1116">
        <v>143605</v>
      </c>
      <c r="C1116">
        <v>2015</v>
      </c>
      <c r="D1116" t="s">
        <v>44</v>
      </c>
      <c r="E1116" t="s">
        <v>210</v>
      </c>
      <c r="F1116">
        <v>4</v>
      </c>
      <c r="G1116" t="s">
        <v>22</v>
      </c>
      <c r="H1116">
        <v>4</v>
      </c>
      <c r="I1116" t="s">
        <v>23</v>
      </c>
      <c r="J1116" t="s">
        <v>37</v>
      </c>
      <c r="K1116" t="s">
        <v>27</v>
      </c>
      <c r="L1116" t="s">
        <v>200</v>
      </c>
      <c r="M1116" t="s">
        <v>33</v>
      </c>
      <c r="N1116">
        <v>0</v>
      </c>
      <c r="O1116" t="s">
        <v>27</v>
      </c>
      <c r="S1116" s="3">
        <v>3000</v>
      </c>
      <c r="T1116" s="2">
        <v>4521.3505859375</v>
      </c>
      <c r="U1116" s="2">
        <v>4346.7490513872899</v>
      </c>
      <c r="V1116" s="2">
        <v>4493.4896859271448</v>
      </c>
      <c r="W1116" s="2">
        <v>4102.4267578125</v>
      </c>
      <c r="X1116" s="4">
        <f t="shared" si="68"/>
        <v>0.66351855335676235</v>
      </c>
      <c r="Y1116" s="4">
        <f t="shared" si="69"/>
        <v>0.69017096789669341</v>
      </c>
      <c r="Z1116" s="4">
        <f t="shared" si="70"/>
        <v>0.66763255502632979</v>
      </c>
      <c r="AA1116" s="4">
        <f t="shared" si="71"/>
        <v>0.73127448144855189</v>
      </c>
    </row>
    <row r="1117" spans="1:27" x14ac:dyDescent="0.3">
      <c r="A1117" t="s">
        <v>461</v>
      </c>
      <c r="B1117">
        <v>197939</v>
      </c>
      <c r="C1117">
        <v>2019</v>
      </c>
      <c r="D1117" t="s">
        <v>54</v>
      </c>
      <c r="E1117" t="s">
        <v>275</v>
      </c>
      <c r="F1117">
        <v>4</v>
      </c>
      <c r="G1117" t="s">
        <v>47</v>
      </c>
      <c r="H1117">
        <v>4</v>
      </c>
      <c r="I1117" t="s">
        <v>23</v>
      </c>
      <c r="J1117" t="s">
        <v>24</v>
      </c>
      <c r="L1117" t="s">
        <v>60</v>
      </c>
      <c r="M1117" t="s">
        <v>33</v>
      </c>
      <c r="N1117">
        <v>0</v>
      </c>
      <c r="S1117" s="3">
        <v>4750</v>
      </c>
      <c r="T1117" s="2">
        <v>6532.06787109375</v>
      </c>
      <c r="U1117" s="2">
        <v>7742.2089666069915</v>
      </c>
      <c r="V1117" s="2">
        <v>4107.8619665983942</v>
      </c>
      <c r="W1117" s="2">
        <v>7326.39013671875</v>
      </c>
      <c r="X1117" s="4">
        <f t="shared" si="68"/>
        <v>0.72718166647044424</v>
      </c>
      <c r="Y1117" s="4">
        <f t="shared" si="69"/>
        <v>0.613519994162813</v>
      </c>
      <c r="Z1117" s="4">
        <f t="shared" si="70"/>
        <v>1.1563192820554635</v>
      </c>
      <c r="AA1117" s="4">
        <f t="shared" si="71"/>
        <v>0.64834112180208969</v>
      </c>
    </row>
    <row r="1118" spans="1:27" x14ac:dyDescent="0.3">
      <c r="A1118" t="s">
        <v>461</v>
      </c>
      <c r="B1118">
        <v>160129</v>
      </c>
      <c r="C1118">
        <v>2016</v>
      </c>
      <c r="D1118" t="s">
        <v>74</v>
      </c>
      <c r="E1118" t="s">
        <v>75</v>
      </c>
      <c r="F1118">
        <v>8</v>
      </c>
      <c r="G1118" t="s">
        <v>56</v>
      </c>
      <c r="H1118">
        <v>4</v>
      </c>
      <c r="I1118" t="s">
        <v>23</v>
      </c>
      <c r="J1118" t="s">
        <v>42</v>
      </c>
      <c r="K1118" t="s">
        <v>27</v>
      </c>
      <c r="L1118" t="s">
        <v>84</v>
      </c>
      <c r="M1118" t="s">
        <v>78</v>
      </c>
      <c r="N1118">
        <v>0</v>
      </c>
      <c r="S1118" s="3">
        <v>6250</v>
      </c>
      <c r="T1118" s="2">
        <v>9897.7373046875</v>
      </c>
      <c r="U1118" s="2">
        <v>13404.18864540231</v>
      </c>
      <c r="V1118" s="2">
        <v>11642.349210236551</v>
      </c>
      <c r="W1118" s="2">
        <v>11419.6669921875</v>
      </c>
      <c r="X1118" s="4">
        <f t="shared" si="68"/>
        <v>0.63145745412338261</v>
      </c>
      <c r="Y1118" s="4">
        <f t="shared" si="69"/>
        <v>0.46627216054168075</v>
      </c>
      <c r="Z1118" s="4">
        <f t="shared" si="70"/>
        <v>0.53683323589921861</v>
      </c>
      <c r="AA1118" s="4">
        <f t="shared" si="71"/>
        <v>0.54730142343693489</v>
      </c>
    </row>
    <row r="1119" spans="1:27" x14ac:dyDescent="0.3">
      <c r="A1119" t="s">
        <v>461</v>
      </c>
      <c r="B1119">
        <v>275012</v>
      </c>
      <c r="C1119">
        <v>2007</v>
      </c>
      <c r="D1119" t="s">
        <v>40</v>
      </c>
      <c r="E1119" t="s">
        <v>41</v>
      </c>
      <c r="F1119">
        <v>8</v>
      </c>
      <c r="G1119" t="s">
        <v>22</v>
      </c>
      <c r="H1119">
        <v>2</v>
      </c>
      <c r="I1119" t="s">
        <v>23</v>
      </c>
      <c r="J1119" t="s">
        <v>49</v>
      </c>
      <c r="L1119" t="s">
        <v>334</v>
      </c>
      <c r="M1119" t="s">
        <v>78</v>
      </c>
      <c r="N1119">
        <v>0</v>
      </c>
      <c r="O1119" t="s">
        <v>27</v>
      </c>
      <c r="S1119" s="3">
        <v>3750</v>
      </c>
      <c r="T1119" s="2">
        <v>3062.7109375</v>
      </c>
      <c r="U1119" s="2">
        <v>9726.8221467476433</v>
      </c>
      <c r="V1119" s="2">
        <v>2645.9814791045069</v>
      </c>
      <c r="W1119" s="2">
        <v>4303.7119140625</v>
      </c>
      <c r="X1119" s="4">
        <f t="shared" si="68"/>
        <v>1.2244054618686979</v>
      </c>
      <c r="Y1119" s="4">
        <f t="shared" si="69"/>
        <v>0.38553187705337938</v>
      </c>
      <c r="Z1119" s="4">
        <f t="shared" si="70"/>
        <v>1.4172434802034712</v>
      </c>
      <c r="AA1119" s="4">
        <f t="shared" si="71"/>
        <v>0.87134085061473776</v>
      </c>
    </row>
    <row r="1120" spans="1:27" x14ac:dyDescent="0.3">
      <c r="A1120" t="s">
        <v>461</v>
      </c>
      <c r="B1120">
        <v>97719</v>
      </c>
      <c r="C1120">
        <v>2015</v>
      </c>
      <c r="D1120" t="s">
        <v>20</v>
      </c>
      <c r="E1120" t="s">
        <v>151</v>
      </c>
      <c r="F1120">
        <v>8</v>
      </c>
      <c r="G1120" t="s">
        <v>36</v>
      </c>
      <c r="H1120">
        <v>4</v>
      </c>
      <c r="I1120" t="s">
        <v>23</v>
      </c>
      <c r="J1120" t="s">
        <v>42</v>
      </c>
      <c r="K1120" t="s">
        <v>27</v>
      </c>
      <c r="L1120" t="s">
        <v>43</v>
      </c>
      <c r="M1120">
        <v>4</v>
      </c>
      <c r="N1120">
        <v>0</v>
      </c>
      <c r="S1120" s="3">
        <v>21750</v>
      </c>
      <c r="T1120" s="2">
        <v>19071.814453125</v>
      </c>
      <c r="U1120" s="2">
        <v>19829.020929689439</v>
      </c>
      <c r="V1120" s="2">
        <v>21266.857733649518</v>
      </c>
      <c r="W1120" s="2">
        <v>18177.4609375</v>
      </c>
      <c r="X1120" s="4">
        <f t="shared" si="68"/>
        <v>1.1404263633886269</v>
      </c>
      <c r="Y1120" s="4">
        <f t="shared" si="69"/>
        <v>1.0968771517828362</v>
      </c>
      <c r="Z1120" s="4">
        <f t="shared" si="70"/>
        <v>1.0227180842793728</v>
      </c>
      <c r="AA1120" s="4">
        <f t="shared" si="71"/>
        <v>1.1965367481621083</v>
      </c>
    </row>
    <row r="1121" spans="1:27" x14ac:dyDescent="0.3">
      <c r="A1121" t="s">
        <v>461</v>
      </c>
      <c r="B1121">
        <v>78667</v>
      </c>
      <c r="C1121">
        <v>2022</v>
      </c>
      <c r="D1121" t="s">
        <v>125</v>
      </c>
      <c r="E1121" t="s">
        <v>126</v>
      </c>
      <c r="F1121">
        <v>4</v>
      </c>
      <c r="G1121" t="s">
        <v>59</v>
      </c>
      <c r="H1121">
        <v>4</v>
      </c>
      <c r="I1121" t="s">
        <v>23</v>
      </c>
      <c r="J1121" t="s">
        <v>31</v>
      </c>
      <c r="K1121" t="s">
        <v>27</v>
      </c>
      <c r="L1121" t="s">
        <v>127</v>
      </c>
      <c r="M1121" t="s">
        <v>33</v>
      </c>
      <c r="N1121">
        <v>0</v>
      </c>
      <c r="S1121" s="3">
        <v>12750</v>
      </c>
      <c r="T1121" s="2">
        <v>18388.765625</v>
      </c>
      <c r="U1121" s="2">
        <v>19678.028779475651</v>
      </c>
      <c r="V1121" s="2">
        <v>14827.44769647562</v>
      </c>
      <c r="W1121" s="2">
        <v>15317.8154296875</v>
      </c>
      <c r="X1121" s="4">
        <f t="shared" si="68"/>
        <v>0.6933581220191336</v>
      </c>
      <c r="Y1121" s="4">
        <f t="shared" si="69"/>
        <v>0.64793075276413648</v>
      </c>
      <c r="Z1121" s="4">
        <f t="shared" si="70"/>
        <v>0.85989175352347291</v>
      </c>
      <c r="AA1121" s="4">
        <f t="shared" si="71"/>
        <v>0.83236412258168291</v>
      </c>
    </row>
    <row r="1122" spans="1:27" x14ac:dyDescent="0.3">
      <c r="A1122" t="s">
        <v>461</v>
      </c>
      <c r="B1122">
        <v>124080</v>
      </c>
      <c r="C1122">
        <v>2015</v>
      </c>
      <c r="D1122" t="s">
        <v>28</v>
      </c>
      <c r="E1122" t="s">
        <v>289</v>
      </c>
      <c r="F1122">
        <v>4</v>
      </c>
      <c r="G1122" t="s">
        <v>47</v>
      </c>
      <c r="H1122">
        <v>4</v>
      </c>
      <c r="I1122" t="s">
        <v>23</v>
      </c>
      <c r="J1122" t="s">
        <v>31</v>
      </c>
      <c r="K1122" t="s">
        <v>27</v>
      </c>
      <c r="L1122" t="s">
        <v>32</v>
      </c>
      <c r="M1122" t="s">
        <v>33</v>
      </c>
      <c r="N1122">
        <v>0</v>
      </c>
      <c r="S1122" s="3">
        <v>6500</v>
      </c>
      <c r="T1122" s="2">
        <v>8539.47265625</v>
      </c>
      <c r="U1122" s="2">
        <v>8137.5258602253089</v>
      </c>
      <c r="V1122" s="2">
        <v>8516.0265904667122</v>
      </c>
      <c r="W1122" s="2">
        <v>9974.6689453125</v>
      </c>
      <c r="X1122" s="4">
        <f t="shared" si="68"/>
        <v>0.76117112398535292</v>
      </c>
      <c r="Y1122" s="4">
        <f t="shared" si="69"/>
        <v>0.79876858293879882</v>
      </c>
      <c r="Z1122" s="4">
        <f t="shared" si="70"/>
        <v>0.76326675720769144</v>
      </c>
      <c r="AA1122" s="4">
        <f t="shared" si="71"/>
        <v>0.65165069995176261</v>
      </c>
    </row>
    <row r="1123" spans="1:27" x14ac:dyDescent="0.3">
      <c r="A1123" t="s">
        <v>461</v>
      </c>
      <c r="B1123">
        <v>212191</v>
      </c>
      <c r="C1123">
        <v>2004</v>
      </c>
      <c r="D1123" t="s">
        <v>100</v>
      </c>
      <c r="E1123" t="s">
        <v>358</v>
      </c>
      <c r="F1123">
        <v>6</v>
      </c>
      <c r="G1123" t="s">
        <v>47</v>
      </c>
      <c r="H1123">
        <v>4</v>
      </c>
      <c r="I1123" t="s">
        <v>23</v>
      </c>
      <c r="J1123" t="s">
        <v>24</v>
      </c>
      <c r="K1123" t="s">
        <v>27</v>
      </c>
      <c r="L1123" t="s">
        <v>53</v>
      </c>
      <c r="M1123" t="s">
        <v>33</v>
      </c>
      <c r="N1123">
        <v>0</v>
      </c>
      <c r="O1123" t="s">
        <v>27</v>
      </c>
      <c r="S1123" s="3">
        <v>1000</v>
      </c>
      <c r="T1123" s="2">
        <v>804.64141845703125</v>
      </c>
      <c r="U1123" s="2">
        <v>494.17631677277859</v>
      </c>
      <c r="V1123" s="2">
        <v>501.20620020841119</v>
      </c>
      <c r="W1123" s="2">
        <v>1320.824096679688</v>
      </c>
      <c r="X1123" s="4">
        <f t="shared" si="68"/>
        <v>1.2427896166687338</v>
      </c>
      <c r="Y1123" s="4">
        <f t="shared" si="69"/>
        <v>2.02356925263134</v>
      </c>
      <c r="Z1123" s="4">
        <f t="shared" si="70"/>
        <v>1.9951868105066952</v>
      </c>
      <c r="AA1123" s="4">
        <f t="shared" si="71"/>
        <v>0.75710308625790401</v>
      </c>
    </row>
    <row r="1124" spans="1:27" x14ac:dyDescent="0.3">
      <c r="A1124" t="s">
        <v>395</v>
      </c>
      <c r="B1124">
        <v>96295</v>
      </c>
      <c r="C1124">
        <v>2008</v>
      </c>
      <c r="D1124" t="s">
        <v>159</v>
      </c>
      <c r="E1124" t="s">
        <v>510</v>
      </c>
      <c r="F1124">
        <v>6</v>
      </c>
      <c r="G1124" t="s">
        <v>36</v>
      </c>
      <c r="H1124">
        <v>4</v>
      </c>
      <c r="I1124" t="s">
        <v>23</v>
      </c>
      <c r="J1124" t="s">
        <v>31</v>
      </c>
      <c r="K1124" t="s">
        <v>27</v>
      </c>
      <c r="L1124" t="s">
        <v>53</v>
      </c>
      <c r="M1124" t="s">
        <v>33</v>
      </c>
      <c r="N1124">
        <v>0</v>
      </c>
      <c r="O1124" t="s">
        <v>27</v>
      </c>
      <c r="S1124" s="3">
        <v>5000</v>
      </c>
      <c r="T1124" s="2">
        <v>3547.580810546875</v>
      </c>
      <c r="U1124" s="2">
        <v>3097.6329505834119</v>
      </c>
      <c r="V1124" s="2">
        <v>2686.60567401968</v>
      </c>
      <c r="W1124" s="2">
        <v>3293.572265625</v>
      </c>
      <c r="X1124" s="4">
        <f t="shared" si="68"/>
        <v>1.4094111641192546</v>
      </c>
      <c r="Y1124" s="4">
        <f t="shared" si="69"/>
        <v>1.6141357222644128</v>
      </c>
      <c r="Z1124" s="4">
        <f t="shared" si="70"/>
        <v>1.8610844339203065</v>
      </c>
      <c r="AA1124" s="4">
        <f t="shared" si="71"/>
        <v>1.5181084842694903</v>
      </c>
    </row>
    <row r="1125" spans="1:27" x14ac:dyDescent="0.3">
      <c r="A1125" t="s">
        <v>395</v>
      </c>
      <c r="B1125">
        <v>220844</v>
      </c>
      <c r="C1125">
        <v>2006</v>
      </c>
      <c r="D1125" t="s">
        <v>100</v>
      </c>
      <c r="E1125" t="s">
        <v>412</v>
      </c>
      <c r="F1125">
        <v>6</v>
      </c>
      <c r="G1125" t="s">
        <v>22</v>
      </c>
      <c r="H1125">
        <v>4</v>
      </c>
      <c r="I1125" t="s">
        <v>23</v>
      </c>
      <c r="J1125" t="s">
        <v>24</v>
      </c>
      <c r="K1125" t="s">
        <v>27</v>
      </c>
      <c r="L1125" t="s">
        <v>348</v>
      </c>
      <c r="M1125" t="s">
        <v>78</v>
      </c>
      <c r="N1125">
        <v>0</v>
      </c>
      <c r="O1125" t="s">
        <v>27</v>
      </c>
      <c r="S1125" s="3">
        <v>800</v>
      </c>
      <c r="T1125" s="2">
        <v>738.66656494140625</v>
      </c>
      <c r="U1125" s="2">
        <v>774.60364409836257</v>
      </c>
      <c r="V1125" s="2">
        <v>540.46534368380162</v>
      </c>
      <c r="W1125" s="2">
        <v>1282.339233398438</v>
      </c>
      <c r="X1125" s="4">
        <f t="shared" si="68"/>
        <v>1.0830326401242474</v>
      </c>
      <c r="Y1125" s="4">
        <f t="shared" si="69"/>
        <v>1.0327862592632115</v>
      </c>
      <c r="Z1125" s="4">
        <f t="shared" si="70"/>
        <v>1.4802059176398159</v>
      </c>
      <c r="AA1125" s="4">
        <f t="shared" si="71"/>
        <v>0.6238598797915984</v>
      </c>
    </row>
    <row r="1126" spans="1:27" x14ac:dyDescent="0.3">
      <c r="A1126" t="s">
        <v>395</v>
      </c>
      <c r="B1126">
        <v>1</v>
      </c>
      <c r="C1126">
        <v>2017</v>
      </c>
      <c r="D1126" t="s">
        <v>40</v>
      </c>
      <c r="E1126" t="s">
        <v>229</v>
      </c>
      <c r="F1126">
        <v>4</v>
      </c>
      <c r="G1126" t="s">
        <v>30</v>
      </c>
      <c r="H1126">
        <v>4</v>
      </c>
      <c r="I1126" t="s">
        <v>23</v>
      </c>
      <c r="J1126" t="s">
        <v>31</v>
      </c>
      <c r="K1126" t="s">
        <v>27</v>
      </c>
      <c r="L1126" t="s">
        <v>107</v>
      </c>
      <c r="M1126" t="s">
        <v>33</v>
      </c>
      <c r="N1126">
        <v>0</v>
      </c>
      <c r="S1126" s="3">
        <v>500</v>
      </c>
      <c r="T1126" s="2">
        <v>24062.48828125</v>
      </c>
      <c r="U1126" s="2">
        <v>15305.658077211279</v>
      </c>
      <c r="V1126" s="2">
        <v>8295.408147500304</v>
      </c>
      <c r="W1126" s="2">
        <v>20047.634765625</v>
      </c>
      <c r="X1126" s="4">
        <f t="shared" si="68"/>
        <v>2.0779230898976087E-2</v>
      </c>
      <c r="Y1126" s="4">
        <f t="shared" si="69"/>
        <v>3.2667657769282987E-2</v>
      </c>
      <c r="Z1126" s="4">
        <f t="shared" si="70"/>
        <v>6.0274309727685604E-2</v>
      </c>
      <c r="AA1126" s="4">
        <f t="shared" si="71"/>
        <v>2.4940598022931516E-2</v>
      </c>
    </row>
    <row r="1127" spans="1:27" x14ac:dyDescent="0.3">
      <c r="A1127" t="s">
        <v>395</v>
      </c>
      <c r="B1127">
        <v>111231</v>
      </c>
      <c r="C1127">
        <v>2012</v>
      </c>
      <c r="D1127" t="s">
        <v>28</v>
      </c>
      <c r="E1127" t="s">
        <v>310</v>
      </c>
      <c r="F1127">
        <v>4</v>
      </c>
      <c r="G1127" t="s">
        <v>36</v>
      </c>
      <c r="H1127">
        <v>4</v>
      </c>
      <c r="I1127" t="s">
        <v>23</v>
      </c>
      <c r="J1127" t="s">
        <v>31</v>
      </c>
      <c r="L1127" t="s">
        <v>60</v>
      </c>
      <c r="M1127" t="s">
        <v>33</v>
      </c>
      <c r="N1127">
        <v>0</v>
      </c>
      <c r="O1127" t="s">
        <v>27</v>
      </c>
      <c r="S1127" s="3">
        <v>5400</v>
      </c>
      <c r="T1127" s="2">
        <v>7896.1865234375</v>
      </c>
      <c r="U1127" s="2">
        <v>6280.851532623301</v>
      </c>
      <c r="V1127" s="2">
        <v>6266.1860200049723</v>
      </c>
      <c r="W1127" s="2">
        <v>8861.70703125</v>
      </c>
      <c r="X1127" s="4">
        <f t="shared" si="68"/>
        <v>0.68387442266867593</v>
      </c>
      <c r="Y1127" s="4">
        <f t="shared" si="69"/>
        <v>0.85975603339004592</v>
      </c>
      <c r="Z1127" s="4">
        <f t="shared" si="70"/>
        <v>0.86176822436492473</v>
      </c>
      <c r="AA1127" s="4">
        <f t="shared" si="71"/>
        <v>0.60936340830918845</v>
      </c>
    </row>
    <row r="1128" spans="1:27" x14ac:dyDescent="0.3">
      <c r="A1128" t="s">
        <v>395</v>
      </c>
      <c r="B1128">
        <v>143651</v>
      </c>
      <c r="C1128">
        <v>2018</v>
      </c>
      <c r="D1128" t="s">
        <v>54</v>
      </c>
      <c r="E1128" t="s">
        <v>277</v>
      </c>
      <c r="F1128">
        <v>4</v>
      </c>
      <c r="G1128" t="s">
        <v>47</v>
      </c>
      <c r="H1128">
        <v>4</v>
      </c>
      <c r="I1128" t="s">
        <v>23</v>
      </c>
      <c r="J1128" t="s">
        <v>24</v>
      </c>
      <c r="L1128" t="s">
        <v>127</v>
      </c>
      <c r="M1128">
        <v>4</v>
      </c>
      <c r="N1128">
        <v>0</v>
      </c>
      <c r="S1128" s="3">
        <v>10200</v>
      </c>
      <c r="T1128" s="2">
        <v>14312.8857421875</v>
      </c>
      <c r="U1128" s="2">
        <v>15152.10759253051</v>
      </c>
      <c r="V1128" s="2">
        <v>15604.558634613901</v>
      </c>
      <c r="W1128" s="2">
        <v>14263.48046875</v>
      </c>
      <c r="X1128" s="4">
        <f t="shared" si="68"/>
        <v>0.71264454867653337</v>
      </c>
      <c r="Y1128" s="4">
        <f t="shared" si="69"/>
        <v>0.67317367816397133</v>
      </c>
      <c r="Z1128" s="4">
        <f t="shared" si="70"/>
        <v>0.65365514263084923</v>
      </c>
      <c r="AA1128" s="4">
        <f t="shared" si="71"/>
        <v>0.71511297837489807</v>
      </c>
    </row>
    <row r="1129" spans="1:27" x14ac:dyDescent="0.3">
      <c r="A1129" t="s">
        <v>395</v>
      </c>
      <c r="B1129">
        <v>118159</v>
      </c>
      <c r="C1129">
        <v>2013</v>
      </c>
      <c r="D1129" t="s">
        <v>321</v>
      </c>
      <c r="E1129" t="s">
        <v>511</v>
      </c>
      <c r="F1129">
        <v>4</v>
      </c>
      <c r="G1129" t="s">
        <v>30</v>
      </c>
      <c r="H1129">
        <v>4</v>
      </c>
      <c r="I1129" t="s">
        <v>23</v>
      </c>
      <c r="J1129" t="s">
        <v>24</v>
      </c>
      <c r="K1129" t="s">
        <v>27</v>
      </c>
      <c r="L1129" t="s">
        <v>127</v>
      </c>
      <c r="M1129" t="s">
        <v>23</v>
      </c>
      <c r="N1129">
        <v>0</v>
      </c>
      <c r="O1129" t="s">
        <v>27</v>
      </c>
      <c r="S1129" s="3">
        <v>2200</v>
      </c>
      <c r="T1129" s="2">
        <v>4933.32080078125</v>
      </c>
      <c r="U1129" s="2">
        <v>4548.0274835079199</v>
      </c>
      <c r="V1129" s="2">
        <v>1150.0835910725871</v>
      </c>
      <c r="W1129" s="2">
        <v>4661.87353515625</v>
      </c>
      <c r="X1129" s="4">
        <f t="shared" si="68"/>
        <v>0.44594707882195778</v>
      </c>
      <c r="Y1129" s="4">
        <f t="shared" si="69"/>
        <v>0.48372618854605676</v>
      </c>
      <c r="Z1129" s="4">
        <f t="shared" si="70"/>
        <v>1.9129044332753617</v>
      </c>
      <c r="AA1129" s="4">
        <f t="shared" si="71"/>
        <v>0.47191327336730587</v>
      </c>
    </row>
    <row r="1130" spans="1:27" x14ac:dyDescent="0.3">
      <c r="A1130" t="s">
        <v>395</v>
      </c>
      <c r="B1130">
        <v>105263</v>
      </c>
      <c r="C1130">
        <v>2020</v>
      </c>
      <c r="D1130" t="s">
        <v>340</v>
      </c>
      <c r="E1130" t="s">
        <v>512</v>
      </c>
      <c r="F1130">
        <v>4</v>
      </c>
      <c r="G1130" t="s">
        <v>36</v>
      </c>
      <c r="H1130">
        <v>4</v>
      </c>
      <c r="I1130" t="s">
        <v>23</v>
      </c>
      <c r="J1130" t="s">
        <v>24</v>
      </c>
      <c r="L1130" t="s">
        <v>102</v>
      </c>
      <c r="M1130" t="s">
        <v>33</v>
      </c>
      <c r="N1130">
        <v>0</v>
      </c>
      <c r="S1130" s="3">
        <v>13100</v>
      </c>
      <c r="T1130" s="2">
        <v>13274.9345703125</v>
      </c>
      <c r="U1130" s="2">
        <v>14138.47756914624</v>
      </c>
      <c r="V1130" s="2">
        <v>15126.82075712635</v>
      </c>
      <c r="W1130" s="2">
        <v>14614.6591796875</v>
      </c>
      <c r="X1130" s="4">
        <f t="shared" si="68"/>
        <v>0.98682218963973534</v>
      </c>
      <c r="Y1130" s="4">
        <f t="shared" si="69"/>
        <v>0.9265495479221566</v>
      </c>
      <c r="Z1130" s="4">
        <f t="shared" si="70"/>
        <v>0.86601145146963543</v>
      </c>
      <c r="AA1130" s="4">
        <f t="shared" si="71"/>
        <v>0.89636028038254345</v>
      </c>
    </row>
    <row r="1131" spans="1:27" x14ac:dyDescent="0.3">
      <c r="A1131" t="s">
        <v>395</v>
      </c>
      <c r="B1131">
        <v>145511</v>
      </c>
      <c r="C1131">
        <v>2010</v>
      </c>
      <c r="D1131" t="s">
        <v>340</v>
      </c>
      <c r="E1131" t="s">
        <v>398</v>
      </c>
      <c r="F1131">
        <v>4</v>
      </c>
      <c r="G1131" t="s">
        <v>66</v>
      </c>
      <c r="H1131">
        <v>4</v>
      </c>
      <c r="I1131" t="s">
        <v>337</v>
      </c>
      <c r="J1131" t="s">
        <v>31</v>
      </c>
      <c r="K1131" t="s">
        <v>27</v>
      </c>
      <c r="L1131" t="s">
        <v>205</v>
      </c>
      <c r="M1131" t="s">
        <v>33</v>
      </c>
      <c r="N1131">
        <v>0</v>
      </c>
      <c r="O1131" t="s">
        <v>27</v>
      </c>
      <c r="S1131" s="3">
        <v>3000</v>
      </c>
      <c r="T1131" s="2">
        <v>2274.641845703125</v>
      </c>
      <c r="U1131" s="2">
        <v>3031.0394903819379</v>
      </c>
      <c r="V1131" s="2">
        <v>2732.711641580303</v>
      </c>
      <c r="W1131" s="2">
        <v>2207.309814453125</v>
      </c>
      <c r="X1131" s="4">
        <f t="shared" si="68"/>
        <v>1.3188889519759346</v>
      </c>
      <c r="Y1131" s="4">
        <f t="shared" si="69"/>
        <v>0.98975945695183709</v>
      </c>
      <c r="Z1131" s="4">
        <f t="shared" si="70"/>
        <v>1.0978106706732975</v>
      </c>
      <c r="AA1131" s="4">
        <f t="shared" si="71"/>
        <v>1.3591204915397292</v>
      </c>
    </row>
    <row r="1132" spans="1:27" x14ac:dyDescent="0.3">
      <c r="A1132" t="s">
        <v>395</v>
      </c>
      <c r="B1132">
        <v>163536</v>
      </c>
      <c r="C1132">
        <v>2017</v>
      </c>
      <c r="D1132" t="s">
        <v>20</v>
      </c>
      <c r="E1132" t="s">
        <v>154</v>
      </c>
      <c r="F1132">
        <v>6</v>
      </c>
      <c r="G1132" t="s">
        <v>30</v>
      </c>
      <c r="H1132">
        <v>4</v>
      </c>
      <c r="I1132" t="s">
        <v>23</v>
      </c>
      <c r="J1132" t="s">
        <v>24</v>
      </c>
      <c r="L1132" t="s">
        <v>26</v>
      </c>
      <c r="M1132" t="s">
        <v>33</v>
      </c>
      <c r="N1132">
        <v>0</v>
      </c>
      <c r="O1132" t="s">
        <v>27</v>
      </c>
      <c r="S1132" s="3">
        <v>5200</v>
      </c>
      <c r="T1132" s="2">
        <v>7015.11767578125</v>
      </c>
      <c r="U1132" s="2">
        <v>8087.3442877460566</v>
      </c>
      <c r="V1132" s="2">
        <v>5032.8979142572634</v>
      </c>
      <c r="W1132" s="2">
        <v>7608.96337890625</v>
      </c>
      <c r="X1132" s="4">
        <f t="shared" si="68"/>
        <v>0.74125627542247796</v>
      </c>
      <c r="Y1132" s="4">
        <f t="shared" si="69"/>
        <v>0.64297992208382171</v>
      </c>
      <c r="Z1132" s="4">
        <f t="shared" si="70"/>
        <v>1.0332019620881574</v>
      </c>
      <c r="AA1132" s="4">
        <f t="shared" si="71"/>
        <v>0.68340452451322931</v>
      </c>
    </row>
    <row r="1133" spans="1:27" x14ac:dyDescent="0.3">
      <c r="A1133" t="s">
        <v>395</v>
      </c>
      <c r="B1133">
        <v>182595</v>
      </c>
      <c r="C1133">
        <v>2010</v>
      </c>
      <c r="D1133" t="s">
        <v>28</v>
      </c>
      <c r="E1133" t="s">
        <v>310</v>
      </c>
      <c r="F1133">
        <v>4</v>
      </c>
      <c r="G1133" t="s">
        <v>59</v>
      </c>
      <c r="H1133">
        <v>4</v>
      </c>
      <c r="I1133" t="s">
        <v>23</v>
      </c>
      <c r="J1133" t="s">
        <v>31</v>
      </c>
      <c r="K1133" t="s">
        <v>27</v>
      </c>
      <c r="L1133" t="s">
        <v>60</v>
      </c>
      <c r="M1133" t="s">
        <v>33</v>
      </c>
      <c r="N1133">
        <v>0</v>
      </c>
      <c r="S1133" s="3">
        <v>4000</v>
      </c>
      <c r="T1133" s="2">
        <v>3478.765869140625</v>
      </c>
      <c r="U1133" s="2">
        <v>3461.932494118445</v>
      </c>
      <c r="V1133" s="2">
        <v>2475.4059040409561</v>
      </c>
      <c r="W1133" s="2">
        <v>3188.277099609375</v>
      </c>
      <c r="X1133" s="4">
        <f t="shared" si="68"/>
        <v>1.1498330587531427</v>
      </c>
      <c r="Y1133" s="4">
        <f t="shared" si="69"/>
        <v>1.1554240317498075</v>
      </c>
      <c r="Z1133" s="4">
        <f t="shared" si="70"/>
        <v>1.6158966064798637</v>
      </c>
      <c r="AA1133" s="4">
        <f t="shared" si="71"/>
        <v>1.2545960953300064</v>
      </c>
    </row>
    <row r="1134" spans="1:27" x14ac:dyDescent="0.3">
      <c r="A1134" t="s">
        <v>395</v>
      </c>
      <c r="B1134">
        <v>170820</v>
      </c>
      <c r="C1134">
        <v>2002</v>
      </c>
      <c r="D1134" t="s">
        <v>20</v>
      </c>
      <c r="E1134" t="s">
        <v>151</v>
      </c>
      <c r="F1134">
        <v>8</v>
      </c>
      <c r="G1134" t="s">
        <v>171</v>
      </c>
      <c r="H1134">
        <v>2</v>
      </c>
      <c r="I1134" t="s">
        <v>23</v>
      </c>
      <c r="J1134" t="s">
        <v>49</v>
      </c>
      <c r="L1134" t="s">
        <v>43</v>
      </c>
      <c r="M1134" t="s">
        <v>78</v>
      </c>
      <c r="N1134">
        <v>0</v>
      </c>
      <c r="O1134" t="s">
        <v>27</v>
      </c>
      <c r="S1134" s="3">
        <v>800</v>
      </c>
      <c r="T1134" s="2">
        <v>3184.326904296875</v>
      </c>
      <c r="U1134" s="2">
        <v>5410.3985314369666</v>
      </c>
      <c r="V1134" s="2">
        <v>4631.5170464534694</v>
      </c>
      <c r="W1134" s="2">
        <v>4340.47021484375</v>
      </c>
      <c r="X1134" s="4">
        <f t="shared" si="68"/>
        <v>0.25123048733485687</v>
      </c>
      <c r="Y1134" s="4">
        <f t="shared" si="69"/>
        <v>0.14786341437726311</v>
      </c>
      <c r="Z1134" s="4">
        <f t="shared" si="70"/>
        <v>0.17272958125299157</v>
      </c>
      <c r="AA1134" s="4">
        <f t="shared" si="71"/>
        <v>0.18431182807432275</v>
      </c>
    </row>
    <row r="1135" spans="1:27" x14ac:dyDescent="0.3">
      <c r="A1135" t="s">
        <v>395</v>
      </c>
      <c r="B1135">
        <v>86443</v>
      </c>
      <c r="C1135">
        <v>2013</v>
      </c>
      <c r="D1135" t="s">
        <v>28</v>
      </c>
      <c r="E1135" t="s">
        <v>58</v>
      </c>
      <c r="F1135">
        <v>4</v>
      </c>
      <c r="G1135" t="s">
        <v>47</v>
      </c>
      <c r="H1135">
        <v>4</v>
      </c>
      <c r="I1135" t="s">
        <v>23</v>
      </c>
      <c r="J1135" t="s">
        <v>24</v>
      </c>
      <c r="K1135" t="s">
        <v>27</v>
      </c>
      <c r="L1135" t="s">
        <v>60</v>
      </c>
      <c r="M1135" t="s">
        <v>33</v>
      </c>
      <c r="N1135">
        <v>0</v>
      </c>
      <c r="O1135" t="s">
        <v>27</v>
      </c>
      <c r="S1135" s="3">
        <v>8400</v>
      </c>
      <c r="T1135" s="2">
        <v>10855.8515625</v>
      </c>
      <c r="U1135" s="2">
        <v>9243.0670110639494</v>
      </c>
      <c r="V1135" s="2">
        <v>9034.4805081696504</v>
      </c>
      <c r="W1135" s="2">
        <v>10811.7724609375</v>
      </c>
      <c r="X1135" s="4">
        <f t="shared" si="68"/>
        <v>0.77377623962882924</v>
      </c>
      <c r="Y1135" s="4">
        <f t="shared" si="69"/>
        <v>0.90878925685004786</v>
      </c>
      <c r="Z1135" s="4">
        <f t="shared" si="70"/>
        <v>0.92977122396845002</v>
      </c>
      <c r="AA1135" s="4">
        <f t="shared" si="71"/>
        <v>0.77693088994879078</v>
      </c>
    </row>
    <row r="1136" spans="1:27" x14ac:dyDescent="0.3">
      <c r="A1136" t="s">
        <v>395</v>
      </c>
      <c r="B1136">
        <v>215857</v>
      </c>
      <c r="C1136">
        <v>2011</v>
      </c>
      <c r="D1136" t="s">
        <v>85</v>
      </c>
      <c r="E1136" t="s">
        <v>228</v>
      </c>
      <c r="F1136">
        <v>4</v>
      </c>
      <c r="G1136" t="s">
        <v>47</v>
      </c>
      <c r="H1136">
        <v>4</v>
      </c>
      <c r="I1136" t="s">
        <v>23</v>
      </c>
      <c r="J1136" t="s">
        <v>31</v>
      </c>
      <c r="K1136" t="s">
        <v>27</v>
      </c>
      <c r="L1136" t="s">
        <v>60</v>
      </c>
      <c r="M1136" t="s">
        <v>33</v>
      </c>
      <c r="N1136">
        <v>0</v>
      </c>
      <c r="S1136" s="3">
        <v>1100</v>
      </c>
      <c r="T1136" s="2">
        <v>2183.812255859375</v>
      </c>
      <c r="U1136" s="2">
        <v>1782.7708863311091</v>
      </c>
      <c r="V1136" s="2">
        <v>1463.690549798248</v>
      </c>
      <c r="W1136" s="2">
        <v>1775.137084960938</v>
      </c>
      <c r="X1136" s="4">
        <f t="shared" si="68"/>
        <v>0.50370630398679916</v>
      </c>
      <c r="Y1136" s="4">
        <f t="shared" si="69"/>
        <v>0.61701703142783992</v>
      </c>
      <c r="Z1136" s="4">
        <f t="shared" si="70"/>
        <v>0.75152497237317117</v>
      </c>
      <c r="AA1136" s="4">
        <f t="shared" si="71"/>
        <v>0.61967045211283256</v>
      </c>
    </row>
    <row r="1137" spans="1:27" x14ac:dyDescent="0.3">
      <c r="A1137" t="s">
        <v>429</v>
      </c>
      <c r="B1137">
        <v>161867</v>
      </c>
      <c r="C1137">
        <v>2018</v>
      </c>
      <c r="D1137" t="s">
        <v>34</v>
      </c>
      <c r="E1137" t="s">
        <v>513</v>
      </c>
      <c r="F1137">
        <v>4</v>
      </c>
      <c r="G1137" t="s">
        <v>66</v>
      </c>
      <c r="H1137">
        <v>4</v>
      </c>
      <c r="I1137" t="s">
        <v>23</v>
      </c>
      <c r="J1137" t="s">
        <v>37</v>
      </c>
      <c r="K1137" t="s">
        <v>25</v>
      </c>
      <c r="L1137" t="s">
        <v>128</v>
      </c>
      <c r="M1137" t="s">
        <v>33</v>
      </c>
      <c r="N1137">
        <v>0</v>
      </c>
      <c r="O1137" t="s">
        <v>27</v>
      </c>
      <c r="S1137" s="3">
        <v>11500</v>
      </c>
      <c r="T1137" s="2">
        <v>5759.443359375</v>
      </c>
      <c r="U1137" s="2">
        <v>5220.1262532311903</v>
      </c>
      <c r="V1137" s="2">
        <v>4300.5985592496481</v>
      </c>
      <c r="W1137" s="2">
        <v>5770.39794921875</v>
      </c>
      <c r="X1137" s="4">
        <f t="shared" si="68"/>
        <v>1.9967207388680615</v>
      </c>
      <c r="Y1137" s="4">
        <f t="shared" si="69"/>
        <v>2.2030118510795882</v>
      </c>
      <c r="Z1137" s="4">
        <f t="shared" si="70"/>
        <v>2.6740463778619867</v>
      </c>
      <c r="AA1137" s="4">
        <f t="shared" si="71"/>
        <v>1.992930141249093</v>
      </c>
    </row>
    <row r="1138" spans="1:27" x14ac:dyDescent="0.3">
      <c r="A1138" t="s">
        <v>430</v>
      </c>
      <c r="B1138">
        <v>68162</v>
      </c>
      <c r="C1138">
        <v>2010</v>
      </c>
      <c r="D1138" t="s">
        <v>34</v>
      </c>
      <c r="E1138" t="s">
        <v>88</v>
      </c>
      <c r="F1138">
        <v>4</v>
      </c>
      <c r="G1138" t="s">
        <v>30</v>
      </c>
      <c r="H1138">
        <v>4</v>
      </c>
      <c r="I1138" t="s">
        <v>23</v>
      </c>
      <c r="J1138" t="s">
        <v>37</v>
      </c>
      <c r="K1138" t="s">
        <v>25</v>
      </c>
      <c r="L1138" t="s">
        <v>89</v>
      </c>
      <c r="M1138" t="s">
        <v>33</v>
      </c>
      <c r="N1138">
        <v>0</v>
      </c>
      <c r="O1138" t="s">
        <v>27</v>
      </c>
      <c r="S1138" s="3">
        <v>2200</v>
      </c>
      <c r="T1138" s="2">
        <v>4963.8564453125</v>
      </c>
      <c r="U1138" s="2">
        <v>3956.5939644763398</v>
      </c>
      <c r="V1138" s="2">
        <v>4456.7831192756057</v>
      </c>
      <c r="W1138" s="2">
        <v>4395.30078125</v>
      </c>
      <c r="X1138" s="4">
        <f t="shared" si="68"/>
        <v>0.44320379209949107</v>
      </c>
      <c r="Y1138" s="4">
        <f t="shared" si="69"/>
        <v>0.55603380578152728</v>
      </c>
      <c r="Z1138" s="4">
        <f t="shared" si="70"/>
        <v>0.49362958464031842</v>
      </c>
      <c r="AA1138" s="4">
        <f t="shared" si="71"/>
        <v>0.50053457305698468</v>
      </c>
    </row>
    <row r="1139" spans="1:27" x14ac:dyDescent="0.3">
      <c r="A1139" t="s">
        <v>430</v>
      </c>
      <c r="B1139">
        <v>94151</v>
      </c>
      <c r="C1139">
        <v>2012</v>
      </c>
      <c r="D1139" t="s">
        <v>90</v>
      </c>
      <c r="E1139" t="s">
        <v>231</v>
      </c>
      <c r="F1139">
        <v>5</v>
      </c>
      <c r="G1139" t="s">
        <v>36</v>
      </c>
      <c r="H1139">
        <v>4</v>
      </c>
      <c r="I1139" t="s">
        <v>23</v>
      </c>
      <c r="J1139" t="s">
        <v>31</v>
      </c>
      <c r="K1139" t="s">
        <v>25</v>
      </c>
      <c r="L1139" t="s">
        <v>102</v>
      </c>
      <c r="M1139" t="s">
        <v>33</v>
      </c>
      <c r="N1139">
        <v>0</v>
      </c>
      <c r="O1139" t="s">
        <v>27</v>
      </c>
      <c r="S1139" s="3">
        <v>1450</v>
      </c>
      <c r="T1139" s="2">
        <v>3511.670166015625</v>
      </c>
      <c r="U1139" s="2">
        <v>3230.4271646783641</v>
      </c>
      <c r="V1139" s="2">
        <v>3062.7304557100028</v>
      </c>
      <c r="W1139" s="2">
        <v>3239.216796875</v>
      </c>
      <c r="X1139" s="4">
        <f t="shared" si="68"/>
        <v>0.4129089383258292</v>
      </c>
      <c r="Y1139" s="4">
        <f t="shared" si="69"/>
        <v>0.44885704771627888</v>
      </c>
      <c r="Z1139" s="4">
        <f t="shared" si="70"/>
        <v>0.4734337614649346</v>
      </c>
      <c r="AA1139" s="4">
        <f t="shared" si="71"/>
        <v>0.44763907170365136</v>
      </c>
    </row>
    <row r="1140" spans="1:27" x14ac:dyDescent="0.3">
      <c r="A1140" t="s">
        <v>430</v>
      </c>
      <c r="B1140">
        <v>137739</v>
      </c>
      <c r="C1140">
        <v>2011</v>
      </c>
      <c r="D1140" t="s">
        <v>34</v>
      </c>
      <c r="E1140" t="s">
        <v>88</v>
      </c>
      <c r="F1140">
        <v>4</v>
      </c>
      <c r="G1140" t="s">
        <v>36</v>
      </c>
      <c r="H1140">
        <v>4</v>
      </c>
      <c r="I1140" t="s">
        <v>23</v>
      </c>
      <c r="J1140" t="s">
        <v>37</v>
      </c>
      <c r="K1140" t="s">
        <v>25</v>
      </c>
      <c r="L1140" t="s">
        <v>89</v>
      </c>
      <c r="M1140" t="s">
        <v>33</v>
      </c>
      <c r="N1140">
        <v>0</v>
      </c>
      <c r="O1140" t="s">
        <v>27</v>
      </c>
      <c r="S1140" s="3">
        <v>2300</v>
      </c>
      <c r="T1140" s="2">
        <v>4470.23681640625</v>
      </c>
      <c r="U1140" s="2">
        <v>3059.4624439523031</v>
      </c>
      <c r="V1140" s="2">
        <v>2476.3005239168911</v>
      </c>
      <c r="W1140" s="2">
        <v>3954.551025390625</v>
      </c>
      <c r="X1140" s="4">
        <f t="shared" si="68"/>
        <v>0.51451412854879464</v>
      </c>
      <c r="Y1140" s="4">
        <f t="shared" si="69"/>
        <v>0.75176605110693651</v>
      </c>
      <c r="Z1140" s="4">
        <f t="shared" si="70"/>
        <v>0.92880487557381464</v>
      </c>
      <c r="AA1140" s="4">
        <f t="shared" si="71"/>
        <v>0.58160837607925653</v>
      </c>
    </row>
    <row r="1141" spans="1:27" x14ac:dyDescent="0.3">
      <c r="A1141" t="s">
        <v>430</v>
      </c>
      <c r="B1141">
        <v>159469</v>
      </c>
      <c r="C1141">
        <v>2017</v>
      </c>
      <c r="D1141" t="s">
        <v>34</v>
      </c>
      <c r="E1141" t="s">
        <v>88</v>
      </c>
      <c r="F1141">
        <v>4</v>
      </c>
      <c r="G1141" t="s">
        <v>59</v>
      </c>
      <c r="H1141">
        <v>4</v>
      </c>
      <c r="I1141" t="s">
        <v>23</v>
      </c>
      <c r="J1141" t="s">
        <v>37</v>
      </c>
      <c r="K1141" t="s">
        <v>25</v>
      </c>
      <c r="L1141" t="s">
        <v>89</v>
      </c>
      <c r="M1141" t="s">
        <v>33</v>
      </c>
      <c r="N1141">
        <v>0</v>
      </c>
      <c r="O1141" t="s">
        <v>27</v>
      </c>
      <c r="S1141" s="3">
        <v>5300</v>
      </c>
      <c r="T1141" s="2">
        <v>5142.14501953125</v>
      </c>
      <c r="U1141" s="2">
        <v>4138.2841882508928</v>
      </c>
      <c r="V1141" s="2">
        <v>3681.5991596731842</v>
      </c>
      <c r="W1141" s="2">
        <v>4395.30078125</v>
      </c>
      <c r="X1141" s="4">
        <f t="shared" si="68"/>
        <v>1.0306982747217697</v>
      </c>
      <c r="Y1141" s="4">
        <f t="shared" si="69"/>
        <v>1.2807240293084181</v>
      </c>
      <c r="Z1141" s="4">
        <f t="shared" si="70"/>
        <v>1.4395918105518259</v>
      </c>
      <c r="AA1141" s="4">
        <f t="shared" si="71"/>
        <v>1.2058332896372812</v>
      </c>
    </row>
    <row r="1142" spans="1:27" x14ac:dyDescent="0.3">
      <c r="A1142" t="s">
        <v>430</v>
      </c>
      <c r="B1142">
        <v>157168</v>
      </c>
      <c r="C1142">
        <v>2005</v>
      </c>
      <c r="D1142" t="s">
        <v>44</v>
      </c>
      <c r="E1142" t="s">
        <v>352</v>
      </c>
      <c r="F1142">
        <v>8</v>
      </c>
      <c r="G1142" t="s">
        <v>30</v>
      </c>
      <c r="H1142">
        <v>4</v>
      </c>
      <c r="I1142" t="s">
        <v>23</v>
      </c>
      <c r="J1142" t="s">
        <v>24</v>
      </c>
      <c r="K1142" t="s">
        <v>25</v>
      </c>
      <c r="L1142" t="s">
        <v>311</v>
      </c>
      <c r="M1142" t="s">
        <v>78</v>
      </c>
      <c r="N1142">
        <v>0</v>
      </c>
      <c r="O1142" t="s">
        <v>27</v>
      </c>
      <c r="S1142" s="3">
        <v>650</v>
      </c>
      <c r="T1142" s="2">
        <v>1889.532470703125</v>
      </c>
      <c r="U1142" s="2">
        <v>1733.494296190567</v>
      </c>
      <c r="V1142" s="2">
        <v>994.11864331919605</v>
      </c>
      <c r="W1142" s="2">
        <v>3354.832275390625</v>
      </c>
      <c r="X1142" s="4">
        <f t="shared" si="68"/>
        <v>0.34400043930344565</v>
      </c>
      <c r="Y1142" s="4">
        <f t="shared" si="69"/>
        <v>0.37496517953846442</v>
      </c>
      <c r="Z1142" s="4">
        <f t="shared" si="70"/>
        <v>0.65384549859135388</v>
      </c>
      <c r="AA1142" s="4">
        <f t="shared" si="71"/>
        <v>0.19375037159624209</v>
      </c>
    </row>
    <row r="1143" spans="1:27" x14ac:dyDescent="0.3">
      <c r="A1143" t="s">
        <v>430</v>
      </c>
      <c r="B1143">
        <v>29496</v>
      </c>
      <c r="C1143">
        <v>2023</v>
      </c>
      <c r="D1143" t="s">
        <v>44</v>
      </c>
      <c r="E1143" t="s">
        <v>417</v>
      </c>
      <c r="F1143">
        <v>6</v>
      </c>
      <c r="G1143" t="s">
        <v>47</v>
      </c>
      <c r="H1143">
        <v>3</v>
      </c>
      <c r="I1143" t="s">
        <v>23</v>
      </c>
      <c r="J1143" t="s">
        <v>418</v>
      </c>
      <c r="K1143" t="s">
        <v>25</v>
      </c>
      <c r="L1143" t="s">
        <v>53</v>
      </c>
      <c r="M1143" t="s">
        <v>78</v>
      </c>
      <c r="N1143">
        <v>0</v>
      </c>
      <c r="O1143" t="s">
        <v>27</v>
      </c>
      <c r="S1143" s="3">
        <v>34300</v>
      </c>
      <c r="T1143" s="2">
        <v>48214.1640625</v>
      </c>
      <c r="U1143" s="2">
        <v>51852.693305343273</v>
      </c>
      <c r="V1143" s="2">
        <v>51300.756778846553</v>
      </c>
      <c r="W1143" s="2">
        <v>46604.99609375</v>
      </c>
      <c r="X1143" s="4">
        <f t="shared" si="68"/>
        <v>0.71140920239821903</v>
      </c>
      <c r="Y1143" s="4">
        <f t="shared" si="69"/>
        <v>0.66148926533128571</v>
      </c>
      <c r="Z1143" s="4">
        <f t="shared" si="70"/>
        <v>0.6686061211117128</v>
      </c>
      <c r="AA1143" s="4">
        <f t="shared" si="71"/>
        <v>0.73597259682207827</v>
      </c>
    </row>
    <row r="1144" spans="1:27" x14ac:dyDescent="0.3">
      <c r="A1144" t="s">
        <v>461</v>
      </c>
      <c r="B1144">
        <v>237288</v>
      </c>
      <c r="C1144">
        <v>2009</v>
      </c>
      <c r="D1144" t="s">
        <v>103</v>
      </c>
      <c r="E1144" t="s">
        <v>514</v>
      </c>
      <c r="F1144">
        <v>6</v>
      </c>
      <c r="G1144" t="s">
        <v>36</v>
      </c>
      <c r="H1144">
        <v>4</v>
      </c>
      <c r="I1144" t="s">
        <v>23</v>
      </c>
      <c r="J1144" t="s">
        <v>31</v>
      </c>
      <c r="L1144" t="s">
        <v>57</v>
      </c>
      <c r="M1144" t="s">
        <v>78</v>
      </c>
      <c r="N1144">
        <v>1.8</v>
      </c>
      <c r="O1144" t="s">
        <v>27</v>
      </c>
      <c r="S1144" s="3">
        <v>500</v>
      </c>
      <c r="T1144" s="2">
        <v>1689.133544921875</v>
      </c>
      <c r="U1144" s="2">
        <v>5537.186977235423</v>
      </c>
      <c r="V1144" s="2">
        <v>1133.4542662094921</v>
      </c>
      <c r="W1144" s="2">
        <v>1721.868041992188</v>
      </c>
      <c r="X1144" s="4">
        <f t="shared" si="68"/>
        <v>0.29600975097746091</v>
      </c>
      <c r="Y1144" s="4">
        <f t="shared" si="69"/>
        <v>9.0298558104613139E-2</v>
      </c>
      <c r="Z1144" s="4">
        <f t="shared" si="70"/>
        <v>0.44112939966435921</v>
      </c>
      <c r="AA1144" s="4">
        <f t="shared" si="71"/>
        <v>0.29038229864670922</v>
      </c>
    </row>
    <row r="1145" spans="1:27" x14ac:dyDescent="0.3">
      <c r="A1145" t="s">
        <v>461</v>
      </c>
      <c r="B1145">
        <v>95014</v>
      </c>
      <c r="C1145">
        <v>2018</v>
      </c>
      <c r="D1145" t="s">
        <v>40</v>
      </c>
      <c r="E1145" t="s">
        <v>63</v>
      </c>
      <c r="F1145">
        <v>4</v>
      </c>
      <c r="G1145" t="s">
        <v>66</v>
      </c>
      <c r="H1145">
        <v>4</v>
      </c>
      <c r="I1145" t="s">
        <v>23</v>
      </c>
      <c r="J1145" t="s">
        <v>24</v>
      </c>
      <c r="K1145" t="s">
        <v>27</v>
      </c>
      <c r="L1145" t="s">
        <v>107</v>
      </c>
      <c r="M1145" t="s">
        <v>23</v>
      </c>
      <c r="N1145">
        <v>1.9</v>
      </c>
      <c r="O1145" t="s">
        <v>27</v>
      </c>
      <c r="S1145" s="3">
        <v>7000</v>
      </c>
      <c r="T1145" s="2">
        <v>7782.5322265625</v>
      </c>
      <c r="U1145" s="2">
        <v>9523.8719267639863</v>
      </c>
      <c r="V1145" s="2">
        <v>7789.5464875861453</v>
      </c>
      <c r="W1145" s="2">
        <v>8107.03515625</v>
      </c>
      <c r="X1145" s="4">
        <f t="shared" si="68"/>
        <v>0.89945017845327446</v>
      </c>
      <c r="Y1145" s="4">
        <f t="shared" si="69"/>
        <v>0.73499518408354469</v>
      </c>
      <c r="Z1145" s="4">
        <f t="shared" si="70"/>
        <v>0.89864024961601929</v>
      </c>
      <c r="AA1145" s="4">
        <f t="shared" si="71"/>
        <v>0.86344759398304227</v>
      </c>
    </row>
    <row r="1146" spans="1:27" x14ac:dyDescent="0.3">
      <c r="A1146" t="s">
        <v>461</v>
      </c>
      <c r="B1146">
        <v>81409</v>
      </c>
      <c r="C1146">
        <v>2016</v>
      </c>
      <c r="D1146" t="s">
        <v>28</v>
      </c>
      <c r="E1146" t="s">
        <v>220</v>
      </c>
      <c r="F1146">
        <v>6</v>
      </c>
      <c r="G1146" t="s">
        <v>56</v>
      </c>
      <c r="H1146">
        <v>4</v>
      </c>
      <c r="I1146" t="s">
        <v>23</v>
      </c>
      <c r="J1146" t="s">
        <v>24</v>
      </c>
      <c r="K1146" t="s">
        <v>27</v>
      </c>
      <c r="L1146" t="s">
        <v>53</v>
      </c>
      <c r="M1146" t="s">
        <v>23</v>
      </c>
      <c r="N1146">
        <v>1.9</v>
      </c>
      <c r="O1146" t="s">
        <v>27</v>
      </c>
      <c r="S1146" s="3">
        <v>13900</v>
      </c>
      <c r="T1146" s="2">
        <v>11816.69921875</v>
      </c>
      <c r="U1146" s="2">
        <v>13466.56138004929</v>
      </c>
      <c r="V1146" s="2">
        <v>11689.85649333706</v>
      </c>
      <c r="W1146" s="2">
        <v>12998.064453125</v>
      </c>
      <c r="X1146" s="4">
        <f t="shared" si="68"/>
        <v>1.1763014140145285</v>
      </c>
      <c r="Y1146" s="4">
        <f t="shared" si="69"/>
        <v>1.0321862877774313</v>
      </c>
      <c r="Z1146" s="4">
        <f t="shared" si="70"/>
        <v>1.1890650674730412</v>
      </c>
      <c r="AA1146" s="4">
        <f t="shared" si="71"/>
        <v>1.069389988803922</v>
      </c>
    </row>
    <row r="1147" spans="1:27" x14ac:dyDescent="0.3">
      <c r="A1147" t="s">
        <v>461</v>
      </c>
      <c r="B1147">
        <v>193314</v>
      </c>
      <c r="C1147">
        <v>2015</v>
      </c>
      <c r="D1147" t="s">
        <v>34</v>
      </c>
      <c r="E1147" t="s">
        <v>262</v>
      </c>
      <c r="F1147">
        <v>8</v>
      </c>
      <c r="G1147" t="s">
        <v>47</v>
      </c>
      <c r="H1147">
        <v>4</v>
      </c>
      <c r="I1147" t="s">
        <v>23</v>
      </c>
      <c r="J1147" t="s">
        <v>152</v>
      </c>
      <c r="L1147" t="s">
        <v>378</v>
      </c>
      <c r="M1147" t="s">
        <v>78</v>
      </c>
      <c r="N1147">
        <v>2.4</v>
      </c>
      <c r="O1147" t="s">
        <v>27</v>
      </c>
      <c r="S1147" s="3">
        <v>5800</v>
      </c>
      <c r="T1147" s="2">
        <v>8623.1708984375</v>
      </c>
      <c r="U1147" s="2">
        <v>7350.6804379477671</v>
      </c>
      <c r="V1147" s="2">
        <v>6845.1487378852344</v>
      </c>
      <c r="W1147" s="2">
        <v>7770.86865234375</v>
      </c>
      <c r="X1147" s="4">
        <f t="shared" si="68"/>
        <v>0.67260640758621026</v>
      </c>
      <c r="Y1147" s="4">
        <f t="shared" si="69"/>
        <v>0.78904259938407817</v>
      </c>
      <c r="Z1147" s="4">
        <f t="shared" si="70"/>
        <v>0.84731540863374633</v>
      </c>
      <c r="AA1147" s="4">
        <f t="shared" si="71"/>
        <v>0.74637730471106056</v>
      </c>
    </row>
    <row r="1148" spans="1:27" x14ac:dyDescent="0.3">
      <c r="A1148" t="s">
        <v>461</v>
      </c>
      <c r="B1148">
        <v>127467</v>
      </c>
      <c r="C1148">
        <v>2019</v>
      </c>
      <c r="D1148" t="s">
        <v>44</v>
      </c>
      <c r="E1148" t="s">
        <v>302</v>
      </c>
      <c r="F1148">
        <v>3</v>
      </c>
      <c r="G1148" t="s">
        <v>22</v>
      </c>
      <c r="H1148">
        <v>4</v>
      </c>
      <c r="I1148" t="s">
        <v>23</v>
      </c>
      <c r="J1148" t="s">
        <v>62</v>
      </c>
      <c r="L1148" t="s">
        <v>303</v>
      </c>
      <c r="M1148" t="s">
        <v>33</v>
      </c>
      <c r="N1148">
        <v>0</v>
      </c>
      <c r="O1148" t="s">
        <v>27</v>
      </c>
      <c r="S1148" s="3">
        <v>3400</v>
      </c>
      <c r="T1148" s="2">
        <v>8256.8544921875</v>
      </c>
      <c r="U1148" s="2">
        <v>7268.7186483753858</v>
      </c>
      <c r="V1148" s="2">
        <v>5502.5651152819792</v>
      </c>
      <c r="W1148" s="2">
        <v>6386.93896484375</v>
      </c>
      <c r="X1148" s="4">
        <f t="shared" si="68"/>
        <v>0.41177908648105938</v>
      </c>
      <c r="Y1148" s="4">
        <f t="shared" si="69"/>
        <v>0.46775782149167733</v>
      </c>
      <c r="Z1148" s="4">
        <f t="shared" si="70"/>
        <v>0.61789364210472719</v>
      </c>
      <c r="AA1148" s="4">
        <f t="shared" si="71"/>
        <v>0.53233638503748837</v>
      </c>
    </row>
    <row r="1149" spans="1:27" x14ac:dyDescent="0.3">
      <c r="A1149" t="s">
        <v>395</v>
      </c>
      <c r="B1149">
        <v>116663</v>
      </c>
      <c r="C1149">
        <v>2015</v>
      </c>
      <c r="D1149" t="s">
        <v>81</v>
      </c>
      <c r="E1149" t="s">
        <v>515</v>
      </c>
      <c r="F1149">
        <v>4</v>
      </c>
      <c r="G1149" t="s">
        <v>22</v>
      </c>
      <c r="H1149">
        <v>4</v>
      </c>
      <c r="I1149" t="s">
        <v>23</v>
      </c>
      <c r="J1149" t="s">
        <v>31</v>
      </c>
      <c r="K1149" t="s">
        <v>27</v>
      </c>
      <c r="L1149" t="s">
        <v>60</v>
      </c>
      <c r="M1149" t="s">
        <v>33</v>
      </c>
      <c r="N1149">
        <v>2.1</v>
      </c>
      <c r="O1149" t="s">
        <v>27</v>
      </c>
      <c r="S1149" s="3">
        <v>1300</v>
      </c>
      <c r="T1149" s="2">
        <v>4220.3642578125</v>
      </c>
      <c r="U1149" s="2">
        <v>3937.5180770904281</v>
      </c>
      <c r="V1149" s="2">
        <v>3166.6795916289011</v>
      </c>
      <c r="W1149" s="2">
        <v>3872.779052734375</v>
      </c>
      <c r="X1149" s="4">
        <f t="shared" si="68"/>
        <v>0.30803028378261743</v>
      </c>
      <c r="Y1149" s="4">
        <f t="shared" si="69"/>
        <v>0.33015721440461709</v>
      </c>
      <c r="Z1149" s="4">
        <f t="shared" si="70"/>
        <v>0.41052464020564072</v>
      </c>
      <c r="AA1149" s="4">
        <f t="shared" si="71"/>
        <v>0.33567626303962145</v>
      </c>
    </row>
    <row r="1150" spans="1:27" x14ac:dyDescent="0.3">
      <c r="A1150" t="s">
        <v>395</v>
      </c>
      <c r="B1150">
        <v>56337</v>
      </c>
      <c r="C1150">
        <v>2007</v>
      </c>
      <c r="D1150" t="s">
        <v>489</v>
      </c>
      <c r="E1150" t="s">
        <v>516</v>
      </c>
      <c r="F1150">
        <v>5</v>
      </c>
      <c r="G1150" t="s">
        <v>59</v>
      </c>
      <c r="H1150">
        <v>2</v>
      </c>
      <c r="I1150" t="s">
        <v>337</v>
      </c>
      <c r="J1150" t="s">
        <v>209</v>
      </c>
      <c r="K1150" t="s">
        <v>27</v>
      </c>
      <c r="L1150" t="s">
        <v>102</v>
      </c>
      <c r="M1150" t="s">
        <v>33</v>
      </c>
      <c r="N1150">
        <v>0</v>
      </c>
      <c r="O1150" t="s">
        <v>27</v>
      </c>
      <c r="S1150" s="3">
        <v>500</v>
      </c>
      <c r="T1150" s="2">
        <v>7602.0400390625</v>
      </c>
      <c r="U1150" s="2">
        <v>4891.8802757192698</v>
      </c>
      <c r="V1150" s="2">
        <v>2879.921834520595</v>
      </c>
      <c r="W1150" s="2">
        <v>4999.7490234375</v>
      </c>
      <c r="X1150" s="4">
        <f t="shared" si="68"/>
        <v>6.577181880531914E-2</v>
      </c>
      <c r="Y1150" s="4">
        <f t="shared" si="69"/>
        <v>0.10221018745731329</v>
      </c>
      <c r="Z1150" s="4">
        <f t="shared" si="70"/>
        <v>0.17361582318196225</v>
      </c>
      <c r="AA1150" s="4">
        <f t="shared" si="71"/>
        <v>0.10000501978321959</v>
      </c>
    </row>
    <row r="1151" spans="1:27" x14ac:dyDescent="0.3">
      <c r="A1151" t="s">
        <v>395</v>
      </c>
      <c r="B1151">
        <v>129532</v>
      </c>
      <c r="C1151">
        <v>2013</v>
      </c>
      <c r="D1151" t="s">
        <v>50</v>
      </c>
      <c r="E1151" t="s">
        <v>517</v>
      </c>
      <c r="F1151">
        <v>8</v>
      </c>
      <c r="G1151" t="s">
        <v>22</v>
      </c>
      <c r="H1151">
        <v>4</v>
      </c>
      <c r="I1151" t="s">
        <v>23</v>
      </c>
      <c r="J1151" t="s">
        <v>31</v>
      </c>
      <c r="K1151" t="s">
        <v>27</v>
      </c>
      <c r="L1151" t="s">
        <v>161</v>
      </c>
      <c r="M1151" t="s">
        <v>78</v>
      </c>
      <c r="N1151">
        <v>0</v>
      </c>
      <c r="O1151" t="s">
        <v>27</v>
      </c>
      <c r="S1151" s="3">
        <v>3600</v>
      </c>
      <c r="T1151" s="2">
        <v>6215.90283203125</v>
      </c>
      <c r="U1151" s="2">
        <v>8527.2067186883396</v>
      </c>
      <c r="V1151" s="2">
        <v>7222.8357669907446</v>
      </c>
      <c r="W1151" s="2">
        <v>6051.560546875</v>
      </c>
      <c r="X1151" s="4">
        <f t="shared" si="68"/>
        <v>0.5791596325233388</v>
      </c>
      <c r="Y1151" s="4">
        <f t="shared" si="69"/>
        <v>0.42217810811484047</v>
      </c>
      <c r="Z1151" s="4">
        <f t="shared" si="70"/>
        <v>0.49841919657822575</v>
      </c>
      <c r="AA1151" s="4">
        <f t="shared" si="71"/>
        <v>0.59488787596432868</v>
      </c>
    </row>
    <row r="1152" spans="1:27" x14ac:dyDescent="0.3">
      <c r="A1152" t="s">
        <v>395</v>
      </c>
      <c r="B1152">
        <v>174881</v>
      </c>
      <c r="C1152">
        <v>2015</v>
      </c>
      <c r="D1152" t="s">
        <v>20</v>
      </c>
      <c r="E1152" t="s">
        <v>154</v>
      </c>
      <c r="F1152">
        <v>6</v>
      </c>
      <c r="G1152" t="s">
        <v>36</v>
      </c>
      <c r="H1152">
        <v>4</v>
      </c>
      <c r="I1152" t="s">
        <v>23</v>
      </c>
      <c r="J1152" t="s">
        <v>24</v>
      </c>
      <c r="L1152" t="s">
        <v>26</v>
      </c>
      <c r="M1152" t="s">
        <v>33</v>
      </c>
      <c r="N1152">
        <v>0</v>
      </c>
      <c r="S1152" s="3">
        <v>1600</v>
      </c>
      <c r="T1152" s="2">
        <v>4785.50927734375</v>
      </c>
      <c r="U1152" s="2">
        <v>6883.8402560897566</v>
      </c>
      <c r="V1152" s="2">
        <v>3065.2971424000898</v>
      </c>
      <c r="W1152" s="2">
        <v>6046.5849609375</v>
      </c>
      <c r="X1152" s="4">
        <f t="shared" si="68"/>
        <v>0.33434268063692851</v>
      </c>
      <c r="Y1152" s="4">
        <f t="shared" si="69"/>
        <v>0.23242840340238397</v>
      </c>
      <c r="Z1152" s="4">
        <f t="shared" si="70"/>
        <v>0.52197223488331046</v>
      </c>
      <c r="AA1152" s="4">
        <f t="shared" si="71"/>
        <v>0.26461217535789427</v>
      </c>
    </row>
    <row r="1153" spans="1:27" x14ac:dyDescent="0.3">
      <c r="A1153" t="s">
        <v>395</v>
      </c>
      <c r="B1153">
        <v>193858</v>
      </c>
      <c r="C1153">
        <v>2016</v>
      </c>
      <c r="D1153" t="s">
        <v>40</v>
      </c>
      <c r="E1153" t="s">
        <v>229</v>
      </c>
      <c r="F1153">
        <v>4</v>
      </c>
      <c r="G1153" t="s">
        <v>47</v>
      </c>
      <c r="H1153">
        <v>4</v>
      </c>
      <c r="I1153" t="s">
        <v>23</v>
      </c>
      <c r="J1153" t="s">
        <v>31</v>
      </c>
      <c r="K1153" t="s">
        <v>27</v>
      </c>
      <c r="L1153" t="s">
        <v>107</v>
      </c>
      <c r="M1153" t="s">
        <v>33</v>
      </c>
      <c r="N1153">
        <v>0</v>
      </c>
      <c r="O1153" t="s">
        <v>27</v>
      </c>
      <c r="S1153" s="3">
        <v>1400</v>
      </c>
      <c r="T1153" s="2">
        <v>3674.369384765625</v>
      </c>
      <c r="U1153" s="2">
        <v>3836.9243402773632</v>
      </c>
      <c r="V1153" s="2">
        <v>3137.3304858629549</v>
      </c>
      <c r="W1153" s="2">
        <v>3467.73779296875</v>
      </c>
      <c r="X1153" s="4">
        <f t="shared" si="68"/>
        <v>0.38101776206947713</v>
      </c>
      <c r="Y1153" s="4">
        <f t="shared" si="69"/>
        <v>0.36487558154425243</v>
      </c>
      <c r="Z1153" s="4">
        <f t="shared" si="70"/>
        <v>0.44623924903943157</v>
      </c>
      <c r="AA1153" s="4">
        <f t="shared" si="71"/>
        <v>0.40372141251240684</v>
      </c>
    </row>
    <row r="1154" spans="1:27" x14ac:dyDescent="0.3">
      <c r="A1154" t="s">
        <v>395</v>
      </c>
      <c r="B1154">
        <v>168423</v>
      </c>
      <c r="C1154">
        <v>2012</v>
      </c>
      <c r="D1154" t="s">
        <v>40</v>
      </c>
      <c r="E1154" t="s">
        <v>146</v>
      </c>
      <c r="F1154">
        <v>8</v>
      </c>
      <c r="G1154" t="s">
        <v>99</v>
      </c>
      <c r="H1154">
        <v>4</v>
      </c>
      <c r="I1154" t="s">
        <v>23</v>
      </c>
      <c r="J1154" t="s">
        <v>24</v>
      </c>
      <c r="L1154" t="s">
        <v>43</v>
      </c>
      <c r="M1154" t="s">
        <v>78</v>
      </c>
      <c r="N1154">
        <v>0</v>
      </c>
      <c r="S1154" s="3">
        <v>2200</v>
      </c>
      <c r="T1154" s="2">
        <v>7457.564453125</v>
      </c>
      <c r="U1154" s="2">
        <v>16457.634253774158</v>
      </c>
      <c r="V1154" s="2">
        <v>6126.3642032645548</v>
      </c>
      <c r="W1154" s="2">
        <v>8727.44921875</v>
      </c>
      <c r="X1154" s="4">
        <f t="shared" ref="X1154:X1217" si="72">S1154/T1154</f>
        <v>0.29500247886937364</v>
      </c>
      <c r="Y1154" s="4">
        <f t="shared" ref="Y1154:Y1217" si="73">S1154/U1154</f>
        <v>0.13367656408426282</v>
      </c>
      <c r="Z1154" s="4">
        <f t="shared" ref="Z1154:Z1217" si="74">S1154/V1154</f>
        <v>0.35910369135868325</v>
      </c>
      <c r="AA1154" s="4">
        <f t="shared" ref="AA1154:AA1217" si="75">S1154/W1154</f>
        <v>0.25207823555977077</v>
      </c>
    </row>
    <row r="1155" spans="1:27" x14ac:dyDescent="0.3">
      <c r="A1155" t="s">
        <v>395</v>
      </c>
      <c r="B1155">
        <v>153690</v>
      </c>
      <c r="C1155">
        <v>2011</v>
      </c>
      <c r="D1155" t="s">
        <v>40</v>
      </c>
      <c r="E1155" t="s">
        <v>136</v>
      </c>
      <c r="F1155">
        <v>4</v>
      </c>
      <c r="G1155" t="s">
        <v>59</v>
      </c>
      <c r="H1155">
        <v>4</v>
      </c>
      <c r="I1155" t="s">
        <v>23</v>
      </c>
      <c r="J1155" t="s">
        <v>31</v>
      </c>
      <c r="K1155" t="s">
        <v>27</v>
      </c>
      <c r="L1155" t="s">
        <v>32</v>
      </c>
      <c r="M1155" t="s">
        <v>33</v>
      </c>
      <c r="N1155">
        <v>0</v>
      </c>
      <c r="S1155" s="3">
        <v>1500</v>
      </c>
      <c r="T1155" s="2">
        <v>3349.692626953125</v>
      </c>
      <c r="U1155" s="2">
        <v>2856.0761504087232</v>
      </c>
      <c r="V1155" s="2">
        <v>2238.7008232009739</v>
      </c>
      <c r="W1155" s="2">
        <v>3067.091552734375</v>
      </c>
      <c r="X1155" s="4">
        <f t="shared" si="72"/>
        <v>0.44780228129898519</v>
      </c>
      <c r="Y1155" s="4">
        <f t="shared" si="73"/>
        <v>0.52519608056855915</v>
      </c>
      <c r="Z1155" s="4">
        <f t="shared" si="74"/>
        <v>0.67003146845465789</v>
      </c>
      <c r="AA1155" s="4">
        <f t="shared" si="75"/>
        <v>0.48906267524447361</v>
      </c>
    </row>
    <row r="1156" spans="1:27" x14ac:dyDescent="0.3">
      <c r="A1156" t="s">
        <v>395</v>
      </c>
      <c r="B1156">
        <v>150645</v>
      </c>
      <c r="C1156">
        <v>2013</v>
      </c>
      <c r="D1156" t="s">
        <v>85</v>
      </c>
      <c r="E1156" t="s">
        <v>270</v>
      </c>
      <c r="F1156">
        <v>4</v>
      </c>
      <c r="G1156" t="s">
        <v>272</v>
      </c>
      <c r="H1156">
        <v>4</v>
      </c>
      <c r="I1156" t="s">
        <v>23</v>
      </c>
      <c r="J1156" t="s">
        <v>24</v>
      </c>
      <c r="L1156" t="s">
        <v>60</v>
      </c>
      <c r="M1156" t="s">
        <v>33</v>
      </c>
      <c r="N1156">
        <v>0</v>
      </c>
      <c r="O1156" t="s">
        <v>27</v>
      </c>
      <c r="S1156" s="3">
        <v>700</v>
      </c>
      <c r="T1156" s="2">
        <v>4077.857421875</v>
      </c>
      <c r="U1156" s="2">
        <v>4015.6006048811209</v>
      </c>
      <c r="V1156" s="2">
        <v>3473.4639607529439</v>
      </c>
      <c r="W1156" s="2">
        <v>4098.8857421875</v>
      </c>
      <c r="X1156" s="4">
        <f t="shared" si="72"/>
        <v>0.17165877263019652</v>
      </c>
      <c r="Y1156" s="4">
        <f t="shared" si="73"/>
        <v>0.17432012515117226</v>
      </c>
      <c r="Z1156" s="4">
        <f t="shared" si="74"/>
        <v>0.20152792944143885</v>
      </c>
      <c r="AA1156" s="4">
        <f t="shared" si="75"/>
        <v>0.17077811972051285</v>
      </c>
    </row>
    <row r="1157" spans="1:27" x14ac:dyDescent="0.3">
      <c r="A1157" t="s">
        <v>395</v>
      </c>
      <c r="B1157">
        <v>1</v>
      </c>
      <c r="C1157">
        <v>2014</v>
      </c>
      <c r="D1157" t="s">
        <v>141</v>
      </c>
      <c r="E1157" t="s">
        <v>215</v>
      </c>
      <c r="F1157">
        <v>6</v>
      </c>
      <c r="G1157" t="s">
        <v>47</v>
      </c>
      <c r="H1157">
        <v>4</v>
      </c>
      <c r="I1157" t="s">
        <v>23</v>
      </c>
      <c r="J1157" t="s">
        <v>31</v>
      </c>
      <c r="K1157" t="s">
        <v>27</v>
      </c>
      <c r="L1157" t="s">
        <v>26</v>
      </c>
      <c r="M1157" t="s">
        <v>78</v>
      </c>
      <c r="N1157">
        <v>0</v>
      </c>
      <c r="O1157" t="s">
        <v>123</v>
      </c>
      <c r="S1157" s="3">
        <v>500</v>
      </c>
      <c r="T1157" s="2">
        <v>19704.037109375</v>
      </c>
      <c r="U1157" s="2">
        <v>26589.946061017421</v>
      </c>
      <c r="V1157" s="2">
        <v>2814.257140449889</v>
      </c>
      <c r="W1157" s="2">
        <v>20449.5703125</v>
      </c>
      <c r="X1157" s="4">
        <f t="shared" si="72"/>
        <v>2.5375510471511677E-2</v>
      </c>
      <c r="Y1157" s="4">
        <f t="shared" si="73"/>
        <v>1.8804099822264487E-2</v>
      </c>
      <c r="Z1157" s="4">
        <f t="shared" si="74"/>
        <v>0.17766677849489962</v>
      </c>
      <c r="AA1157" s="4">
        <f t="shared" si="75"/>
        <v>2.445039149279191E-2</v>
      </c>
    </row>
    <row r="1158" spans="1:27" x14ac:dyDescent="0.3">
      <c r="A1158" t="s">
        <v>395</v>
      </c>
      <c r="B1158">
        <v>204804</v>
      </c>
      <c r="C1158">
        <v>2004</v>
      </c>
      <c r="D1158" t="s">
        <v>282</v>
      </c>
      <c r="E1158" t="s">
        <v>518</v>
      </c>
      <c r="F1158">
        <v>8</v>
      </c>
      <c r="G1158" t="s">
        <v>56</v>
      </c>
      <c r="H1158">
        <v>4</v>
      </c>
      <c r="I1158" t="s">
        <v>23</v>
      </c>
      <c r="J1158" t="s">
        <v>37</v>
      </c>
      <c r="K1158" t="s">
        <v>27</v>
      </c>
      <c r="L1158" t="s">
        <v>519</v>
      </c>
      <c r="M1158" t="s">
        <v>78</v>
      </c>
      <c r="N1158">
        <v>3.9</v>
      </c>
      <c r="O1158" t="s">
        <v>27</v>
      </c>
      <c r="S1158" s="3">
        <v>3300</v>
      </c>
      <c r="T1158" s="2">
        <v>2477.53369140625</v>
      </c>
      <c r="U1158" s="2">
        <v>3466.389161923355</v>
      </c>
      <c r="V1158" s="2">
        <v>1442.303882892837</v>
      </c>
      <c r="W1158" s="2">
        <v>2540.37255859375</v>
      </c>
      <c r="X1158" s="4">
        <f t="shared" si="72"/>
        <v>1.3319697776246657</v>
      </c>
      <c r="Y1158" s="4">
        <f t="shared" si="73"/>
        <v>0.9519992839375736</v>
      </c>
      <c r="Z1158" s="4">
        <f t="shared" si="74"/>
        <v>2.2880060430685187</v>
      </c>
      <c r="AA1158" s="4">
        <f t="shared" si="75"/>
        <v>1.299022062270563</v>
      </c>
    </row>
    <row r="1159" spans="1:27" x14ac:dyDescent="0.3">
      <c r="A1159" t="s">
        <v>395</v>
      </c>
      <c r="B1159">
        <v>1</v>
      </c>
      <c r="C1159">
        <v>2013</v>
      </c>
      <c r="D1159" t="s">
        <v>324</v>
      </c>
      <c r="E1159" t="s">
        <v>381</v>
      </c>
      <c r="F1159">
        <v>6</v>
      </c>
      <c r="G1159" t="s">
        <v>30</v>
      </c>
      <c r="H1159">
        <v>4</v>
      </c>
      <c r="I1159" t="s">
        <v>23</v>
      </c>
      <c r="J1159" t="s">
        <v>24</v>
      </c>
      <c r="K1159" t="s">
        <v>27</v>
      </c>
      <c r="L1159" t="s">
        <v>26</v>
      </c>
      <c r="M1159" t="s">
        <v>33</v>
      </c>
      <c r="N1159">
        <v>0</v>
      </c>
      <c r="S1159" s="3">
        <v>800</v>
      </c>
      <c r="T1159" s="2">
        <v>20329.052734375</v>
      </c>
      <c r="U1159" s="2">
        <v>19406.20865260587</v>
      </c>
      <c r="V1159" s="2">
        <v>9526.8379371743122</v>
      </c>
      <c r="W1159" s="2">
        <v>28527.953125</v>
      </c>
      <c r="X1159" s="4">
        <f t="shared" si="72"/>
        <v>3.9352546842837205E-2</v>
      </c>
      <c r="Y1159" s="4">
        <f t="shared" si="73"/>
        <v>4.1223920360795245E-2</v>
      </c>
      <c r="Z1159" s="4">
        <f t="shared" si="74"/>
        <v>8.3973297884951989E-2</v>
      </c>
      <c r="AA1159" s="4">
        <f t="shared" si="75"/>
        <v>2.8042670867225075E-2</v>
      </c>
    </row>
    <row r="1160" spans="1:27" x14ac:dyDescent="0.3">
      <c r="A1160" t="s">
        <v>395</v>
      </c>
      <c r="B1160">
        <v>175031</v>
      </c>
      <c r="C1160">
        <v>2013</v>
      </c>
      <c r="D1160" t="s">
        <v>54</v>
      </c>
      <c r="E1160" t="s">
        <v>206</v>
      </c>
      <c r="F1160">
        <v>6</v>
      </c>
      <c r="G1160" t="s">
        <v>272</v>
      </c>
      <c r="H1160">
        <v>2</v>
      </c>
      <c r="I1160" t="s">
        <v>23</v>
      </c>
      <c r="J1160" t="s">
        <v>24</v>
      </c>
      <c r="K1160" t="s">
        <v>27</v>
      </c>
      <c r="L1160" t="s">
        <v>26</v>
      </c>
      <c r="M1160">
        <v>4</v>
      </c>
      <c r="N1160">
        <v>0</v>
      </c>
      <c r="S1160" s="3">
        <v>6700</v>
      </c>
      <c r="T1160" s="2">
        <v>5427.17529296875</v>
      </c>
      <c r="U1160" s="2">
        <v>8397.7479987598417</v>
      </c>
      <c r="V1160" s="2">
        <v>5009.9126956533828</v>
      </c>
      <c r="W1160" s="2">
        <v>6446.3203125</v>
      </c>
      <c r="X1160" s="4">
        <f t="shared" si="72"/>
        <v>1.2345280257817128</v>
      </c>
      <c r="Y1160" s="4">
        <f t="shared" si="73"/>
        <v>0.79783294294963825</v>
      </c>
      <c r="Z1160" s="4">
        <f t="shared" si="74"/>
        <v>1.3373486539621624</v>
      </c>
      <c r="AA1160" s="4">
        <f t="shared" si="75"/>
        <v>1.039352634557748</v>
      </c>
    </row>
    <row r="1161" spans="1:27" x14ac:dyDescent="0.3">
      <c r="A1161" t="s">
        <v>395</v>
      </c>
      <c r="B1161">
        <v>39277</v>
      </c>
      <c r="C1161">
        <v>2022</v>
      </c>
      <c r="D1161" t="s">
        <v>40</v>
      </c>
      <c r="E1161" t="s">
        <v>63</v>
      </c>
      <c r="F1161">
        <v>4</v>
      </c>
      <c r="G1161" t="s">
        <v>47</v>
      </c>
      <c r="H1161">
        <v>4</v>
      </c>
      <c r="I1161" t="s">
        <v>23</v>
      </c>
      <c r="J1161" t="s">
        <v>24</v>
      </c>
      <c r="K1161" t="s">
        <v>27</v>
      </c>
      <c r="L1161" t="s">
        <v>107</v>
      </c>
      <c r="M1161" t="s">
        <v>33</v>
      </c>
      <c r="N1161">
        <v>0</v>
      </c>
      <c r="S1161" s="3">
        <v>15800</v>
      </c>
      <c r="T1161" s="2">
        <v>25724.75390625</v>
      </c>
      <c r="U1161" s="2">
        <v>23733.20451007627</v>
      </c>
      <c r="V1161" s="2">
        <v>17946.260148730231</v>
      </c>
      <c r="W1161" s="2">
        <v>23838.87109375</v>
      </c>
      <c r="X1161" s="4">
        <f t="shared" si="72"/>
        <v>0.61419440814014103</v>
      </c>
      <c r="Y1161" s="4">
        <f t="shared" si="73"/>
        <v>0.66573395064673568</v>
      </c>
      <c r="Z1161" s="4">
        <f t="shared" si="74"/>
        <v>0.88040627234069779</v>
      </c>
      <c r="AA1161" s="4">
        <f t="shared" si="75"/>
        <v>0.66278306291703526</v>
      </c>
    </row>
    <row r="1162" spans="1:27" x14ac:dyDescent="0.3">
      <c r="A1162" t="s">
        <v>395</v>
      </c>
      <c r="B1162">
        <v>166145</v>
      </c>
      <c r="C1162">
        <v>2016</v>
      </c>
      <c r="D1162" t="s">
        <v>40</v>
      </c>
      <c r="E1162" t="s">
        <v>172</v>
      </c>
      <c r="F1162">
        <v>4</v>
      </c>
      <c r="G1162" t="s">
        <v>30</v>
      </c>
      <c r="H1162">
        <v>4</v>
      </c>
      <c r="I1162" t="s">
        <v>23</v>
      </c>
      <c r="J1162" t="s">
        <v>31</v>
      </c>
      <c r="K1162" t="s">
        <v>27</v>
      </c>
      <c r="L1162" t="s">
        <v>102</v>
      </c>
      <c r="M1162" t="s">
        <v>33</v>
      </c>
      <c r="N1162">
        <v>0</v>
      </c>
      <c r="O1162" t="s">
        <v>27</v>
      </c>
      <c r="S1162" s="3">
        <v>700</v>
      </c>
      <c r="T1162" s="2">
        <v>5285.736328125</v>
      </c>
      <c r="U1162" s="2">
        <v>4864.1739126844204</v>
      </c>
      <c r="V1162" s="2">
        <v>4123.1207833585331</v>
      </c>
      <c r="W1162" s="2">
        <v>4706.72802734375</v>
      </c>
      <c r="X1162" s="4">
        <f t="shared" si="72"/>
        <v>0.13243188016688487</v>
      </c>
      <c r="Y1162" s="4">
        <f t="shared" si="73"/>
        <v>0.14390932819539892</v>
      </c>
      <c r="Z1162" s="4">
        <f t="shared" si="74"/>
        <v>0.16977431338545637</v>
      </c>
      <c r="AA1162" s="4">
        <f t="shared" si="75"/>
        <v>0.14872327356357706</v>
      </c>
    </row>
    <row r="1163" spans="1:27" x14ac:dyDescent="0.3">
      <c r="A1163" t="s">
        <v>395</v>
      </c>
      <c r="B1163">
        <v>90570</v>
      </c>
      <c r="C1163">
        <v>2013</v>
      </c>
      <c r="D1163" t="s">
        <v>100</v>
      </c>
      <c r="E1163" t="s">
        <v>114</v>
      </c>
      <c r="F1163">
        <v>8</v>
      </c>
      <c r="G1163" t="s">
        <v>47</v>
      </c>
      <c r="H1163">
        <v>2</v>
      </c>
      <c r="I1163" t="s">
        <v>23</v>
      </c>
      <c r="J1163" t="s">
        <v>49</v>
      </c>
      <c r="L1163" t="s">
        <v>115</v>
      </c>
      <c r="M1163">
        <v>4</v>
      </c>
      <c r="N1163">
        <v>0</v>
      </c>
      <c r="O1163" t="s">
        <v>27</v>
      </c>
      <c r="S1163" s="3">
        <v>9000</v>
      </c>
      <c r="T1163" s="2">
        <v>9683.234375</v>
      </c>
      <c r="U1163" s="2">
        <v>9641.3802550592918</v>
      </c>
      <c r="V1163" s="2">
        <v>17111.32916426946</v>
      </c>
      <c r="W1163" s="2">
        <v>10728.8818359375</v>
      </c>
      <c r="X1163" s="4">
        <f t="shared" si="72"/>
        <v>0.92944151214970461</v>
      </c>
      <c r="Y1163" s="4">
        <f t="shared" si="73"/>
        <v>0.93347630338273102</v>
      </c>
      <c r="Z1163" s="4">
        <f t="shared" si="74"/>
        <v>0.5259673233797113</v>
      </c>
      <c r="AA1163" s="4">
        <f t="shared" si="75"/>
        <v>0.83885722087585757</v>
      </c>
    </row>
    <row r="1164" spans="1:27" x14ac:dyDescent="0.3">
      <c r="A1164" t="s">
        <v>395</v>
      </c>
      <c r="B1164">
        <v>256629</v>
      </c>
      <c r="C1164">
        <v>2004</v>
      </c>
      <c r="D1164" t="s">
        <v>54</v>
      </c>
      <c r="E1164" t="s">
        <v>219</v>
      </c>
      <c r="F1164">
        <v>6</v>
      </c>
      <c r="G1164" t="s">
        <v>47</v>
      </c>
      <c r="H1164">
        <v>4</v>
      </c>
      <c r="I1164" t="s">
        <v>23</v>
      </c>
      <c r="J1164" t="s">
        <v>24</v>
      </c>
      <c r="L1164" t="s">
        <v>348</v>
      </c>
      <c r="M1164">
        <v>4</v>
      </c>
      <c r="N1164">
        <v>0</v>
      </c>
      <c r="O1164" t="s">
        <v>27</v>
      </c>
      <c r="S1164" s="3">
        <v>400</v>
      </c>
      <c r="T1164" s="2">
        <v>1821.314697265625</v>
      </c>
      <c r="U1164" s="2">
        <v>2219.7003544516278</v>
      </c>
      <c r="V1164" s="2">
        <v>-222.9972457543499</v>
      </c>
      <c r="W1164" s="2">
        <v>1632.217895507812</v>
      </c>
      <c r="X1164" s="4">
        <f t="shared" si="72"/>
        <v>0.21962157369098692</v>
      </c>
      <c r="Y1164" s="4">
        <f t="shared" si="73"/>
        <v>0.18020450336812202</v>
      </c>
      <c r="Z1164" s="4">
        <f t="shared" si="74"/>
        <v>-1.7937441274078938</v>
      </c>
      <c r="AA1164" s="4">
        <f t="shared" si="75"/>
        <v>0.24506531946554408</v>
      </c>
    </row>
    <row r="1165" spans="1:27" x14ac:dyDescent="0.3">
      <c r="A1165" t="s">
        <v>395</v>
      </c>
      <c r="B1165">
        <v>103389</v>
      </c>
      <c r="C1165">
        <v>2014</v>
      </c>
      <c r="D1165" t="s">
        <v>44</v>
      </c>
      <c r="E1165" t="s">
        <v>45</v>
      </c>
      <c r="F1165">
        <v>6</v>
      </c>
      <c r="G1165" t="s">
        <v>36</v>
      </c>
      <c r="H1165">
        <v>4</v>
      </c>
      <c r="I1165" t="s">
        <v>23</v>
      </c>
      <c r="J1165" t="s">
        <v>46</v>
      </c>
      <c r="K1165" t="s">
        <v>27</v>
      </c>
      <c r="L1165" t="s">
        <v>38</v>
      </c>
      <c r="M1165" t="s">
        <v>78</v>
      </c>
      <c r="N1165">
        <v>0</v>
      </c>
      <c r="O1165" t="s">
        <v>27</v>
      </c>
      <c r="S1165" s="3">
        <v>8600</v>
      </c>
      <c r="T1165" s="2">
        <v>11453.7763671875</v>
      </c>
      <c r="U1165" s="2">
        <v>11937.748312206289</v>
      </c>
      <c r="V1165" s="2">
        <v>12815.222780510199</v>
      </c>
      <c r="W1165" s="2">
        <v>11508.953125</v>
      </c>
      <c r="X1165" s="4">
        <f t="shared" si="72"/>
        <v>0.75084406437662521</v>
      </c>
      <c r="Y1165" s="4">
        <f t="shared" si="73"/>
        <v>0.72040386303056347</v>
      </c>
      <c r="Z1165" s="4">
        <f t="shared" si="74"/>
        <v>0.67107690184513646</v>
      </c>
      <c r="AA1165" s="4">
        <f t="shared" si="75"/>
        <v>0.74724433287671421</v>
      </c>
    </row>
    <row r="1166" spans="1:27" x14ac:dyDescent="0.3">
      <c r="A1166" t="s">
        <v>395</v>
      </c>
      <c r="B1166">
        <v>133750</v>
      </c>
      <c r="C1166">
        <v>2013</v>
      </c>
      <c r="D1166" t="s">
        <v>473</v>
      </c>
      <c r="E1166" t="s">
        <v>520</v>
      </c>
      <c r="F1166">
        <v>4</v>
      </c>
      <c r="G1166" t="s">
        <v>47</v>
      </c>
      <c r="H1166">
        <v>2</v>
      </c>
      <c r="I1166" t="s">
        <v>23</v>
      </c>
      <c r="J1166" t="s">
        <v>83</v>
      </c>
      <c r="L1166" t="s">
        <v>87</v>
      </c>
      <c r="M1166" t="s">
        <v>33</v>
      </c>
      <c r="N1166">
        <v>0</v>
      </c>
      <c r="O1166" t="s">
        <v>27</v>
      </c>
      <c r="S1166" s="3">
        <v>1600</v>
      </c>
      <c r="T1166" s="2">
        <v>3540.459716796875</v>
      </c>
      <c r="U1166" s="2">
        <v>3805.589134788846</v>
      </c>
      <c r="V1166" s="2">
        <v>2807.4151552155772</v>
      </c>
      <c r="W1166" s="2">
        <v>4071.631591796875</v>
      </c>
      <c r="X1166" s="4">
        <f t="shared" si="72"/>
        <v>0.45191871338323042</v>
      </c>
      <c r="Y1166" s="4">
        <f t="shared" si="73"/>
        <v>0.42043424640184557</v>
      </c>
      <c r="Z1166" s="4">
        <f t="shared" si="74"/>
        <v>0.56991927147915478</v>
      </c>
      <c r="AA1166" s="4">
        <f t="shared" si="75"/>
        <v>0.39296286118408241</v>
      </c>
    </row>
    <row r="1167" spans="1:27" x14ac:dyDescent="0.3">
      <c r="A1167" t="s">
        <v>395</v>
      </c>
      <c r="B1167">
        <v>142966</v>
      </c>
      <c r="C1167">
        <v>2009</v>
      </c>
      <c r="D1167" t="s">
        <v>239</v>
      </c>
      <c r="E1167" t="s">
        <v>521</v>
      </c>
      <c r="F1167">
        <v>8</v>
      </c>
      <c r="G1167" t="s">
        <v>36</v>
      </c>
      <c r="H1167">
        <v>4</v>
      </c>
      <c r="I1167" t="s">
        <v>23</v>
      </c>
      <c r="J1167" t="s">
        <v>24</v>
      </c>
      <c r="K1167" t="s">
        <v>27</v>
      </c>
      <c r="L1167" t="s">
        <v>522</v>
      </c>
      <c r="M1167" t="s">
        <v>23</v>
      </c>
      <c r="N1167">
        <v>0</v>
      </c>
      <c r="O1167" t="s">
        <v>27</v>
      </c>
      <c r="S1167" s="3">
        <v>1200</v>
      </c>
      <c r="T1167" s="2">
        <v>5091.1474609375</v>
      </c>
      <c r="U1167" s="2">
        <v>8959.9150428584016</v>
      </c>
      <c r="V1167" s="2">
        <v>4984.9469186885508</v>
      </c>
      <c r="W1167" s="2">
        <v>6038.193359375</v>
      </c>
      <c r="X1167" s="4">
        <f t="shared" si="72"/>
        <v>0.2357032494554829</v>
      </c>
      <c r="Y1167" s="4">
        <f t="shared" si="73"/>
        <v>0.1339298413277337</v>
      </c>
      <c r="Z1167" s="4">
        <f t="shared" si="74"/>
        <v>0.24072472978622975</v>
      </c>
      <c r="AA1167" s="4">
        <f t="shared" si="75"/>
        <v>0.198734940830747</v>
      </c>
    </row>
    <row r="1168" spans="1:27" x14ac:dyDescent="0.3">
      <c r="A1168" t="s">
        <v>395</v>
      </c>
      <c r="B1168">
        <v>1</v>
      </c>
      <c r="C1168">
        <v>2013</v>
      </c>
      <c r="D1168" t="s">
        <v>44</v>
      </c>
      <c r="E1168" t="s">
        <v>117</v>
      </c>
      <c r="F1168">
        <v>4</v>
      </c>
      <c r="G1168" t="s">
        <v>22</v>
      </c>
      <c r="H1168">
        <v>4</v>
      </c>
      <c r="I1168" t="s">
        <v>23</v>
      </c>
      <c r="J1168" t="s">
        <v>62</v>
      </c>
      <c r="K1168" t="s">
        <v>27</v>
      </c>
      <c r="L1168" t="s">
        <v>118</v>
      </c>
      <c r="M1168" t="s">
        <v>33</v>
      </c>
      <c r="N1168">
        <v>0</v>
      </c>
      <c r="O1168" t="s">
        <v>27</v>
      </c>
      <c r="S1168" s="3">
        <v>2200</v>
      </c>
      <c r="T1168" s="2">
        <v>17478.201171875</v>
      </c>
      <c r="U1168" s="2">
        <v>12220.09895954515</v>
      </c>
      <c r="V1168" s="2">
        <v>-2701.691897348468</v>
      </c>
      <c r="W1168" s="2">
        <v>11883.818359375</v>
      </c>
      <c r="X1168" s="4">
        <f t="shared" si="72"/>
        <v>0.12587107668380224</v>
      </c>
      <c r="Y1168" s="4">
        <f t="shared" si="73"/>
        <v>0.18003127530170895</v>
      </c>
      <c r="Z1168" s="4">
        <f t="shared" si="74"/>
        <v>-0.8143045482570217</v>
      </c>
      <c r="AA1168" s="4">
        <f t="shared" si="75"/>
        <v>0.1851256838055293</v>
      </c>
    </row>
    <row r="1169" spans="1:27" x14ac:dyDescent="0.3">
      <c r="A1169" t="s">
        <v>395</v>
      </c>
      <c r="B1169">
        <v>130525</v>
      </c>
      <c r="C1169">
        <v>2020</v>
      </c>
      <c r="D1169" t="s">
        <v>44</v>
      </c>
      <c r="E1169" t="s">
        <v>210</v>
      </c>
      <c r="F1169">
        <v>4</v>
      </c>
      <c r="G1169" t="s">
        <v>30</v>
      </c>
      <c r="H1169">
        <v>4</v>
      </c>
      <c r="I1169" t="s">
        <v>23</v>
      </c>
      <c r="J1169" t="s">
        <v>37</v>
      </c>
      <c r="K1169" t="s">
        <v>27</v>
      </c>
      <c r="L1169" t="s">
        <v>128</v>
      </c>
      <c r="M1169" t="s">
        <v>33</v>
      </c>
      <c r="N1169">
        <v>0</v>
      </c>
      <c r="S1169" s="3">
        <v>4500</v>
      </c>
      <c r="T1169" s="2">
        <v>9542.564453125</v>
      </c>
      <c r="U1169" s="2">
        <v>8827.4919061633591</v>
      </c>
      <c r="V1169" s="2">
        <v>7113.4155743916617</v>
      </c>
      <c r="W1169" s="2">
        <v>9055.3876953125</v>
      </c>
      <c r="X1169" s="4">
        <f t="shared" si="72"/>
        <v>0.47157134983000715</v>
      </c>
      <c r="Y1169" s="4">
        <f t="shared" si="73"/>
        <v>0.50977107063197624</v>
      </c>
      <c r="Z1169" s="4">
        <f t="shared" si="74"/>
        <v>0.63260749395832105</v>
      </c>
      <c r="AA1169" s="4">
        <f t="shared" si="75"/>
        <v>0.49694172700407013</v>
      </c>
    </row>
    <row r="1170" spans="1:27" x14ac:dyDescent="0.3">
      <c r="A1170" t="s">
        <v>395</v>
      </c>
      <c r="B1170">
        <v>142137</v>
      </c>
      <c r="C1170">
        <v>2011</v>
      </c>
      <c r="D1170" t="s">
        <v>71</v>
      </c>
      <c r="E1170" t="s">
        <v>523</v>
      </c>
      <c r="F1170">
        <v>6</v>
      </c>
      <c r="G1170" t="s">
        <v>30</v>
      </c>
      <c r="H1170">
        <v>4</v>
      </c>
      <c r="I1170" t="s">
        <v>23</v>
      </c>
      <c r="J1170" t="s">
        <v>31</v>
      </c>
      <c r="K1170" t="s">
        <v>27</v>
      </c>
      <c r="L1170" t="s">
        <v>524</v>
      </c>
      <c r="M1170" t="s">
        <v>33</v>
      </c>
      <c r="N1170">
        <v>0</v>
      </c>
      <c r="O1170" t="s">
        <v>27</v>
      </c>
      <c r="S1170" s="3">
        <v>1000</v>
      </c>
      <c r="T1170" s="2">
        <v>4425.52001953125</v>
      </c>
      <c r="U1170" s="2">
        <v>3767.6062009444631</v>
      </c>
      <c r="V1170" s="2">
        <v>3062.212780832539</v>
      </c>
      <c r="W1170" s="2">
        <v>4080.12353515625</v>
      </c>
      <c r="X1170" s="4">
        <f t="shared" si="72"/>
        <v>0.22596214582392055</v>
      </c>
      <c r="Y1170" s="4">
        <f t="shared" si="73"/>
        <v>0.26542052079363287</v>
      </c>
      <c r="Z1170" s="4">
        <f t="shared" si="74"/>
        <v>0.32656123906847684</v>
      </c>
      <c r="AA1170" s="4">
        <f t="shared" si="75"/>
        <v>0.2450906183069049</v>
      </c>
    </row>
    <row r="1171" spans="1:27" x14ac:dyDescent="0.3">
      <c r="A1171" t="s">
        <v>395</v>
      </c>
      <c r="B1171">
        <v>180331</v>
      </c>
      <c r="C1171">
        <v>2009</v>
      </c>
      <c r="D1171" t="s">
        <v>28</v>
      </c>
      <c r="E1171" t="s">
        <v>220</v>
      </c>
      <c r="F1171">
        <v>6</v>
      </c>
      <c r="G1171" t="s">
        <v>272</v>
      </c>
      <c r="H1171">
        <v>4</v>
      </c>
      <c r="I1171" t="s">
        <v>23</v>
      </c>
      <c r="J1171" t="s">
        <v>24</v>
      </c>
      <c r="K1171" t="s">
        <v>27</v>
      </c>
      <c r="L1171" t="s">
        <v>53</v>
      </c>
      <c r="M1171">
        <v>4</v>
      </c>
      <c r="N1171">
        <v>0</v>
      </c>
      <c r="S1171" s="3">
        <v>2400</v>
      </c>
      <c r="T1171" s="2">
        <v>2918.78759765625</v>
      </c>
      <c r="U1171" s="2">
        <v>4447.7685641007711</v>
      </c>
      <c r="V1171" s="2">
        <v>1767.885198118835</v>
      </c>
      <c r="W1171" s="2">
        <v>3406.969970703125</v>
      </c>
      <c r="X1171" s="4">
        <f t="shared" si="72"/>
        <v>0.82225921541093638</v>
      </c>
      <c r="Y1171" s="4">
        <f t="shared" si="73"/>
        <v>0.53959642130912466</v>
      </c>
      <c r="Z1171" s="4">
        <f t="shared" si="74"/>
        <v>1.3575542136750642</v>
      </c>
      <c r="AA1171" s="4">
        <f t="shared" si="75"/>
        <v>0.70443826057694658</v>
      </c>
    </row>
    <row r="1172" spans="1:27" x14ac:dyDescent="0.3">
      <c r="A1172" t="s">
        <v>430</v>
      </c>
      <c r="B1172">
        <v>124725</v>
      </c>
      <c r="C1172">
        <v>2015</v>
      </c>
      <c r="D1172" t="s">
        <v>141</v>
      </c>
      <c r="E1172" t="s">
        <v>259</v>
      </c>
      <c r="F1172">
        <v>4</v>
      </c>
      <c r="G1172" t="s">
        <v>47</v>
      </c>
      <c r="H1172">
        <v>4</v>
      </c>
      <c r="I1172" t="s">
        <v>23</v>
      </c>
      <c r="J1172" t="s">
        <v>31</v>
      </c>
      <c r="K1172" t="s">
        <v>25</v>
      </c>
      <c r="L1172" t="s">
        <v>60</v>
      </c>
      <c r="M1172" t="s">
        <v>33</v>
      </c>
      <c r="N1172">
        <v>0</v>
      </c>
      <c r="O1172" t="s">
        <v>27</v>
      </c>
      <c r="S1172" s="3">
        <v>500</v>
      </c>
      <c r="T1172" s="2">
        <v>5376.36376953125</v>
      </c>
      <c r="U1172" s="2">
        <v>5678.4712433697687</v>
      </c>
      <c r="V1172" s="2">
        <v>4061.2450621265371</v>
      </c>
      <c r="W1172" s="2">
        <v>4770.408203125</v>
      </c>
      <c r="X1172" s="4">
        <f t="shared" si="72"/>
        <v>9.2999659515894992E-2</v>
      </c>
      <c r="Y1172" s="4">
        <f t="shared" si="73"/>
        <v>8.8051867936075973E-2</v>
      </c>
      <c r="Z1172" s="4">
        <f t="shared" si="74"/>
        <v>0.12311495424464523</v>
      </c>
      <c r="AA1172" s="4">
        <f t="shared" si="75"/>
        <v>0.10481283334882326</v>
      </c>
    </row>
    <row r="1173" spans="1:27" x14ac:dyDescent="0.3">
      <c r="A1173" t="s">
        <v>430</v>
      </c>
      <c r="B1173">
        <v>85947</v>
      </c>
      <c r="C1173">
        <v>2013</v>
      </c>
      <c r="D1173" t="s">
        <v>100</v>
      </c>
      <c r="E1173" t="s">
        <v>155</v>
      </c>
      <c r="F1173">
        <v>4</v>
      </c>
      <c r="G1173" t="s">
        <v>22</v>
      </c>
      <c r="H1173">
        <v>4</v>
      </c>
      <c r="I1173" t="s">
        <v>23</v>
      </c>
      <c r="J1173" t="s">
        <v>31</v>
      </c>
      <c r="K1173" t="s">
        <v>25</v>
      </c>
      <c r="L1173" t="s">
        <v>87</v>
      </c>
      <c r="M1173" t="s">
        <v>33</v>
      </c>
      <c r="N1173">
        <v>0</v>
      </c>
      <c r="O1173" t="s">
        <v>27</v>
      </c>
      <c r="S1173" s="3">
        <v>425</v>
      </c>
      <c r="T1173" s="2">
        <v>2030.135498046875</v>
      </c>
      <c r="U1173" s="2">
        <v>2939.910599803035</v>
      </c>
      <c r="V1173" s="2">
        <v>3478.969911139593</v>
      </c>
      <c r="W1173" s="2">
        <v>2699.353271484375</v>
      </c>
      <c r="X1173" s="4">
        <f t="shared" si="72"/>
        <v>0.20934563254959002</v>
      </c>
      <c r="Y1173" s="4">
        <f t="shared" si="73"/>
        <v>0.14456221901049429</v>
      </c>
      <c r="Z1173" s="4">
        <f t="shared" si="74"/>
        <v>0.12216259722142418</v>
      </c>
      <c r="AA1173" s="4">
        <f t="shared" si="75"/>
        <v>0.1574451200921517</v>
      </c>
    </row>
    <row r="1174" spans="1:27" x14ac:dyDescent="0.3">
      <c r="A1174" t="s">
        <v>395</v>
      </c>
      <c r="B1174">
        <v>189080</v>
      </c>
      <c r="C1174">
        <v>2014</v>
      </c>
      <c r="D1174" t="s">
        <v>28</v>
      </c>
      <c r="E1174" t="s">
        <v>216</v>
      </c>
      <c r="F1174">
        <v>6</v>
      </c>
      <c r="G1174" t="s">
        <v>47</v>
      </c>
      <c r="H1174">
        <v>4</v>
      </c>
      <c r="I1174" t="s">
        <v>23</v>
      </c>
      <c r="J1174" t="s">
        <v>106</v>
      </c>
      <c r="K1174" t="s">
        <v>27</v>
      </c>
      <c r="L1174" t="s">
        <v>53</v>
      </c>
      <c r="M1174" t="s">
        <v>33</v>
      </c>
      <c r="N1174">
        <v>0</v>
      </c>
      <c r="O1174" t="s">
        <v>27</v>
      </c>
      <c r="S1174" s="3">
        <v>4500</v>
      </c>
      <c r="T1174" s="2">
        <v>5362.67236328125</v>
      </c>
      <c r="U1174" s="2">
        <v>5214.06430244479</v>
      </c>
      <c r="V1174" s="2">
        <v>4069.5973077250951</v>
      </c>
      <c r="W1174" s="2">
        <v>5918.322265625</v>
      </c>
      <c r="X1174" s="4">
        <f t="shared" si="72"/>
        <v>0.83913386743742668</v>
      </c>
      <c r="Y1174" s="4">
        <f t="shared" si="73"/>
        <v>0.86305034594414631</v>
      </c>
      <c r="Z1174" s="4">
        <f t="shared" si="74"/>
        <v>1.1057605113552378</v>
      </c>
      <c r="AA1174" s="4">
        <f t="shared" si="75"/>
        <v>0.76035061931944004</v>
      </c>
    </row>
    <row r="1175" spans="1:27" x14ac:dyDescent="0.3">
      <c r="A1175" t="s">
        <v>429</v>
      </c>
      <c r="B1175">
        <v>77692</v>
      </c>
      <c r="C1175">
        <v>2019</v>
      </c>
      <c r="D1175" t="s">
        <v>40</v>
      </c>
      <c r="E1175" t="s">
        <v>41</v>
      </c>
      <c r="F1175">
        <v>8</v>
      </c>
      <c r="G1175" t="s">
        <v>47</v>
      </c>
      <c r="H1175">
        <v>4</v>
      </c>
      <c r="I1175" t="s">
        <v>23</v>
      </c>
      <c r="J1175" t="s">
        <v>42</v>
      </c>
      <c r="K1175" t="s">
        <v>25</v>
      </c>
      <c r="L1175" t="s">
        <v>43</v>
      </c>
      <c r="M1175">
        <v>4</v>
      </c>
      <c r="N1175">
        <v>0</v>
      </c>
      <c r="O1175" t="s">
        <v>27</v>
      </c>
      <c r="S1175" s="3">
        <v>32500</v>
      </c>
      <c r="T1175" s="2">
        <v>41275.82421875</v>
      </c>
      <c r="U1175" s="2">
        <v>33580.057785434539</v>
      </c>
      <c r="V1175" s="2">
        <v>28748.74964334027</v>
      </c>
      <c r="W1175" s="2">
        <v>34704.3984375</v>
      </c>
      <c r="X1175" s="4">
        <f t="shared" si="72"/>
        <v>0.78738585152798757</v>
      </c>
      <c r="Y1175" s="4">
        <f t="shared" si="73"/>
        <v>0.96783633332807972</v>
      </c>
      <c r="Z1175" s="4">
        <f t="shared" si="74"/>
        <v>1.1304839481089821</v>
      </c>
      <c r="AA1175" s="4">
        <f t="shared" si="75"/>
        <v>0.93648071896506269</v>
      </c>
    </row>
    <row r="1176" spans="1:27" x14ac:dyDescent="0.3">
      <c r="A1176" t="s">
        <v>430</v>
      </c>
      <c r="B1176">
        <v>100667</v>
      </c>
      <c r="C1176">
        <v>2012</v>
      </c>
      <c r="D1176" t="s">
        <v>100</v>
      </c>
      <c r="E1176" t="s">
        <v>192</v>
      </c>
      <c r="F1176">
        <v>4</v>
      </c>
      <c r="G1176" t="s">
        <v>66</v>
      </c>
      <c r="H1176">
        <v>4</v>
      </c>
      <c r="I1176" t="s">
        <v>23</v>
      </c>
      <c r="J1176" t="s">
        <v>31</v>
      </c>
      <c r="K1176" t="s">
        <v>25</v>
      </c>
      <c r="L1176" t="s">
        <v>127</v>
      </c>
      <c r="M1176" t="s">
        <v>33</v>
      </c>
      <c r="N1176">
        <v>0</v>
      </c>
      <c r="O1176" t="s">
        <v>27</v>
      </c>
      <c r="S1176" s="3">
        <v>500</v>
      </c>
      <c r="T1176" s="2">
        <v>2581.119384765625</v>
      </c>
      <c r="U1176" s="2">
        <v>3301.9749801388821</v>
      </c>
      <c r="V1176" s="2">
        <v>4364.9099272985068</v>
      </c>
      <c r="W1176" s="2">
        <v>2903.614501953125</v>
      </c>
      <c r="X1176" s="4">
        <f t="shared" si="72"/>
        <v>0.19371440273205412</v>
      </c>
      <c r="Y1176" s="4">
        <f t="shared" si="73"/>
        <v>0.1514245271413201</v>
      </c>
      <c r="Z1176" s="4">
        <f t="shared" si="74"/>
        <v>0.11454990098947031</v>
      </c>
      <c r="AA1176" s="4">
        <f t="shared" si="75"/>
        <v>0.17219916750783326</v>
      </c>
    </row>
    <row r="1177" spans="1:27" x14ac:dyDescent="0.3">
      <c r="A1177" t="s">
        <v>430</v>
      </c>
      <c r="B1177">
        <v>133264</v>
      </c>
      <c r="C1177">
        <v>2007</v>
      </c>
      <c r="D1177" t="s">
        <v>100</v>
      </c>
      <c r="E1177" t="s">
        <v>155</v>
      </c>
      <c r="F1177">
        <v>4</v>
      </c>
      <c r="G1177" t="s">
        <v>30</v>
      </c>
      <c r="H1177">
        <v>4</v>
      </c>
      <c r="I1177" t="s">
        <v>23</v>
      </c>
      <c r="J1177" t="s">
        <v>31</v>
      </c>
      <c r="K1177" t="s">
        <v>25</v>
      </c>
      <c r="L1177" t="s">
        <v>32</v>
      </c>
      <c r="M1177" t="s">
        <v>33</v>
      </c>
      <c r="N1177">
        <v>0</v>
      </c>
      <c r="O1177" t="s">
        <v>27</v>
      </c>
      <c r="S1177" s="3">
        <v>300</v>
      </c>
      <c r="T1177" s="2">
        <v>1057.323486328125</v>
      </c>
      <c r="U1177" s="2">
        <v>872.56132560643346</v>
      </c>
      <c r="V1177" s="2">
        <v>216.0925120765514</v>
      </c>
      <c r="W1177" s="2">
        <v>1308.741333007812</v>
      </c>
      <c r="X1177" s="4">
        <f t="shared" si="72"/>
        <v>0.28373530322478752</v>
      </c>
      <c r="Y1177" s="4">
        <f t="shared" si="73"/>
        <v>0.34381537571757359</v>
      </c>
      <c r="Z1177" s="4">
        <f t="shared" si="74"/>
        <v>1.3882942870955386</v>
      </c>
      <c r="AA1177" s="4">
        <f t="shared" si="75"/>
        <v>0.22922787905729669</v>
      </c>
    </row>
    <row r="1178" spans="1:27" x14ac:dyDescent="0.3">
      <c r="A1178" t="s">
        <v>430</v>
      </c>
      <c r="B1178">
        <v>163235</v>
      </c>
      <c r="C1178">
        <v>2007</v>
      </c>
      <c r="D1178" t="s">
        <v>34</v>
      </c>
      <c r="E1178" t="s">
        <v>88</v>
      </c>
      <c r="F1178">
        <v>4</v>
      </c>
      <c r="G1178" t="s">
        <v>47</v>
      </c>
      <c r="H1178">
        <v>4</v>
      </c>
      <c r="I1178" t="s">
        <v>23</v>
      </c>
      <c r="J1178" t="s">
        <v>37</v>
      </c>
      <c r="K1178" t="s">
        <v>25</v>
      </c>
      <c r="L1178" t="s">
        <v>89</v>
      </c>
      <c r="M1178" t="s">
        <v>33</v>
      </c>
      <c r="N1178">
        <v>0</v>
      </c>
      <c r="O1178" t="s">
        <v>27</v>
      </c>
      <c r="S1178" s="3">
        <v>1050</v>
      </c>
      <c r="T1178" s="2">
        <v>1749.071411132812</v>
      </c>
      <c r="U1178" s="2">
        <v>1941.88990214357</v>
      </c>
      <c r="V1178" s="2">
        <v>1407.8756645566659</v>
      </c>
      <c r="W1178" s="2">
        <v>1911.970581054688</v>
      </c>
      <c r="X1178" s="4">
        <f t="shared" si="72"/>
        <v>0.60031854235153947</v>
      </c>
      <c r="Y1178" s="4">
        <f t="shared" si="73"/>
        <v>0.54071036614431611</v>
      </c>
      <c r="Z1178" s="4">
        <f t="shared" si="74"/>
        <v>0.74580449569077578</v>
      </c>
      <c r="AA1178" s="4">
        <f t="shared" si="75"/>
        <v>0.54917162973333788</v>
      </c>
    </row>
    <row r="1179" spans="1:27" x14ac:dyDescent="0.3">
      <c r="A1179" t="s">
        <v>430</v>
      </c>
      <c r="B1179">
        <v>128962</v>
      </c>
      <c r="C1179">
        <v>2017</v>
      </c>
      <c r="D1179" t="s">
        <v>54</v>
      </c>
      <c r="E1179" t="s">
        <v>219</v>
      </c>
      <c r="F1179">
        <v>6</v>
      </c>
      <c r="G1179" t="s">
        <v>36</v>
      </c>
      <c r="H1179">
        <v>4</v>
      </c>
      <c r="I1179" t="s">
        <v>23</v>
      </c>
      <c r="J1179" t="s">
        <v>24</v>
      </c>
      <c r="K1179" t="s">
        <v>25</v>
      </c>
      <c r="L1179" t="s">
        <v>26</v>
      </c>
      <c r="M1179">
        <v>4</v>
      </c>
      <c r="N1179">
        <v>0</v>
      </c>
      <c r="O1179" t="s">
        <v>27</v>
      </c>
      <c r="S1179" s="3">
        <v>9000</v>
      </c>
      <c r="T1179" s="2">
        <v>9739.859375</v>
      </c>
      <c r="U1179" s="2">
        <v>10052.03923298366</v>
      </c>
      <c r="V1179" s="2">
        <v>9129.8237485549253</v>
      </c>
      <c r="W1179" s="2">
        <v>10129.0654296875</v>
      </c>
      <c r="X1179" s="4">
        <f t="shared" si="72"/>
        <v>0.92403798181121066</v>
      </c>
      <c r="Y1179" s="4">
        <f t="shared" si="73"/>
        <v>0.8953407155901647</v>
      </c>
      <c r="Z1179" s="4">
        <f t="shared" si="74"/>
        <v>0.98578025686690018</v>
      </c>
      <c r="AA1179" s="4">
        <f t="shared" si="75"/>
        <v>0.88853212198844156</v>
      </c>
    </row>
    <row r="1180" spans="1:27" x14ac:dyDescent="0.3">
      <c r="A1180" t="s">
        <v>430</v>
      </c>
      <c r="B1180">
        <v>136575</v>
      </c>
      <c r="C1180">
        <v>2008</v>
      </c>
      <c r="D1180" t="s">
        <v>282</v>
      </c>
      <c r="E1180" t="s">
        <v>525</v>
      </c>
      <c r="F1180">
        <v>8</v>
      </c>
      <c r="G1180" t="s">
        <v>30</v>
      </c>
      <c r="H1180">
        <v>4</v>
      </c>
      <c r="I1180" t="s">
        <v>23</v>
      </c>
      <c r="J1180" t="s">
        <v>62</v>
      </c>
      <c r="K1180" t="s">
        <v>25</v>
      </c>
      <c r="L1180" t="s">
        <v>263</v>
      </c>
      <c r="M1180">
        <v>4</v>
      </c>
      <c r="N1180">
        <v>0</v>
      </c>
      <c r="O1180" t="s">
        <v>27</v>
      </c>
      <c r="S1180" s="3">
        <v>2700</v>
      </c>
      <c r="T1180" s="2">
        <v>7099.1318359375</v>
      </c>
      <c r="U1180" s="2">
        <v>5792.6850841796422</v>
      </c>
      <c r="V1180" s="2">
        <v>5262.1885078007163</v>
      </c>
      <c r="W1180" s="2">
        <v>6285.0810546875</v>
      </c>
      <c r="X1180" s="4">
        <f t="shared" si="72"/>
        <v>0.38032819539030893</v>
      </c>
      <c r="Y1180" s="4">
        <f t="shared" si="73"/>
        <v>0.46610508956786711</v>
      </c>
      <c r="Z1180" s="4">
        <f t="shared" si="74"/>
        <v>0.51309450355066055</v>
      </c>
      <c r="AA1180" s="4">
        <f t="shared" si="75"/>
        <v>0.42958873187264668</v>
      </c>
    </row>
    <row r="1181" spans="1:27" x14ac:dyDescent="0.3">
      <c r="A1181" t="s">
        <v>430</v>
      </c>
      <c r="B1181">
        <v>174373</v>
      </c>
      <c r="C1181">
        <v>2014</v>
      </c>
      <c r="D1181" t="s">
        <v>40</v>
      </c>
      <c r="E1181" t="s">
        <v>526</v>
      </c>
      <c r="F1181">
        <v>4</v>
      </c>
      <c r="G1181" t="s">
        <v>59</v>
      </c>
      <c r="H1181">
        <v>4</v>
      </c>
      <c r="I1181" t="s">
        <v>23</v>
      </c>
      <c r="J1181" t="s">
        <v>24</v>
      </c>
      <c r="K1181" t="s">
        <v>25</v>
      </c>
      <c r="L1181" t="s">
        <v>60</v>
      </c>
      <c r="M1181" t="s">
        <v>33</v>
      </c>
      <c r="N1181">
        <v>0</v>
      </c>
      <c r="O1181" t="s">
        <v>27</v>
      </c>
      <c r="S1181" s="3">
        <v>800</v>
      </c>
      <c r="T1181" s="2">
        <v>3375.134033203125</v>
      </c>
      <c r="U1181" s="2">
        <v>2808.7547086445152</v>
      </c>
      <c r="V1181" s="2">
        <v>1521.059410889578</v>
      </c>
      <c r="W1181" s="2">
        <v>2666.86767578125</v>
      </c>
      <c r="X1181" s="4">
        <f t="shared" si="72"/>
        <v>0.2370276238306219</v>
      </c>
      <c r="Y1181" s="4">
        <f t="shared" si="73"/>
        <v>0.28482373257366939</v>
      </c>
      <c r="Z1181" s="4">
        <f t="shared" si="74"/>
        <v>0.52594921294502706</v>
      </c>
      <c r="AA1181" s="4">
        <f t="shared" si="75"/>
        <v>0.29997738817905267</v>
      </c>
    </row>
    <row r="1182" spans="1:27" x14ac:dyDescent="0.3">
      <c r="A1182" t="s">
        <v>430</v>
      </c>
      <c r="B1182">
        <v>101072</v>
      </c>
      <c r="C1182">
        <v>2004</v>
      </c>
      <c r="D1182" t="s">
        <v>324</v>
      </c>
      <c r="E1182" t="s">
        <v>325</v>
      </c>
      <c r="F1182">
        <v>8</v>
      </c>
      <c r="G1182" t="s">
        <v>171</v>
      </c>
      <c r="H1182">
        <v>4</v>
      </c>
      <c r="I1182" t="s">
        <v>23</v>
      </c>
      <c r="J1182" t="s">
        <v>31</v>
      </c>
      <c r="K1182" t="s">
        <v>25</v>
      </c>
      <c r="L1182" t="s">
        <v>161</v>
      </c>
      <c r="M1182" t="s">
        <v>33</v>
      </c>
      <c r="N1182">
        <v>0</v>
      </c>
      <c r="O1182" t="s">
        <v>27</v>
      </c>
      <c r="S1182" s="3">
        <v>300</v>
      </c>
      <c r="T1182" s="2">
        <v>3398.47021484375</v>
      </c>
      <c r="U1182" s="2">
        <v>3054.101675821883</v>
      </c>
      <c r="V1182" s="2">
        <v>1862.958974700003</v>
      </c>
      <c r="W1182" s="2">
        <v>5599.498046875</v>
      </c>
      <c r="X1182" s="4">
        <f t="shared" si="72"/>
        <v>8.8275012295140259E-2</v>
      </c>
      <c r="Y1182" s="4">
        <f t="shared" si="73"/>
        <v>9.822855682080972E-2</v>
      </c>
      <c r="Z1182" s="4">
        <f t="shared" si="74"/>
        <v>0.16103414196134391</v>
      </c>
      <c r="AA1182" s="4">
        <f t="shared" si="75"/>
        <v>5.35762308493751E-2</v>
      </c>
    </row>
    <row r="1183" spans="1:27" x14ac:dyDescent="0.3">
      <c r="A1183" t="s">
        <v>430</v>
      </c>
      <c r="B1183">
        <v>188199</v>
      </c>
      <c r="C1183">
        <v>2002</v>
      </c>
      <c r="D1183" t="s">
        <v>28</v>
      </c>
      <c r="E1183" t="s">
        <v>58</v>
      </c>
      <c r="F1183">
        <v>4</v>
      </c>
      <c r="G1183" t="s">
        <v>36</v>
      </c>
      <c r="H1183">
        <v>4</v>
      </c>
      <c r="I1183" t="s">
        <v>23</v>
      </c>
      <c r="J1183" t="s">
        <v>24</v>
      </c>
      <c r="K1183" t="s">
        <v>25</v>
      </c>
      <c r="L1183" t="s">
        <v>60</v>
      </c>
      <c r="M1183" t="s">
        <v>33</v>
      </c>
      <c r="N1183">
        <v>0</v>
      </c>
      <c r="O1183" t="s">
        <v>27</v>
      </c>
      <c r="S1183" s="3">
        <v>600</v>
      </c>
      <c r="T1183" s="2">
        <v>2080.802978515625</v>
      </c>
      <c r="U1183" s="2">
        <v>2230.3240190954821</v>
      </c>
      <c r="V1183" s="2">
        <v>-533.97598247522728</v>
      </c>
      <c r="W1183" s="2">
        <v>2091.17724609375</v>
      </c>
      <c r="X1183" s="4">
        <f t="shared" si="72"/>
        <v>0.28835022161878099</v>
      </c>
      <c r="Y1183" s="4">
        <f t="shared" si="73"/>
        <v>0.26901920746176278</v>
      </c>
      <c r="Z1183" s="4">
        <f t="shared" si="74"/>
        <v>-1.1236460434394833</v>
      </c>
      <c r="AA1183" s="4">
        <f t="shared" si="75"/>
        <v>0.28691972482044753</v>
      </c>
    </row>
    <row r="1184" spans="1:27" x14ac:dyDescent="0.3">
      <c r="A1184" t="s">
        <v>430</v>
      </c>
      <c r="B1184">
        <v>90335</v>
      </c>
      <c r="C1184">
        <v>2015</v>
      </c>
      <c r="D1184" t="s">
        <v>100</v>
      </c>
      <c r="E1184" t="s">
        <v>444</v>
      </c>
      <c r="F1184">
        <v>4</v>
      </c>
      <c r="G1184" t="s">
        <v>47</v>
      </c>
      <c r="H1184">
        <v>4</v>
      </c>
      <c r="I1184" t="s">
        <v>233</v>
      </c>
      <c r="J1184" t="s">
        <v>49</v>
      </c>
      <c r="K1184" t="s">
        <v>25</v>
      </c>
      <c r="L1184" t="s">
        <v>102</v>
      </c>
      <c r="M1184" t="s">
        <v>78</v>
      </c>
      <c r="N1184">
        <v>0</v>
      </c>
      <c r="O1184" t="s">
        <v>27</v>
      </c>
      <c r="S1184" s="3">
        <v>2500</v>
      </c>
      <c r="T1184" s="2">
        <v>7082.6240234375</v>
      </c>
      <c r="U1184" s="2">
        <v>7420.3248145998768</v>
      </c>
      <c r="V1184" s="2">
        <v>11525.70713751796</v>
      </c>
      <c r="W1184" s="2">
        <v>7436.9208984375</v>
      </c>
      <c r="X1184" s="4">
        <f t="shared" si="72"/>
        <v>0.35297652278690961</v>
      </c>
      <c r="Y1184" s="4">
        <f t="shared" si="73"/>
        <v>0.33691247518991613</v>
      </c>
      <c r="Z1184" s="4">
        <f t="shared" si="74"/>
        <v>0.2169064310043167</v>
      </c>
      <c r="AA1184" s="4">
        <f t="shared" si="75"/>
        <v>0.33616062805310337</v>
      </c>
    </row>
    <row r="1185" spans="1:27" x14ac:dyDescent="0.3">
      <c r="A1185" t="s">
        <v>430</v>
      </c>
      <c r="B1185">
        <v>50681</v>
      </c>
      <c r="C1185">
        <v>2018</v>
      </c>
      <c r="D1185" t="s">
        <v>100</v>
      </c>
      <c r="E1185" t="s">
        <v>192</v>
      </c>
      <c r="F1185">
        <v>4</v>
      </c>
      <c r="G1185" t="s">
        <v>36</v>
      </c>
      <c r="H1185">
        <v>4</v>
      </c>
      <c r="I1185" t="s">
        <v>23</v>
      </c>
      <c r="J1185" t="s">
        <v>31</v>
      </c>
      <c r="K1185" t="s">
        <v>25</v>
      </c>
      <c r="L1185" t="s">
        <v>87</v>
      </c>
      <c r="M1185" t="s">
        <v>33</v>
      </c>
      <c r="N1185">
        <v>0</v>
      </c>
      <c r="O1185" t="s">
        <v>27</v>
      </c>
      <c r="S1185" s="3">
        <v>2600</v>
      </c>
      <c r="T1185" s="2">
        <v>9700.2685546875</v>
      </c>
      <c r="U1185" s="2">
        <v>10267.946742861781</v>
      </c>
      <c r="V1185" s="2">
        <v>11558.291229321751</v>
      </c>
      <c r="W1185" s="2">
        <v>11080.61328125</v>
      </c>
      <c r="X1185" s="4">
        <f t="shared" si="72"/>
        <v>0.26803381631569279</v>
      </c>
      <c r="Y1185" s="4">
        <f t="shared" si="73"/>
        <v>0.25321518168250196</v>
      </c>
      <c r="Z1185" s="4">
        <f t="shared" si="74"/>
        <v>0.22494674588265848</v>
      </c>
      <c r="AA1185" s="4">
        <f t="shared" si="75"/>
        <v>0.23464405209408182</v>
      </c>
    </row>
    <row r="1186" spans="1:27" x14ac:dyDescent="0.3">
      <c r="A1186" t="s">
        <v>430</v>
      </c>
      <c r="B1186">
        <v>95329</v>
      </c>
      <c r="C1186">
        <v>2021</v>
      </c>
      <c r="D1186" t="s">
        <v>34</v>
      </c>
      <c r="E1186" t="s">
        <v>527</v>
      </c>
      <c r="F1186">
        <v>4</v>
      </c>
      <c r="G1186" t="s">
        <v>36</v>
      </c>
      <c r="H1186">
        <v>4</v>
      </c>
      <c r="I1186" t="s">
        <v>23</v>
      </c>
      <c r="J1186" t="s">
        <v>440</v>
      </c>
      <c r="K1186" t="s">
        <v>25</v>
      </c>
      <c r="L1186" t="s">
        <v>127</v>
      </c>
      <c r="M1186" t="s">
        <v>33</v>
      </c>
      <c r="N1186">
        <v>0</v>
      </c>
      <c r="O1186" t="s">
        <v>27</v>
      </c>
      <c r="S1186" s="3">
        <v>13000</v>
      </c>
      <c r="T1186" s="2">
        <v>12909.365234375</v>
      </c>
      <c r="U1186" s="2">
        <v>10525.56697542483</v>
      </c>
      <c r="V1186" s="2">
        <v>12444.46265995461</v>
      </c>
      <c r="W1186" s="2">
        <v>12330.6455078125</v>
      </c>
      <c r="X1186" s="4">
        <f t="shared" si="72"/>
        <v>1.0070208537739453</v>
      </c>
      <c r="Y1186" s="4">
        <f t="shared" si="73"/>
        <v>1.235087860858469</v>
      </c>
      <c r="Z1186" s="4">
        <f t="shared" si="74"/>
        <v>1.0446413280529234</v>
      </c>
      <c r="AA1186" s="4">
        <f t="shared" si="75"/>
        <v>1.0542838160227221</v>
      </c>
    </row>
    <row r="1187" spans="1:27" x14ac:dyDescent="0.3">
      <c r="A1187" t="s">
        <v>461</v>
      </c>
      <c r="B1187">
        <v>99103</v>
      </c>
      <c r="C1187">
        <v>2016</v>
      </c>
      <c r="D1187" t="s">
        <v>100</v>
      </c>
      <c r="E1187" t="s">
        <v>192</v>
      </c>
      <c r="F1187">
        <v>4</v>
      </c>
      <c r="G1187" t="s">
        <v>36</v>
      </c>
      <c r="H1187">
        <v>4</v>
      </c>
      <c r="I1187" t="s">
        <v>23</v>
      </c>
      <c r="J1187" t="s">
        <v>31</v>
      </c>
      <c r="L1187" t="s">
        <v>32</v>
      </c>
      <c r="M1187" t="s">
        <v>33</v>
      </c>
      <c r="N1187">
        <v>0</v>
      </c>
      <c r="O1187" t="s">
        <v>27</v>
      </c>
      <c r="S1187" s="3">
        <v>1200</v>
      </c>
      <c r="T1187" s="2">
        <v>5288.94287109375</v>
      </c>
      <c r="U1187" s="2">
        <v>6125.2769398681257</v>
      </c>
      <c r="V1187" s="2">
        <v>7515.3027080738248</v>
      </c>
      <c r="W1187" s="2">
        <v>6058.81640625</v>
      </c>
      <c r="X1187" s="4">
        <f t="shared" si="72"/>
        <v>0.22688844051587209</v>
      </c>
      <c r="Y1187" s="4">
        <f t="shared" si="73"/>
        <v>0.19590950936266327</v>
      </c>
      <c r="Z1187" s="4">
        <f t="shared" si="74"/>
        <v>0.15967420696318971</v>
      </c>
      <c r="AA1187" s="4">
        <f t="shared" si="75"/>
        <v>0.19805848527810391</v>
      </c>
    </row>
    <row r="1188" spans="1:27" x14ac:dyDescent="0.3">
      <c r="A1188" t="s">
        <v>461</v>
      </c>
      <c r="B1188">
        <v>152792</v>
      </c>
      <c r="C1188">
        <v>2014</v>
      </c>
      <c r="D1188" t="s">
        <v>125</v>
      </c>
      <c r="E1188" t="s">
        <v>264</v>
      </c>
      <c r="F1188">
        <v>6</v>
      </c>
      <c r="G1188" t="s">
        <v>47</v>
      </c>
      <c r="H1188">
        <v>4</v>
      </c>
      <c r="I1188" t="s">
        <v>23</v>
      </c>
      <c r="J1188" t="s">
        <v>24</v>
      </c>
      <c r="K1188" t="s">
        <v>27</v>
      </c>
      <c r="L1188" t="s">
        <v>194</v>
      </c>
      <c r="M1188" t="s">
        <v>33</v>
      </c>
      <c r="N1188">
        <v>2.5</v>
      </c>
      <c r="O1188" t="s">
        <v>27</v>
      </c>
      <c r="S1188" s="3">
        <v>1500</v>
      </c>
      <c r="T1188" s="2">
        <v>3574.15966796875</v>
      </c>
      <c r="U1188" s="2">
        <v>4380.8886239886851</v>
      </c>
      <c r="V1188" s="2">
        <v>2785.6049611839899</v>
      </c>
      <c r="W1188" s="2">
        <v>4286.17724609375</v>
      </c>
      <c r="X1188" s="4">
        <f t="shared" si="72"/>
        <v>0.41967906846547598</v>
      </c>
      <c r="Y1188" s="4">
        <f t="shared" si="73"/>
        <v>0.34239628731631372</v>
      </c>
      <c r="Z1188" s="4">
        <f t="shared" si="74"/>
        <v>0.53848267105413328</v>
      </c>
      <c r="AA1188" s="4">
        <f t="shared" si="75"/>
        <v>0.34996219565279058</v>
      </c>
    </row>
    <row r="1189" spans="1:27" x14ac:dyDescent="0.3">
      <c r="A1189" t="s">
        <v>461</v>
      </c>
      <c r="B1189">
        <v>168078</v>
      </c>
      <c r="C1189">
        <v>2013</v>
      </c>
      <c r="D1189" t="s">
        <v>40</v>
      </c>
      <c r="E1189" t="s">
        <v>146</v>
      </c>
      <c r="F1189">
        <v>8</v>
      </c>
      <c r="G1189" t="s">
        <v>30</v>
      </c>
      <c r="H1189">
        <v>4</v>
      </c>
      <c r="I1189" t="s">
        <v>23</v>
      </c>
      <c r="J1189" t="s">
        <v>24</v>
      </c>
      <c r="L1189" t="s">
        <v>43</v>
      </c>
      <c r="M1189" t="s">
        <v>78</v>
      </c>
      <c r="N1189">
        <v>1.8</v>
      </c>
      <c r="O1189" t="s">
        <v>27</v>
      </c>
      <c r="S1189" s="3">
        <v>3600</v>
      </c>
      <c r="T1189" s="2">
        <v>5752.75634765625</v>
      </c>
      <c r="U1189" s="2">
        <v>16049.686648434619</v>
      </c>
      <c r="V1189" s="2">
        <v>6853.5972250897303</v>
      </c>
      <c r="W1189" s="2">
        <v>8230.6103515625</v>
      </c>
      <c r="X1189" s="4">
        <f t="shared" si="72"/>
        <v>0.6257869762668965</v>
      </c>
      <c r="Y1189" s="4">
        <f t="shared" si="73"/>
        <v>0.22430344460034179</v>
      </c>
      <c r="Z1189" s="4">
        <f t="shared" si="74"/>
        <v>0.52527160289213926</v>
      </c>
      <c r="AA1189" s="4">
        <f t="shared" si="75"/>
        <v>0.43739162057605796</v>
      </c>
    </row>
    <row r="1190" spans="1:27" x14ac:dyDescent="0.3">
      <c r="A1190" t="s">
        <v>461</v>
      </c>
      <c r="B1190">
        <v>79420</v>
      </c>
      <c r="C1190">
        <v>2022</v>
      </c>
      <c r="D1190" t="s">
        <v>119</v>
      </c>
      <c r="E1190" t="s">
        <v>389</v>
      </c>
      <c r="F1190">
        <v>3</v>
      </c>
      <c r="G1190" t="s">
        <v>59</v>
      </c>
      <c r="H1190">
        <v>4</v>
      </c>
      <c r="I1190" t="s">
        <v>233</v>
      </c>
      <c r="J1190" t="s">
        <v>31</v>
      </c>
      <c r="L1190" t="s">
        <v>121</v>
      </c>
      <c r="M1190" t="s">
        <v>33</v>
      </c>
      <c r="N1190">
        <v>1.8</v>
      </c>
      <c r="O1190" t="s">
        <v>27</v>
      </c>
      <c r="S1190" s="3">
        <v>4000</v>
      </c>
      <c r="T1190" s="2">
        <v>4727.1083984375</v>
      </c>
      <c r="U1190" s="2">
        <v>9461.2561382081112</v>
      </c>
      <c r="V1190" s="2">
        <v>7356.4732338096383</v>
      </c>
      <c r="W1190" s="2">
        <v>6340.83056640625</v>
      </c>
      <c r="X1190" s="4">
        <f t="shared" si="72"/>
        <v>0.84618326106550912</v>
      </c>
      <c r="Y1190" s="4">
        <f t="shared" si="73"/>
        <v>0.42277684290212747</v>
      </c>
      <c r="Z1190" s="4">
        <f t="shared" si="74"/>
        <v>0.54373880973513067</v>
      </c>
      <c r="AA1190" s="4">
        <f t="shared" si="75"/>
        <v>0.63083218485477577</v>
      </c>
    </row>
    <row r="1191" spans="1:27" x14ac:dyDescent="0.3">
      <c r="A1191" t="s">
        <v>461</v>
      </c>
      <c r="B1191">
        <v>130103</v>
      </c>
      <c r="C1191">
        <v>2013</v>
      </c>
      <c r="D1191" t="s">
        <v>44</v>
      </c>
      <c r="E1191" t="s">
        <v>95</v>
      </c>
      <c r="F1191">
        <v>4</v>
      </c>
      <c r="G1191" t="s">
        <v>59</v>
      </c>
      <c r="H1191">
        <v>4</v>
      </c>
      <c r="I1191" t="s">
        <v>23</v>
      </c>
      <c r="J1191" t="s">
        <v>37</v>
      </c>
      <c r="L1191" t="s">
        <v>96</v>
      </c>
      <c r="M1191" t="s">
        <v>33</v>
      </c>
      <c r="N1191">
        <v>0</v>
      </c>
      <c r="O1191" t="s">
        <v>27</v>
      </c>
      <c r="S1191" s="3">
        <v>2500</v>
      </c>
      <c r="T1191" s="2">
        <v>4446.83544921875</v>
      </c>
      <c r="U1191" s="2">
        <v>3166.2297305341458</v>
      </c>
      <c r="V1191" s="2">
        <v>2737.9699749988959</v>
      </c>
      <c r="W1191" s="2">
        <v>3402.41357421875</v>
      </c>
      <c r="X1191" s="4">
        <f t="shared" si="72"/>
        <v>0.56219755116848702</v>
      </c>
      <c r="Y1191" s="4">
        <f t="shared" si="73"/>
        <v>0.78958263068872381</v>
      </c>
      <c r="Z1191" s="4">
        <f t="shared" si="74"/>
        <v>0.91308525032346577</v>
      </c>
      <c r="AA1191" s="4">
        <f t="shared" si="75"/>
        <v>0.7347725211724272</v>
      </c>
    </row>
    <row r="1192" spans="1:27" x14ac:dyDescent="0.3">
      <c r="A1192" t="s">
        <v>461</v>
      </c>
      <c r="B1192">
        <v>154463</v>
      </c>
      <c r="C1192">
        <v>2006</v>
      </c>
      <c r="D1192" t="s">
        <v>28</v>
      </c>
      <c r="E1192" t="s">
        <v>355</v>
      </c>
      <c r="F1192">
        <v>4</v>
      </c>
      <c r="G1192" t="s">
        <v>30</v>
      </c>
      <c r="H1192">
        <v>2</v>
      </c>
      <c r="I1192" t="s">
        <v>23</v>
      </c>
      <c r="J1192" t="s">
        <v>83</v>
      </c>
      <c r="K1192" t="s">
        <v>27</v>
      </c>
      <c r="L1192" t="s">
        <v>32</v>
      </c>
      <c r="M1192" t="s">
        <v>33</v>
      </c>
      <c r="N1192">
        <v>0</v>
      </c>
      <c r="O1192" t="s">
        <v>27</v>
      </c>
      <c r="S1192" s="3">
        <v>3250</v>
      </c>
      <c r="T1192" s="2">
        <v>2952.01904296875</v>
      </c>
      <c r="U1192" s="2">
        <v>3027.8144321777731</v>
      </c>
      <c r="V1192" s="2">
        <v>2373.332552369438</v>
      </c>
      <c r="W1192" s="2">
        <v>2526.26904296875</v>
      </c>
      <c r="X1192" s="4">
        <f t="shared" si="72"/>
        <v>1.1009414074550075</v>
      </c>
      <c r="Y1192" s="4">
        <f t="shared" si="73"/>
        <v>1.0733815010130652</v>
      </c>
      <c r="Z1192" s="4">
        <f t="shared" si="74"/>
        <v>1.3693824730779229</v>
      </c>
      <c r="AA1192" s="4">
        <f t="shared" si="75"/>
        <v>1.2864821381735163</v>
      </c>
    </row>
    <row r="1193" spans="1:27" x14ac:dyDescent="0.3">
      <c r="A1193" t="s">
        <v>461</v>
      </c>
      <c r="B1193">
        <v>1</v>
      </c>
      <c r="C1193">
        <v>2014</v>
      </c>
      <c r="D1193" t="s">
        <v>40</v>
      </c>
      <c r="E1193" t="s">
        <v>136</v>
      </c>
      <c r="F1193">
        <v>4</v>
      </c>
      <c r="G1193" t="s">
        <v>30</v>
      </c>
      <c r="H1193">
        <v>4</v>
      </c>
      <c r="I1193" t="s">
        <v>337</v>
      </c>
      <c r="J1193" t="s">
        <v>31</v>
      </c>
      <c r="K1193" t="s">
        <v>27</v>
      </c>
      <c r="L1193" t="s">
        <v>32</v>
      </c>
      <c r="M1193" t="s">
        <v>33</v>
      </c>
      <c r="N1193">
        <v>0</v>
      </c>
      <c r="O1193" t="s">
        <v>123</v>
      </c>
      <c r="S1193" s="3">
        <v>400</v>
      </c>
      <c r="T1193" s="2">
        <v>16027.7412109375</v>
      </c>
      <c r="U1193" s="2">
        <v>8064.6155472323662</v>
      </c>
      <c r="V1193" s="2">
        <v>-8639.4378371552448</v>
      </c>
      <c r="W1193" s="2">
        <v>10533.1259765625</v>
      </c>
      <c r="X1193" s="4">
        <f t="shared" si="72"/>
        <v>2.4956729381619649E-2</v>
      </c>
      <c r="Y1193" s="4">
        <f t="shared" si="73"/>
        <v>4.9599388545839972E-2</v>
      </c>
      <c r="Z1193" s="4">
        <f t="shared" si="74"/>
        <v>-4.629930876749154E-2</v>
      </c>
      <c r="AA1193" s="4">
        <f t="shared" si="75"/>
        <v>3.7975431119883038E-2</v>
      </c>
    </row>
    <row r="1194" spans="1:27" x14ac:dyDescent="0.3">
      <c r="A1194" t="s">
        <v>461</v>
      </c>
      <c r="B1194">
        <v>166660</v>
      </c>
      <c r="C1194">
        <v>2011</v>
      </c>
      <c r="D1194" t="s">
        <v>44</v>
      </c>
      <c r="E1194" t="s">
        <v>203</v>
      </c>
      <c r="F1194">
        <v>4</v>
      </c>
      <c r="G1194" t="s">
        <v>47</v>
      </c>
      <c r="H1194">
        <v>4</v>
      </c>
      <c r="I1194" t="s">
        <v>23</v>
      </c>
      <c r="J1194" t="s">
        <v>145</v>
      </c>
      <c r="L1194" t="s">
        <v>118</v>
      </c>
      <c r="M1194" t="s">
        <v>33</v>
      </c>
      <c r="N1194">
        <v>0</v>
      </c>
      <c r="O1194" t="s">
        <v>27</v>
      </c>
      <c r="S1194" s="3">
        <v>1000</v>
      </c>
      <c r="T1194" s="2">
        <v>2917.38671875</v>
      </c>
      <c r="U1194" s="2">
        <v>1894.437594686266</v>
      </c>
      <c r="V1194" s="2">
        <v>1940.0232242101879</v>
      </c>
      <c r="W1194" s="2">
        <v>1865.956176757812</v>
      </c>
      <c r="X1194" s="4">
        <f t="shared" si="72"/>
        <v>0.34277252089104787</v>
      </c>
      <c r="Y1194" s="4">
        <f t="shared" si="73"/>
        <v>0.52786114612849411</v>
      </c>
      <c r="Z1194" s="4">
        <f t="shared" si="74"/>
        <v>0.51545774685615675</v>
      </c>
      <c r="AA1194" s="4">
        <f t="shared" si="75"/>
        <v>0.53591826670739273</v>
      </c>
    </row>
    <row r="1195" spans="1:27" x14ac:dyDescent="0.3">
      <c r="A1195" t="s">
        <v>461</v>
      </c>
      <c r="B1195">
        <v>250601</v>
      </c>
      <c r="C1195">
        <v>2007</v>
      </c>
      <c r="D1195" t="s">
        <v>28</v>
      </c>
      <c r="E1195" t="s">
        <v>400</v>
      </c>
      <c r="F1195">
        <v>4</v>
      </c>
      <c r="G1195" t="s">
        <v>36</v>
      </c>
      <c r="H1195">
        <v>2</v>
      </c>
      <c r="I1195" t="s">
        <v>23</v>
      </c>
      <c r="J1195" t="s">
        <v>83</v>
      </c>
      <c r="L1195" t="s">
        <v>60</v>
      </c>
      <c r="M1195" t="s">
        <v>33</v>
      </c>
      <c r="N1195">
        <v>0</v>
      </c>
      <c r="O1195" t="s">
        <v>27</v>
      </c>
      <c r="S1195" s="3">
        <v>1100</v>
      </c>
      <c r="T1195" s="2">
        <v>2539.42138671875</v>
      </c>
      <c r="U1195" s="2">
        <v>2538.6805014076758</v>
      </c>
      <c r="V1195" s="2">
        <v>1504.5696865585689</v>
      </c>
      <c r="W1195" s="2">
        <v>2334.1591796875</v>
      </c>
      <c r="X1195" s="4">
        <f t="shared" si="72"/>
        <v>0.43316954238199024</v>
      </c>
      <c r="Y1195" s="4">
        <f t="shared" si="73"/>
        <v>0.43329595803412824</v>
      </c>
      <c r="Z1195" s="4">
        <f t="shared" si="74"/>
        <v>0.73110604967460902</v>
      </c>
      <c r="AA1195" s="4">
        <f t="shared" si="75"/>
        <v>0.47126177579168754</v>
      </c>
    </row>
    <row r="1196" spans="1:27" x14ac:dyDescent="0.3">
      <c r="A1196" t="s">
        <v>461</v>
      </c>
      <c r="B1196">
        <v>108438</v>
      </c>
      <c r="C1196">
        <v>2020</v>
      </c>
      <c r="D1196" t="s">
        <v>44</v>
      </c>
      <c r="E1196" t="s">
        <v>68</v>
      </c>
      <c r="F1196">
        <v>4</v>
      </c>
      <c r="G1196" t="s">
        <v>47</v>
      </c>
      <c r="H1196">
        <v>4</v>
      </c>
      <c r="I1196" t="s">
        <v>23</v>
      </c>
      <c r="J1196" t="s">
        <v>62</v>
      </c>
      <c r="K1196" t="s">
        <v>27</v>
      </c>
      <c r="L1196" t="s">
        <v>69</v>
      </c>
      <c r="M1196" t="s">
        <v>78</v>
      </c>
      <c r="N1196">
        <v>0</v>
      </c>
      <c r="O1196" t="s">
        <v>27</v>
      </c>
      <c r="S1196" s="3">
        <v>15000</v>
      </c>
      <c r="T1196" s="2">
        <v>16126.9296875</v>
      </c>
      <c r="U1196" s="2">
        <v>13097.389233383379</v>
      </c>
      <c r="V1196" s="2">
        <v>17084.420875054431</v>
      </c>
      <c r="W1196" s="2">
        <v>14685.7119140625</v>
      </c>
      <c r="X1196" s="4">
        <f t="shared" si="72"/>
        <v>0.93012125002482748</v>
      </c>
      <c r="Y1196" s="4">
        <f t="shared" si="73"/>
        <v>1.1452664139939537</v>
      </c>
      <c r="Z1196" s="4">
        <f t="shared" si="74"/>
        <v>0.87799288660126795</v>
      </c>
      <c r="AA1196" s="4">
        <f t="shared" si="75"/>
        <v>1.021400943160035</v>
      </c>
    </row>
    <row r="1197" spans="1:27" x14ac:dyDescent="0.3">
      <c r="A1197" t="s">
        <v>461</v>
      </c>
      <c r="B1197">
        <v>77883</v>
      </c>
      <c r="C1197">
        <v>2019</v>
      </c>
      <c r="D1197" t="s">
        <v>44</v>
      </c>
      <c r="E1197" t="s">
        <v>68</v>
      </c>
      <c r="F1197">
        <v>6</v>
      </c>
      <c r="G1197" t="s">
        <v>30</v>
      </c>
      <c r="H1197">
        <v>4</v>
      </c>
      <c r="I1197" t="s">
        <v>23</v>
      </c>
      <c r="J1197" t="s">
        <v>62</v>
      </c>
      <c r="K1197" t="s">
        <v>27</v>
      </c>
      <c r="L1197" t="s">
        <v>38</v>
      </c>
      <c r="M1197" t="s">
        <v>33</v>
      </c>
      <c r="N1197">
        <v>0</v>
      </c>
      <c r="O1197" t="s">
        <v>27</v>
      </c>
      <c r="S1197" s="3">
        <v>4500</v>
      </c>
      <c r="T1197" s="2">
        <v>20082.216796875</v>
      </c>
      <c r="U1197" s="2">
        <v>17801.806185361871</v>
      </c>
      <c r="V1197" s="2">
        <v>16887.63218216737</v>
      </c>
      <c r="W1197" s="2">
        <v>19296.40625</v>
      </c>
      <c r="X1197" s="4">
        <f t="shared" si="72"/>
        <v>0.22407884774455011</v>
      </c>
      <c r="Y1197" s="4">
        <f t="shared" si="73"/>
        <v>0.25278333856371693</v>
      </c>
      <c r="Z1197" s="4">
        <f t="shared" si="74"/>
        <v>0.26646719631611893</v>
      </c>
      <c r="AA1197" s="4">
        <f t="shared" si="75"/>
        <v>0.23320404544239942</v>
      </c>
    </row>
    <row r="1198" spans="1:27" x14ac:dyDescent="0.3">
      <c r="A1198" t="s">
        <v>461</v>
      </c>
      <c r="B1198">
        <v>107877</v>
      </c>
      <c r="C1198">
        <v>2017</v>
      </c>
      <c r="D1198" t="s">
        <v>187</v>
      </c>
      <c r="E1198" t="s">
        <v>188</v>
      </c>
      <c r="F1198">
        <v>4</v>
      </c>
      <c r="G1198" t="s">
        <v>99</v>
      </c>
      <c r="H1198">
        <v>4</v>
      </c>
      <c r="I1198" t="s">
        <v>23</v>
      </c>
      <c r="J1198" t="s">
        <v>24</v>
      </c>
      <c r="K1198" t="s">
        <v>27</v>
      </c>
      <c r="L1198" t="s">
        <v>102</v>
      </c>
      <c r="M1198" t="s">
        <v>23</v>
      </c>
      <c r="N1198">
        <v>0</v>
      </c>
      <c r="O1198" t="s">
        <v>27</v>
      </c>
      <c r="S1198" s="3">
        <v>10300</v>
      </c>
      <c r="T1198" s="2">
        <v>9337.541015625</v>
      </c>
      <c r="U1198" s="2">
        <v>8392.194963822174</v>
      </c>
      <c r="V1198" s="2">
        <v>9465.2077570046386</v>
      </c>
      <c r="W1198" s="2">
        <v>8884.12109375</v>
      </c>
      <c r="X1198" s="4">
        <f t="shared" si="72"/>
        <v>1.1030741372663817</v>
      </c>
      <c r="Y1198" s="4">
        <f t="shared" si="73"/>
        <v>1.2273308764157842</v>
      </c>
      <c r="Z1198" s="4">
        <f t="shared" si="74"/>
        <v>1.0881958710708257</v>
      </c>
      <c r="AA1198" s="4">
        <f t="shared" si="75"/>
        <v>1.1593718603459913</v>
      </c>
    </row>
    <row r="1199" spans="1:27" x14ac:dyDescent="0.3">
      <c r="A1199" t="s">
        <v>461</v>
      </c>
      <c r="B1199">
        <v>157473</v>
      </c>
      <c r="C1199">
        <v>2015</v>
      </c>
      <c r="D1199" t="s">
        <v>34</v>
      </c>
      <c r="E1199" t="s">
        <v>262</v>
      </c>
      <c r="F1199">
        <v>8</v>
      </c>
      <c r="G1199" t="s">
        <v>22</v>
      </c>
      <c r="H1199">
        <v>4</v>
      </c>
      <c r="I1199" t="s">
        <v>23</v>
      </c>
      <c r="J1199" t="s">
        <v>46</v>
      </c>
      <c r="K1199" t="s">
        <v>27</v>
      </c>
      <c r="L1199" t="s">
        <v>378</v>
      </c>
      <c r="M1199" t="s">
        <v>78</v>
      </c>
      <c r="N1199">
        <v>0</v>
      </c>
      <c r="S1199" s="3">
        <v>13750</v>
      </c>
      <c r="T1199" s="2">
        <v>14826.279296875</v>
      </c>
      <c r="U1199" s="2">
        <v>14737.13612713857</v>
      </c>
      <c r="V1199" s="2">
        <v>14429.516531756481</v>
      </c>
      <c r="W1199" s="2">
        <v>14162.486328125</v>
      </c>
      <c r="X1199" s="4">
        <f t="shared" si="72"/>
        <v>0.92740732348797372</v>
      </c>
      <c r="Y1199" s="4">
        <f t="shared" si="73"/>
        <v>0.93301709920961173</v>
      </c>
      <c r="Z1199" s="4">
        <f t="shared" si="74"/>
        <v>0.95290787946630084</v>
      </c>
      <c r="AA1199" s="4">
        <f t="shared" si="75"/>
        <v>0.97087472364892236</v>
      </c>
    </row>
    <row r="1200" spans="1:27" x14ac:dyDescent="0.3">
      <c r="A1200" t="s">
        <v>461</v>
      </c>
      <c r="B1200">
        <v>228581</v>
      </c>
      <c r="C1200">
        <v>2016</v>
      </c>
      <c r="D1200" t="s">
        <v>44</v>
      </c>
      <c r="E1200" t="s">
        <v>176</v>
      </c>
      <c r="F1200">
        <v>4</v>
      </c>
      <c r="G1200" t="s">
        <v>30</v>
      </c>
      <c r="H1200">
        <v>4</v>
      </c>
      <c r="I1200" t="s">
        <v>23</v>
      </c>
      <c r="J1200" t="s">
        <v>62</v>
      </c>
      <c r="K1200" t="s">
        <v>27</v>
      </c>
      <c r="L1200" t="s">
        <v>96</v>
      </c>
      <c r="M1200" t="s">
        <v>33</v>
      </c>
      <c r="N1200">
        <v>0</v>
      </c>
      <c r="S1200" s="3">
        <v>3400</v>
      </c>
      <c r="T1200" s="2">
        <v>3598.80859375</v>
      </c>
      <c r="U1200" s="2">
        <v>3261.9460132983222</v>
      </c>
      <c r="V1200" s="2">
        <v>3424.4685393711029</v>
      </c>
      <c r="W1200" s="2">
        <v>3170.657958984375</v>
      </c>
      <c r="X1200" s="4">
        <f t="shared" si="72"/>
        <v>0.94475710820095626</v>
      </c>
      <c r="Y1200" s="4">
        <f t="shared" si="73"/>
        <v>1.0423225847818629</v>
      </c>
      <c r="Z1200" s="4">
        <f t="shared" si="74"/>
        <v>0.99285479218460082</v>
      </c>
      <c r="AA1200" s="4">
        <f t="shared" si="75"/>
        <v>1.0723326337884418</v>
      </c>
    </row>
    <row r="1201" spans="1:27" x14ac:dyDescent="0.3">
      <c r="A1201" t="s">
        <v>461</v>
      </c>
      <c r="B1201">
        <v>87357</v>
      </c>
      <c r="C1201">
        <v>2016</v>
      </c>
      <c r="D1201" t="s">
        <v>40</v>
      </c>
      <c r="E1201" t="s">
        <v>150</v>
      </c>
      <c r="F1201">
        <v>6</v>
      </c>
      <c r="G1201" t="s">
        <v>47</v>
      </c>
      <c r="H1201">
        <v>4</v>
      </c>
      <c r="I1201" t="s">
        <v>23</v>
      </c>
      <c r="J1201" t="s">
        <v>24</v>
      </c>
      <c r="L1201" t="s">
        <v>26</v>
      </c>
      <c r="M1201" t="s">
        <v>33</v>
      </c>
      <c r="N1201">
        <v>0</v>
      </c>
      <c r="O1201" t="s">
        <v>27</v>
      </c>
      <c r="S1201" s="3">
        <v>5000</v>
      </c>
      <c r="T1201" s="2">
        <v>14269.236328125</v>
      </c>
      <c r="U1201" s="2">
        <v>13586.962303631341</v>
      </c>
      <c r="V1201" s="2">
        <v>11145.874869180079</v>
      </c>
      <c r="W1201" s="2">
        <v>12650.419921875</v>
      </c>
      <c r="X1201" s="4">
        <f t="shared" si="72"/>
        <v>0.35040417616077202</v>
      </c>
      <c r="Y1201" s="4">
        <f t="shared" si="73"/>
        <v>0.36799984339867253</v>
      </c>
      <c r="Z1201" s="4">
        <f t="shared" si="74"/>
        <v>0.4485964591102406</v>
      </c>
      <c r="AA1201" s="4">
        <f t="shared" si="75"/>
        <v>0.39524379671808696</v>
      </c>
    </row>
    <row r="1202" spans="1:27" x14ac:dyDescent="0.3">
      <c r="A1202" t="s">
        <v>461</v>
      </c>
      <c r="B1202">
        <v>134031</v>
      </c>
      <c r="C1202">
        <v>2006</v>
      </c>
      <c r="D1202" t="s">
        <v>100</v>
      </c>
      <c r="E1202" t="s">
        <v>444</v>
      </c>
      <c r="F1202">
        <v>6</v>
      </c>
      <c r="G1202" t="s">
        <v>66</v>
      </c>
      <c r="H1202">
        <v>4</v>
      </c>
      <c r="I1202" t="s">
        <v>23</v>
      </c>
      <c r="J1202" t="s">
        <v>42</v>
      </c>
      <c r="K1202" t="s">
        <v>27</v>
      </c>
      <c r="L1202" t="s">
        <v>348</v>
      </c>
      <c r="M1202" t="s">
        <v>78</v>
      </c>
      <c r="N1202">
        <v>0</v>
      </c>
      <c r="O1202" t="s">
        <v>27</v>
      </c>
      <c r="S1202" s="3">
        <v>4250</v>
      </c>
      <c r="T1202" s="2">
        <v>4305.22607421875</v>
      </c>
      <c r="U1202" s="2">
        <v>4900.2589618455586</v>
      </c>
      <c r="V1202" s="2">
        <v>3219.252746689865</v>
      </c>
      <c r="W1202" s="2">
        <v>4881.94189453125</v>
      </c>
      <c r="X1202" s="4">
        <f t="shared" si="72"/>
        <v>0.98717231725658638</v>
      </c>
      <c r="Y1202" s="4">
        <f t="shared" si="73"/>
        <v>0.86730110247058145</v>
      </c>
      <c r="Z1202" s="4">
        <f t="shared" si="74"/>
        <v>1.3201821461113861</v>
      </c>
      <c r="AA1202" s="4">
        <f t="shared" si="75"/>
        <v>0.87055521999572527</v>
      </c>
    </row>
    <row r="1203" spans="1:27" x14ac:dyDescent="0.3">
      <c r="A1203" t="s">
        <v>461</v>
      </c>
      <c r="B1203">
        <v>108318</v>
      </c>
      <c r="C1203">
        <v>2007</v>
      </c>
      <c r="D1203" t="s">
        <v>90</v>
      </c>
      <c r="E1203" t="s">
        <v>528</v>
      </c>
      <c r="F1203">
        <v>5</v>
      </c>
      <c r="G1203" t="s">
        <v>36</v>
      </c>
      <c r="H1203">
        <v>2</v>
      </c>
      <c r="I1203" t="s">
        <v>23</v>
      </c>
      <c r="J1203" t="s">
        <v>83</v>
      </c>
      <c r="K1203" t="s">
        <v>27</v>
      </c>
      <c r="L1203" t="s">
        <v>102</v>
      </c>
      <c r="M1203" t="s">
        <v>33</v>
      </c>
      <c r="N1203">
        <v>0</v>
      </c>
      <c r="O1203" t="s">
        <v>27</v>
      </c>
      <c r="S1203" s="3">
        <v>1600</v>
      </c>
      <c r="T1203" s="2">
        <v>2546.411865234375</v>
      </c>
      <c r="U1203" s="2">
        <v>2014.790652502996</v>
      </c>
      <c r="V1203" s="2">
        <v>1214.927640187776</v>
      </c>
      <c r="W1203" s="2">
        <v>2321.074462890625</v>
      </c>
      <c r="X1203" s="4">
        <f t="shared" si="72"/>
        <v>0.62833511807122133</v>
      </c>
      <c r="Y1203" s="4">
        <f t="shared" si="73"/>
        <v>0.79412717048905446</v>
      </c>
      <c r="Z1203" s="4">
        <f t="shared" si="74"/>
        <v>1.3169508595200849</v>
      </c>
      <c r="AA1203" s="4">
        <f t="shared" si="75"/>
        <v>0.68933591988573617</v>
      </c>
    </row>
    <row r="1204" spans="1:27" x14ac:dyDescent="0.3">
      <c r="A1204" t="s">
        <v>461</v>
      </c>
      <c r="B1204">
        <v>112186</v>
      </c>
      <c r="C1204">
        <v>2016</v>
      </c>
      <c r="D1204" t="s">
        <v>28</v>
      </c>
      <c r="E1204" t="s">
        <v>216</v>
      </c>
      <c r="F1204">
        <v>6</v>
      </c>
      <c r="G1204" t="s">
        <v>47</v>
      </c>
      <c r="H1204">
        <v>4</v>
      </c>
      <c r="I1204" t="s">
        <v>23</v>
      </c>
      <c r="J1204" t="s">
        <v>106</v>
      </c>
      <c r="K1204" t="s">
        <v>27</v>
      </c>
      <c r="L1204" t="s">
        <v>53</v>
      </c>
      <c r="M1204" t="s">
        <v>33</v>
      </c>
      <c r="N1204">
        <v>0</v>
      </c>
      <c r="O1204" t="s">
        <v>27</v>
      </c>
      <c r="S1204" s="3">
        <v>11000</v>
      </c>
      <c r="T1204" s="2">
        <v>12050.9072265625</v>
      </c>
      <c r="U1204" s="2">
        <v>12161.778687074369</v>
      </c>
      <c r="V1204" s="2">
        <v>11161.48624485511</v>
      </c>
      <c r="W1204" s="2">
        <v>12407.734375</v>
      </c>
      <c r="X1204" s="4">
        <f t="shared" si="72"/>
        <v>0.91279434761176326</v>
      </c>
      <c r="Y1204" s="4">
        <f t="shared" si="73"/>
        <v>0.90447296263423071</v>
      </c>
      <c r="Z1204" s="4">
        <f t="shared" si="74"/>
        <v>0.98553183318847459</v>
      </c>
      <c r="AA1204" s="4">
        <f t="shared" si="75"/>
        <v>0.8865438014343372</v>
      </c>
    </row>
    <row r="1205" spans="1:27" x14ac:dyDescent="0.3">
      <c r="A1205" t="s">
        <v>461</v>
      </c>
      <c r="B1205">
        <v>156525</v>
      </c>
      <c r="C1205">
        <v>2016</v>
      </c>
      <c r="D1205" t="s">
        <v>20</v>
      </c>
      <c r="E1205" t="s">
        <v>151</v>
      </c>
      <c r="F1205">
        <v>8</v>
      </c>
      <c r="G1205" t="s">
        <v>47</v>
      </c>
      <c r="H1205">
        <v>4</v>
      </c>
      <c r="I1205" t="s">
        <v>23</v>
      </c>
      <c r="J1205" t="s">
        <v>42</v>
      </c>
      <c r="K1205" t="s">
        <v>27</v>
      </c>
      <c r="L1205" t="s">
        <v>43</v>
      </c>
      <c r="M1205">
        <v>4</v>
      </c>
      <c r="N1205">
        <v>0</v>
      </c>
      <c r="O1205" t="s">
        <v>27</v>
      </c>
      <c r="S1205" s="3">
        <v>18500</v>
      </c>
      <c r="T1205" s="2">
        <v>11496.720703125</v>
      </c>
      <c r="U1205" s="2">
        <v>13329.6884545262</v>
      </c>
      <c r="V1205" s="2">
        <v>14269.437490276719</v>
      </c>
      <c r="W1205" s="2">
        <v>14260.3955078125</v>
      </c>
      <c r="X1205" s="4">
        <f t="shared" si="72"/>
        <v>1.6091545126404081</v>
      </c>
      <c r="Y1205" s="4">
        <f t="shared" si="73"/>
        <v>1.3878793989155973</v>
      </c>
      <c r="Z1205" s="4">
        <f t="shared" si="74"/>
        <v>1.2964771745631887</v>
      </c>
      <c r="AA1205" s="4">
        <f t="shared" si="75"/>
        <v>1.2972992221614645</v>
      </c>
    </row>
    <row r="1206" spans="1:27" x14ac:dyDescent="0.3">
      <c r="A1206" t="s">
        <v>461</v>
      </c>
      <c r="B1206">
        <v>157093</v>
      </c>
      <c r="C1206">
        <v>2013</v>
      </c>
      <c r="D1206" t="s">
        <v>100</v>
      </c>
      <c r="E1206" t="s">
        <v>363</v>
      </c>
      <c r="F1206">
        <v>4</v>
      </c>
      <c r="G1206" t="s">
        <v>47</v>
      </c>
      <c r="H1206">
        <v>4</v>
      </c>
      <c r="I1206" t="s">
        <v>337</v>
      </c>
      <c r="J1206" t="s">
        <v>52</v>
      </c>
      <c r="K1206" t="s">
        <v>27</v>
      </c>
      <c r="L1206" t="s">
        <v>87</v>
      </c>
      <c r="M1206" t="s">
        <v>33</v>
      </c>
      <c r="N1206">
        <v>0</v>
      </c>
      <c r="O1206" t="s">
        <v>27</v>
      </c>
      <c r="S1206" s="3">
        <v>1000</v>
      </c>
      <c r="T1206" s="2">
        <v>2515.45947265625</v>
      </c>
      <c r="U1206" s="2">
        <v>2616.371327263791</v>
      </c>
      <c r="V1206" s="2">
        <v>4345.2906709712188</v>
      </c>
      <c r="W1206" s="2">
        <v>2968.996337890625</v>
      </c>
      <c r="X1206" s="4">
        <f t="shared" si="72"/>
        <v>0.39754168606979379</v>
      </c>
      <c r="Y1206" s="4">
        <f t="shared" si="73"/>
        <v>0.38220874444676128</v>
      </c>
      <c r="Z1206" s="4">
        <f t="shared" si="74"/>
        <v>0.23013420176480145</v>
      </c>
      <c r="AA1206" s="4">
        <f t="shared" si="75"/>
        <v>0.33681415744367921</v>
      </c>
    </row>
    <row r="1207" spans="1:27" x14ac:dyDescent="0.3">
      <c r="A1207" t="s">
        <v>461</v>
      </c>
      <c r="B1207">
        <v>146261</v>
      </c>
      <c r="C1207">
        <v>2017</v>
      </c>
      <c r="D1207" t="s">
        <v>20</v>
      </c>
      <c r="E1207" t="s">
        <v>529</v>
      </c>
      <c r="F1207">
        <v>6</v>
      </c>
      <c r="G1207" t="s">
        <v>22</v>
      </c>
      <c r="H1207">
        <v>4</v>
      </c>
      <c r="I1207" t="s">
        <v>23</v>
      </c>
      <c r="J1207" t="s">
        <v>24</v>
      </c>
      <c r="L1207" t="s">
        <v>26</v>
      </c>
      <c r="M1207" t="s">
        <v>33</v>
      </c>
      <c r="N1207">
        <v>0</v>
      </c>
      <c r="O1207" t="s">
        <v>27</v>
      </c>
      <c r="S1207" s="3">
        <v>5000</v>
      </c>
      <c r="T1207" s="2">
        <v>8766.42578125</v>
      </c>
      <c r="U1207" s="2">
        <v>9734.3015640585509</v>
      </c>
      <c r="V1207" s="2">
        <v>9835.9710855279591</v>
      </c>
      <c r="W1207" s="2">
        <v>9231.79296875</v>
      </c>
      <c r="X1207" s="4">
        <f t="shared" si="72"/>
        <v>0.57035787728839393</v>
      </c>
      <c r="Y1207" s="4">
        <f t="shared" si="73"/>
        <v>0.51364753465839164</v>
      </c>
      <c r="Z1207" s="4">
        <f t="shared" si="74"/>
        <v>0.50833821658511091</v>
      </c>
      <c r="AA1207" s="4">
        <f t="shared" si="75"/>
        <v>0.54160659981492287</v>
      </c>
    </row>
    <row r="1208" spans="1:27" x14ac:dyDescent="0.3">
      <c r="A1208" t="s">
        <v>461</v>
      </c>
      <c r="B1208">
        <v>132389</v>
      </c>
      <c r="C1208">
        <v>2018</v>
      </c>
      <c r="D1208" t="s">
        <v>44</v>
      </c>
      <c r="E1208" t="s">
        <v>117</v>
      </c>
      <c r="F1208">
        <v>4</v>
      </c>
      <c r="G1208" t="s">
        <v>36</v>
      </c>
      <c r="H1208">
        <v>4</v>
      </c>
      <c r="I1208" t="s">
        <v>23</v>
      </c>
      <c r="J1208" t="s">
        <v>62</v>
      </c>
      <c r="K1208" t="s">
        <v>27</v>
      </c>
      <c r="L1208" t="s">
        <v>200</v>
      </c>
      <c r="M1208" t="s">
        <v>33</v>
      </c>
      <c r="N1208">
        <v>0</v>
      </c>
      <c r="O1208" t="s">
        <v>27</v>
      </c>
      <c r="S1208" s="3">
        <v>3000</v>
      </c>
      <c r="T1208" s="2">
        <v>5831.69287109375</v>
      </c>
      <c r="U1208" s="2">
        <v>5568.7101211912604</v>
      </c>
      <c r="V1208" s="2">
        <v>5380.8715754916029</v>
      </c>
      <c r="W1208" s="2">
        <v>5437.435546875</v>
      </c>
      <c r="X1208" s="4">
        <f t="shared" si="72"/>
        <v>0.514430383477541</v>
      </c>
      <c r="Y1208" s="4">
        <f t="shared" si="73"/>
        <v>0.53872439662171512</v>
      </c>
      <c r="Z1208" s="4">
        <f t="shared" si="74"/>
        <v>0.55753049629806795</v>
      </c>
      <c r="AA1208" s="4">
        <f t="shared" si="75"/>
        <v>0.55173067784208651</v>
      </c>
    </row>
    <row r="1209" spans="1:27" x14ac:dyDescent="0.3">
      <c r="A1209" t="s">
        <v>461</v>
      </c>
      <c r="B1209">
        <v>141117</v>
      </c>
      <c r="C1209">
        <v>2014</v>
      </c>
      <c r="D1209" t="s">
        <v>54</v>
      </c>
      <c r="E1209" t="s">
        <v>219</v>
      </c>
      <c r="F1209">
        <v>8</v>
      </c>
      <c r="G1209" t="s">
        <v>22</v>
      </c>
      <c r="H1209">
        <v>4</v>
      </c>
      <c r="I1209" t="s">
        <v>23</v>
      </c>
      <c r="J1209" t="s">
        <v>24</v>
      </c>
      <c r="K1209" t="s">
        <v>27</v>
      </c>
      <c r="L1209" t="s">
        <v>84</v>
      </c>
      <c r="M1209" t="s">
        <v>78</v>
      </c>
      <c r="N1209">
        <v>0</v>
      </c>
      <c r="O1209" t="s">
        <v>27</v>
      </c>
      <c r="S1209" s="3">
        <v>6250</v>
      </c>
      <c r="T1209" s="2">
        <v>9140.5126953125</v>
      </c>
      <c r="U1209" s="2">
        <v>11313.90884581618</v>
      </c>
      <c r="V1209" s="2">
        <v>6924.3714121830126</v>
      </c>
      <c r="W1209" s="2">
        <v>10542.3876953125</v>
      </c>
      <c r="X1209" s="4">
        <f t="shared" si="72"/>
        <v>0.68376908476973808</v>
      </c>
      <c r="Y1209" s="4">
        <f t="shared" si="73"/>
        <v>0.55241739041509197</v>
      </c>
      <c r="Z1209" s="4">
        <f t="shared" si="74"/>
        <v>0.90260900635738617</v>
      </c>
      <c r="AA1209" s="4">
        <f t="shared" si="75"/>
        <v>0.59284482610888611</v>
      </c>
    </row>
    <row r="1210" spans="1:27" x14ac:dyDescent="0.3">
      <c r="A1210" t="s">
        <v>461</v>
      </c>
      <c r="B1210">
        <v>108267</v>
      </c>
      <c r="C1210">
        <v>2011</v>
      </c>
      <c r="D1210" t="s">
        <v>20</v>
      </c>
      <c r="E1210" t="s">
        <v>404</v>
      </c>
      <c r="F1210">
        <v>5</v>
      </c>
      <c r="G1210" t="s">
        <v>30</v>
      </c>
      <c r="H1210">
        <v>4</v>
      </c>
      <c r="I1210" t="s">
        <v>23</v>
      </c>
      <c r="J1210" t="s">
        <v>42</v>
      </c>
      <c r="L1210" t="s">
        <v>57</v>
      </c>
      <c r="M1210" t="s">
        <v>78</v>
      </c>
      <c r="N1210">
        <v>0</v>
      </c>
      <c r="O1210" t="s">
        <v>27</v>
      </c>
      <c r="S1210" s="3">
        <v>6800</v>
      </c>
      <c r="T1210" s="2">
        <v>10321.8173828125</v>
      </c>
      <c r="U1210" s="2">
        <v>12125.77988322103</v>
      </c>
      <c r="V1210" s="2">
        <v>7619.8412786629542</v>
      </c>
      <c r="W1210" s="2">
        <v>8167.0966796875</v>
      </c>
      <c r="X1210" s="4">
        <f t="shared" si="72"/>
        <v>0.65879871226196107</v>
      </c>
      <c r="Y1210" s="4">
        <f t="shared" si="73"/>
        <v>0.56078867219167128</v>
      </c>
      <c r="Z1210" s="4">
        <f t="shared" si="74"/>
        <v>0.89240703990007375</v>
      </c>
      <c r="AA1210" s="4">
        <f t="shared" si="75"/>
        <v>0.83260922047272623</v>
      </c>
    </row>
    <row r="1211" spans="1:27" x14ac:dyDescent="0.3">
      <c r="A1211" t="s">
        <v>461</v>
      </c>
      <c r="B1211">
        <v>319421</v>
      </c>
      <c r="C1211">
        <v>2014</v>
      </c>
      <c r="D1211" t="s">
        <v>40</v>
      </c>
      <c r="E1211" t="s">
        <v>136</v>
      </c>
      <c r="F1211">
        <v>4</v>
      </c>
      <c r="G1211" t="s">
        <v>47</v>
      </c>
      <c r="H1211">
        <v>4</v>
      </c>
      <c r="I1211" t="s">
        <v>23</v>
      </c>
      <c r="J1211" t="s">
        <v>31</v>
      </c>
      <c r="K1211" t="s">
        <v>27</v>
      </c>
      <c r="L1211" t="s">
        <v>73</v>
      </c>
      <c r="M1211" t="s">
        <v>33</v>
      </c>
      <c r="N1211">
        <v>0</v>
      </c>
      <c r="O1211" t="s">
        <v>27</v>
      </c>
      <c r="S1211" s="3">
        <v>1300</v>
      </c>
      <c r="T1211" s="2">
        <v>2337.299560546875</v>
      </c>
      <c r="U1211" s="2">
        <v>1876.559317885911</v>
      </c>
      <c r="V1211" s="2">
        <v>1153.398362935171</v>
      </c>
      <c r="W1211" s="2">
        <v>1783.788940429688</v>
      </c>
      <c r="X1211" s="4">
        <f t="shared" si="72"/>
        <v>0.55619742627078128</v>
      </c>
      <c r="Y1211" s="4">
        <f t="shared" si="73"/>
        <v>0.69275721135452861</v>
      </c>
      <c r="Z1211" s="4">
        <f t="shared" si="74"/>
        <v>1.127104079367476</v>
      </c>
      <c r="AA1211" s="4">
        <f t="shared" si="75"/>
        <v>0.72878577197975536</v>
      </c>
    </row>
    <row r="1212" spans="1:27" x14ac:dyDescent="0.3">
      <c r="A1212" t="s">
        <v>461</v>
      </c>
      <c r="B1212">
        <v>179180</v>
      </c>
      <c r="C1212">
        <v>2016</v>
      </c>
      <c r="D1212" t="s">
        <v>125</v>
      </c>
      <c r="E1212" t="s">
        <v>530</v>
      </c>
      <c r="F1212">
        <v>6</v>
      </c>
      <c r="G1212" t="s">
        <v>22</v>
      </c>
      <c r="H1212">
        <v>4</v>
      </c>
      <c r="I1212" t="s">
        <v>23</v>
      </c>
      <c r="J1212" t="s">
        <v>31</v>
      </c>
      <c r="K1212" t="s">
        <v>27</v>
      </c>
      <c r="L1212" t="s">
        <v>143</v>
      </c>
      <c r="M1212" t="s">
        <v>23</v>
      </c>
      <c r="N1212">
        <v>0</v>
      </c>
      <c r="O1212" t="s">
        <v>27</v>
      </c>
      <c r="S1212" s="3">
        <v>5200</v>
      </c>
      <c r="T1212" s="2">
        <v>5594.2373046875</v>
      </c>
      <c r="U1212" s="2">
        <v>5999.2090314474017</v>
      </c>
      <c r="V1212" s="2">
        <v>4445.2170420133507</v>
      </c>
      <c r="W1212" s="2">
        <v>7314.78955078125</v>
      </c>
      <c r="X1212" s="4">
        <f t="shared" si="72"/>
        <v>0.92952796186226094</v>
      </c>
      <c r="Y1212" s="4">
        <f t="shared" si="73"/>
        <v>0.86678093274329859</v>
      </c>
      <c r="Z1212" s="4">
        <f t="shared" si="74"/>
        <v>1.1697966490393885</v>
      </c>
      <c r="AA1212" s="4">
        <f t="shared" si="75"/>
        <v>0.71088853122843687</v>
      </c>
    </row>
    <row r="1213" spans="1:27" x14ac:dyDescent="0.3">
      <c r="A1213" t="s">
        <v>461</v>
      </c>
      <c r="B1213">
        <v>140711</v>
      </c>
      <c r="C1213">
        <v>2015</v>
      </c>
      <c r="D1213" t="s">
        <v>141</v>
      </c>
      <c r="E1213" t="s">
        <v>215</v>
      </c>
      <c r="F1213">
        <v>8</v>
      </c>
      <c r="G1213" t="s">
        <v>47</v>
      </c>
      <c r="H1213">
        <v>4</v>
      </c>
      <c r="I1213" t="s">
        <v>23</v>
      </c>
      <c r="J1213" t="s">
        <v>31</v>
      </c>
      <c r="K1213" t="s">
        <v>27</v>
      </c>
      <c r="L1213" t="s">
        <v>84</v>
      </c>
      <c r="M1213" t="s">
        <v>78</v>
      </c>
      <c r="N1213">
        <v>0</v>
      </c>
      <c r="O1213" t="s">
        <v>27</v>
      </c>
      <c r="S1213" s="3">
        <v>5100</v>
      </c>
      <c r="T1213" s="2">
        <v>8913.3662109375</v>
      </c>
      <c r="U1213" s="2">
        <v>16663.274323171499</v>
      </c>
      <c r="V1213" s="2">
        <v>6914.3375185330578</v>
      </c>
      <c r="W1213" s="2">
        <v>9588.298828125</v>
      </c>
      <c r="X1213" s="4">
        <f t="shared" si="72"/>
        <v>0.57217440406990594</v>
      </c>
      <c r="Y1213" s="4">
        <f t="shared" si="73"/>
        <v>0.30606229610635877</v>
      </c>
      <c r="Z1213" s="4">
        <f t="shared" si="74"/>
        <v>0.73759777944453209</v>
      </c>
      <c r="AA1213" s="4">
        <f t="shared" si="75"/>
        <v>0.53189831600162063</v>
      </c>
    </row>
    <row r="1214" spans="1:27" x14ac:dyDescent="0.3">
      <c r="A1214" t="s">
        <v>461</v>
      </c>
      <c r="B1214">
        <v>151583</v>
      </c>
      <c r="C1214">
        <v>2009</v>
      </c>
      <c r="D1214" t="s">
        <v>28</v>
      </c>
      <c r="E1214" t="s">
        <v>310</v>
      </c>
      <c r="F1214">
        <v>4</v>
      </c>
      <c r="G1214" t="s">
        <v>30</v>
      </c>
      <c r="H1214">
        <v>4</v>
      </c>
      <c r="I1214" t="s">
        <v>23</v>
      </c>
      <c r="J1214" t="s">
        <v>31</v>
      </c>
      <c r="K1214" t="s">
        <v>27</v>
      </c>
      <c r="L1214" t="s">
        <v>60</v>
      </c>
      <c r="M1214" t="s">
        <v>33</v>
      </c>
      <c r="N1214">
        <v>0</v>
      </c>
      <c r="O1214" t="s">
        <v>27</v>
      </c>
      <c r="S1214" s="3">
        <v>3500</v>
      </c>
      <c r="T1214" s="2">
        <v>3994.701904296875</v>
      </c>
      <c r="U1214" s="2">
        <v>3479.947095369168</v>
      </c>
      <c r="V1214" s="2">
        <v>3045.1263636890731</v>
      </c>
      <c r="W1214" s="2">
        <v>3942.40771484375</v>
      </c>
      <c r="X1214" s="4">
        <f t="shared" si="72"/>
        <v>0.87616049553916597</v>
      </c>
      <c r="Y1214" s="4">
        <f t="shared" si="73"/>
        <v>1.0057624165199284</v>
      </c>
      <c r="Z1214" s="4">
        <f t="shared" si="74"/>
        <v>1.1493775896248397</v>
      </c>
      <c r="AA1214" s="4">
        <f t="shared" si="75"/>
        <v>0.88778235361654267</v>
      </c>
    </row>
    <row r="1215" spans="1:27" x14ac:dyDescent="0.3">
      <c r="A1215" t="s">
        <v>461</v>
      </c>
      <c r="B1215">
        <v>97300</v>
      </c>
      <c r="C1215">
        <v>2015</v>
      </c>
      <c r="D1215" t="s">
        <v>226</v>
      </c>
      <c r="E1215" t="s">
        <v>260</v>
      </c>
      <c r="F1215">
        <v>4</v>
      </c>
      <c r="G1215" t="s">
        <v>36</v>
      </c>
      <c r="H1215">
        <v>4</v>
      </c>
      <c r="I1215" t="s">
        <v>23</v>
      </c>
      <c r="J1215" t="s">
        <v>24</v>
      </c>
      <c r="K1215" t="s">
        <v>27</v>
      </c>
      <c r="L1215" t="s">
        <v>127</v>
      </c>
      <c r="M1215" t="s">
        <v>23</v>
      </c>
      <c r="N1215">
        <v>0</v>
      </c>
      <c r="O1215" t="s">
        <v>27</v>
      </c>
      <c r="S1215" s="3">
        <v>7000</v>
      </c>
      <c r="T1215" s="2">
        <v>4064.380859375</v>
      </c>
      <c r="U1215" s="2">
        <v>8475.844424496685</v>
      </c>
      <c r="V1215" s="2">
        <v>9071.0387493711532</v>
      </c>
      <c r="W1215" s="2">
        <v>8170.3818359375</v>
      </c>
      <c r="X1215" s="4">
        <f t="shared" si="72"/>
        <v>1.7222795407703069</v>
      </c>
      <c r="Y1215" s="4">
        <f t="shared" si="73"/>
        <v>0.82587641412680557</v>
      </c>
      <c r="Z1215" s="4">
        <f t="shared" si="74"/>
        <v>0.77168670462192357</v>
      </c>
      <c r="AA1215" s="4">
        <f t="shared" si="75"/>
        <v>0.85675310414630013</v>
      </c>
    </row>
    <row r="1216" spans="1:27" x14ac:dyDescent="0.3">
      <c r="A1216" t="s">
        <v>461</v>
      </c>
      <c r="B1216">
        <v>229617</v>
      </c>
      <c r="C1216">
        <v>2010</v>
      </c>
      <c r="D1216" t="s">
        <v>34</v>
      </c>
      <c r="E1216" t="s">
        <v>330</v>
      </c>
      <c r="F1216">
        <v>6</v>
      </c>
      <c r="G1216" t="s">
        <v>47</v>
      </c>
      <c r="H1216">
        <v>4</v>
      </c>
      <c r="I1216" t="s">
        <v>23</v>
      </c>
      <c r="J1216" t="s">
        <v>62</v>
      </c>
      <c r="K1216" t="s">
        <v>27</v>
      </c>
      <c r="L1216" t="s">
        <v>319</v>
      </c>
      <c r="M1216">
        <v>4</v>
      </c>
      <c r="N1216">
        <v>0</v>
      </c>
      <c r="O1216" t="s">
        <v>27</v>
      </c>
      <c r="S1216" s="3">
        <v>9700</v>
      </c>
      <c r="T1216" s="2">
        <v>7451.314453125</v>
      </c>
      <c r="U1216" s="2">
        <v>5854.4284382794403</v>
      </c>
      <c r="V1216" s="2">
        <v>8850.2282596573114</v>
      </c>
      <c r="W1216" s="2">
        <v>6417.14404296875</v>
      </c>
      <c r="X1216" s="4">
        <f t="shared" si="72"/>
        <v>1.3017837404421881</v>
      </c>
      <c r="Y1216" s="4">
        <f t="shared" si="73"/>
        <v>1.6568654143205712</v>
      </c>
      <c r="Z1216" s="4">
        <f t="shared" si="74"/>
        <v>1.0960169292148396</v>
      </c>
      <c r="AA1216" s="4">
        <f t="shared" si="75"/>
        <v>1.5115758560271477</v>
      </c>
    </row>
    <row r="1217" spans="1:27" x14ac:dyDescent="0.3">
      <c r="A1217" t="s">
        <v>461</v>
      </c>
      <c r="B1217">
        <v>126607</v>
      </c>
      <c r="C1217">
        <v>2020</v>
      </c>
      <c r="D1217" t="s">
        <v>44</v>
      </c>
      <c r="E1217" t="s">
        <v>45</v>
      </c>
      <c r="F1217">
        <v>8</v>
      </c>
      <c r="G1217" t="s">
        <v>47</v>
      </c>
      <c r="H1217">
        <v>4</v>
      </c>
      <c r="I1217" t="s">
        <v>23</v>
      </c>
      <c r="J1217" t="s">
        <v>46</v>
      </c>
      <c r="K1217" t="s">
        <v>27</v>
      </c>
      <c r="L1217" t="s">
        <v>48</v>
      </c>
      <c r="M1217">
        <v>4</v>
      </c>
      <c r="N1217">
        <v>0</v>
      </c>
      <c r="O1217" t="s">
        <v>27</v>
      </c>
      <c r="S1217" s="3">
        <v>16500</v>
      </c>
      <c r="T1217" s="2">
        <v>20764.16015625</v>
      </c>
      <c r="U1217" s="2">
        <v>27830.945540590161</v>
      </c>
      <c r="V1217" s="2">
        <v>20216.314472050461</v>
      </c>
      <c r="W1217" s="2">
        <v>18434.9140625</v>
      </c>
      <c r="X1217" s="4">
        <f t="shared" si="72"/>
        <v>0.79463844797178129</v>
      </c>
      <c r="Y1217" s="4">
        <f t="shared" si="73"/>
        <v>0.59286523254969925</v>
      </c>
      <c r="Z1217" s="4">
        <f t="shared" si="74"/>
        <v>0.81617250378705997</v>
      </c>
      <c r="AA1217" s="4">
        <f t="shared" si="75"/>
        <v>0.89504078750028071</v>
      </c>
    </row>
    <row r="1218" spans="1:27" x14ac:dyDescent="0.3">
      <c r="A1218" t="s">
        <v>461</v>
      </c>
      <c r="B1218">
        <v>136820</v>
      </c>
      <c r="C1218">
        <v>2012</v>
      </c>
      <c r="D1218" t="s">
        <v>34</v>
      </c>
      <c r="E1218" t="s">
        <v>88</v>
      </c>
      <c r="F1218">
        <v>4</v>
      </c>
      <c r="G1218" t="s">
        <v>47</v>
      </c>
      <c r="H1218">
        <v>4</v>
      </c>
      <c r="I1218" t="s">
        <v>23</v>
      </c>
      <c r="J1218" t="s">
        <v>37</v>
      </c>
      <c r="L1218" t="s">
        <v>89</v>
      </c>
      <c r="M1218" t="s">
        <v>33</v>
      </c>
      <c r="N1218">
        <v>0</v>
      </c>
      <c r="O1218" t="s">
        <v>27</v>
      </c>
      <c r="S1218" s="3">
        <v>6800</v>
      </c>
      <c r="T1218" s="2">
        <v>5587.24169921875</v>
      </c>
      <c r="U1218" s="2">
        <v>4537.3587965679826</v>
      </c>
      <c r="V1218" s="2">
        <v>3756.7538284643961</v>
      </c>
      <c r="W1218" s="2">
        <v>4914.55615234375</v>
      </c>
      <c r="X1218" s="4">
        <f t="shared" ref="X1218:X1281" si="76">S1218/T1218</f>
        <v>1.2170584997156695</v>
      </c>
      <c r="Y1218" s="4">
        <f t="shared" ref="Y1218:Y1281" si="77">S1218/U1218</f>
        <v>1.4986692269395709</v>
      </c>
      <c r="Z1218" s="4">
        <f t="shared" ref="Z1218:Z1281" si="78">S1218/V1218</f>
        <v>1.8100733533502662</v>
      </c>
      <c r="AA1218" s="4">
        <f t="shared" ref="AA1218:AA1281" si="79">S1218/W1218</f>
        <v>1.3836447868760402</v>
      </c>
    </row>
    <row r="1219" spans="1:27" x14ac:dyDescent="0.3">
      <c r="A1219" t="s">
        <v>461</v>
      </c>
      <c r="B1219">
        <v>92249</v>
      </c>
      <c r="C1219">
        <v>2017</v>
      </c>
      <c r="D1219" t="s">
        <v>125</v>
      </c>
      <c r="E1219" t="s">
        <v>425</v>
      </c>
      <c r="F1219">
        <v>4</v>
      </c>
      <c r="G1219" t="s">
        <v>30</v>
      </c>
      <c r="H1219">
        <v>4</v>
      </c>
      <c r="I1219" t="s">
        <v>23</v>
      </c>
      <c r="J1219" t="s">
        <v>31</v>
      </c>
      <c r="K1219" t="s">
        <v>27</v>
      </c>
      <c r="L1219" t="s">
        <v>127</v>
      </c>
      <c r="M1219" t="s">
        <v>33</v>
      </c>
      <c r="N1219">
        <v>0</v>
      </c>
      <c r="O1219" t="s">
        <v>27</v>
      </c>
      <c r="S1219" s="3">
        <v>5500</v>
      </c>
      <c r="T1219" s="2">
        <v>7436.623046875</v>
      </c>
      <c r="U1219" s="2">
        <v>8785.44315533806</v>
      </c>
      <c r="V1219" s="2">
        <v>6104.6079740570394</v>
      </c>
      <c r="W1219" s="2">
        <v>8076.1005859375</v>
      </c>
      <c r="X1219" s="4">
        <f t="shared" si="76"/>
        <v>0.73958300230252993</v>
      </c>
      <c r="Y1219" s="4">
        <f t="shared" si="77"/>
        <v>0.62603557985099301</v>
      </c>
      <c r="Z1219" s="4">
        <f t="shared" si="78"/>
        <v>0.90095875498861477</v>
      </c>
      <c r="AA1219" s="4">
        <f t="shared" si="79"/>
        <v>0.68102173090524254</v>
      </c>
    </row>
    <row r="1220" spans="1:27" x14ac:dyDescent="0.3">
      <c r="A1220" t="s">
        <v>461</v>
      </c>
      <c r="B1220">
        <v>111195</v>
      </c>
      <c r="C1220">
        <v>2017</v>
      </c>
      <c r="D1220" t="s">
        <v>40</v>
      </c>
      <c r="E1220" t="s">
        <v>41</v>
      </c>
      <c r="F1220">
        <v>8</v>
      </c>
      <c r="G1220" t="s">
        <v>59</v>
      </c>
      <c r="H1220">
        <v>4</v>
      </c>
      <c r="I1220" t="s">
        <v>23</v>
      </c>
      <c r="J1220" t="s">
        <v>42</v>
      </c>
      <c r="K1220" t="s">
        <v>27</v>
      </c>
      <c r="L1220" t="s">
        <v>43</v>
      </c>
      <c r="M1220">
        <v>4</v>
      </c>
      <c r="N1220">
        <v>0</v>
      </c>
      <c r="O1220" t="s">
        <v>27</v>
      </c>
      <c r="S1220" s="3">
        <v>14750</v>
      </c>
      <c r="T1220" s="2">
        <v>18575.69140625</v>
      </c>
      <c r="U1220" s="2">
        <v>24983.87315535346</v>
      </c>
      <c r="V1220" s="2">
        <v>18690.534133598769</v>
      </c>
      <c r="W1220" s="2">
        <v>21319.095703125</v>
      </c>
      <c r="X1220" s="4">
        <f t="shared" si="76"/>
        <v>0.79404850551281214</v>
      </c>
      <c r="Y1220" s="4">
        <f t="shared" si="77"/>
        <v>0.59038083920304485</v>
      </c>
      <c r="Z1220" s="4">
        <f t="shared" si="78"/>
        <v>0.7891695279850176</v>
      </c>
      <c r="AA1220" s="4">
        <f t="shared" si="79"/>
        <v>0.69186799503122975</v>
      </c>
    </row>
    <row r="1221" spans="1:27" x14ac:dyDescent="0.3">
      <c r="A1221" t="s">
        <v>461</v>
      </c>
      <c r="B1221">
        <v>254045</v>
      </c>
      <c r="C1221">
        <v>2011</v>
      </c>
      <c r="D1221" t="s">
        <v>44</v>
      </c>
      <c r="E1221" t="s">
        <v>68</v>
      </c>
      <c r="F1221">
        <v>6</v>
      </c>
      <c r="G1221" t="s">
        <v>66</v>
      </c>
      <c r="H1221">
        <v>4</v>
      </c>
      <c r="I1221" t="s">
        <v>23</v>
      </c>
      <c r="J1221" t="s">
        <v>62</v>
      </c>
      <c r="K1221" t="s">
        <v>27</v>
      </c>
      <c r="L1221" t="s">
        <v>38</v>
      </c>
      <c r="M1221" t="s">
        <v>33</v>
      </c>
      <c r="N1221">
        <v>0</v>
      </c>
      <c r="O1221" t="s">
        <v>27</v>
      </c>
      <c r="S1221" s="3">
        <v>700</v>
      </c>
      <c r="T1221" s="2">
        <v>3193.32275390625</v>
      </c>
      <c r="U1221" s="2">
        <v>2565.6173149203751</v>
      </c>
      <c r="V1221" s="2">
        <v>2369.829220179698</v>
      </c>
      <c r="W1221" s="2">
        <v>2804.321533203125</v>
      </c>
      <c r="X1221" s="4">
        <f t="shared" si="76"/>
        <v>0.21920740681276926</v>
      </c>
      <c r="Y1221" s="4">
        <f t="shared" si="77"/>
        <v>0.27283881969814533</v>
      </c>
      <c r="Z1221" s="4">
        <f t="shared" si="78"/>
        <v>0.29537993457052608</v>
      </c>
      <c r="AA1221" s="4">
        <f t="shared" si="79"/>
        <v>0.24961474342795947</v>
      </c>
    </row>
    <row r="1222" spans="1:27" x14ac:dyDescent="0.3">
      <c r="A1222" t="s">
        <v>461</v>
      </c>
      <c r="B1222">
        <v>133744</v>
      </c>
      <c r="C1222">
        <v>2018</v>
      </c>
      <c r="D1222" t="s">
        <v>54</v>
      </c>
      <c r="E1222" t="s">
        <v>328</v>
      </c>
      <c r="F1222">
        <v>6</v>
      </c>
      <c r="G1222" t="s">
        <v>22</v>
      </c>
      <c r="H1222">
        <v>4</v>
      </c>
      <c r="I1222" t="s">
        <v>23</v>
      </c>
      <c r="J1222" t="s">
        <v>24</v>
      </c>
      <c r="L1222" t="s">
        <v>26</v>
      </c>
      <c r="M1222">
        <v>4</v>
      </c>
      <c r="N1222">
        <v>0</v>
      </c>
      <c r="S1222" s="3">
        <v>10200</v>
      </c>
      <c r="T1222" s="2">
        <v>13326.0634765625</v>
      </c>
      <c r="U1222" s="2">
        <v>14876.83026065374</v>
      </c>
      <c r="V1222" s="2">
        <v>17670.256569865331</v>
      </c>
      <c r="W1222" s="2">
        <v>15522.1611328125</v>
      </c>
      <c r="X1222" s="4">
        <f t="shared" si="76"/>
        <v>0.76541733557996849</v>
      </c>
      <c r="Y1222" s="4">
        <f t="shared" si="77"/>
        <v>0.68562992393460143</v>
      </c>
      <c r="Z1222" s="4">
        <f t="shared" si="78"/>
        <v>0.57724119396177709</v>
      </c>
      <c r="AA1222" s="4">
        <f t="shared" si="79"/>
        <v>0.65712499134144964</v>
      </c>
    </row>
    <row r="1223" spans="1:27" x14ac:dyDescent="0.3">
      <c r="A1223" t="s">
        <v>461</v>
      </c>
      <c r="B1223">
        <v>226832</v>
      </c>
      <c r="C1223">
        <v>2007</v>
      </c>
      <c r="D1223" t="s">
        <v>159</v>
      </c>
      <c r="E1223" t="s">
        <v>361</v>
      </c>
      <c r="F1223">
        <v>6</v>
      </c>
      <c r="G1223" t="s">
        <v>36</v>
      </c>
      <c r="H1223">
        <v>4</v>
      </c>
      <c r="I1223" t="s">
        <v>23</v>
      </c>
      <c r="J1223" t="s">
        <v>24</v>
      </c>
      <c r="K1223" t="s">
        <v>27</v>
      </c>
      <c r="L1223" t="s">
        <v>53</v>
      </c>
      <c r="M1223" t="s">
        <v>23</v>
      </c>
      <c r="N1223">
        <v>0</v>
      </c>
      <c r="O1223" t="s">
        <v>27</v>
      </c>
      <c r="S1223" s="3">
        <v>1900</v>
      </c>
      <c r="T1223" s="2">
        <v>2026.047485351562</v>
      </c>
      <c r="U1223" s="2">
        <v>1276.1902931779589</v>
      </c>
      <c r="V1223" s="2">
        <v>1383.3332730843499</v>
      </c>
      <c r="W1223" s="2">
        <v>1554.809936523438</v>
      </c>
      <c r="X1223" s="4">
        <f t="shared" si="76"/>
        <v>0.93778650981139755</v>
      </c>
      <c r="Y1223" s="4">
        <f t="shared" si="77"/>
        <v>1.4888061836519968</v>
      </c>
      <c r="Z1223" s="4">
        <f t="shared" si="78"/>
        <v>1.3734940357240621</v>
      </c>
      <c r="AA1223" s="4">
        <f t="shared" si="79"/>
        <v>1.2220143152985043</v>
      </c>
    </row>
    <row r="1224" spans="1:27" x14ac:dyDescent="0.3">
      <c r="A1224" t="s">
        <v>461</v>
      </c>
      <c r="B1224">
        <v>155407</v>
      </c>
      <c r="C1224">
        <v>2011</v>
      </c>
      <c r="D1224" t="s">
        <v>71</v>
      </c>
      <c r="E1224" t="s">
        <v>170</v>
      </c>
      <c r="F1224">
        <v>6</v>
      </c>
      <c r="G1224" t="s">
        <v>30</v>
      </c>
      <c r="H1224">
        <v>4</v>
      </c>
      <c r="I1224" t="s">
        <v>23</v>
      </c>
      <c r="J1224" t="s">
        <v>24</v>
      </c>
      <c r="K1224" t="s">
        <v>27</v>
      </c>
      <c r="L1224" t="s">
        <v>26</v>
      </c>
      <c r="M1224" t="s">
        <v>23</v>
      </c>
      <c r="N1224">
        <v>0</v>
      </c>
      <c r="O1224" t="s">
        <v>27</v>
      </c>
      <c r="S1224" s="3">
        <v>1300</v>
      </c>
      <c r="T1224" s="2">
        <v>4338.83251953125</v>
      </c>
      <c r="U1224" s="2">
        <v>4339.030471722047</v>
      </c>
      <c r="V1224" s="2">
        <v>4277.5722459036106</v>
      </c>
      <c r="W1224" s="2">
        <v>3872.779052734375</v>
      </c>
      <c r="X1224" s="4">
        <f t="shared" si="76"/>
        <v>0.29961976963804232</v>
      </c>
      <c r="Y1224" s="4">
        <f t="shared" si="77"/>
        <v>0.2996061005960311</v>
      </c>
      <c r="Z1224" s="4">
        <f t="shared" si="78"/>
        <v>0.30391070571512535</v>
      </c>
      <c r="AA1224" s="4">
        <f t="shared" si="79"/>
        <v>0.33567626303962145</v>
      </c>
    </row>
    <row r="1225" spans="1:27" x14ac:dyDescent="0.3">
      <c r="A1225" t="s">
        <v>461</v>
      </c>
      <c r="B1225">
        <v>178895</v>
      </c>
      <c r="C1225">
        <v>2010</v>
      </c>
      <c r="D1225" t="s">
        <v>187</v>
      </c>
      <c r="E1225" t="s">
        <v>188</v>
      </c>
      <c r="F1225">
        <v>4</v>
      </c>
      <c r="G1225" t="s">
        <v>66</v>
      </c>
      <c r="H1225">
        <v>4</v>
      </c>
      <c r="I1225" t="s">
        <v>23</v>
      </c>
      <c r="J1225" t="s">
        <v>24</v>
      </c>
      <c r="K1225" t="s">
        <v>27</v>
      </c>
      <c r="L1225" t="s">
        <v>102</v>
      </c>
      <c r="M1225" t="s">
        <v>23</v>
      </c>
      <c r="N1225">
        <v>0</v>
      </c>
      <c r="O1225" t="s">
        <v>27</v>
      </c>
      <c r="S1225" s="3">
        <v>1000</v>
      </c>
      <c r="T1225" s="2">
        <v>2491.0576171875</v>
      </c>
      <c r="U1225" s="2">
        <v>2136.608346214161</v>
      </c>
      <c r="V1225" s="2">
        <v>1608.7429581103991</v>
      </c>
      <c r="W1225" s="2">
        <v>2058.266357421875</v>
      </c>
      <c r="X1225" s="4">
        <f t="shared" si="76"/>
        <v>0.40143591745944379</v>
      </c>
      <c r="Y1225" s="4">
        <f t="shared" si="77"/>
        <v>0.46803149569826025</v>
      </c>
      <c r="Z1225" s="4">
        <f t="shared" si="78"/>
        <v>0.62160334250947225</v>
      </c>
      <c r="AA1225" s="4">
        <f t="shared" si="79"/>
        <v>0.48584576840315802</v>
      </c>
    </row>
    <row r="1226" spans="1:27" x14ac:dyDescent="0.3">
      <c r="A1226" t="s">
        <v>461</v>
      </c>
      <c r="B1226">
        <v>182366</v>
      </c>
      <c r="C1226">
        <v>2007</v>
      </c>
      <c r="D1226" t="s">
        <v>54</v>
      </c>
      <c r="E1226" t="s">
        <v>174</v>
      </c>
      <c r="F1226">
        <v>4</v>
      </c>
      <c r="G1226" t="s">
        <v>30</v>
      </c>
      <c r="H1226">
        <v>4</v>
      </c>
      <c r="I1226" t="s">
        <v>23</v>
      </c>
      <c r="J1226" t="s">
        <v>24</v>
      </c>
      <c r="K1226" t="s">
        <v>27</v>
      </c>
      <c r="L1226" t="s">
        <v>60</v>
      </c>
      <c r="M1226" t="s">
        <v>33</v>
      </c>
      <c r="N1226">
        <v>0</v>
      </c>
      <c r="S1226" s="3">
        <v>1000</v>
      </c>
      <c r="T1226" s="2">
        <v>1912.406494140625</v>
      </c>
      <c r="U1226" s="2">
        <v>1222.46138381217</v>
      </c>
      <c r="V1226" s="2">
        <v>310.62190684991577</v>
      </c>
      <c r="W1226" s="2">
        <v>1534.697143554688</v>
      </c>
      <c r="X1226" s="4">
        <f t="shared" si="76"/>
        <v>0.52290138266308717</v>
      </c>
      <c r="Y1226" s="4">
        <f t="shared" si="77"/>
        <v>0.81802174959634477</v>
      </c>
      <c r="Z1226" s="4">
        <f t="shared" si="78"/>
        <v>3.219347953082953</v>
      </c>
      <c r="AA1226" s="4">
        <f t="shared" si="79"/>
        <v>0.65159435801371557</v>
      </c>
    </row>
    <row r="1227" spans="1:27" x14ac:dyDescent="0.3">
      <c r="A1227" t="s">
        <v>461</v>
      </c>
      <c r="B1227">
        <v>32532</v>
      </c>
      <c r="C1227">
        <v>2022</v>
      </c>
      <c r="D1227" t="s">
        <v>44</v>
      </c>
      <c r="E1227" t="s">
        <v>485</v>
      </c>
      <c r="F1227">
        <v>3</v>
      </c>
      <c r="G1227" t="s">
        <v>66</v>
      </c>
      <c r="H1227">
        <v>4</v>
      </c>
      <c r="I1227" t="s">
        <v>23</v>
      </c>
      <c r="J1227" t="s">
        <v>62</v>
      </c>
      <c r="K1227" t="s">
        <v>27</v>
      </c>
      <c r="L1227" t="s">
        <v>200</v>
      </c>
      <c r="M1227">
        <v>4</v>
      </c>
      <c r="N1227">
        <v>4.8</v>
      </c>
      <c r="O1227" t="s">
        <v>27</v>
      </c>
      <c r="S1227" s="3">
        <v>24000</v>
      </c>
      <c r="T1227" s="2">
        <v>25864.84375</v>
      </c>
      <c r="U1227" s="2">
        <v>29653.47073006006</v>
      </c>
      <c r="V1227" s="2">
        <v>25913.069575592868</v>
      </c>
      <c r="W1227" s="2">
        <v>25938.208984375</v>
      </c>
      <c r="X1227" s="4">
        <f t="shared" si="76"/>
        <v>0.92790044401486094</v>
      </c>
      <c r="Y1227" s="4">
        <f t="shared" si="77"/>
        <v>0.8093487679224991</v>
      </c>
      <c r="Z1227" s="4">
        <f t="shared" si="78"/>
        <v>0.92617356388396532</v>
      </c>
      <c r="AA1227" s="4">
        <f t="shared" si="79"/>
        <v>0.92527591301532952</v>
      </c>
    </row>
    <row r="1228" spans="1:27" x14ac:dyDescent="0.3">
      <c r="A1228" t="s">
        <v>461</v>
      </c>
      <c r="B1228">
        <v>216607</v>
      </c>
      <c r="C1228">
        <v>2018</v>
      </c>
      <c r="D1228" t="s">
        <v>85</v>
      </c>
      <c r="E1228" t="s">
        <v>531</v>
      </c>
      <c r="F1228">
        <v>6</v>
      </c>
      <c r="G1228" t="s">
        <v>36</v>
      </c>
      <c r="H1228">
        <v>4</v>
      </c>
      <c r="I1228" t="s">
        <v>23</v>
      </c>
      <c r="J1228" t="s">
        <v>106</v>
      </c>
      <c r="K1228" t="s">
        <v>27</v>
      </c>
      <c r="L1228" t="s">
        <v>194</v>
      </c>
      <c r="M1228" t="s">
        <v>33</v>
      </c>
      <c r="N1228">
        <v>0</v>
      </c>
      <c r="O1228" t="s">
        <v>27</v>
      </c>
      <c r="S1228" s="3">
        <v>2800</v>
      </c>
      <c r="T1228" s="2">
        <v>4295.51904296875</v>
      </c>
      <c r="U1228" s="2">
        <v>4802.506247140469</v>
      </c>
      <c r="V1228" s="2">
        <v>3593.2725788048051</v>
      </c>
      <c r="W1228" s="2">
        <v>4706.72802734375</v>
      </c>
      <c r="X1228" s="4">
        <f t="shared" si="76"/>
        <v>0.65184206425141211</v>
      </c>
      <c r="Y1228" s="4">
        <f t="shared" si="77"/>
        <v>0.58302891363591447</v>
      </c>
      <c r="Z1228" s="4">
        <f t="shared" si="78"/>
        <v>0.77923395417203123</v>
      </c>
      <c r="AA1228" s="4">
        <f t="shared" si="79"/>
        <v>0.59489309425430825</v>
      </c>
    </row>
    <row r="1229" spans="1:27" x14ac:dyDescent="0.3">
      <c r="A1229" t="s">
        <v>461</v>
      </c>
      <c r="B1229">
        <v>121633</v>
      </c>
      <c r="C1229">
        <v>2016</v>
      </c>
      <c r="D1229" t="s">
        <v>28</v>
      </c>
      <c r="E1229" t="s">
        <v>58</v>
      </c>
      <c r="F1229">
        <v>4</v>
      </c>
      <c r="G1229" t="s">
        <v>30</v>
      </c>
      <c r="H1229">
        <v>4</v>
      </c>
      <c r="I1229" t="s">
        <v>23</v>
      </c>
      <c r="J1229" t="s">
        <v>24</v>
      </c>
      <c r="K1229" t="s">
        <v>27</v>
      </c>
      <c r="L1229" t="s">
        <v>60</v>
      </c>
      <c r="M1229" t="s">
        <v>23</v>
      </c>
      <c r="N1229">
        <v>0</v>
      </c>
      <c r="O1229" t="s">
        <v>27</v>
      </c>
      <c r="S1229" s="3">
        <v>12000</v>
      </c>
      <c r="T1229" s="2">
        <v>12381.80859375</v>
      </c>
      <c r="U1229" s="2">
        <v>11136.286573516471</v>
      </c>
      <c r="V1229" s="2">
        <v>10008.76303114748</v>
      </c>
      <c r="W1229" s="2">
        <v>12414.47265625</v>
      </c>
      <c r="X1229" s="4">
        <f t="shared" si="76"/>
        <v>0.96916374608288436</v>
      </c>
      <c r="Y1229" s="4">
        <f t="shared" si="77"/>
        <v>1.0775584770364612</v>
      </c>
      <c r="Z1229" s="4">
        <f t="shared" si="78"/>
        <v>1.1989493569440848</v>
      </c>
      <c r="AA1229" s="4">
        <f t="shared" si="79"/>
        <v>0.96661375253492254</v>
      </c>
    </row>
    <row r="1230" spans="1:27" x14ac:dyDescent="0.3">
      <c r="A1230" t="s">
        <v>461</v>
      </c>
      <c r="B1230">
        <v>137051</v>
      </c>
      <c r="C1230">
        <v>2013</v>
      </c>
      <c r="D1230" t="s">
        <v>125</v>
      </c>
      <c r="E1230" t="s">
        <v>230</v>
      </c>
      <c r="F1230">
        <v>4</v>
      </c>
      <c r="G1230" t="s">
        <v>59</v>
      </c>
      <c r="H1230">
        <v>4</v>
      </c>
      <c r="I1230" t="s">
        <v>23</v>
      </c>
      <c r="J1230" t="s">
        <v>31</v>
      </c>
      <c r="K1230" t="s">
        <v>27</v>
      </c>
      <c r="L1230" t="s">
        <v>60</v>
      </c>
      <c r="M1230" t="s">
        <v>33</v>
      </c>
      <c r="N1230">
        <v>0</v>
      </c>
      <c r="O1230" t="s">
        <v>27</v>
      </c>
      <c r="S1230" s="3">
        <v>4000</v>
      </c>
      <c r="T1230" s="2">
        <v>4297.50927734375</v>
      </c>
      <c r="U1230" s="2">
        <v>4031.8759898767539</v>
      </c>
      <c r="V1230" s="2">
        <v>3508.3552842697118</v>
      </c>
      <c r="W1230" s="2">
        <v>5469.91552734375</v>
      </c>
      <c r="X1230" s="4">
        <f t="shared" si="76"/>
        <v>0.93077169631437362</v>
      </c>
      <c r="Y1230" s="4">
        <f t="shared" si="77"/>
        <v>0.9920940053819145</v>
      </c>
      <c r="Z1230" s="4">
        <f t="shared" si="78"/>
        <v>1.1401353842168318</v>
      </c>
      <c r="AA1230" s="4">
        <f t="shared" si="79"/>
        <v>0.7312727189303494</v>
      </c>
    </row>
    <row r="1231" spans="1:27" x14ac:dyDescent="0.3">
      <c r="A1231" t="s">
        <v>461</v>
      </c>
      <c r="B1231">
        <v>70898</v>
      </c>
      <c r="C1231">
        <v>2018</v>
      </c>
      <c r="D1231" t="s">
        <v>54</v>
      </c>
      <c r="E1231" t="s">
        <v>219</v>
      </c>
      <c r="F1231">
        <v>6</v>
      </c>
      <c r="G1231" t="s">
        <v>36</v>
      </c>
      <c r="H1231">
        <v>4</v>
      </c>
      <c r="I1231" t="s">
        <v>23</v>
      </c>
      <c r="J1231" t="s">
        <v>24</v>
      </c>
      <c r="K1231" t="s">
        <v>27</v>
      </c>
      <c r="L1231" t="s">
        <v>26</v>
      </c>
      <c r="M1231" t="s">
        <v>78</v>
      </c>
      <c r="N1231">
        <v>0</v>
      </c>
      <c r="O1231" t="s">
        <v>27</v>
      </c>
      <c r="S1231" s="3">
        <v>16500</v>
      </c>
      <c r="T1231" s="2">
        <v>21237.033203125</v>
      </c>
      <c r="U1231" s="2">
        <v>18517.975167223231</v>
      </c>
      <c r="V1231" s="2">
        <v>17443.72563555371</v>
      </c>
      <c r="W1231" s="2">
        <v>18493.599609375</v>
      </c>
      <c r="X1231" s="4">
        <f t="shared" si="76"/>
        <v>0.77694468159385122</v>
      </c>
      <c r="Y1231" s="4">
        <f t="shared" si="77"/>
        <v>0.89102614357129928</v>
      </c>
      <c r="Z1231" s="4">
        <f t="shared" si="78"/>
        <v>0.94589884894599507</v>
      </c>
      <c r="AA1231" s="4">
        <f t="shared" si="79"/>
        <v>0.89220056389863767</v>
      </c>
    </row>
    <row r="1232" spans="1:27" x14ac:dyDescent="0.3">
      <c r="A1232" t="s">
        <v>461</v>
      </c>
      <c r="B1232">
        <v>154106</v>
      </c>
      <c r="C1232">
        <v>2013</v>
      </c>
      <c r="D1232" t="s">
        <v>85</v>
      </c>
      <c r="E1232" t="s">
        <v>92</v>
      </c>
      <c r="F1232">
        <v>4</v>
      </c>
      <c r="G1232" t="s">
        <v>30</v>
      </c>
      <c r="H1232">
        <v>4</v>
      </c>
      <c r="I1232" t="s">
        <v>23</v>
      </c>
      <c r="J1232" t="s">
        <v>31</v>
      </c>
      <c r="L1232" t="s">
        <v>87</v>
      </c>
      <c r="M1232" t="s">
        <v>33</v>
      </c>
      <c r="N1232">
        <v>0</v>
      </c>
      <c r="O1232" t="s">
        <v>27</v>
      </c>
      <c r="S1232" s="3">
        <v>2000</v>
      </c>
      <c r="T1232" s="2">
        <v>4646.65185546875</v>
      </c>
      <c r="U1232" s="2">
        <v>2773.505046722928</v>
      </c>
      <c r="V1232" s="2">
        <v>2776.42171923665</v>
      </c>
      <c r="W1232" s="2">
        <v>3484.518798828125</v>
      </c>
      <c r="X1232" s="4">
        <f t="shared" si="76"/>
        <v>0.43041744081733918</v>
      </c>
      <c r="Y1232" s="4">
        <f t="shared" si="77"/>
        <v>0.72110919803918394</v>
      </c>
      <c r="Z1232" s="4">
        <f t="shared" si="78"/>
        <v>0.72035166204861723</v>
      </c>
      <c r="AA1232" s="4">
        <f t="shared" si="79"/>
        <v>0.57396734397662541</v>
      </c>
    </row>
    <row r="1233" spans="1:27" x14ac:dyDescent="0.3">
      <c r="A1233" t="s">
        <v>461</v>
      </c>
      <c r="B1233">
        <v>212221</v>
      </c>
      <c r="C1233">
        <v>2008</v>
      </c>
      <c r="D1233" t="s">
        <v>454</v>
      </c>
      <c r="E1233" t="s">
        <v>532</v>
      </c>
      <c r="F1233">
        <v>6</v>
      </c>
      <c r="G1233" t="s">
        <v>47</v>
      </c>
      <c r="H1233">
        <v>4</v>
      </c>
      <c r="I1233" t="s">
        <v>23</v>
      </c>
      <c r="J1233" t="s">
        <v>31</v>
      </c>
      <c r="L1233" t="s">
        <v>53</v>
      </c>
      <c r="M1233" t="s">
        <v>33</v>
      </c>
      <c r="N1233">
        <v>0</v>
      </c>
      <c r="O1233" t="s">
        <v>27</v>
      </c>
      <c r="S1233" s="3">
        <v>1100</v>
      </c>
      <c r="T1233" s="2">
        <v>1796.712890625</v>
      </c>
      <c r="U1233" s="2">
        <v>1722.8649562800199</v>
      </c>
      <c r="V1233" s="2">
        <v>985.34725865857217</v>
      </c>
      <c r="W1233" s="2">
        <v>1668.796264648438</v>
      </c>
      <c r="X1233" s="4">
        <f t="shared" si="76"/>
        <v>0.61222914675997941</v>
      </c>
      <c r="Y1233" s="4">
        <f t="shared" si="77"/>
        <v>0.63847139962443766</v>
      </c>
      <c r="Z1233" s="4">
        <f t="shared" si="78"/>
        <v>1.1163577006318699</v>
      </c>
      <c r="AA1233" s="4">
        <f t="shared" si="79"/>
        <v>0.65915775538467836</v>
      </c>
    </row>
    <row r="1234" spans="1:27" x14ac:dyDescent="0.3">
      <c r="A1234" t="s">
        <v>461</v>
      </c>
      <c r="B1234">
        <v>54649</v>
      </c>
      <c r="C1234">
        <v>2018</v>
      </c>
      <c r="D1234" t="s">
        <v>125</v>
      </c>
      <c r="E1234" t="s">
        <v>297</v>
      </c>
      <c r="F1234">
        <v>4</v>
      </c>
      <c r="G1234" t="s">
        <v>59</v>
      </c>
      <c r="H1234">
        <v>4</v>
      </c>
      <c r="I1234" t="s">
        <v>23</v>
      </c>
      <c r="J1234" t="s">
        <v>24</v>
      </c>
      <c r="K1234" t="s">
        <v>27</v>
      </c>
      <c r="L1234" t="s">
        <v>127</v>
      </c>
      <c r="M1234" t="s">
        <v>33</v>
      </c>
      <c r="N1234">
        <v>0</v>
      </c>
      <c r="O1234" t="s">
        <v>27</v>
      </c>
      <c r="S1234" s="3">
        <v>9000</v>
      </c>
      <c r="T1234" s="2">
        <v>14287.693359375</v>
      </c>
      <c r="U1234" s="2">
        <v>14010.182149802249</v>
      </c>
      <c r="V1234" s="2">
        <v>12301.774420163199</v>
      </c>
      <c r="W1234" s="2">
        <v>13954.171875</v>
      </c>
      <c r="X1234" s="4">
        <f t="shared" si="76"/>
        <v>0.6299127349408411</v>
      </c>
      <c r="Y1234" s="4">
        <f t="shared" si="77"/>
        <v>0.64238993496076946</v>
      </c>
      <c r="Z1234" s="4">
        <f t="shared" si="78"/>
        <v>0.73160177488286304</v>
      </c>
      <c r="AA1234" s="4">
        <f t="shared" si="79"/>
        <v>0.64496840662570665</v>
      </c>
    </row>
    <row r="1235" spans="1:27" x14ac:dyDescent="0.3">
      <c r="A1235" t="s">
        <v>461</v>
      </c>
      <c r="B1235">
        <v>198260</v>
      </c>
      <c r="C1235">
        <v>2007</v>
      </c>
      <c r="D1235" t="s">
        <v>81</v>
      </c>
      <c r="E1235" t="s">
        <v>254</v>
      </c>
      <c r="F1235">
        <v>6</v>
      </c>
      <c r="G1235" t="s">
        <v>47</v>
      </c>
      <c r="H1235">
        <v>4</v>
      </c>
      <c r="I1235" t="s">
        <v>23</v>
      </c>
      <c r="J1235" t="s">
        <v>94</v>
      </c>
      <c r="L1235" t="s">
        <v>533</v>
      </c>
      <c r="M1235">
        <v>4</v>
      </c>
      <c r="N1235">
        <v>0</v>
      </c>
      <c r="O1235" t="s">
        <v>27</v>
      </c>
      <c r="S1235" s="3">
        <v>11000</v>
      </c>
      <c r="T1235" s="2">
        <v>7059.27587890625</v>
      </c>
      <c r="U1235" s="2">
        <v>7684.440423501941</v>
      </c>
      <c r="V1235" s="2">
        <v>9569.7167901323883</v>
      </c>
      <c r="W1235" s="2">
        <v>7538.56884765625</v>
      </c>
      <c r="X1235" s="4">
        <f t="shared" si="76"/>
        <v>1.5582334772988526</v>
      </c>
      <c r="Y1235" s="4">
        <f t="shared" si="77"/>
        <v>1.4314640225926949</v>
      </c>
      <c r="Z1235" s="4">
        <f t="shared" si="78"/>
        <v>1.1494593038889529</v>
      </c>
      <c r="AA1235" s="4">
        <f t="shared" si="79"/>
        <v>1.4591629024413451</v>
      </c>
    </row>
    <row r="1236" spans="1:27" x14ac:dyDescent="0.3">
      <c r="A1236" t="s">
        <v>461</v>
      </c>
      <c r="B1236">
        <v>132587</v>
      </c>
      <c r="C1236">
        <v>2011</v>
      </c>
      <c r="D1236" t="s">
        <v>44</v>
      </c>
      <c r="E1236" t="s">
        <v>117</v>
      </c>
      <c r="F1236">
        <v>6</v>
      </c>
      <c r="G1236" t="s">
        <v>36</v>
      </c>
      <c r="H1236">
        <v>4</v>
      </c>
      <c r="I1236" t="s">
        <v>23</v>
      </c>
      <c r="J1236" t="s">
        <v>62</v>
      </c>
      <c r="L1236" t="s">
        <v>168</v>
      </c>
      <c r="M1236" t="s">
        <v>33</v>
      </c>
      <c r="N1236">
        <v>0</v>
      </c>
      <c r="O1236" t="s">
        <v>27</v>
      </c>
      <c r="S1236" s="3">
        <v>4250</v>
      </c>
      <c r="T1236" s="2">
        <v>4772.00732421875</v>
      </c>
      <c r="U1236" s="2">
        <v>3719.5715478102038</v>
      </c>
      <c r="V1236" s="2">
        <v>2991.7154737212832</v>
      </c>
      <c r="W1236" s="2">
        <v>4080.12353515625</v>
      </c>
      <c r="X1236" s="4">
        <f t="shared" si="76"/>
        <v>0.89061053582850258</v>
      </c>
      <c r="Y1236" s="4">
        <f t="shared" si="77"/>
        <v>1.14260471814343</v>
      </c>
      <c r="Z1236" s="4">
        <f t="shared" si="78"/>
        <v>1.4205896373940881</v>
      </c>
      <c r="AA1236" s="4">
        <f t="shared" si="79"/>
        <v>1.0416351278043459</v>
      </c>
    </row>
    <row r="1237" spans="1:27" x14ac:dyDescent="0.3">
      <c r="A1237" t="s">
        <v>461</v>
      </c>
      <c r="B1237">
        <v>97256</v>
      </c>
      <c r="C1237">
        <v>2019</v>
      </c>
      <c r="D1237" t="s">
        <v>125</v>
      </c>
      <c r="E1237" t="s">
        <v>264</v>
      </c>
      <c r="F1237">
        <v>4</v>
      </c>
      <c r="G1237" t="s">
        <v>47</v>
      </c>
      <c r="H1237">
        <v>4</v>
      </c>
      <c r="I1237" t="s">
        <v>23</v>
      </c>
      <c r="J1237" t="s">
        <v>24</v>
      </c>
      <c r="K1237" t="s">
        <v>27</v>
      </c>
      <c r="L1237" t="s">
        <v>60</v>
      </c>
      <c r="M1237" t="s">
        <v>23</v>
      </c>
      <c r="N1237">
        <v>0</v>
      </c>
      <c r="O1237" t="s">
        <v>27</v>
      </c>
      <c r="S1237" s="3">
        <v>10000</v>
      </c>
      <c r="T1237" s="2">
        <v>14536.4423828125</v>
      </c>
      <c r="U1237" s="2">
        <v>13854.52940112969</v>
      </c>
      <c r="V1237" s="2">
        <v>12443.296213347099</v>
      </c>
      <c r="W1237" s="2">
        <v>14730.5751953125</v>
      </c>
      <c r="X1237" s="4">
        <f t="shared" si="76"/>
        <v>0.68792622958583949</v>
      </c>
      <c r="Y1237" s="4">
        <f t="shared" si="77"/>
        <v>0.72178561324389745</v>
      </c>
      <c r="Z1237" s="4">
        <f t="shared" si="78"/>
        <v>0.80364557980012263</v>
      </c>
      <c r="AA1237" s="4">
        <f t="shared" si="79"/>
        <v>0.67886011696149906</v>
      </c>
    </row>
    <row r="1238" spans="1:27" x14ac:dyDescent="0.3">
      <c r="A1238" t="s">
        <v>461</v>
      </c>
      <c r="B1238">
        <v>68308</v>
      </c>
      <c r="C1238">
        <v>2018</v>
      </c>
      <c r="D1238" t="s">
        <v>103</v>
      </c>
      <c r="E1238" t="s">
        <v>189</v>
      </c>
      <c r="F1238">
        <v>6</v>
      </c>
      <c r="G1238" t="s">
        <v>22</v>
      </c>
      <c r="H1238">
        <v>4</v>
      </c>
      <c r="I1238" t="s">
        <v>23</v>
      </c>
      <c r="J1238" t="s">
        <v>31</v>
      </c>
      <c r="K1238" t="s">
        <v>27</v>
      </c>
      <c r="L1238" t="s">
        <v>218</v>
      </c>
      <c r="M1238" t="s">
        <v>78</v>
      </c>
      <c r="N1238">
        <v>0</v>
      </c>
      <c r="O1238" t="s">
        <v>27</v>
      </c>
      <c r="S1238" s="3">
        <v>13750</v>
      </c>
      <c r="T1238" s="2">
        <v>20100.34375</v>
      </c>
      <c r="U1238" s="2">
        <v>17159.709277083159</v>
      </c>
      <c r="V1238" s="2">
        <v>14164.128473247431</v>
      </c>
      <c r="W1238" s="2">
        <v>19085.66796875</v>
      </c>
      <c r="X1238" s="4">
        <f t="shared" si="76"/>
        <v>0.68406790306757814</v>
      </c>
      <c r="Y1238" s="4">
        <f t="shared" si="77"/>
        <v>0.80129562674836019</v>
      </c>
      <c r="Z1238" s="4">
        <f t="shared" si="78"/>
        <v>0.97076216344481636</v>
      </c>
      <c r="AA1238" s="4">
        <f t="shared" si="79"/>
        <v>0.72043588008099169</v>
      </c>
    </row>
    <row r="1239" spans="1:27" x14ac:dyDescent="0.3">
      <c r="A1239" t="s">
        <v>461</v>
      </c>
      <c r="B1239">
        <v>129740</v>
      </c>
      <c r="C1239">
        <v>2011</v>
      </c>
      <c r="D1239" t="s">
        <v>34</v>
      </c>
      <c r="E1239" t="s">
        <v>88</v>
      </c>
      <c r="F1239">
        <v>4</v>
      </c>
      <c r="G1239" t="s">
        <v>59</v>
      </c>
      <c r="H1239">
        <v>4</v>
      </c>
      <c r="I1239" t="s">
        <v>23</v>
      </c>
      <c r="J1239" t="s">
        <v>37</v>
      </c>
      <c r="L1239" t="s">
        <v>89</v>
      </c>
      <c r="M1239" t="s">
        <v>33</v>
      </c>
      <c r="N1239">
        <v>0</v>
      </c>
      <c r="O1239" t="s">
        <v>123</v>
      </c>
      <c r="S1239" s="3">
        <v>1700</v>
      </c>
      <c r="T1239" s="2">
        <v>4413.904296875</v>
      </c>
      <c r="U1239" s="2">
        <v>2575.7053492310788</v>
      </c>
      <c r="V1239" s="2">
        <v>926.83134365509795</v>
      </c>
      <c r="W1239" s="2">
        <v>3201.74169921875</v>
      </c>
      <c r="X1239" s="4">
        <f t="shared" si="76"/>
        <v>0.38514654728775677</v>
      </c>
      <c r="Y1239" s="4">
        <f t="shared" si="77"/>
        <v>0.66001338255072473</v>
      </c>
      <c r="Z1239" s="4">
        <f t="shared" si="78"/>
        <v>1.8342064191482734</v>
      </c>
      <c r="AA1239" s="4">
        <f t="shared" si="79"/>
        <v>0.530961008008489</v>
      </c>
    </row>
    <row r="1240" spans="1:27" x14ac:dyDescent="0.3">
      <c r="A1240" t="s">
        <v>461</v>
      </c>
      <c r="B1240">
        <v>239498</v>
      </c>
      <c r="C1240">
        <v>2018</v>
      </c>
      <c r="D1240" t="s">
        <v>34</v>
      </c>
      <c r="E1240" t="s">
        <v>173</v>
      </c>
      <c r="F1240">
        <v>4</v>
      </c>
      <c r="G1240" t="s">
        <v>66</v>
      </c>
      <c r="H1240">
        <v>4</v>
      </c>
      <c r="I1240" t="s">
        <v>23</v>
      </c>
      <c r="J1240" t="s">
        <v>62</v>
      </c>
      <c r="L1240" t="s">
        <v>128</v>
      </c>
      <c r="M1240" t="s">
        <v>33</v>
      </c>
      <c r="N1240">
        <v>0</v>
      </c>
      <c r="O1240" t="s">
        <v>27</v>
      </c>
      <c r="S1240" s="3">
        <v>6300</v>
      </c>
      <c r="T1240" s="2">
        <v>6242.7822265625</v>
      </c>
      <c r="U1240" s="2">
        <v>5422.7487698179339</v>
      </c>
      <c r="V1240" s="2">
        <v>4815.168103925751</v>
      </c>
      <c r="W1240" s="2">
        <v>5915.6689453125</v>
      </c>
      <c r="X1240" s="4">
        <f t="shared" si="76"/>
        <v>1.0091654283876896</v>
      </c>
      <c r="Y1240" s="4">
        <f t="shared" si="77"/>
        <v>1.1617724271249099</v>
      </c>
      <c r="Z1240" s="4">
        <f t="shared" si="78"/>
        <v>1.3083655365767362</v>
      </c>
      <c r="AA1240" s="4">
        <f t="shared" si="79"/>
        <v>1.0649683168954271</v>
      </c>
    </row>
    <row r="1241" spans="1:27" x14ac:dyDescent="0.3">
      <c r="A1241" t="s">
        <v>461</v>
      </c>
      <c r="B1241">
        <v>122084</v>
      </c>
      <c r="C1241">
        <v>2019</v>
      </c>
      <c r="D1241" t="s">
        <v>40</v>
      </c>
      <c r="E1241" t="s">
        <v>79</v>
      </c>
      <c r="F1241">
        <v>8</v>
      </c>
      <c r="G1241" t="s">
        <v>30</v>
      </c>
      <c r="H1241">
        <v>4</v>
      </c>
      <c r="I1241" t="s">
        <v>23</v>
      </c>
      <c r="J1241" t="s">
        <v>42</v>
      </c>
      <c r="K1241" t="s">
        <v>27</v>
      </c>
      <c r="L1241" t="s">
        <v>130</v>
      </c>
      <c r="M1241">
        <v>4</v>
      </c>
      <c r="N1241">
        <v>0</v>
      </c>
      <c r="O1241" t="s">
        <v>27</v>
      </c>
      <c r="S1241" s="3">
        <v>32500</v>
      </c>
      <c r="T1241" s="2">
        <v>24953.98046875</v>
      </c>
      <c r="U1241" s="2">
        <v>34540.261062341597</v>
      </c>
      <c r="V1241" s="2">
        <v>29611.556693838949</v>
      </c>
      <c r="W1241" s="2">
        <v>32302.96875</v>
      </c>
      <c r="X1241" s="4">
        <f t="shared" si="76"/>
        <v>1.3023974287669224</v>
      </c>
      <c r="Y1241" s="4">
        <f t="shared" si="77"/>
        <v>0.94093093104712966</v>
      </c>
      <c r="Z1241" s="4">
        <f t="shared" si="78"/>
        <v>1.0975444599561368</v>
      </c>
      <c r="AA1241" s="4">
        <f t="shared" si="79"/>
        <v>1.0060994780858958</v>
      </c>
    </row>
    <row r="1242" spans="1:27" x14ac:dyDescent="0.3">
      <c r="A1242" t="s">
        <v>461</v>
      </c>
      <c r="B1242">
        <v>121026</v>
      </c>
      <c r="C1242">
        <v>2019</v>
      </c>
      <c r="D1242" t="s">
        <v>34</v>
      </c>
      <c r="E1242" t="s">
        <v>116</v>
      </c>
      <c r="F1242">
        <v>4</v>
      </c>
      <c r="G1242" t="s">
        <v>66</v>
      </c>
      <c r="H1242">
        <v>4</v>
      </c>
      <c r="I1242" t="s">
        <v>23</v>
      </c>
      <c r="J1242" t="s">
        <v>37</v>
      </c>
      <c r="K1242" t="s">
        <v>27</v>
      </c>
      <c r="L1242" t="s">
        <v>128</v>
      </c>
      <c r="M1242" t="s">
        <v>33</v>
      </c>
      <c r="N1242">
        <v>0</v>
      </c>
      <c r="O1242" t="s">
        <v>27</v>
      </c>
      <c r="S1242" s="3">
        <v>9250</v>
      </c>
      <c r="T1242" s="2">
        <v>10391.3251953125</v>
      </c>
      <c r="U1242" s="2">
        <v>9025.7172979494753</v>
      </c>
      <c r="V1242" s="2">
        <v>12345.524355309661</v>
      </c>
      <c r="W1242" s="2">
        <v>9978.7041015625</v>
      </c>
      <c r="X1242" s="4">
        <f t="shared" si="76"/>
        <v>0.8901655781278649</v>
      </c>
      <c r="Y1242" s="4">
        <f t="shared" si="77"/>
        <v>1.024849293928304</v>
      </c>
      <c r="Z1242" s="4">
        <f t="shared" si="78"/>
        <v>0.74925938613710541</v>
      </c>
      <c r="AA1242" s="4">
        <f t="shared" si="79"/>
        <v>0.92697407457463366</v>
      </c>
    </row>
    <row r="1243" spans="1:27" x14ac:dyDescent="0.3">
      <c r="A1243" t="s">
        <v>461</v>
      </c>
      <c r="B1243">
        <v>202449</v>
      </c>
      <c r="C1243">
        <v>2001</v>
      </c>
      <c r="D1243" t="s">
        <v>44</v>
      </c>
      <c r="E1243" t="s">
        <v>284</v>
      </c>
      <c r="F1243">
        <v>4</v>
      </c>
      <c r="G1243" t="s">
        <v>171</v>
      </c>
      <c r="H1243">
        <v>2</v>
      </c>
      <c r="I1243" t="s">
        <v>23</v>
      </c>
      <c r="J1243" t="s">
        <v>76</v>
      </c>
      <c r="L1243" t="s">
        <v>205</v>
      </c>
      <c r="M1243" t="s">
        <v>78</v>
      </c>
      <c r="N1243">
        <v>0</v>
      </c>
      <c r="O1243" t="s">
        <v>27</v>
      </c>
      <c r="S1243" s="3">
        <v>2400</v>
      </c>
      <c r="T1243" s="2">
        <v>2806.501953125</v>
      </c>
      <c r="U1243" s="2">
        <v>1697.142392754618</v>
      </c>
      <c r="V1243" s="2">
        <v>1665.5029879797769</v>
      </c>
      <c r="W1243" s="2">
        <v>2460.20654296875</v>
      </c>
      <c r="X1243" s="4">
        <f t="shared" si="76"/>
        <v>0.85515707456666268</v>
      </c>
      <c r="Y1243" s="4">
        <f t="shared" si="77"/>
        <v>1.4141418010922346</v>
      </c>
      <c r="Z1243" s="4">
        <f t="shared" si="78"/>
        <v>1.4410061208663179</v>
      </c>
      <c r="AA1243" s="4">
        <f t="shared" si="79"/>
        <v>0.97552785023646904</v>
      </c>
    </row>
    <row r="1244" spans="1:27" x14ac:dyDescent="0.3">
      <c r="A1244" t="s">
        <v>461</v>
      </c>
      <c r="B1244">
        <v>142621</v>
      </c>
      <c r="C1244">
        <v>2014</v>
      </c>
      <c r="D1244" t="s">
        <v>81</v>
      </c>
      <c r="E1244" t="s">
        <v>201</v>
      </c>
      <c r="F1244">
        <v>4</v>
      </c>
      <c r="G1244" t="s">
        <v>36</v>
      </c>
      <c r="H1244">
        <v>4</v>
      </c>
      <c r="I1244" t="s">
        <v>23</v>
      </c>
      <c r="J1244" t="s">
        <v>24</v>
      </c>
      <c r="L1244" t="s">
        <v>60</v>
      </c>
      <c r="M1244" t="s">
        <v>33</v>
      </c>
      <c r="N1244">
        <v>0</v>
      </c>
      <c r="O1244" t="s">
        <v>27</v>
      </c>
      <c r="S1244" s="3">
        <v>1250</v>
      </c>
      <c r="T1244" s="2">
        <v>5929.3662109375</v>
      </c>
      <c r="U1244" s="2">
        <v>4262.7130588234941</v>
      </c>
      <c r="V1244" s="2">
        <v>4211.29124690146</v>
      </c>
      <c r="W1244" s="2">
        <v>4454.97412109375</v>
      </c>
      <c r="X1244" s="4">
        <f t="shared" si="76"/>
        <v>0.21081511168836387</v>
      </c>
      <c r="Y1244" s="4">
        <f t="shared" si="77"/>
        <v>0.29324047449372515</v>
      </c>
      <c r="Z1244" s="4">
        <f t="shared" si="78"/>
        <v>0.296821076176983</v>
      </c>
      <c r="AA1244" s="4">
        <f t="shared" si="79"/>
        <v>0.28058524382474076</v>
      </c>
    </row>
    <row r="1245" spans="1:27" x14ac:dyDescent="0.3">
      <c r="A1245" t="s">
        <v>461</v>
      </c>
      <c r="B1245">
        <v>128685</v>
      </c>
      <c r="C1245">
        <v>2017</v>
      </c>
      <c r="D1245" t="s">
        <v>340</v>
      </c>
      <c r="E1245" t="s">
        <v>402</v>
      </c>
      <c r="F1245">
        <v>4</v>
      </c>
      <c r="G1245" t="s">
        <v>22</v>
      </c>
      <c r="H1245">
        <v>4</v>
      </c>
      <c r="I1245" t="s">
        <v>23</v>
      </c>
      <c r="J1245" t="s">
        <v>31</v>
      </c>
      <c r="L1245" t="s">
        <v>102</v>
      </c>
      <c r="M1245" t="s">
        <v>33</v>
      </c>
      <c r="N1245">
        <v>0</v>
      </c>
      <c r="S1245" s="3">
        <v>5000</v>
      </c>
      <c r="T1245" s="2">
        <v>5850.15087890625</v>
      </c>
      <c r="U1245" s="2">
        <v>7054.6023706077249</v>
      </c>
      <c r="V1245" s="2">
        <v>6681.5368420874056</v>
      </c>
      <c r="W1245" s="2">
        <v>7845.72314453125</v>
      </c>
      <c r="X1245" s="4">
        <f t="shared" si="76"/>
        <v>0.8546788114522621</v>
      </c>
      <c r="Y1245" s="4">
        <f t="shared" si="77"/>
        <v>0.70875716834615454</v>
      </c>
      <c r="Z1245" s="4">
        <f t="shared" si="78"/>
        <v>0.7483308283963499</v>
      </c>
      <c r="AA1245" s="4">
        <f t="shared" si="79"/>
        <v>0.63728988493370164</v>
      </c>
    </row>
    <row r="1246" spans="1:27" x14ac:dyDescent="0.3">
      <c r="A1246" t="s">
        <v>461</v>
      </c>
      <c r="B1246">
        <v>105980</v>
      </c>
      <c r="C1246">
        <v>2021</v>
      </c>
      <c r="D1246" t="s">
        <v>74</v>
      </c>
      <c r="E1246" t="s">
        <v>75</v>
      </c>
      <c r="F1246">
        <v>8</v>
      </c>
      <c r="G1246" t="s">
        <v>47</v>
      </c>
      <c r="H1246">
        <v>4</v>
      </c>
      <c r="I1246" t="s">
        <v>23</v>
      </c>
      <c r="J1246" t="s">
        <v>42</v>
      </c>
      <c r="K1246" t="s">
        <v>27</v>
      </c>
      <c r="L1246" t="s">
        <v>84</v>
      </c>
      <c r="M1246" t="s">
        <v>78</v>
      </c>
      <c r="N1246">
        <v>0</v>
      </c>
      <c r="S1246" s="3">
        <v>22500</v>
      </c>
      <c r="T1246" s="2">
        <v>26640.271484375</v>
      </c>
      <c r="U1246" s="2">
        <v>28680.86124533389</v>
      </c>
      <c r="V1246" s="2">
        <v>17095.715914545141</v>
      </c>
      <c r="W1246" s="2">
        <v>27308.04296875</v>
      </c>
      <c r="X1246" s="4">
        <f t="shared" si="76"/>
        <v>0.8445859875413303</v>
      </c>
      <c r="Y1246" s="4">
        <f t="shared" si="77"/>
        <v>0.78449527047101986</v>
      </c>
      <c r="Z1246" s="4">
        <f t="shared" si="78"/>
        <v>1.3161192027563386</v>
      </c>
      <c r="AA1246" s="4">
        <f t="shared" si="79"/>
        <v>0.82393308175719182</v>
      </c>
    </row>
    <row r="1247" spans="1:27" x14ac:dyDescent="0.3">
      <c r="A1247" t="s">
        <v>461</v>
      </c>
      <c r="B1247">
        <v>156766</v>
      </c>
      <c r="C1247">
        <v>2013</v>
      </c>
      <c r="D1247" t="s">
        <v>44</v>
      </c>
      <c r="E1247" t="s">
        <v>45</v>
      </c>
      <c r="F1247">
        <v>8</v>
      </c>
      <c r="G1247" t="s">
        <v>36</v>
      </c>
      <c r="H1247">
        <v>4</v>
      </c>
      <c r="I1247" t="s">
        <v>23</v>
      </c>
      <c r="J1247" t="s">
        <v>46</v>
      </c>
      <c r="K1247" t="s">
        <v>27</v>
      </c>
      <c r="L1247" t="s">
        <v>48</v>
      </c>
      <c r="M1247">
        <v>4</v>
      </c>
      <c r="N1247">
        <v>0</v>
      </c>
      <c r="S1247" s="3">
        <v>12200</v>
      </c>
      <c r="T1247" s="2">
        <v>7098.708984375</v>
      </c>
      <c r="U1247" s="2">
        <v>15304.45051674426</v>
      </c>
      <c r="V1247" s="2">
        <v>7884.6826992152073</v>
      </c>
      <c r="W1247" s="2">
        <v>8910.3447265625</v>
      </c>
      <c r="X1247" s="4">
        <f t="shared" si="76"/>
        <v>1.7186223617355598</v>
      </c>
      <c r="Y1247" s="4">
        <f t="shared" si="77"/>
        <v>0.79715374208647671</v>
      </c>
      <c r="Z1247" s="4">
        <f t="shared" si="78"/>
        <v>1.5473038631236629</v>
      </c>
      <c r="AA1247" s="4">
        <f t="shared" si="79"/>
        <v>1.3691950619632882</v>
      </c>
    </row>
    <row r="1248" spans="1:27" x14ac:dyDescent="0.3">
      <c r="A1248" t="s">
        <v>461</v>
      </c>
      <c r="B1248">
        <v>55064</v>
      </c>
      <c r="C1248">
        <v>2015</v>
      </c>
      <c r="D1248" t="s">
        <v>50</v>
      </c>
      <c r="E1248" t="s">
        <v>369</v>
      </c>
      <c r="F1248">
        <v>4</v>
      </c>
      <c r="G1248" t="s">
        <v>30</v>
      </c>
      <c r="H1248">
        <v>4</v>
      </c>
      <c r="I1248" t="s">
        <v>23</v>
      </c>
      <c r="J1248" t="s">
        <v>31</v>
      </c>
      <c r="K1248" t="s">
        <v>27</v>
      </c>
      <c r="L1248" t="s">
        <v>127</v>
      </c>
      <c r="M1248" t="s">
        <v>78</v>
      </c>
      <c r="N1248">
        <v>0</v>
      </c>
      <c r="O1248" t="s">
        <v>27</v>
      </c>
      <c r="S1248" s="3">
        <v>8250</v>
      </c>
      <c r="T1248" s="2">
        <v>12169.6064453125</v>
      </c>
      <c r="U1248" s="2">
        <v>11928.53100033822</v>
      </c>
      <c r="V1248" s="2">
        <v>10427.88487824527</v>
      </c>
      <c r="W1248" s="2">
        <v>12418.2509765625</v>
      </c>
      <c r="X1248" s="4">
        <f t="shared" si="76"/>
        <v>0.67791838931469661</v>
      </c>
      <c r="Y1248" s="4">
        <f t="shared" si="77"/>
        <v>0.69161911049785429</v>
      </c>
      <c r="Z1248" s="4">
        <f t="shared" si="78"/>
        <v>0.79114797452465269</v>
      </c>
      <c r="AA1248" s="4">
        <f t="shared" si="79"/>
        <v>0.66434476284708532</v>
      </c>
    </row>
    <row r="1249" spans="1:27" x14ac:dyDescent="0.3">
      <c r="A1249" t="s">
        <v>461</v>
      </c>
      <c r="B1249">
        <v>106377</v>
      </c>
      <c r="C1249">
        <v>2017</v>
      </c>
      <c r="D1249" t="s">
        <v>100</v>
      </c>
      <c r="E1249" t="s">
        <v>192</v>
      </c>
      <c r="F1249">
        <v>4</v>
      </c>
      <c r="G1249" t="s">
        <v>36</v>
      </c>
      <c r="H1249">
        <v>4</v>
      </c>
      <c r="I1249" t="s">
        <v>23</v>
      </c>
      <c r="J1249" t="s">
        <v>31</v>
      </c>
      <c r="K1249" t="s">
        <v>27</v>
      </c>
      <c r="L1249" t="s">
        <v>32</v>
      </c>
      <c r="M1249" t="s">
        <v>33</v>
      </c>
      <c r="N1249">
        <v>1.9</v>
      </c>
      <c r="O1249" t="s">
        <v>27</v>
      </c>
      <c r="S1249" s="3">
        <v>2100</v>
      </c>
      <c r="T1249" s="2">
        <v>2449.998046875</v>
      </c>
      <c r="U1249" s="2">
        <v>3677.199211763394</v>
      </c>
      <c r="V1249" s="2">
        <v>5016.6566925994293</v>
      </c>
      <c r="W1249" s="2">
        <v>3591.782470703125</v>
      </c>
      <c r="X1249" s="4">
        <f t="shared" si="76"/>
        <v>0.85714354045243979</v>
      </c>
      <c r="Y1249" s="4">
        <f t="shared" si="77"/>
        <v>0.57108681881636458</v>
      </c>
      <c r="Z1249" s="4">
        <f t="shared" si="78"/>
        <v>0.41860548342841947</v>
      </c>
      <c r="AA1249" s="4">
        <f t="shared" si="79"/>
        <v>0.58466792383139654</v>
      </c>
    </row>
    <row r="1250" spans="1:27" x14ac:dyDescent="0.3">
      <c r="A1250" t="s">
        <v>461</v>
      </c>
      <c r="B1250">
        <v>110915</v>
      </c>
      <c r="C1250">
        <v>2018</v>
      </c>
      <c r="D1250" t="s">
        <v>81</v>
      </c>
      <c r="E1250" t="s">
        <v>207</v>
      </c>
      <c r="F1250">
        <v>6</v>
      </c>
      <c r="G1250" t="s">
        <v>66</v>
      </c>
      <c r="H1250">
        <v>4</v>
      </c>
      <c r="I1250" t="s">
        <v>23</v>
      </c>
      <c r="J1250" t="s">
        <v>31</v>
      </c>
      <c r="L1250" t="s">
        <v>26</v>
      </c>
      <c r="M1250" t="s">
        <v>78</v>
      </c>
      <c r="N1250">
        <v>2</v>
      </c>
      <c r="O1250" t="s">
        <v>27</v>
      </c>
      <c r="S1250" s="3">
        <v>9400</v>
      </c>
      <c r="T1250" s="2">
        <v>11412.8212890625</v>
      </c>
      <c r="U1250" s="2">
        <v>10285.363268729719</v>
      </c>
      <c r="V1250" s="2">
        <v>8244.1785984528833</v>
      </c>
      <c r="W1250" s="2">
        <v>10911.041015625</v>
      </c>
      <c r="X1250" s="4">
        <f t="shared" si="76"/>
        <v>0.82363508215172954</v>
      </c>
      <c r="Y1250" s="4">
        <f t="shared" si="77"/>
        <v>0.91392007792068342</v>
      </c>
      <c r="Z1250" s="4">
        <f t="shared" si="78"/>
        <v>1.1401984913043999</v>
      </c>
      <c r="AA1250" s="4">
        <f t="shared" si="79"/>
        <v>0.86151266286496997</v>
      </c>
    </row>
    <row r="1251" spans="1:27" x14ac:dyDescent="0.3">
      <c r="A1251" t="s">
        <v>461</v>
      </c>
      <c r="B1251">
        <v>92837</v>
      </c>
      <c r="C1251">
        <v>2017</v>
      </c>
      <c r="D1251" t="s">
        <v>40</v>
      </c>
      <c r="E1251" t="s">
        <v>41</v>
      </c>
      <c r="F1251">
        <v>8</v>
      </c>
      <c r="G1251" t="s">
        <v>59</v>
      </c>
      <c r="H1251">
        <v>4</v>
      </c>
      <c r="I1251" t="s">
        <v>23</v>
      </c>
      <c r="J1251" t="s">
        <v>152</v>
      </c>
      <c r="K1251" t="s">
        <v>27</v>
      </c>
      <c r="L1251" t="s">
        <v>43</v>
      </c>
      <c r="M1251">
        <v>4</v>
      </c>
      <c r="N1251">
        <v>0</v>
      </c>
      <c r="S1251" s="3">
        <v>15250</v>
      </c>
      <c r="T1251" s="2">
        <v>18382.498046875</v>
      </c>
      <c r="U1251" s="2">
        <v>28646.91454359785</v>
      </c>
      <c r="V1251" s="2">
        <v>16848.951937010261</v>
      </c>
      <c r="W1251" s="2">
        <v>20483.705078125</v>
      </c>
      <c r="X1251" s="4">
        <f t="shared" si="76"/>
        <v>0.82959345139669305</v>
      </c>
      <c r="Y1251" s="4">
        <f t="shared" si="77"/>
        <v>0.53234354355304014</v>
      </c>
      <c r="Z1251" s="4">
        <f t="shared" si="78"/>
        <v>0.905100807279412</v>
      </c>
      <c r="AA1251" s="4">
        <f t="shared" si="79"/>
        <v>0.74449421829871054</v>
      </c>
    </row>
    <row r="1252" spans="1:27" x14ac:dyDescent="0.3">
      <c r="A1252" t="s">
        <v>461</v>
      </c>
      <c r="B1252">
        <v>131040</v>
      </c>
      <c r="C1252">
        <v>2013</v>
      </c>
      <c r="D1252" t="s">
        <v>44</v>
      </c>
      <c r="E1252" t="s">
        <v>182</v>
      </c>
      <c r="F1252">
        <v>8</v>
      </c>
      <c r="G1252" t="s">
        <v>59</v>
      </c>
      <c r="H1252">
        <v>2</v>
      </c>
      <c r="I1252" t="s">
        <v>337</v>
      </c>
      <c r="J1252" t="s">
        <v>183</v>
      </c>
      <c r="L1252" t="s">
        <v>48</v>
      </c>
      <c r="M1252" t="s">
        <v>78</v>
      </c>
      <c r="N1252">
        <v>0</v>
      </c>
      <c r="O1252" t="s">
        <v>27</v>
      </c>
      <c r="S1252" s="3">
        <v>9000</v>
      </c>
      <c r="T1252" s="2">
        <v>10468.1171875</v>
      </c>
      <c r="U1252" s="2">
        <v>16811.475592791641</v>
      </c>
      <c r="V1252" s="2">
        <v>9461.4166667786794</v>
      </c>
      <c r="W1252" s="2">
        <v>11719.87890625</v>
      </c>
      <c r="X1252" s="4">
        <f t="shared" si="76"/>
        <v>0.85975346270931308</v>
      </c>
      <c r="Y1252" s="4">
        <f t="shared" si="77"/>
        <v>0.53534860460785394</v>
      </c>
      <c r="Z1252" s="4">
        <f t="shared" si="78"/>
        <v>0.9512317570371015</v>
      </c>
      <c r="AA1252" s="4">
        <f t="shared" si="79"/>
        <v>0.76792602312643887</v>
      </c>
    </row>
    <row r="1253" spans="1:27" x14ac:dyDescent="0.3">
      <c r="A1253" t="s">
        <v>461</v>
      </c>
      <c r="B1253">
        <v>105317</v>
      </c>
      <c r="C1253">
        <v>2018</v>
      </c>
      <c r="D1253" t="s">
        <v>54</v>
      </c>
      <c r="E1253" t="s">
        <v>180</v>
      </c>
      <c r="F1253">
        <v>4</v>
      </c>
      <c r="G1253" t="s">
        <v>66</v>
      </c>
      <c r="H1253">
        <v>4</v>
      </c>
      <c r="I1253" t="s">
        <v>23</v>
      </c>
      <c r="J1253" t="s">
        <v>24</v>
      </c>
      <c r="L1253" t="s">
        <v>60</v>
      </c>
      <c r="M1253" t="s">
        <v>33</v>
      </c>
      <c r="N1253">
        <v>0</v>
      </c>
      <c r="O1253" t="s">
        <v>27</v>
      </c>
      <c r="S1253" s="3">
        <v>4250</v>
      </c>
      <c r="T1253" s="2">
        <v>11880.0419921875</v>
      </c>
      <c r="U1253" s="2">
        <v>10632.55109101272</v>
      </c>
      <c r="V1253" s="2">
        <v>8897.1223823218425</v>
      </c>
      <c r="W1253" s="2">
        <v>10692.1376953125</v>
      </c>
      <c r="X1253" s="4">
        <f t="shared" si="76"/>
        <v>0.35774284323194028</v>
      </c>
      <c r="Y1253" s="4">
        <f t="shared" si="77"/>
        <v>0.39971592552161439</v>
      </c>
      <c r="Z1253" s="4">
        <f t="shared" si="78"/>
        <v>0.47768253794558868</v>
      </c>
      <c r="AA1253" s="4">
        <f t="shared" si="79"/>
        <v>0.39748833405533363</v>
      </c>
    </row>
    <row r="1254" spans="1:27" x14ac:dyDescent="0.3">
      <c r="A1254" t="s">
        <v>461</v>
      </c>
      <c r="B1254">
        <v>217168</v>
      </c>
      <c r="C1254">
        <v>2010</v>
      </c>
      <c r="D1254" t="s">
        <v>187</v>
      </c>
      <c r="E1254" t="s">
        <v>411</v>
      </c>
      <c r="F1254">
        <v>4</v>
      </c>
      <c r="G1254" t="s">
        <v>30</v>
      </c>
      <c r="H1254">
        <v>4</v>
      </c>
      <c r="I1254" t="s">
        <v>23</v>
      </c>
      <c r="J1254" t="s">
        <v>52</v>
      </c>
      <c r="K1254" t="s">
        <v>27</v>
      </c>
      <c r="L1254" t="s">
        <v>102</v>
      </c>
      <c r="M1254" t="s">
        <v>23</v>
      </c>
      <c r="N1254">
        <v>0</v>
      </c>
      <c r="O1254" t="s">
        <v>27</v>
      </c>
      <c r="S1254" s="3">
        <v>1250</v>
      </c>
      <c r="T1254" s="2">
        <v>2192.701171875</v>
      </c>
      <c r="U1254" s="2">
        <v>1622.2488904394361</v>
      </c>
      <c r="V1254" s="2">
        <v>1661.4903152110419</v>
      </c>
      <c r="W1254" s="2">
        <v>1701.121948242188</v>
      </c>
      <c r="X1254" s="4">
        <f t="shared" si="76"/>
        <v>0.57007312078513317</v>
      </c>
      <c r="Y1254" s="4">
        <f t="shared" si="77"/>
        <v>0.7705352781356497</v>
      </c>
      <c r="Z1254" s="4">
        <f t="shared" si="78"/>
        <v>0.75233661524005058</v>
      </c>
      <c r="AA1254" s="4">
        <f t="shared" si="79"/>
        <v>0.7348091659693512</v>
      </c>
    </row>
    <row r="1255" spans="1:27" x14ac:dyDescent="0.3">
      <c r="A1255" t="s">
        <v>461</v>
      </c>
      <c r="B1255">
        <v>122335</v>
      </c>
      <c r="C1255">
        <v>2014</v>
      </c>
      <c r="D1255" t="s">
        <v>40</v>
      </c>
      <c r="E1255" t="s">
        <v>496</v>
      </c>
      <c r="F1255">
        <v>4</v>
      </c>
      <c r="G1255" t="s">
        <v>30</v>
      </c>
      <c r="H1255">
        <v>4</v>
      </c>
      <c r="I1255" t="s">
        <v>23</v>
      </c>
      <c r="J1255" t="s">
        <v>31</v>
      </c>
      <c r="K1255" t="s">
        <v>27</v>
      </c>
      <c r="L1255" t="s">
        <v>32</v>
      </c>
      <c r="M1255" t="s">
        <v>33</v>
      </c>
      <c r="N1255">
        <v>0</v>
      </c>
      <c r="O1255" t="s">
        <v>27</v>
      </c>
      <c r="S1255" s="3">
        <v>3000</v>
      </c>
      <c r="T1255" s="2">
        <v>4398.6962890625</v>
      </c>
      <c r="U1255" s="2">
        <v>3664.6674979039012</v>
      </c>
      <c r="V1255" s="2">
        <v>3460.4427914123362</v>
      </c>
      <c r="W1255" s="2">
        <v>4176.85400390625</v>
      </c>
      <c r="X1255" s="4">
        <f t="shared" si="76"/>
        <v>0.68202026301738461</v>
      </c>
      <c r="Y1255" s="4">
        <f t="shared" si="77"/>
        <v>0.81862815704724246</v>
      </c>
      <c r="Z1255" s="4">
        <f t="shared" si="78"/>
        <v>0.8669410768601632</v>
      </c>
      <c r="AA1255" s="4">
        <f t="shared" si="79"/>
        <v>0.71824392166792517</v>
      </c>
    </row>
    <row r="1256" spans="1:27" x14ac:dyDescent="0.3">
      <c r="A1256" t="s">
        <v>461</v>
      </c>
      <c r="B1256">
        <v>1</v>
      </c>
      <c r="C1256">
        <v>2014</v>
      </c>
      <c r="D1256" t="s">
        <v>28</v>
      </c>
      <c r="E1256" t="s">
        <v>289</v>
      </c>
      <c r="F1256">
        <v>4</v>
      </c>
      <c r="G1256" t="s">
        <v>22</v>
      </c>
      <c r="H1256">
        <v>4</v>
      </c>
      <c r="I1256" t="s">
        <v>23</v>
      </c>
      <c r="J1256" t="s">
        <v>31</v>
      </c>
      <c r="K1256" t="s">
        <v>27</v>
      </c>
      <c r="L1256" t="s">
        <v>32</v>
      </c>
      <c r="M1256" t="s">
        <v>33</v>
      </c>
      <c r="N1256">
        <v>0</v>
      </c>
      <c r="O1256" t="s">
        <v>123</v>
      </c>
      <c r="S1256" s="3">
        <v>2600</v>
      </c>
      <c r="T1256" s="2">
        <v>19020.095703125</v>
      </c>
      <c r="U1256" s="2">
        <v>10927.326716728139</v>
      </c>
      <c r="V1256" s="2">
        <v>17530.259230020081</v>
      </c>
      <c r="W1256" s="2">
        <v>8620.7060546875</v>
      </c>
      <c r="X1256" s="4">
        <f t="shared" si="76"/>
        <v>0.1366975245856844</v>
      </c>
      <c r="Y1256" s="4">
        <f t="shared" si="77"/>
        <v>0.23793559645469189</v>
      </c>
      <c r="Z1256" s="4">
        <f t="shared" si="78"/>
        <v>0.14831497731348844</v>
      </c>
      <c r="AA1256" s="4">
        <f t="shared" si="79"/>
        <v>0.30159942625421648</v>
      </c>
    </row>
    <row r="1257" spans="1:27" x14ac:dyDescent="0.3">
      <c r="A1257" t="s">
        <v>461</v>
      </c>
      <c r="B1257">
        <v>87038</v>
      </c>
      <c r="C1257">
        <v>2022</v>
      </c>
      <c r="D1257" t="s">
        <v>20</v>
      </c>
      <c r="E1257" t="s">
        <v>151</v>
      </c>
      <c r="F1257">
        <v>8</v>
      </c>
      <c r="G1257" t="s">
        <v>59</v>
      </c>
      <c r="H1257">
        <v>4</v>
      </c>
      <c r="I1257" t="s">
        <v>23</v>
      </c>
      <c r="J1257" t="s">
        <v>42</v>
      </c>
      <c r="K1257" t="s">
        <v>27</v>
      </c>
      <c r="L1257" t="s">
        <v>43</v>
      </c>
      <c r="M1257" t="s">
        <v>78</v>
      </c>
      <c r="N1257">
        <v>0</v>
      </c>
      <c r="O1257" t="s">
        <v>27</v>
      </c>
      <c r="S1257" s="3">
        <v>33000</v>
      </c>
      <c r="T1257" s="2">
        <v>51552.89453125</v>
      </c>
      <c r="U1257" s="2">
        <v>52521.305169594889</v>
      </c>
      <c r="V1257" s="2">
        <v>33521.205662359338</v>
      </c>
      <c r="W1257" s="2">
        <v>48773.40234375</v>
      </c>
      <c r="X1257" s="4">
        <f t="shared" si="76"/>
        <v>0.64011924645659368</v>
      </c>
      <c r="Y1257" s="4">
        <f t="shared" si="77"/>
        <v>0.62831644974245671</v>
      </c>
      <c r="Z1257" s="4">
        <f t="shared" si="78"/>
        <v>0.98445146431756791</v>
      </c>
      <c r="AA1257" s="4">
        <f t="shared" si="79"/>
        <v>0.67659827722124743</v>
      </c>
    </row>
    <row r="1258" spans="1:27" x14ac:dyDescent="0.3">
      <c r="A1258" t="s">
        <v>461</v>
      </c>
      <c r="B1258">
        <v>97053</v>
      </c>
      <c r="C1258">
        <v>2021</v>
      </c>
      <c r="D1258" t="s">
        <v>20</v>
      </c>
      <c r="E1258" t="s">
        <v>453</v>
      </c>
      <c r="F1258">
        <v>8</v>
      </c>
      <c r="G1258" t="s">
        <v>47</v>
      </c>
      <c r="H1258">
        <v>4</v>
      </c>
      <c r="I1258" t="s">
        <v>23</v>
      </c>
      <c r="J1258" t="s">
        <v>152</v>
      </c>
      <c r="L1258" t="s">
        <v>130</v>
      </c>
      <c r="M1258" t="s">
        <v>78</v>
      </c>
      <c r="N1258">
        <v>0</v>
      </c>
      <c r="O1258" t="s">
        <v>27</v>
      </c>
      <c r="S1258" s="3">
        <v>18500</v>
      </c>
      <c r="T1258" s="2">
        <v>33159.3203125</v>
      </c>
      <c r="U1258" s="2">
        <v>40741.163673304829</v>
      </c>
      <c r="V1258" s="2">
        <v>32514.057593312071</v>
      </c>
      <c r="W1258" s="2">
        <v>26919.783203125</v>
      </c>
      <c r="X1258" s="4">
        <f t="shared" si="76"/>
        <v>0.55791252129574243</v>
      </c>
      <c r="Y1258" s="4">
        <f t="shared" si="77"/>
        <v>0.45408619518941007</v>
      </c>
      <c r="Z1258" s="4">
        <f t="shared" si="78"/>
        <v>0.56898465984772473</v>
      </c>
      <c r="AA1258" s="4">
        <f t="shared" si="79"/>
        <v>0.6872269312277528</v>
      </c>
    </row>
    <row r="1259" spans="1:27" x14ac:dyDescent="0.3">
      <c r="A1259" t="s">
        <v>461</v>
      </c>
      <c r="B1259">
        <v>71064</v>
      </c>
      <c r="C1259">
        <v>2023</v>
      </c>
      <c r="D1259" t="s">
        <v>20</v>
      </c>
      <c r="E1259" t="s">
        <v>151</v>
      </c>
      <c r="F1259">
        <v>6</v>
      </c>
      <c r="G1259" t="s">
        <v>59</v>
      </c>
      <c r="H1259">
        <v>4</v>
      </c>
      <c r="I1259" t="s">
        <v>23</v>
      </c>
      <c r="J1259" t="s">
        <v>42</v>
      </c>
      <c r="K1259" t="s">
        <v>27</v>
      </c>
      <c r="L1259" t="s">
        <v>218</v>
      </c>
      <c r="M1259">
        <v>4</v>
      </c>
      <c r="N1259">
        <v>0</v>
      </c>
      <c r="O1259" t="s">
        <v>27</v>
      </c>
      <c r="S1259" s="3">
        <v>40500</v>
      </c>
      <c r="T1259" s="2">
        <v>35349.08984375</v>
      </c>
      <c r="U1259" s="2">
        <v>38750.554451384327</v>
      </c>
      <c r="V1259" s="2">
        <v>49629.982474189397</v>
      </c>
      <c r="W1259" s="2">
        <v>40993.1640625</v>
      </c>
      <c r="X1259" s="4">
        <f t="shared" si="76"/>
        <v>1.1457154959015365</v>
      </c>
      <c r="Y1259" s="4">
        <f t="shared" si="77"/>
        <v>1.045146335926896</v>
      </c>
      <c r="Z1259" s="4">
        <f t="shared" si="78"/>
        <v>0.8160389744457891</v>
      </c>
      <c r="AA1259" s="4">
        <f t="shared" si="79"/>
        <v>0.98796960240131504</v>
      </c>
    </row>
    <row r="1260" spans="1:27" x14ac:dyDescent="0.3">
      <c r="A1260" t="s">
        <v>461</v>
      </c>
      <c r="B1260">
        <v>134595</v>
      </c>
      <c r="C1260">
        <v>2012</v>
      </c>
      <c r="D1260" t="s">
        <v>324</v>
      </c>
      <c r="E1260" t="s">
        <v>381</v>
      </c>
      <c r="F1260">
        <v>6</v>
      </c>
      <c r="G1260" t="s">
        <v>36</v>
      </c>
      <c r="H1260">
        <v>4</v>
      </c>
      <c r="I1260" t="s">
        <v>23</v>
      </c>
      <c r="J1260" t="s">
        <v>24</v>
      </c>
      <c r="K1260" t="s">
        <v>27</v>
      </c>
      <c r="L1260" t="s">
        <v>26</v>
      </c>
      <c r="M1260" t="s">
        <v>33</v>
      </c>
      <c r="N1260">
        <v>0</v>
      </c>
      <c r="O1260" t="s">
        <v>27</v>
      </c>
      <c r="S1260" s="3">
        <v>6100</v>
      </c>
      <c r="T1260" s="2">
        <v>5507.32177734375</v>
      </c>
      <c r="U1260" s="2">
        <v>4979.1979943926772</v>
      </c>
      <c r="V1260" s="2">
        <v>4840.2122819611768</v>
      </c>
      <c r="W1260" s="2">
        <v>4928.08740234375</v>
      </c>
      <c r="X1260" s="4">
        <f t="shared" si="76"/>
        <v>1.1076164144057161</v>
      </c>
      <c r="Y1260" s="4">
        <f t="shared" si="77"/>
        <v>1.2250968944937546</v>
      </c>
      <c r="Z1260" s="4">
        <f t="shared" si="78"/>
        <v>1.2602753029518732</v>
      </c>
      <c r="AA1260" s="4">
        <f t="shared" si="79"/>
        <v>1.2378027218224457</v>
      </c>
    </row>
    <row r="1261" spans="1:27" x14ac:dyDescent="0.3">
      <c r="A1261" t="s">
        <v>461</v>
      </c>
      <c r="B1261">
        <v>98892</v>
      </c>
      <c r="C1261">
        <v>2019</v>
      </c>
      <c r="D1261" t="s">
        <v>40</v>
      </c>
      <c r="E1261" t="s">
        <v>146</v>
      </c>
      <c r="F1261">
        <v>8</v>
      </c>
      <c r="G1261" t="s">
        <v>30</v>
      </c>
      <c r="H1261">
        <v>4</v>
      </c>
      <c r="I1261" t="s">
        <v>23</v>
      </c>
      <c r="J1261" t="s">
        <v>24</v>
      </c>
      <c r="K1261" t="s">
        <v>27</v>
      </c>
      <c r="L1261" t="s">
        <v>43</v>
      </c>
      <c r="M1261">
        <v>4</v>
      </c>
      <c r="N1261">
        <v>0</v>
      </c>
      <c r="O1261" t="s">
        <v>27</v>
      </c>
      <c r="S1261" s="3">
        <v>25000</v>
      </c>
      <c r="T1261" s="2">
        <v>24837.759765625</v>
      </c>
      <c r="U1261" s="2">
        <v>32946.273680549974</v>
      </c>
      <c r="V1261" s="2">
        <v>24573.069105543898</v>
      </c>
      <c r="W1261" s="2">
        <v>34881.67578125</v>
      </c>
      <c r="X1261" s="4">
        <f t="shared" si="76"/>
        <v>1.006531999500194</v>
      </c>
      <c r="Y1261" s="4">
        <f t="shared" si="77"/>
        <v>0.75881115547094169</v>
      </c>
      <c r="Z1261" s="4">
        <f t="shared" si="78"/>
        <v>1.0173739345550361</v>
      </c>
      <c r="AA1261" s="4">
        <f t="shared" si="79"/>
        <v>0.71670868557978762</v>
      </c>
    </row>
    <row r="1262" spans="1:27" x14ac:dyDescent="0.3">
      <c r="A1262" t="s">
        <v>461</v>
      </c>
      <c r="B1262">
        <v>42806</v>
      </c>
      <c r="C1262">
        <v>2024</v>
      </c>
      <c r="D1262" t="s">
        <v>125</v>
      </c>
      <c r="E1262" t="s">
        <v>297</v>
      </c>
      <c r="F1262">
        <v>4</v>
      </c>
      <c r="G1262" t="s">
        <v>22</v>
      </c>
      <c r="H1262">
        <v>4</v>
      </c>
      <c r="I1262" t="s">
        <v>23</v>
      </c>
      <c r="J1262" t="s">
        <v>24</v>
      </c>
      <c r="K1262" t="s">
        <v>27</v>
      </c>
      <c r="L1262" t="s">
        <v>102</v>
      </c>
      <c r="M1262" t="s">
        <v>23</v>
      </c>
      <c r="N1262">
        <v>4.4000000000000004</v>
      </c>
      <c r="O1262" t="s">
        <v>27</v>
      </c>
      <c r="S1262" s="3">
        <v>14250</v>
      </c>
      <c r="T1262" s="2">
        <v>28549.33984375</v>
      </c>
      <c r="U1262" s="2">
        <v>28741.171332920581</v>
      </c>
      <c r="V1262" s="2">
        <v>19179.713277211711</v>
      </c>
      <c r="W1262" s="2">
        <v>30126.326171875</v>
      </c>
      <c r="X1262" s="4">
        <f t="shared" si="76"/>
        <v>0.49913588468209708</v>
      </c>
      <c r="Y1262" s="4">
        <f t="shared" si="77"/>
        <v>0.49580442755573534</v>
      </c>
      <c r="Z1262" s="4">
        <f t="shared" si="78"/>
        <v>0.74297252487768273</v>
      </c>
      <c r="AA1262" s="4">
        <f t="shared" si="79"/>
        <v>0.47300822273189608</v>
      </c>
    </row>
    <row r="1263" spans="1:27" x14ac:dyDescent="0.3">
      <c r="A1263" t="s">
        <v>461</v>
      </c>
      <c r="B1263">
        <v>103261</v>
      </c>
      <c r="C1263">
        <v>2018</v>
      </c>
      <c r="D1263" t="s">
        <v>28</v>
      </c>
      <c r="E1263" t="s">
        <v>137</v>
      </c>
      <c r="F1263">
        <v>4</v>
      </c>
      <c r="G1263" t="s">
        <v>59</v>
      </c>
      <c r="H1263">
        <v>4</v>
      </c>
      <c r="I1263" t="s">
        <v>23</v>
      </c>
      <c r="J1263" t="s">
        <v>31</v>
      </c>
      <c r="K1263" t="s">
        <v>27</v>
      </c>
      <c r="L1263" t="s">
        <v>107</v>
      </c>
      <c r="M1263" t="s">
        <v>33</v>
      </c>
      <c r="N1263">
        <v>4</v>
      </c>
      <c r="O1263" t="s">
        <v>27</v>
      </c>
      <c r="S1263" s="3">
        <v>14000</v>
      </c>
      <c r="T1263" s="2">
        <v>14810.0009765625</v>
      </c>
      <c r="U1263" s="2">
        <v>14126.26184627086</v>
      </c>
      <c r="V1263" s="2">
        <v>13781.93219479684</v>
      </c>
      <c r="W1263" s="2">
        <v>14918.7314453125</v>
      </c>
      <c r="X1263" s="4">
        <f t="shared" si="76"/>
        <v>0.94530716251508939</v>
      </c>
      <c r="Y1263" s="4">
        <f t="shared" si="77"/>
        <v>0.99106190670646599</v>
      </c>
      <c r="Z1263" s="4">
        <f t="shared" si="78"/>
        <v>1.0158227309582533</v>
      </c>
      <c r="AA1263" s="4">
        <f t="shared" si="79"/>
        <v>0.93841758941232445</v>
      </c>
    </row>
    <row r="1264" spans="1:27" x14ac:dyDescent="0.3">
      <c r="A1264" t="s">
        <v>461</v>
      </c>
      <c r="B1264">
        <v>20978</v>
      </c>
      <c r="C1264">
        <v>2025</v>
      </c>
      <c r="D1264" t="s">
        <v>125</v>
      </c>
      <c r="E1264" t="s">
        <v>297</v>
      </c>
      <c r="F1264">
        <v>4</v>
      </c>
      <c r="G1264" t="s">
        <v>36</v>
      </c>
      <c r="H1264">
        <v>4</v>
      </c>
      <c r="I1264" t="s">
        <v>23</v>
      </c>
      <c r="J1264" t="s">
        <v>24</v>
      </c>
      <c r="K1264" t="s">
        <v>27</v>
      </c>
      <c r="L1264" t="s">
        <v>102</v>
      </c>
      <c r="M1264" t="s">
        <v>33</v>
      </c>
      <c r="N1264">
        <v>4.9000000000000004</v>
      </c>
      <c r="O1264" t="s">
        <v>27</v>
      </c>
      <c r="S1264" s="3">
        <v>22500</v>
      </c>
      <c r="T1264" s="2">
        <v>30833.0625</v>
      </c>
      <c r="U1264" s="2">
        <v>31020.656467664969</v>
      </c>
      <c r="V1264" s="2">
        <v>24475.351969448649</v>
      </c>
      <c r="W1264" s="2">
        <v>29289.935546875</v>
      </c>
      <c r="X1264" s="4">
        <f t="shared" si="76"/>
        <v>0.72973613957419892</v>
      </c>
      <c r="Y1264" s="4">
        <f t="shared" si="77"/>
        <v>0.72532314148326771</v>
      </c>
      <c r="Z1264" s="4">
        <f t="shared" si="78"/>
        <v>0.91929219355397296</v>
      </c>
      <c r="AA1264" s="4">
        <f t="shared" si="79"/>
        <v>0.76818195669947686</v>
      </c>
    </row>
    <row r="1265" spans="1:27" x14ac:dyDescent="0.3">
      <c r="A1265" t="s">
        <v>461</v>
      </c>
      <c r="B1265">
        <v>116573</v>
      </c>
      <c r="C1265">
        <v>2016</v>
      </c>
      <c r="D1265" t="s">
        <v>159</v>
      </c>
      <c r="E1265" t="s">
        <v>361</v>
      </c>
      <c r="F1265">
        <v>6</v>
      </c>
      <c r="G1265" t="s">
        <v>30</v>
      </c>
      <c r="H1265">
        <v>4</v>
      </c>
      <c r="I1265" t="s">
        <v>23</v>
      </c>
      <c r="J1265" t="s">
        <v>62</v>
      </c>
      <c r="K1265" t="s">
        <v>27</v>
      </c>
      <c r="L1265" t="s">
        <v>198</v>
      </c>
      <c r="M1265" t="s">
        <v>33</v>
      </c>
      <c r="N1265">
        <v>0</v>
      </c>
      <c r="O1265" t="s">
        <v>27</v>
      </c>
      <c r="S1265" s="3">
        <v>6750</v>
      </c>
      <c r="T1265" s="2">
        <v>7710.734375</v>
      </c>
      <c r="U1265" s="2">
        <v>8128.8573193261846</v>
      </c>
      <c r="V1265" s="2">
        <v>7816.0811771316239</v>
      </c>
      <c r="W1265" s="2">
        <v>8478.4892578125</v>
      </c>
      <c r="X1265" s="4">
        <f t="shared" si="76"/>
        <v>0.87540299947111067</v>
      </c>
      <c r="Y1265" s="4">
        <f t="shared" si="77"/>
        <v>0.83037501272805214</v>
      </c>
      <c r="Z1265" s="4">
        <f t="shared" si="78"/>
        <v>0.86360413192089458</v>
      </c>
      <c r="AA1265" s="4">
        <f t="shared" si="79"/>
        <v>0.79613239985887996</v>
      </c>
    </row>
    <row r="1266" spans="1:27" x14ac:dyDescent="0.3">
      <c r="A1266" t="s">
        <v>461</v>
      </c>
      <c r="B1266">
        <v>150138</v>
      </c>
      <c r="C1266">
        <v>2013</v>
      </c>
      <c r="D1266" t="s">
        <v>384</v>
      </c>
      <c r="E1266" t="s">
        <v>534</v>
      </c>
      <c r="F1266">
        <v>4</v>
      </c>
      <c r="G1266" t="s">
        <v>30</v>
      </c>
      <c r="H1266">
        <v>2</v>
      </c>
      <c r="I1266" t="s">
        <v>23</v>
      </c>
      <c r="J1266" t="s">
        <v>183</v>
      </c>
      <c r="L1266" t="s">
        <v>128</v>
      </c>
      <c r="M1266" t="s">
        <v>33</v>
      </c>
      <c r="N1266">
        <v>0</v>
      </c>
      <c r="O1266" t="s">
        <v>27</v>
      </c>
      <c r="S1266" s="3">
        <v>2800</v>
      </c>
      <c r="T1266" s="2">
        <v>3442.57421875</v>
      </c>
      <c r="U1266" s="2">
        <v>2953.0125124529618</v>
      </c>
      <c r="V1266" s="2">
        <v>3022.582506056925</v>
      </c>
      <c r="W1266" s="2">
        <v>3672.2880859375</v>
      </c>
      <c r="X1266" s="4">
        <f t="shared" si="76"/>
        <v>0.81334484664115125</v>
      </c>
      <c r="Y1266" s="4">
        <f t="shared" si="77"/>
        <v>0.94818426545512335</v>
      </c>
      <c r="Z1266" s="4">
        <f t="shared" si="78"/>
        <v>0.92636015539331218</v>
      </c>
      <c r="AA1266" s="4">
        <f t="shared" si="79"/>
        <v>0.76246741390529738</v>
      </c>
    </row>
    <row r="1267" spans="1:27" x14ac:dyDescent="0.3">
      <c r="A1267" t="s">
        <v>461</v>
      </c>
      <c r="B1267">
        <v>104918</v>
      </c>
      <c r="C1267">
        <v>2018</v>
      </c>
      <c r="D1267" t="s">
        <v>324</v>
      </c>
      <c r="E1267" t="s">
        <v>535</v>
      </c>
      <c r="F1267">
        <v>6</v>
      </c>
      <c r="G1267" t="s">
        <v>36</v>
      </c>
      <c r="H1267">
        <v>4</v>
      </c>
      <c r="I1267" t="s">
        <v>23</v>
      </c>
      <c r="J1267" t="s">
        <v>31</v>
      </c>
      <c r="K1267" t="s">
        <v>27</v>
      </c>
      <c r="L1267" t="s">
        <v>218</v>
      </c>
      <c r="M1267" t="s">
        <v>23</v>
      </c>
      <c r="N1267">
        <v>0</v>
      </c>
      <c r="O1267" t="s">
        <v>27</v>
      </c>
      <c r="S1267" s="3">
        <v>19250</v>
      </c>
      <c r="T1267" s="2">
        <v>17822.78515625</v>
      </c>
      <c r="U1267" s="2">
        <v>17464.85635631474</v>
      </c>
      <c r="V1267" s="2">
        <v>16549.257252837921</v>
      </c>
      <c r="W1267" s="2">
        <v>16062.708984375</v>
      </c>
      <c r="X1267" s="4">
        <f t="shared" si="76"/>
        <v>1.0800781040245842</v>
      </c>
      <c r="Y1267" s="4">
        <f t="shared" si="77"/>
        <v>1.102213474148604</v>
      </c>
      <c r="Z1267" s="4">
        <f t="shared" si="78"/>
        <v>1.1631941969298318</v>
      </c>
      <c r="AA1267" s="4">
        <f t="shared" si="79"/>
        <v>1.1984279873790553</v>
      </c>
    </row>
    <row r="1268" spans="1:27" x14ac:dyDescent="0.3">
      <c r="A1268" t="s">
        <v>461</v>
      </c>
      <c r="B1268">
        <v>52254</v>
      </c>
      <c r="C1268">
        <v>2023</v>
      </c>
      <c r="D1268" t="s">
        <v>71</v>
      </c>
      <c r="E1268" t="s">
        <v>170</v>
      </c>
      <c r="F1268">
        <v>6</v>
      </c>
      <c r="G1268" t="s">
        <v>47</v>
      </c>
      <c r="H1268">
        <v>4</v>
      </c>
      <c r="I1268" t="s">
        <v>23</v>
      </c>
      <c r="J1268" t="s">
        <v>24</v>
      </c>
      <c r="K1268" t="s">
        <v>27</v>
      </c>
      <c r="L1268" t="s">
        <v>26</v>
      </c>
      <c r="M1268" t="s">
        <v>33</v>
      </c>
      <c r="N1268">
        <v>4.8</v>
      </c>
      <c r="O1268" t="s">
        <v>27</v>
      </c>
      <c r="S1268" s="3">
        <v>27500</v>
      </c>
      <c r="T1268" s="2">
        <v>35209.96484375</v>
      </c>
      <c r="U1268" s="2">
        <v>34720.468391492293</v>
      </c>
      <c r="V1268" s="2">
        <v>28770.77736445592</v>
      </c>
      <c r="W1268" s="2">
        <v>34337.75</v>
      </c>
      <c r="X1268" s="4">
        <f t="shared" si="76"/>
        <v>0.7810288968488257</v>
      </c>
      <c r="Y1268" s="4">
        <f t="shared" si="77"/>
        <v>0.79204000619814341</v>
      </c>
      <c r="Z1268" s="4">
        <f t="shared" si="78"/>
        <v>0.95583096875144336</v>
      </c>
      <c r="AA1268" s="4">
        <f t="shared" si="79"/>
        <v>0.80086784952421164</v>
      </c>
    </row>
    <row r="1269" spans="1:27" x14ac:dyDescent="0.3">
      <c r="A1269" t="s">
        <v>461</v>
      </c>
      <c r="B1269">
        <v>143645</v>
      </c>
      <c r="C1269">
        <v>2014</v>
      </c>
      <c r="D1269" t="s">
        <v>44</v>
      </c>
      <c r="E1269" t="s">
        <v>45</v>
      </c>
      <c r="F1269">
        <v>8</v>
      </c>
      <c r="G1269" t="s">
        <v>47</v>
      </c>
      <c r="H1269">
        <v>4</v>
      </c>
      <c r="I1269" t="s">
        <v>23</v>
      </c>
      <c r="J1269" t="s">
        <v>46</v>
      </c>
      <c r="K1269" t="s">
        <v>27</v>
      </c>
      <c r="L1269" t="s">
        <v>48</v>
      </c>
      <c r="M1269" t="s">
        <v>78</v>
      </c>
      <c r="N1269">
        <v>0</v>
      </c>
      <c r="O1269" t="s">
        <v>27</v>
      </c>
      <c r="S1269" s="3">
        <v>4000</v>
      </c>
      <c r="T1269" s="2">
        <v>9566.5185546875</v>
      </c>
      <c r="U1269" s="2">
        <v>16701.546480475121</v>
      </c>
      <c r="V1269" s="2">
        <v>6442.0522389837242</v>
      </c>
      <c r="W1269" s="2">
        <v>10058.302734375</v>
      </c>
      <c r="X1269" s="4">
        <f t="shared" si="76"/>
        <v>0.41812494034624953</v>
      </c>
      <c r="Y1269" s="4">
        <f t="shared" si="77"/>
        <v>0.23949877962955016</v>
      </c>
      <c r="Z1269" s="4">
        <f t="shared" si="78"/>
        <v>0.62092014339688528</v>
      </c>
      <c r="AA1269" s="4">
        <f t="shared" si="79"/>
        <v>0.39768140864658025</v>
      </c>
    </row>
    <row r="1270" spans="1:27" x14ac:dyDescent="0.3">
      <c r="A1270" t="s">
        <v>461</v>
      </c>
      <c r="B1270">
        <v>142469</v>
      </c>
      <c r="C1270">
        <v>2018</v>
      </c>
      <c r="D1270" t="s">
        <v>90</v>
      </c>
      <c r="E1270" t="s">
        <v>91</v>
      </c>
      <c r="F1270">
        <v>4</v>
      </c>
      <c r="G1270" t="s">
        <v>30</v>
      </c>
      <c r="H1270">
        <v>4</v>
      </c>
      <c r="I1270" t="s">
        <v>23</v>
      </c>
      <c r="J1270" t="s">
        <v>31</v>
      </c>
      <c r="L1270" t="s">
        <v>127</v>
      </c>
      <c r="M1270" t="s">
        <v>33</v>
      </c>
      <c r="N1270">
        <v>0</v>
      </c>
      <c r="O1270" t="s">
        <v>27</v>
      </c>
      <c r="S1270" s="3">
        <v>3000</v>
      </c>
      <c r="T1270" s="2">
        <v>6003.87158203125</v>
      </c>
      <c r="U1270" s="2">
        <v>4748.6411256183019</v>
      </c>
      <c r="V1270" s="2">
        <v>5574.2316689379231</v>
      </c>
      <c r="W1270" s="2">
        <v>5776.830078125</v>
      </c>
      <c r="X1270" s="4">
        <f t="shared" si="76"/>
        <v>0.49967757621241959</v>
      </c>
      <c r="Y1270" s="4">
        <f t="shared" si="77"/>
        <v>0.63175968043055297</v>
      </c>
      <c r="Z1270" s="4">
        <f t="shared" si="78"/>
        <v>0.53819076388900788</v>
      </c>
      <c r="AA1270" s="4">
        <f t="shared" si="79"/>
        <v>0.51931594999825881</v>
      </c>
    </row>
    <row r="1271" spans="1:27" x14ac:dyDescent="0.3">
      <c r="A1271" t="s">
        <v>461</v>
      </c>
      <c r="B1271">
        <v>88276</v>
      </c>
      <c r="C1271">
        <v>2008</v>
      </c>
      <c r="D1271" t="s">
        <v>125</v>
      </c>
      <c r="E1271" t="s">
        <v>536</v>
      </c>
      <c r="F1271">
        <v>4</v>
      </c>
      <c r="G1271" t="s">
        <v>47</v>
      </c>
      <c r="H1271">
        <v>2</v>
      </c>
      <c r="I1271" t="s">
        <v>233</v>
      </c>
      <c r="J1271" t="s">
        <v>83</v>
      </c>
      <c r="K1271" t="s">
        <v>27</v>
      </c>
      <c r="L1271" t="s">
        <v>127</v>
      </c>
      <c r="M1271" t="s">
        <v>33</v>
      </c>
      <c r="N1271">
        <v>0</v>
      </c>
      <c r="O1271" t="s">
        <v>27</v>
      </c>
      <c r="S1271" s="3">
        <v>1200</v>
      </c>
      <c r="T1271" s="2">
        <v>3511.883544921875</v>
      </c>
      <c r="U1271" s="2">
        <v>3746.7347092496038</v>
      </c>
      <c r="V1271" s="2">
        <v>2476.6699955999188</v>
      </c>
      <c r="W1271" s="2">
        <v>3951.5185546875</v>
      </c>
      <c r="X1271" s="4">
        <f t="shared" si="76"/>
        <v>0.34169697959807921</v>
      </c>
      <c r="Y1271" s="4">
        <f t="shared" si="77"/>
        <v>0.32027888097802792</v>
      </c>
      <c r="Z1271" s="4">
        <f t="shared" si="78"/>
        <v>0.48452155601349156</v>
      </c>
      <c r="AA1271" s="4">
        <f t="shared" si="79"/>
        <v>0.30368072005545732</v>
      </c>
    </row>
    <row r="1272" spans="1:27" x14ac:dyDescent="0.3">
      <c r="A1272" t="s">
        <v>461</v>
      </c>
      <c r="B1272">
        <v>138355</v>
      </c>
      <c r="C1272">
        <v>2019</v>
      </c>
      <c r="D1272" t="s">
        <v>44</v>
      </c>
      <c r="E1272" t="s">
        <v>68</v>
      </c>
      <c r="F1272">
        <v>6</v>
      </c>
      <c r="G1272" t="s">
        <v>36</v>
      </c>
      <c r="H1272">
        <v>4</v>
      </c>
      <c r="I1272" t="s">
        <v>23</v>
      </c>
      <c r="J1272" t="s">
        <v>62</v>
      </c>
      <c r="K1272" t="s">
        <v>27</v>
      </c>
      <c r="L1272" t="s">
        <v>38</v>
      </c>
      <c r="M1272" t="s">
        <v>33</v>
      </c>
      <c r="N1272">
        <v>0</v>
      </c>
      <c r="O1272" t="s">
        <v>27</v>
      </c>
      <c r="S1272" s="3">
        <v>8750</v>
      </c>
      <c r="T1272" s="2">
        <v>12046.205078125</v>
      </c>
      <c r="U1272" s="2">
        <v>11280.764308562089</v>
      </c>
      <c r="V1272" s="2">
        <v>9279.7005793658063</v>
      </c>
      <c r="W1272" s="2">
        <v>12076.0263671875</v>
      </c>
      <c r="X1272" s="4">
        <f t="shared" si="76"/>
        <v>0.72636983541724187</v>
      </c>
      <c r="Y1272" s="4">
        <f t="shared" si="77"/>
        <v>0.77565666302936209</v>
      </c>
      <c r="Z1272" s="4">
        <f t="shared" si="78"/>
        <v>0.94291835444091376</v>
      </c>
      <c r="AA1272" s="4">
        <f t="shared" si="79"/>
        <v>0.7245760926603434</v>
      </c>
    </row>
    <row r="1273" spans="1:27" x14ac:dyDescent="0.3">
      <c r="A1273" t="s">
        <v>461</v>
      </c>
      <c r="B1273">
        <v>159148</v>
      </c>
      <c r="C1273">
        <v>2014</v>
      </c>
      <c r="D1273" t="s">
        <v>44</v>
      </c>
      <c r="E1273" t="s">
        <v>45</v>
      </c>
      <c r="F1273">
        <v>6</v>
      </c>
      <c r="G1273" t="s">
        <v>36</v>
      </c>
      <c r="H1273">
        <v>4</v>
      </c>
      <c r="I1273" t="s">
        <v>23</v>
      </c>
      <c r="J1273" t="s">
        <v>46</v>
      </c>
      <c r="K1273" t="s">
        <v>27</v>
      </c>
      <c r="L1273" t="s">
        <v>38</v>
      </c>
      <c r="M1273" t="s">
        <v>78</v>
      </c>
      <c r="N1273">
        <v>0</v>
      </c>
      <c r="O1273" t="s">
        <v>27</v>
      </c>
      <c r="S1273" s="3">
        <v>9000</v>
      </c>
      <c r="T1273" s="2">
        <v>7816.83056640625</v>
      </c>
      <c r="U1273" s="2">
        <v>7716.7117165515192</v>
      </c>
      <c r="V1273" s="2">
        <v>9781.0277248718794</v>
      </c>
      <c r="W1273" s="2">
        <v>8481.31640625</v>
      </c>
      <c r="X1273" s="4">
        <f t="shared" si="76"/>
        <v>1.1513617857701253</v>
      </c>
      <c r="Y1273" s="4">
        <f t="shared" si="77"/>
        <v>1.1662998866079142</v>
      </c>
      <c r="Z1273" s="4">
        <f t="shared" si="78"/>
        <v>0.92014870555107131</v>
      </c>
      <c r="AA1273" s="4">
        <f t="shared" si="79"/>
        <v>1.0611560244784377</v>
      </c>
    </row>
    <row r="1274" spans="1:27" x14ac:dyDescent="0.3">
      <c r="A1274" t="s">
        <v>461</v>
      </c>
      <c r="B1274">
        <v>187333</v>
      </c>
      <c r="C1274">
        <v>2014</v>
      </c>
      <c r="D1274" t="s">
        <v>40</v>
      </c>
      <c r="E1274" t="s">
        <v>146</v>
      </c>
      <c r="F1274">
        <v>8</v>
      </c>
      <c r="G1274" t="s">
        <v>66</v>
      </c>
      <c r="H1274">
        <v>4</v>
      </c>
      <c r="I1274" t="s">
        <v>23</v>
      </c>
      <c r="J1274" t="s">
        <v>24</v>
      </c>
      <c r="L1274" t="s">
        <v>43</v>
      </c>
      <c r="M1274" t="s">
        <v>78</v>
      </c>
      <c r="N1274">
        <v>1.9</v>
      </c>
      <c r="O1274" t="s">
        <v>27</v>
      </c>
      <c r="S1274" s="3">
        <v>4300</v>
      </c>
      <c r="T1274" s="2">
        <v>5979.76611328125</v>
      </c>
      <c r="U1274" s="2">
        <v>16349.20199286766</v>
      </c>
      <c r="V1274" s="2">
        <v>6911.8149390149511</v>
      </c>
      <c r="W1274" s="2">
        <v>8533.3115234375</v>
      </c>
      <c r="X1274" s="4">
        <f t="shared" si="76"/>
        <v>0.71909166989818607</v>
      </c>
      <c r="Y1274" s="4">
        <f t="shared" si="77"/>
        <v>0.26300977881831022</v>
      </c>
      <c r="Z1274" s="4">
        <f t="shared" si="78"/>
        <v>0.62212313812511044</v>
      </c>
      <c r="AA1274" s="4">
        <f t="shared" si="79"/>
        <v>0.50390753791065368</v>
      </c>
    </row>
    <row r="1275" spans="1:27" x14ac:dyDescent="0.3">
      <c r="A1275" t="s">
        <v>461</v>
      </c>
      <c r="B1275">
        <v>81687</v>
      </c>
      <c r="C1275">
        <v>2015</v>
      </c>
      <c r="D1275" t="s">
        <v>54</v>
      </c>
      <c r="E1275" t="s">
        <v>277</v>
      </c>
      <c r="F1275">
        <v>6</v>
      </c>
      <c r="G1275" t="s">
        <v>30</v>
      </c>
      <c r="H1275">
        <v>4</v>
      </c>
      <c r="I1275" t="s">
        <v>337</v>
      </c>
      <c r="J1275" t="s">
        <v>24</v>
      </c>
      <c r="K1275" t="s">
        <v>27</v>
      </c>
      <c r="L1275" t="s">
        <v>26</v>
      </c>
      <c r="M1275">
        <v>4</v>
      </c>
      <c r="N1275">
        <v>2.4</v>
      </c>
      <c r="O1275" t="s">
        <v>27</v>
      </c>
      <c r="S1275" s="3">
        <v>12000</v>
      </c>
      <c r="T1275" s="2">
        <v>11001.2451171875</v>
      </c>
      <c r="U1275" s="2">
        <v>14126.76325461158</v>
      </c>
      <c r="V1275" s="2">
        <v>15370.76327978247</v>
      </c>
      <c r="W1275" s="2">
        <v>11402.7529296875</v>
      </c>
      <c r="X1275" s="4">
        <f t="shared" si="76"/>
        <v>1.0907856221885395</v>
      </c>
      <c r="Y1275" s="4">
        <f t="shared" si="77"/>
        <v>0.84945148323928243</v>
      </c>
      <c r="Z1275" s="4">
        <f t="shared" si="78"/>
        <v>0.78070293462809914</v>
      </c>
      <c r="AA1275" s="4">
        <f t="shared" si="79"/>
        <v>1.0523774455164721</v>
      </c>
    </row>
    <row r="1276" spans="1:27" x14ac:dyDescent="0.3">
      <c r="A1276" t="s">
        <v>461</v>
      </c>
      <c r="B1276">
        <v>131710</v>
      </c>
      <c r="C1276">
        <v>2016</v>
      </c>
      <c r="D1276" t="s">
        <v>34</v>
      </c>
      <c r="E1276" t="s">
        <v>88</v>
      </c>
      <c r="F1276">
        <v>4</v>
      </c>
      <c r="G1276" t="s">
        <v>66</v>
      </c>
      <c r="H1276">
        <v>4</v>
      </c>
      <c r="I1276" t="s">
        <v>23</v>
      </c>
      <c r="J1276" t="s">
        <v>37</v>
      </c>
      <c r="L1276" t="s">
        <v>89</v>
      </c>
      <c r="M1276" t="s">
        <v>33</v>
      </c>
      <c r="N1276">
        <v>2.9</v>
      </c>
      <c r="O1276" t="s">
        <v>27</v>
      </c>
      <c r="S1276" s="3">
        <v>7200</v>
      </c>
      <c r="T1276" s="2">
        <v>5520.57763671875</v>
      </c>
      <c r="U1276" s="2">
        <v>5973.3330141304441</v>
      </c>
      <c r="V1276" s="2">
        <v>4326.1482371728162</v>
      </c>
      <c r="W1276" s="2">
        <v>6349.18310546875</v>
      </c>
      <c r="X1276" s="4">
        <f t="shared" si="76"/>
        <v>1.3042113477602397</v>
      </c>
      <c r="Y1276" s="4">
        <f t="shared" si="77"/>
        <v>1.2053572072690015</v>
      </c>
      <c r="Z1276" s="4">
        <f t="shared" si="78"/>
        <v>1.6642980326317427</v>
      </c>
      <c r="AA1276" s="4">
        <f t="shared" si="79"/>
        <v>1.134004151462952</v>
      </c>
    </row>
    <row r="1277" spans="1:27" x14ac:dyDescent="0.3">
      <c r="A1277" t="s">
        <v>461</v>
      </c>
      <c r="B1277">
        <v>119400</v>
      </c>
      <c r="C1277">
        <v>2009</v>
      </c>
      <c r="D1277" t="s">
        <v>54</v>
      </c>
      <c r="E1277" t="s">
        <v>206</v>
      </c>
      <c r="F1277">
        <v>6</v>
      </c>
      <c r="G1277" t="s">
        <v>36</v>
      </c>
      <c r="H1277">
        <v>2</v>
      </c>
      <c r="I1277" t="s">
        <v>23</v>
      </c>
      <c r="J1277" t="s">
        <v>24</v>
      </c>
      <c r="L1277" t="s">
        <v>143</v>
      </c>
      <c r="M1277">
        <v>4</v>
      </c>
      <c r="N1277">
        <v>0</v>
      </c>
      <c r="O1277" t="s">
        <v>27</v>
      </c>
      <c r="S1277" s="3">
        <v>3750</v>
      </c>
      <c r="T1277" s="2">
        <v>7408.26708984375</v>
      </c>
      <c r="U1277" s="2">
        <v>8858.8296454560113</v>
      </c>
      <c r="V1277" s="2">
        <v>13635.639875204781</v>
      </c>
      <c r="W1277" s="2">
        <v>8565.40625</v>
      </c>
      <c r="X1277" s="4">
        <f t="shared" si="76"/>
        <v>0.50619125289651135</v>
      </c>
      <c r="Y1277" s="4">
        <f t="shared" si="77"/>
        <v>0.42330648066175419</v>
      </c>
      <c r="Z1277" s="4">
        <f t="shared" si="78"/>
        <v>0.27501459662476474</v>
      </c>
      <c r="AA1277" s="4">
        <f t="shared" si="79"/>
        <v>0.43780760544778596</v>
      </c>
    </row>
    <row r="1278" spans="1:27" x14ac:dyDescent="0.3">
      <c r="A1278" t="s">
        <v>461</v>
      </c>
      <c r="B1278">
        <v>225727</v>
      </c>
      <c r="C1278">
        <v>2011</v>
      </c>
      <c r="D1278" t="s">
        <v>20</v>
      </c>
      <c r="E1278" t="s">
        <v>175</v>
      </c>
      <c r="F1278">
        <v>8</v>
      </c>
      <c r="G1278" t="s">
        <v>47</v>
      </c>
      <c r="H1278">
        <v>4</v>
      </c>
      <c r="I1278" t="s">
        <v>23</v>
      </c>
      <c r="J1278" t="s">
        <v>24</v>
      </c>
      <c r="L1278" t="s">
        <v>166</v>
      </c>
      <c r="M1278" t="s">
        <v>78</v>
      </c>
      <c r="N1278">
        <v>0</v>
      </c>
      <c r="O1278" t="s">
        <v>27</v>
      </c>
      <c r="S1278" s="3">
        <v>5300</v>
      </c>
      <c r="T1278" s="2">
        <v>4370.8125</v>
      </c>
      <c r="U1278" s="2">
        <v>7205.5671826152829</v>
      </c>
      <c r="V1278" s="2">
        <v>2764.6021144293632</v>
      </c>
      <c r="W1278" s="2">
        <v>5965.4619140625</v>
      </c>
      <c r="X1278" s="4">
        <f t="shared" si="76"/>
        <v>1.2125891925128338</v>
      </c>
      <c r="Y1278" s="4">
        <f t="shared" si="77"/>
        <v>0.73554237517723742</v>
      </c>
      <c r="Z1278" s="4">
        <f t="shared" si="78"/>
        <v>1.917093231006938</v>
      </c>
      <c r="AA1278" s="4">
        <f t="shared" si="79"/>
        <v>0.88844754628408684</v>
      </c>
    </row>
    <row r="1279" spans="1:27" x14ac:dyDescent="0.3">
      <c r="A1279" t="s">
        <v>461</v>
      </c>
      <c r="B1279">
        <v>125633</v>
      </c>
      <c r="C1279">
        <v>2002</v>
      </c>
      <c r="D1279" t="s">
        <v>81</v>
      </c>
      <c r="E1279" t="s">
        <v>537</v>
      </c>
      <c r="F1279">
        <v>6</v>
      </c>
      <c r="G1279" t="s">
        <v>56</v>
      </c>
      <c r="H1279">
        <v>4</v>
      </c>
      <c r="I1279" t="s">
        <v>23</v>
      </c>
      <c r="J1279" t="s">
        <v>31</v>
      </c>
      <c r="L1279" t="s">
        <v>271</v>
      </c>
      <c r="M1279" t="s">
        <v>33</v>
      </c>
      <c r="N1279">
        <v>0</v>
      </c>
      <c r="O1279" t="s">
        <v>27</v>
      </c>
      <c r="S1279" s="3">
        <v>800</v>
      </c>
      <c r="T1279" s="2">
        <v>2284.057861328125</v>
      </c>
      <c r="U1279" s="2">
        <v>2167.4542064319298</v>
      </c>
      <c r="V1279" s="2">
        <v>1314.0311734958291</v>
      </c>
      <c r="W1279" s="2">
        <v>1789.021118164062</v>
      </c>
      <c r="X1279" s="4">
        <f t="shared" si="76"/>
        <v>0.35025382392669296</v>
      </c>
      <c r="Y1279" s="4">
        <f t="shared" si="77"/>
        <v>0.36909661003494171</v>
      </c>
      <c r="Z1279" s="4">
        <f t="shared" si="78"/>
        <v>0.6088135625212695</v>
      </c>
      <c r="AA1279" s="4">
        <f t="shared" si="79"/>
        <v>0.44717191534383893</v>
      </c>
    </row>
    <row r="1280" spans="1:27" x14ac:dyDescent="0.3">
      <c r="A1280" t="s">
        <v>461</v>
      </c>
      <c r="B1280">
        <v>157948</v>
      </c>
      <c r="C1280">
        <v>2010</v>
      </c>
      <c r="D1280" t="s">
        <v>226</v>
      </c>
      <c r="E1280" t="s">
        <v>421</v>
      </c>
      <c r="F1280">
        <v>6</v>
      </c>
      <c r="G1280" t="s">
        <v>22</v>
      </c>
      <c r="H1280">
        <v>4</v>
      </c>
      <c r="I1280" t="s">
        <v>23</v>
      </c>
      <c r="J1280" t="s">
        <v>24</v>
      </c>
      <c r="K1280" t="s">
        <v>27</v>
      </c>
      <c r="L1280" t="s">
        <v>26</v>
      </c>
      <c r="M1280" t="s">
        <v>23</v>
      </c>
      <c r="N1280">
        <v>0</v>
      </c>
      <c r="O1280" t="s">
        <v>27</v>
      </c>
      <c r="S1280" s="3">
        <v>3250</v>
      </c>
      <c r="T1280" s="2">
        <v>-1719.15771484375</v>
      </c>
      <c r="U1280" s="2">
        <v>3349.5107983021121</v>
      </c>
      <c r="V1280" s="2">
        <v>4142.5544699481006</v>
      </c>
      <c r="W1280" s="2">
        <v>3226.89990234375</v>
      </c>
      <c r="X1280" s="4">
        <f t="shared" si="76"/>
        <v>-1.8904606435689262</v>
      </c>
      <c r="Y1280" s="4">
        <f t="shared" si="77"/>
        <v>0.97029094566509388</v>
      </c>
      <c r="Z1280" s="4">
        <f t="shared" si="78"/>
        <v>0.78454007631690048</v>
      </c>
      <c r="AA1280" s="4">
        <f t="shared" si="79"/>
        <v>1.0071586037234908</v>
      </c>
    </row>
    <row r="1281" spans="1:27" x14ac:dyDescent="0.3">
      <c r="A1281" t="s">
        <v>461</v>
      </c>
      <c r="B1281">
        <v>324853</v>
      </c>
      <c r="C1281">
        <v>2005</v>
      </c>
      <c r="D1281" t="s">
        <v>44</v>
      </c>
      <c r="E1281" t="s">
        <v>45</v>
      </c>
      <c r="F1281">
        <v>8</v>
      </c>
      <c r="G1281" t="s">
        <v>99</v>
      </c>
      <c r="H1281">
        <v>4</v>
      </c>
      <c r="I1281" t="s">
        <v>23</v>
      </c>
      <c r="J1281" t="s">
        <v>42</v>
      </c>
      <c r="L1281" t="s">
        <v>161</v>
      </c>
      <c r="M1281" t="s">
        <v>78</v>
      </c>
      <c r="N1281">
        <v>0</v>
      </c>
      <c r="O1281" t="s">
        <v>27</v>
      </c>
      <c r="S1281" s="3">
        <v>2500</v>
      </c>
      <c r="T1281" s="2">
        <v>2797.56884765625</v>
      </c>
      <c r="U1281" s="2">
        <v>10138.069818394881</v>
      </c>
      <c r="V1281" s="2">
        <v>-655.46696763409636</v>
      </c>
      <c r="W1281" s="2">
        <v>2499.134521484375</v>
      </c>
      <c r="X1281" s="4">
        <f t="shared" si="76"/>
        <v>0.89363305646416979</v>
      </c>
      <c r="Y1281" s="4">
        <f t="shared" si="77"/>
        <v>0.24659526367276635</v>
      </c>
      <c r="Z1281" s="4">
        <f t="shared" si="78"/>
        <v>-3.8140747336570344</v>
      </c>
      <c r="AA1281" s="4">
        <f t="shared" si="79"/>
        <v>1.0003463112962447</v>
      </c>
    </row>
    <row r="1282" spans="1:27" x14ac:dyDescent="0.3">
      <c r="A1282" t="s">
        <v>461</v>
      </c>
      <c r="B1282">
        <v>88382</v>
      </c>
      <c r="C1282">
        <v>2014</v>
      </c>
      <c r="D1282" t="s">
        <v>340</v>
      </c>
      <c r="E1282" t="s">
        <v>402</v>
      </c>
      <c r="F1282">
        <v>4</v>
      </c>
      <c r="G1282" t="s">
        <v>47</v>
      </c>
      <c r="H1282">
        <v>4</v>
      </c>
      <c r="I1282" t="s">
        <v>23</v>
      </c>
      <c r="J1282" t="s">
        <v>31</v>
      </c>
      <c r="K1282" t="s">
        <v>27</v>
      </c>
      <c r="L1282" t="s">
        <v>102</v>
      </c>
      <c r="M1282" t="s">
        <v>33</v>
      </c>
      <c r="N1282">
        <v>0</v>
      </c>
      <c r="O1282" t="s">
        <v>27</v>
      </c>
      <c r="S1282" s="3">
        <v>6750</v>
      </c>
      <c r="T1282" s="2">
        <v>6596.357421875</v>
      </c>
      <c r="U1282" s="2">
        <v>6098.2673321724542</v>
      </c>
      <c r="V1282" s="2">
        <v>7332.6661386002306</v>
      </c>
      <c r="W1282" s="2">
        <v>6439.681640625</v>
      </c>
      <c r="X1282" s="4">
        <f t="shared" ref="X1282:X1345" si="80">S1282/T1282</f>
        <v>1.0232920335116298</v>
      </c>
      <c r="Y1282" s="4">
        <f t="shared" ref="Y1282:Y1345" si="81">S1282/U1282</f>
        <v>1.1068717772323982</v>
      </c>
      <c r="Z1282" s="4">
        <f t="shared" ref="Z1282:Z1345" si="82">S1282/V1282</f>
        <v>0.92053829704137347</v>
      </c>
      <c r="AA1282" s="4">
        <f t="shared" ref="AA1282:AA1345" si="83">S1282/W1282</f>
        <v>1.0481884628297995</v>
      </c>
    </row>
    <row r="1283" spans="1:27" x14ac:dyDescent="0.3">
      <c r="A1283" t="s">
        <v>461</v>
      </c>
      <c r="B1283">
        <v>269063</v>
      </c>
      <c r="C1283">
        <v>2018</v>
      </c>
      <c r="D1283" t="s">
        <v>40</v>
      </c>
      <c r="E1283" t="s">
        <v>63</v>
      </c>
      <c r="F1283">
        <v>4</v>
      </c>
      <c r="G1283" t="s">
        <v>47</v>
      </c>
      <c r="H1283">
        <v>4</v>
      </c>
      <c r="I1283" t="s">
        <v>23</v>
      </c>
      <c r="J1283" t="s">
        <v>24</v>
      </c>
      <c r="K1283" t="s">
        <v>27</v>
      </c>
      <c r="L1283" t="s">
        <v>107</v>
      </c>
      <c r="M1283" t="s">
        <v>33</v>
      </c>
      <c r="N1283">
        <v>0</v>
      </c>
      <c r="O1283" t="s">
        <v>27</v>
      </c>
      <c r="S1283" s="3">
        <v>4500</v>
      </c>
      <c r="T1283" s="2">
        <v>4513.12939453125</v>
      </c>
      <c r="U1283" s="2">
        <v>4432.4191534438223</v>
      </c>
      <c r="V1283" s="2">
        <v>4272.6701151803327</v>
      </c>
      <c r="W1283" s="2">
        <v>3802.99658203125</v>
      </c>
      <c r="X1283" s="4">
        <f t="shared" si="80"/>
        <v>0.99709084464824793</v>
      </c>
      <c r="Y1283" s="4">
        <f t="shared" si="81"/>
        <v>1.0152469439862586</v>
      </c>
      <c r="Z1283" s="4">
        <f t="shared" si="82"/>
        <v>1.0532055784068115</v>
      </c>
      <c r="AA1283" s="4">
        <f t="shared" si="83"/>
        <v>1.1832774242454007</v>
      </c>
    </row>
    <row r="1284" spans="1:27" x14ac:dyDescent="0.3">
      <c r="A1284" t="s">
        <v>461</v>
      </c>
      <c r="B1284">
        <v>186455</v>
      </c>
      <c r="C1284">
        <v>2017</v>
      </c>
      <c r="D1284" t="s">
        <v>34</v>
      </c>
      <c r="E1284" t="s">
        <v>262</v>
      </c>
      <c r="F1284">
        <v>8</v>
      </c>
      <c r="G1284" t="s">
        <v>47</v>
      </c>
      <c r="H1284">
        <v>4</v>
      </c>
      <c r="I1284" t="s">
        <v>23</v>
      </c>
      <c r="J1284" t="s">
        <v>46</v>
      </c>
      <c r="K1284" t="s">
        <v>27</v>
      </c>
      <c r="L1284" t="s">
        <v>354</v>
      </c>
      <c r="M1284">
        <v>4</v>
      </c>
      <c r="N1284">
        <v>0</v>
      </c>
      <c r="O1284" t="s">
        <v>27</v>
      </c>
      <c r="S1284" s="3">
        <v>15750</v>
      </c>
      <c r="T1284" s="2">
        <v>11173.69921875</v>
      </c>
      <c r="U1284" s="2">
        <v>13618.5066087053</v>
      </c>
      <c r="V1284" s="2">
        <v>14856.68905723181</v>
      </c>
      <c r="W1284" s="2">
        <v>13600.3310546875</v>
      </c>
      <c r="X1284" s="4">
        <f t="shared" si="80"/>
        <v>1.4095600473628955</v>
      </c>
      <c r="Y1284" s="4">
        <f t="shared" si="81"/>
        <v>1.1565144734689334</v>
      </c>
      <c r="Z1284" s="4">
        <f t="shared" si="82"/>
        <v>1.0601285346504141</v>
      </c>
      <c r="AA1284" s="4">
        <f t="shared" si="83"/>
        <v>1.1580600454995242</v>
      </c>
    </row>
    <row r="1285" spans="1:27" x14ac:dyDescent="0.3">
      <c r="A1285" t="s">
        <v>461</v>
      </c>
      <c r="B1285">
        <v>167104</v>
      </c>
      <c r="C1285">
        <v>2010</v>
      </c>
      <c r="D1285" t="s">
        <v>125</v>
      </c>
      <c r="E1285" t="s">
        <v>230</v>
      </c>
      <c r="F1285">
        <v>4</v>
      </c>
      <c r="G1285" t="s">
        <v>22</v>
      </c>
      <c r="H1285">
        <v>4</v>
      </c>
      <c r="I1285" t="s">
        <v>23</v>
      </c>
      <c r="J1285" t="s">
        <v>31</v>
      </c>
      <c r="K1285" t="s">
        <v>27</v>
      </c>
      <c r="L1285" t="s">
        <v>60</v>
      </c>
      <c r="M1285" t="s">
        <v>33</v>
      </c>
      <c r="N1285">
        <v>0</v>
      </c>
      <c r="O1285" t="s">
        <v>27</v>
      </c>
      <c r="S1285" s="3">
        <v>2300</v>
      </c>
      <c r="T1285" s="2">
        <v>2794.638916015625</v>
      </c>
      <c r="U1285" s="2">
        <v>2504.324784381653</v>
      </c>
      <c r="V1285" s="2">
        <v>2094.6130709665981</v>
      </c>
      <c r="W1285" s="2">
        <v>2837.875</v>
      </c>
      <c r="X1285" s="4">
        <f t="shared" si="80"/>
        <v>0.82300435552481244</v>
      </c>
      <c r="Y1285" s="4">
        <f t="shared" si="81"/>
        <v>0.91841122778645379</v>
      </c>
      <c r="Z1285" s="4">
        <f t="shared" si="82"/>
        <v>1.0980548302119695</v>
      </c>
      <c r="AA1285" s="4">
        <f t="shared" si="83"/>
        <v>0.8104655772364886</v>
      </c>
    </row>
    <row r="1286" spans="1:27" x14ac:dyDescent="0.3">
      <c r="A1286" t="s">
        <v>461</v>
      </c>
      <c r="B1286">
        <v>99113</v>
      </c>
      <c r="C1286">
        <v>2016</v>
      </c>
      <c r="D1286" t="s">
        <v>20</v>
      </c>
      <c r="E1286" t="s">
        <v>404</v>
      </c>
      <c r="F1286">
        <v>6</v>
      </c>
      <c r="G1286" t="s">
        <v>30</v>
      </c>
      <c r="H1286">
        <v>4</v>
      </c>
      <c r="I1286" t="s">
        <v>23</v>
      </c>
      <c r="J1286" t="s">
        <v>42</v>
      </c>
      <c r="K1286" t="s">
        <v>27</v>
      </c>
      <c r="L1286" t="s">
        <v>26</v>
      </c>
      <c r="M1286" t="s">
        <v>78</v>
      </c>
      <c r="N1286">
        <v>0</v>
      </c>
      <c r="O1286" t="s">
        <v>27</v>
      </c>
      <c r="S1286" s="3">
        <v>14000</v>
      </c>
      <c r="T1286" s="2">
        <v>13949.5390625</v>
      </c>
      <c r="U1286" s="2">
        <v>14289.955867080151</v>
      </c>
      <c r="V1286" s="2">
        <v>14269.2724322672</v>
      </c>
      <c r="W1286" s="2">
        <v>13520.9423828125</v>
      </c>
      <c r="X1286" s="4">
        <f t="shared" si="80"/>
        <v>1.0036173910316257</v>
      </c>
      <c r="Y1286" s="4">
        <f t="shared" si="81"/>
        <v>0.9797091138855003</v>
      </c>
      <c r="Z1286" s="4">
        <f t="shared" si="82"/>
        <v>0.98112921078875104</v>
      </c>
      <c r="AA1286" s="4">
        <f t="shared" si="83"/>
        <v>1.0354307860816319</v>
      </c>
    </row>
    <row r="1287" spans="1:27" x14ac:dyDescent="0.3">
      <c r="A1287" t="s">
        <v>461</v>
      </c>
      <c r="B1287">
        <v>1</v>
      </c>
      <c r="C1287">
        <v>2014</v>
      </c>
      <c r="D1287" t="s">
        <v>44</v>
      </c>
      <c r="E1287" t="s">
        <v>117</v>
      </c>
      <c r="F1287">
        <v>4</v>
      </c>
      <c r="G1287" t="s">
        <v>47</v>
      </c>
      <c r="H1287">
        <v>4</v>
      </c>
      <c r="I1287" t="s">
        <v>23</v>
      </c>
      <c r="J1287" t="s">
        <v>62</v>
      </c>
      <c r="K1287" t="s">
        <v>27</v>
      </c>
      <c r="L1287" t="s">
        <v>96</v>
      </c>
      <c r="M1287" t="s">
        <v>33</v>
      </c>
      <c r="N1287">
        <v>0</v>
      </c>
      <c r="O1287" t="s">
        <v>27</v>
      </c>
      <c r="S1287" s="3">
        <v>3250</v>
      </c>
      <c r="T1287" s="2">
        <v>22197.15234375</v>
      </c>
      <c r="U1287" s="2">
        <v>9730.6829848651014</v>
      </c>
      <c r="V1287" s="2">
        <v>-2919.8219830880412</v>
      </c>
      <c r="W1287" s="2">
        <v>20136.103515625</v>
      </c>
      <c r="X1287" s="4">
        <f t="shared" si="80"/>
        <v>0.14641517748176805</v>
      </c>
      <c r="Y1287" s="4">
        <f t="shared" si="81"/>
        <v>0.33399505513179101</v>
      </c>
      <c r="Z1287" s="4">
        <f t="shared" si="82"/>
        <v>-1.1130815573087638</v>
      </c>
      <c r="AA1287" s="4">
        <f t="shared" si="83"/>
        <v>0.16140163351256609</v>
      </c>
    </row>
    <row r="1288" spans="1:27" x14ac:dyDescent="0.3">
      <c r="A1288" t="s">
        <v>461</v>
      </c>
      <c r="B1288">
        <v>136084</v>
      </c>
      <c r="C1288">
        <v>2014</v>
      </c>
      <c r="D1288" t="s">
        <v>40</v>
      </c>
      <c r="E1288" t="s">
        <v>172</v>
      </c>
      <c r="F1288">
        <v>6</v>
      </c>
      <c r="G1288" t="s">
        <v>22</v>
      </c>
      <c r="H1288">
        <v>4</v>
      </c>
      <c r="I1288" t="s">
        <v>23</v>
      </c>
      <c r="J1288" t="s">
        <v>31</v>
      </c>
      <c r="K1288" t="s">
        <v>27</v>
      </c>
      <c r="L1288" t="s">
        <v>26</v>
      </c>
      <c r="M1288" t="s">
        <v>33</v>
      </c>
      <c r="N1288">
        <v>0</v>
      </c>
      <c r="O1288" t="s">
        <v>27</v>
      </c>
      <c r="S1288" s="3">
        <v>4500</v>
      </c>
      <c r="T1288" s="2">
        <v>7374.08544921875</v>
      </c>
      <c r="U1288" s="2">
        <v>6311.5607254076467</v>
      </c>
      <c r="V1288" s="2">
        <v>5669.8428183625992</v>
      </c>
      <c r="W1288" s="2">
        <v>6706.16455078125</v>
      </c>
      <c r="X1288" s="4">
        <f t="shared" si="80"/>
        <v>0.61024516612792357</v>
      </c>
      <c r="Y1288" s="4">
        <f t="shared" si="81"/>
        <v>0.71297737529244121</v>
      </c>
      <c r="Z1288" s="4">
        <f t="shared" si="82"/>
        <v>0.79367279555371528</v>
      </c>
      <c r="AA1288" s="4">
        <f t="shared" si="83"/>
        <v>0.67102439344047449</v>
      </c>
    </row>
    <row r="1289" spans="1:27" x14ac:dyDescent="0.3">
      <c r="A1289" t="s">
        <v>461</v>
      </c>
      <c r="B1289">
        <v>200519</v>
      </c>
      <c r="C1289">
        <v>2007</v>
      </c>
      <c r="D1289" t="s">
        <v>34</v>
      </c>
      <c r="E1289" t="s">
        <v>290</v>
      </c>
      <c r="F1289">
        <v>6</v>
      </c>
      <c r="G1289" t="s">
        <v>47</v>
      </c>
      <c r="H1289">
        <v>4</v>
      </c>
      <c r="I1289" t="s">
        <v>23</v>
      </c>
      <c r="J1289" t="s">
        <v>291</v>
      </c>
      <c r="L1289" t="s">
        <v>38</v>
      </c>
      <c r="M1289" t="s">
        <v>33</v>
      </c>
      <c r="N1289">
        <v>0</v>
      </c>
      <c r="O1289" t="s">
        <v>27</v>
      </c>
      <c r="S1289" s="3">
        <v>900</v>
      </c>
      <c r="T1289" s="2">
        <v>2783.099853515625</v>
      </c>
      <c r="U1289" s="2">
        <v>2623.2720180238261</v>
      </c>
      <c r="V1289" s="2">
        <v>1124.932298356403</v>
      </c>
      <c r="W1289" s="2">
        <v>2423.25732421875</v>
      </c>
      <c r="X1289" s="4">
        <f t="shared" si="80"/>
        <v>0.32338042016822205</v>
      </c>
      <c r="Y1289" s="4">
        <f t="shared" si="81"/>
        <v>0.3430829871307024</v>
      </c>
      <c r="Z1289" s="4">
        <f t="shared" si="82"/>
        <v>0.80004814628840937</v>
      </c>
      <c r="AA1289" s="4">
        <f t="shared" si="83"/>
        <v>0.37140092016028753</v>
      </c>
    </row>
    <row r="1290" spans="1:27" x14ac:dyDescent="0.3">
      <c r="A1290" t="s">
        <v>461</v>
      </c>
      <c r="B1290">
        <v>134451</v>
      </c>
      <c r="C1290">
        <v>2020</v>
      </c>
      <c r="D1290" t="s">
        <v>40</v>
      </c>
      <c r="E1290" t="s">
        <v>41</v>
      </c>
      <c r="F1290">
        <v>8</v>
      </c>
      <c r="G1290" t="s">
        <v>47</v>
      </c>
      <c r="H1290">
        <v>4</v>
      </c>
      <c r="I1290" t="s">
        <v>23</v>
      </c>
      <c r="J1290" t="s">
        <v>42</v>
      </c>
      <c r="K1290" t="s">
        <v>27</v>
      </c>
      <c r="L1290" t="s">
        <v>43</v>
      </c>
      <c r="M1290">
        <v>4</v>
      </c>
      <c r="N1290">
        <v>0</v>
      </c>
      <c r="O1290" t="s">
        <v>27</v>
      </c>
      <c r="S1290" s="3">
        <v>24250</v>
      </c>
      <c r="T1290" s="2">
        <v>26149.095703125</v>
      </c>
      <c r="U1290" s="2">
        <v>27187.925828470052</v>
      </c>
      <c r="V1290" s="2">
        <v>25391.855690784931</v>
      </c>
      <c r="W1290" s="2">
        <v>23823.099609375</v>
      </c>
      <c r="X1290" s="4">
        <f t="shared" si="80"/>
        <v>0.92737432587781443</v>
      </c>
      <c r="Y1290" s="4">
        <f t="shared" si="81"/>
        <v>0.89194005283795574</v>
      </c>
      <c r="Z1290" s="4">
        <f t="shared" si="82"/>
        <v>0.95503063247168163</v>
      </c>
      <c r="AA1290" s="4">
        <f t="shared" si="83"/>
        <v>1.017919598944925</v>
      </c>
    </row>
    <row r="1291" spans="1:27" x14ac:dyDescent="0.3">
      <c r="A1291" t="s">
        <v>461</v>
      </c>
      <c r="B1291">
        <v>100213</v>
      </c>
      <c r="C1291">
        <v>2020</v>
      </c>
      <c r="D1291" t="s">
        <v>44</v>
      </c>
      <c r="E1291" t="s">
        <v>352</v>
      </c>
      <c r="F1291">
        <v>6</v>
      </c>
      <c r="G1291" t="s">
        <v>22</v>
      </c>
      <c r="H1291">
        <v>4</v>
      </c>
      <c r="I1291" t="s">
        <v>23</v>
      </c>
      <c r="J1291" t="s">
        <v>62</v>
      </c>
      <c r="K1291" t="s">
        <v>27</v>
      </c>
      <c r="L1291" t="s">
        <v>38</v>
      </c>
      <c r="M1291" t="s">
        <v>78</v>
      </c>
      <c r="N1291">
        <v>0</v>
      </c>
      <c r="O1291" t="s">
        <v>27</v>
      </c>
      <c r="S1291" s="3">
        <v>20250</v>
      </c>
      <c r="T1291" s="2">
        <v>24250.509765625</v>
      </c>
      <c r="U1291" s="2">
        <v>21711.515074407831</v>
      </c>
      <c r="V1291" s="2">
        <v>16703.762244769649</v>
      </c>
      <c r="W1291" s="2">
        <v>22253.322265625</v>
      </c>
      <c r="X1291" s="4">
        <f t="shared" si="80"/>
        <v>0.83503399292266811</v>
      </c>
      <c r="Y1291" s="4">
        <f t="shared" si="81"/>
        <v>0.93268479563038076</v>
      </c>
      <c r="Z1291" s="4">
        <f t="shared" si="82"/>
        <v>1.2123017379716814</v>
      </c>
      <c r="AA1291" s="4">
        <f t="shared" si="83"/>
        <v>0.90997648613036275</v>
      </c>
    </row>
    <row r="1292" spans="1:27" x14ac:dyDescent="0.3">
      <c r="A1292" t="s">
        <v>461</v>
      </c>
      <c r="B1292">
        <v>155672</v>
      </c>
      <c r="C1292">
        <v>2016</v>
      </c>
      <c r="D1292" t="s">
        <v>85</v>
      </c>
      <c r="E1292" t="s">
        <v>372</v>
      </c>
      <c r="F1292">
        <v>4</v>
      </c>
      <c r="G1292" t="s">
        <v>59</v>
      </c>
      <c r="H1292">
        <v>4</v>
      </c>
      <c r="I1292" t="s">
        <v>23</v>
      </c>
      <c r="J1292" t="s">
        <v>31</v>
      </c>
      <c r="L1292" t="s">
        <v>127</v>
      </c>
      <c r="M1292" t="s">
        <v>33</v>
      </c>
      <c r="N1292">
        <v>0</v>
      </c>
      <c r="O1292" t="s">
        <v>27</v>
      </c>
      <c r="S1292" s="3">
        <v>2000</v>
      </c>
      <c r="T1292" s="2">
        <v>6137.24169921875</v>
      </c>
      <c r="U1292" s="2">
        <v>4538.0527175328734</v>
      </c>
      <c r="V1292" s="2">
        <v>3669.9147183552482</v>
      </c>
      <c r="W1292" s="2">
        <v>6833.15478515625</v>
      </c>
      <c r="X1292" s="4">
        <f t="shared" si="80"/>
        <v>0.32587929529557119</v>
      </c>
      <c r="Y1292" s="4">
        <f t="shared" si="81"/>
        <v>0.44071766559100406</v>
      </c>
      <c r="Z1292" s="4">
        <f t="shared" si="82"/>
        <v>0.54497179185034128</v>
      </c>
      <c r="AA1292" s="4">
        <f t="shared" si="83"/>
        <v>0.29269057454173669</v>
      </c>
    </row>
    <row r="1293" spans="1:27" x14ac:dyDescent="0.3">
      <c r="A1293" t="s">
        <v>461</v>
      </c>
      <c r="B1293">
        <v>105493</v>
      </c>
      <c r="C1293">
        <v>2020</v>
      </c>
      <c r="D1293" t="s">
        <v>85</v>
      </c>
      <c r="E1293" t="s">
        <v>403</v>
      </c>
      <c r="F1293">
        <v>6</v>
      </c>
      <c r="G1293" t="s">
        <v>256</v>
      </c>
      <c r="H1293">
        <v>4</v>
      </c>
      <c r="I1293" t="s">
        <v>23</v>
      </c>
      <c r="J1293" t="s">
        <v>24</v>
      </c>
      <c r="K1293" t="s">
        <v>27</v>
      </c>
      <c r="L1293" t="s">
        <v>143</v>
      </c>
      <c r="M1293" t="s">
        <v>33</v>
      </c>
      <c r="N1293">
        <v>0</v>
      </c>
      <c r="O1293" t="s">
        <v>27</v>
      </c>
      <c r="S1293" s="3">
        <v>15750</v>
      </c>
      <c r="T1293" s="2">
        <v>18375.732421875</v>
      </c>
      <c r="U1293" s="2">
        <v>18503.70586420906</v>
      </c>
      <c r="V1293" s="2">
        <v>17054.527929515709</v>
      </c>
      <c r="W1293" s="2">
        <v>18332.353515625</v>
      </c>
      <c r="X1293" s="4">
        <f t="shared" si="80"/>
        <v>0.8571086930527323</v>
      </c>
      <c r="Y1293" s="4">
        <f t="shared" si="81"/>
        <v>0.8511808453713352</v>
      </c>
      <c r="Z1293" s="4">
        <f t="shared" si="82"/>
        <v>0.92350841167183495</v>
      </c>
      <c r="AA1293" s="4">
        <f t="shared" si="83"/>
        <v>0.85913682531683599</v>
      </c>
    </row>
    <row r="1294" spans="1:27" x14ac:dyDescent="0.3">
      <c r="A1294" t="s">
        <v>461</v>
      </c>
      <c r="B1294">
        <v>116280</v>
      </c>
      <c r="C1294">
        <v>2015</v>
      </c>
      <c r="D1294" t="s">
        <v>34</v>
      </c>
      <c r="E1294" t="s">
        <v>317</v>
      </c>
      <c r="F1294">
        <v>6</v>
      </c>
      <c r="G1294" t="s">
        <v>22</v>
      </c>
      <c r="H1294">
        <v>4</v>
      </c>
      <c r="I1294" t="s">
        <v>23</v>
      </c>
      <c r="J1294" t="s">
        <v>152</v>
      </c>
      <c r="L1294" t="s">
        <v>319</v>
      </c>
      <c r="M1294" t="s">
        <v>78</v>
      </c>
      <c r="N1294">
        <v>0</v>
      </c>
      <c r="O1294" t="s">
        <v>27</v>
      </c>
      <c r="S1294" s="3">
        <v>16000</v>
      </c>
      <c r="T1294" s="2">
        <v>14793.2021484375</v>
      </c>
      <c r="U1294" s="2">
        <v>14200.04825958929</v>
      </c>
      <c r="V1294" s="2">
        <v>15109.75551703394</v>
      </c>
      <c r="W1294" s="2">
        <v>13859.43359375</v>
      </c>
      <c r="X1294" s="4">
        <f t="shared" si="80"/>
        <v>1.0815778652554928</v>
      </c>
      <c r="Y1294" s="4">
        <f t="shared" si="81"/>
        <v>1.1267567340269569</v>
      </c>
      <c r="Z1294" s="4">
        <f t="shared" si="82"/>
        <v>1.0589185233316611</v>
      </c>
      <c r="AA1294" s="4">
        <f t="shared" si="83"/>
        <v>1.1544483323773997</v>
      </c>
    </row>
    <row r="1295" spans="1:27" x14ac:dyDescent="0.3">
      <c r="A1295" t="s">
        <v>461</v>
      </c>
      <c r="B1295">
        <v>260862</v>
      </c>
      <c r="C1295">
        <v>2002</v>
      </c>
      <c r="D1295" t="s">
        <v>34</v>
      </c>
      <c r="E1295" t="s">
        <v>317</v>
      </c>
      <c r="F1295">
        <v>6</v>
      </c>
      <c r="G1295" t="s">
        <v>47</v>
      </c>
      <c r="H1295">
        <v>4</v>
      </c>
      <c r="I1295" t="s">
        <v>23</v>
      </c>
      <c r="J1295" t="s">
        <v>46</v>
      </c>
      <c r="L1295" t="s">
        <v>538</v>
      </c>
      <c r="M1295" t="s">
        <v>78</v>
      </c>
      <c r="N1295">
        <v>0</v>
      </c>
      <c r="O1295" t="s">
        <v>27</v>
      </c>
      <c r="S1295" s="3">
        <v>4250</v>
      </c>
      <c r="T1295" s="2">
        <v>6166.013671875</v>
      </c>
      <c r="U1295" s="2">
        <v>4557.3974615001898</v>
      </c>
      <c r="V1295" s="2">
        <v>2192.3900114737171</v>
      </c>
      <c r="W1295" s="2">
        <v>5269.1015625</v>
      </c>
      <c r="X1295" s="4">
        <f t="shared" si="80"/>
        <v>0.68926217588285588</v>
      </c>
      <c r="Y1295" s="4">
        <f t="shared" si="81"/>
        <v>0.93254977997925126</v>
      </c>
      <c r="Z1295" s="4">
        <f t="shared" si="82"/>
        <v>1.9385237014207908</v>
      </c>
      <c r="AA1295" s="4">
        <f t="shared" si="83"/>
        <v>0.80658912142576489</v>
      </c>
    </row>
    <row r="1296" spans="1:27" x14ac:dyDescent="0.3">
      <c r="A1296" t="s">
        <v>461</v>
      </c>
      <c r="B1296">
        <v>53376</v>
      </c>
      <c r="C1296">
        <v>2017</v>
      </c>
      <c r="D1296" t="s">
        <v>125</v>
      </c>
      <c r="E1296" t="s">
        <v>297</v>
      </c>
      <c r="F1296">
        <v>4</v>
      </c>
      <c r="G1296" t="s">
        <v>47</v>
      </c>
      <c r="H1296">
        <v>4</v>
      </c>
      <c r="I1296" t="s">
        <v>23</v>
      </c>
      <c r="J1296" t="s">
        <v>24</v>
      </c>
      <c r="K1296" t="s">
        <v>27</v>
      </c>
      <c r="L1296" t="s">
        <v>127</v>
      </c>
      <c r="M1296" t="s">
        <v>33</v>
      </c>
      <c r="N1296">
        <v>0</v>
      </c>
      <c r="O1296" t="s">
        <v>27</v>
      </c>
      <c r="S1296" s="3">
        <v>8250</v>
      </c>
      <c r="T1296" s="2">
        <v>13515.4091796875</v>
      </c>
      <c r="U1296" s="2">
        <v>12221.63064599407</v>
      </c>
      <c r="V1296" s="2">
        <v>10310.37971746286</v>
      </c>
      <c r="W1296" s="2">
        <v>13138.666015625</v>
      </c>
      <c r="X1296" s="4">
        <f t="shared" si="80"/>
        <v>0.6104143715011634</v>
      </c>
      <c r="Y1296" s="4">
        <f t="shared" si="81"/>
        <v>0.67503267272310619</v>
      </c>
      <c r="Z1296" s="4">
        <f t="shared" si="82"/>
        <v>0.80016451634917374</v>
      </c>
      <c r="AA1296" s="4">
        <f t="shared" si="83"/>
        <v>0.62791762802926776</v>
      </c>
    </row>
    <row r="1297" spans="1:27" x14ac:dyDescent="0.3">
      <c r="A1297" t="s">
        <v>461</v>
      </c>
      <c r="B1297">
        <v>137877</v>
      </c>
      <c r="C1297">
        <v>2016</v>
      </c>
      <c r="D1297" t="s">
        <v>97</v>
      </c>
      <c r="E1297" t="s">
        <v>539</v>
      </c>
      <c r="F1297">
        <v>4</v>
      </c>
      <c r="G1297" t="s">
        <v>22</v>
      </c>
      <c r="H1297">
        <v>4</v>
      </c>
      <c r="I1297" t="s">
        <v>23</v>
      </c>
      <c r="J1297" t="s">
        <v>24</v>
      </c>
      <c r="K1297" t="s">
        <v>27</v>
      </c>
      <c r="L1297" t="s">
        <v>60</v>
      </c>
      <c r="M1297" t="s">
        <v>33</v>
      </c>
      <c r="N1297">
        <v>0</v>
      </c>
      <c r="O1297" t="s">
        <v>27</v>
      </c>
      <c r="S1297" s="3">
        <v>2200</v>
      </c>
      <c r="T1297" s="2">
        <v>4442.12646484375</v>
      </c>
      <c r="U1297" s="2">
        <v>4233.049234190923</v>
      </c>
      <c r="V1297" s="2">
        <v>3388.8998616928702</v>
      </c>
      <c r="W1297" s="2">
        <v>3645.717529296875</v>
      </c>
      <c r="X1297" s="4">
        <f t="shared" si="80"/>
        <v>0.49525829969304669</v>
      </c>
      <c r="Y1297" s="4">
        <f t="shared" si="81"/>
        <v>0.51971991779124516</v>
      </c>
      <c r="Z1297" s="4">
        <f t="shared" si="82"/>
        <v>0.64917822590987551</v>
      </c>
      <c r="AA1297" s="4">
        <f t="shared" si="83"/>
        <v>0.60344773897617332</v>
      </c>
    </row>
    <row r="1298" spans="1:27" x14ac:dyDescent="0.3">
      <c r="A1298" t="s">
        <v>461</v>
      </c>
      <c r="B1298">
        <v>80133</v>
      </c>
      <c r="C1298">
        <v>2019</v>
      </c>
      <c r="D1298" t="s">
        <v>54</v>
      </c>
      <c r="E1298" t="s">
        <v>275</v>
      </c>
      <c r="F1298">
        <v>4</v>
      </c>
      <c r="G1298" t="s">
        <v>22</v>
      </c>
      <c r="H1298">
        <v>4</v>
      </c>
      <c r="I1298" t="s">
        <v>23</v>
      </c>
      <c r="J1298" t="s">
        <v>24</v>
      </c>
      <c r="K1298" t="s">
        <v>27</v>
      </c>
      <c r="L1298" t="s">
        <v>60</v>
      </c>
      <c r="M1298" t="s">
        <v>33</v>
      </c>
      <c r="N1298">
        <v>0</v>
      </c>
      <c r="O1298" t="s">
        <v>27</v>
      </c>
      <c r="S1298" s="3">
        <v>11100</v>
      </c>
      <c r="T1298" s="2">
        <v>12482.7939453125</v>
      </c>
      <c r="U1298" s="2">
        <v>13606.11428060381</v>
      </c>
      <c r="V1298" s="2">
        <v>10265.755828458099</v>
      </c>
      <c r="W1298" s="2">
        <v>12629.6298828125</v>
      </c>
      <c r="X1298" s="4">
        <f t="shared" si="80"/>
        <v>0.88922400294593007</v>
      </c>
      <c r="Y1298" s="4">
        <f t="shared" si="81"/>
        <v>0.81580969930728864</v>
      </c>
      <c r="Z1298" s="4">
        <f t="shared" si="82"/>
        <v>1.0812647588236279</v>
      </c>
      <c r="AA1298" s="4">
        <f t="shared" si="83"/>
        <v>0.87888561287974454</v>
      </c>
    </row>
    <row r="1299" spans="1:27" x14ac:dyDescent="0.3">
      <c r="A1299" t="s">
        <v>461</v>
      </c>
      <c r="B1299">
        <v>92089</v>
      </c>
      <c r="C1299">
        <v>2023</v>
      </c>
      <c r="D1299" t="s">
        <v>125</v>
      </c>
      <c r="E1299" t="s">
        <v>126</v>
      </c>
      <c r="F1299">
        <v>4</v>
      </c>
      <c r="G1299" t="s">
        <v>36</v>
      </c>
      <c r="H1299">
        <v>4</v>
      </c>
      <c r="I1299" t="s">
        <v>23</v>
      </c>
      <c r="J1299" t="s">
        <v>31</v>
      </c>
      <c r="K1299" t="s">
        <v>27</v>
      </c>
      <c r="L1299" t="s">
        <v>127</v>
      </c>
      <c r="M1299" t="s">
        <v>33</v>
      </c>
      <c r="N1299">
        <v>0</v>
      </c>
      <c r="O1299" t="s">
        <v>27</v>
      </c>
      <c r="S1299" s="3">
        <v>12250</v>
      </c>
      <c r="T1299" s="2">
        <v>19549.546875</v>
      </c>
      <c r="U1299" s="2">
        <v>18694.997721759151</v>
      </c>
      <c r="V1299" s="2">
        <v>13108.110335540079</v>
      </c>
      <c r="W1299" s="2">
        <v>16976.69140625</v>
      </c>
      <c r="X1299" s="4">
        <f t="shared" si="80"/>
        <v>0.62661298895194983</v>
      </c>
      <c r="Y1299" s="4">
        <f t="shared" si="81"/>
        <v>0.65525549573842401</v>
      </c>
      <c r="Z1299" s="4">
        <f t="shared" si="82"/>
        <v>0.93453592367059346</v>
      </c>
      <c r="AA1299" s="4">
        <f t="shared" si="83"/>
        <v>0.7215775858121648</v>
      </c>
    </row>
    <row r="1300" spans="1:27" x14ac:dyDescent="0.3">
      <c r="A1300" t="s">
        <v>461</v>
      </c>
      <c r="B1300">
        <v>147556</v>
      </c>
      <c r="C1300">
        <v>2012</v>
      </c>
      <c r="D1300" t="s">
        <v>239</v>
      </c>
      <c r="E1300" t="s">
        <v>240</v>
      </c>
      <c r="F1300">
        <v>6</v>
      </c>
      <c r="G1300" t="s">
        <v>47</v>
      </c>
      <c r="H1300">
        <v>4</v>
      </c>
      <c r="I1300" t="s">
        <v>23</v>
      </c>
      <c r="J1300" t="s">
        <v>24</v>
      </c>
      <c r="K1300" t="s">
        <v>27</v>
      </c>
      <c r="L1300" t="s">
        <v>218</v>
      </c>
      <c r="M1300" t="s">
        <v>23</v>
      </c>
      <c r="N1300">
        <v>0</v>
      </c>
      <c r="O1300" t="s">
        <v>27</v>
      </c>
      <c r="S1300" s="3">
        <v>4750</v>
      </c>
      <c r="T1300" s="2">
        <v>5129.08251953125</v>
      </c>
      <c r="U1300" s="2">
        <v>4643.6249624258944</v>
      </c>
      <c r="V1300" s="2">
        <v>5885.3404405855472</v>
      </c>
      <c r="W1300" s="2">
        <v>4911.5634765625</v>
      </c>
      <c r="X1300" s="4">
        <f t="shared" si="80"/>
        <v>0.9260915537841854</v>
      </c>
      <c r="Y1300" s="4">
        <f t="shared" si="81"/>
        <v>1.0229077581490418</v>
      </c>
      <c r="Z1300" s="4">
        <f t="shared" si="82"/>
        <v>0.80709009919694819</v>
      </c>
      <c r="AA1300" s="4">
        <f t="shared" si="83"/>
        <v>0.96710548945697938</v>
      </c>
    </row>
    <row r="1301" spans="1:27" x14ac:dyDescent="0.3">
      <c r="A1301" t="s">
        <v>461</v>
      </c>
      <c r="B1301">
        <v>115424</v>
      </c>
      <c r="C1301">
        <v>2015</v>
      </c>
      <c r="D1301" t="s">
        <v>44</v>
      </c>
      <c r="E1301" t="s">
        <v>45</v>
      </c>
      <c r="F1301">
        <v>6</v>
      </c>
      <c r="G1301" t="s">
        <v>30</v>
      </c>
      <c r="H1301">
        <v>4</v>
      </c>
      <c r="I1301" t="s">
        <v>23</v>
      </c>
      <c r="J1301" t="s">
        <v>46</v>
      </c>
      <c r="K1301" t="s">
        <v>27</v>
      </c>
      <c r="L1301" t="s">
        <v>38</v>
      </c>
      <c r="M1301">
        <v>4</v>
      </c>
      <c r="N1301">
        <v>0</v>
      </c>
      <c r="O1301" t="s">
        <v>27</v>
      </c>
      <c r="S1301" s="3">
        <v>16000</v>
      </c>
      <c r="T1301" s="2">
        <v>11975.0068359375</v>
      </c>
      <c r="U1301" s="2">
        <v>13067.35232533515</v>
      </c>
      <c r="V1301" s="2">
        <v>21368.307988845419</v>
      </c>
      <c r="W1301" s="2">
        <v>12087.4599609375</v>
      </c>
      <c r="X1301" s="4">
        <f t="shared" si="80"/>
        <v>1.336116147506766</v>
      </c>
      <c r="Y1301" s="4">
        <f t="shared" si="81"/>
        <v>1.224425545562049</v>
      </c>
      <c r="Z1301" s="4">
        <f t="shared" si="82"/>
        <v>0.74877243478296185</v>
      </c>
      <c r="AA1301" s="4">
        <f t="shared" si="83"/>
        <v>1.3236858737655786</v>
      </c>
    </row>
    <row r="1302" spans="1:27" x14ac:dyDescent="0.3">
      <c r="A1302" t="s">
        <v>461</v>
      </c>
      <c r="B1302">
        <v>233171</v>
      </c>
      <c r="C1302">
        <v>2019</v>
      </c>
      <c r="D1302" t="s">
        <v>34</v>
      </c>
      <c r="E1302" t="s">
        <v>116</v>
      </c>
      <c r="F1302">
        <v>4</v>
      </c>
      <c r="G1302" t="s">
        <v>47</v>
      </c>
      <c r="H1302">
        <v>4</v>
      </c>
      <c r="I1302" t="s">
        <v>23</v>
      </c>
      <c r="J1302" t="s">
        <v>37</v>
      </c>
      <c r="K1302" t="s">
        <v>27</v>
      </c>
      <c r="L1302" t="s">
        <v>128</v>
      </c>
      <c r="M1302" t="s">
        <v>33</v>
      </c>
      <c r="N1302">
        <v>0</v>
      </c>
      <c r="O1302" t="s">
        <v>27</v>
      </c>
      <c r="S1302" s="3">
        <v>9250</v>
      </c>
      <c r="T1302" s="2">
        <v>5654.109375</v>
      </c>
      <c r="U1302" s="2">
        <v>4779.1533441439233</v>
      </c>
      <c r="V1302" s="2">
        <v>4970.2310636885713</v>
      </c>
      <c r="W1302" s="2">
        <v>5855.24755859375</v>
      </c>
      <c r="X1302" s="4">
        <f t="shared" si="80"/>
        <v>1.6359782569646524</v>
      </c>
      <c r="Y1302" s="4">
        <f t="shared" si="81"/>
        <v>1.9354892663853052</v>
      </c>
      <c r="Z1302" s="4">
        <f t="shared" si="82"/>
        <v>1.8610804772394771</v>
      </c>
      <c r="AA1302" s="4">
        <f t="shared" si="83"/>
        <v>1.5797794896688475</v>
      </c>
    </row>
    <row r="1303" spans="1:27" x14ac:dyDescent="0.3">
      <c r="A1303" t="s">
        <v>461</v>
      </c>
      <c r="B1303">
        <v>119002</v>
      </c>
      <c r="C1303">
        <v>2016</v>
      </c>
      <c r="D1303" t="s">
        <v>40</v>
      </c>
      <c r="E1303" t="s">
        <v>208</v>
      </c>
      <c r="F1303">
        <v>6</v>
      </c>
      <c r="G1303" t="s">
        <v>66</v>
      </c>
      <c r="H1303">
        <v>2</v>
      </c>
      <c r="I1303" t="s">
        <v>23</v>
      </c>
      <c r="J1303" t="s">
        <v>83</v>
      </c>
      <c r="L1303" t="s">
        <v>26</v>
      </c>
      <c r="M1303" t="s">
        <v>78</v>
      </c>
      <c r="N1303">
        <v>0</v>
      </c>
      <c r="O1303" t="s">
        <v>27</v>
      </c>
      <c r="S1303" s="3">
        <v>6400</v>
      </c>
      <c r="T1303" s="2">
        <v>13145.8544921875</v>
      </c>
      <c r="U1303" s="2">
        <v>11402.33844397276</v>
      </c>
      <c r="V1303" s="2">
        <v>11077.58745410415</v>
      </c>
      <c r="W1303" s="2">
        <v>12597.560546875</v>
      </c>
      <c r="X1303" s="4">
        <f t="shared" si="80"/>
        <v>0.48684549215142159</v>
      </c>
      <c r="Y1303" s="4">
        <f t="shared" si="81"/>
        <v>0.56128837356016392</v>
      </c>
      <c r="Z1303" s="4">
        <f t="shared" si="82"/>
        <v>0.57774312561431007</v>
      </c>
      <c r="AA1303" s="4">
        <f t="shared" si="83"/>
        <v>0.50803486724162705</v>
      </c>
    </row>
    <row r="1304" spans="1:27" x14ac:dyDescent="0.3">
      <c r="A1304" t="s">
        <v>461</v>
      </c>
      <c r="B1304">
        <v>102063</v>
      </c>
      <c r="C1304">
        <v>2019</v>
      </c>
      <c r="D1304" t="s">
        <v>125</v>
      </c>
      <c r="E1304" t="s">
        <v>126</v>
      </c>
      <c r="F1304">
        <v>4</v>
      </c>
      <c r="G1304" t="s">
        <v>30</v>
      </c>
      <c r="H1304">
        <v>4</v>
      </c>
      <c r="I1304" t="s">
        <v>23</v>
      </c>
      <c r="J1304" t="s">
        <v>31</v>
      </c>
      <c r="K1304" t="s">
        <v>27</v>
      </c>
      <c r="L1304" t="s">
        <v>127</v>
      </c>
      <c r="M1304" t="s">
        <v>33</v>
      </c>
      <c r="N1304">
        <v>0</v>
      </c>
      <c r="O1304" t="s">
        <v>27</v>
      </c>
      <c r="S1304" s="3">
        <v>7100</v>
      </c>
      <c r="T1304" s="2">
        <v>9225.3125</v>
      </c>
      <c r="U1304" s="2">
        <v>9910.774998014811</v>
      </c>
      <c r="V1304" s="2">
        <v>7614.1793066462533</v>
      </c>
      <c r="W1304" s="2">
        <v>10442.376953125</v>
      </c>
      <c r="X1304" s="4">
        <f t="shared" si="80"/>
        <v>0.76962162528369638</v>
      </c>
      <c r="Y1304" s="4">
        <f t="shared" si="81"/>
        <v>0.71639200783209922</v>
      </c>
      <c r="Z1304" s="4">
        <f t="shared" si="82"/>
        <v>0.93247081715064983</v>
      </c>
      <c r="AA1304" s="4">
        <f t="shared" si="83"/>
        <v>0.67992182544944846</v>
      </c>
    </row>
    <row r="1305" spans="1:27" x14ac:dyDescent="0.3">
      <c r="A1305" t="s">
        <v>461</v>
      </c>
      <c r="B1305">
        <v>128603</v>
      </c>
      <c r="C1305">
        <v>2020</v>
      </c>
      <c r="D1305" t="s">
        <v>34</v>
      </c>
      <c r="E1305" t="s">
        <v>61</v>
      </c>
      <c r="F1305">
        <v>6</v>
      </c>
      <c r="G1305" t="s">
        <v>22</v>
      </c>
      <c r="H1305">
        <v>4</v>
      </c>
      <c r="I1305" t="s">
        <v>23</v>
      </c>
      <c r="J1305" t="s">
        <v>62</v>
      </c>
      <c r="K1305" t="s">
        <v>27</v>
      </c>
      <c r="L1305" t="s">
        <v>38</v>
      </c>
      <c r="M1305" t="s">
        <v>23</v>
      </c>
      <c r="N1305">
        <v>0</v>
      </c>
      <c r="O1305" t="s">
        <v>27</v>
      </c>
      <c r="S1305" s="3">
        <v>17750</v>
      </c>
      <c r="T1305" s="2">
        <v>18228.6953125</v>
      </c>
      <c r="U1305" s="2">
        <v>16309.48841756521</v>
      </c>
      <c r="V1305" s="2">
        <v>14355.496445414499</v>
      </c>
      <c r="W1305" s="2">
        <v>17716.34375</v>
      </c>
      <c r="X1305" s="4">
        <f t="shared" si="80"/>
        <v>0.97373946383470777</v>
      </c>
      <c r="Y1305" s="4">
        <f t="shared" si="81"/>
        <v>1.0883235295647513</v>
      </c>
      <c r="Z1305" s="4">
        <f t="shared" si="82"/>
        <v>1.2364601995822855</v>
      </c>
      <c r="AA1305" s="4">
        <f t="shared" si="83"/>
        <v>1.0018997288873446</v>
      </c>
    </row>
    <row r="1306" spans="1:27" x14ac:dyDescent="0.3">
      <c r="A1306" t="s">
        <v>461</v>
      </c>
      <c r="B1306">
        <v>163113</v>
      </c>
      <c r="C1306">
        <v>2005</v>
      </c>
      <c r="D1306" t="s">
        <v>28</v>
      </c>
      <c r="E1306" t="s">
        <v>220</v>
      </c>
      <c r="F1306">
        <v>6</v>
      </c>
      <c r="G1306" t="s">
        <v>30</v>
      </c>
      <c r="H1306">
        <v>4</v>
      </c>
      <c r="I1306" t="s">
        <v>23</v>
      </c>
      <c r="J1306" t="s">
        <v>24</v>
      </c>
      <c r="K1306" t="s">
        <v>27</v>
      </c>
      <c r="L1306" t="s">
        <v>53</v>
      </c>
      <c r="M1306" t="s">
        <v>23</v>
      </c>
      <c r="N1306">
        <v>0</v>
      </c>
      <c r="O1306" t="s">
        <v>27</v>
      </c>
      <c r="S1306" s="3">
        <v>1000</v>
      </c>
      <c r="T1306" s="2">
        <v>2797.972900390625</v>
      </c>
      <c r="U1306" s="2">
        <v>3454.153107000644</v>
      </c>
      <c r="V1306" s="2">
        <v>2493.861946998235</v>
      </c>
      <c r="W1306" s="2">
        <v>2726.746826171875</v>
      </c>
      <c r="X1306" s="4">
        <f t="shared" si="80"/>
        <v>0.35740160308929009</v>
      </c>
      <c r="Y1306" s="4">
        <f t="shared" si="81"/>
        <v>0.28950656471285757</v>
      </c>
      <c r="Z1306" s="4">
        <f t="shared" si="82"/>
        <v>0.40098450565944971</v>
      </c>
      <c r="AA1306" s="4">
        <f t="shared" si="83"/>
        <v>0.36673738478460671</v>
      </c>
    </row>
    <row r="1307" spans="1:27" x14ac:dyDescent="0.3">
      <c r="A1307" t="s">
        <v>461</v>
      </c>
      <c r="B1307">
        <v>302274</v>
      </c>
      <c r="C1307">
        <v>2004</v>
      </c>
      <c r="D1307" t="s">
        <v>44</v>
      </c>
      <c r="E1307" t="s">
        <v>540</v>
      </c>
      <c r="F1307">
        <v>8</v>
      </c>
      <c r="G1307" t="s">
        <v>59</v>
      </c>
      <c r="H1307">
        <v>4</v>
      </c>
      <c r="I1307" t="s">
        <v>23</v>
      </c>
      <c r="J1307" t="s">
        <v>42</v>
      </c>
      <c r="L1307" t="s">
        <v>80</v>
      </c>
      <c r="M1307" t="s">
        <v>78</v>
      </c>
      <c r="N1307">
        <v>0</v>
      </c>
      <c r="O1307" t="s">
        <v>27</v>
      </c>
      <c r="S1307" s="3">
        <v>3500</v>
      </c>
      <c r="T1307" s="2">
        <v>4760.18896484375</v>
      </c>
      <c r="U1307" s="2">
        <v>12853.27211662861</v>
      </c>
      <c r="V1307" s="2">
        <v>3404.6008387289012</v>
      </c>
      <c r="W1307" s="2">
        <v>6317.609375</v>
      </c>
      <c r="X1307" s="4">
        <f t="shared" si="80"/>
        <v>0.73526492873479554</v>
      </c>
      <c r="Y1307" s="4">
        <f t="shared" si="81"/>
        <v>0.27230420147037576</v>
      </c>
      <c r="Z1307" s="4">
        <f t="shared" si="82"/>
        <v>1.0280206596279626</v>
      </c>
      <c r="AA1307" s="4">
        <f t="shared" si="83"/>
        <v>0.55400702896417997</v>
      </c>
    </row>
    <row r="1308" spans="1:27" x14ac:dyDescent="0.3">
      <c r="A1308" t="s">
        <v>461</v>
      </c>
      <c r="B1308">
        <v>142315</v>
      </c>
      <c r="C1308">
        <v>2013</v>
      </c>
      <c r="D1308" t="s">
        <v>40</v>
      </c>
      <c r="E1308" t="s">
        <v>208</v>
      </c>
      <c r="F1308">
        <v>6</v>
      </c>
      <c r="G1308" t="s">
        <v>47</v>
      </c>
      <c r="H1308">
        <v>2</v>
      </c>
      <c r="I1308" t="s">
        <v>23</v>
      </c>
      <c r="J1308" t="s">
        <v>83</v>
      </c>
      <c r="L1308" t="s">
        <v>26</v>
      </c>
      <c r="M1308" t="s">
        <v>78</v>
      </c>
      <c r="N1308">
        <v>0</v>
      </c>
      <c r="O1308" t="s">
        <v>27</v>
      </c>
      <c r="S1308" s="3">
        <v>2250</v>
      </c>
      <c r="T1308" s="2">
        <v>8180.927734375</v>
      </c>
      <c r="U1308" s="2">
        <v>10060.625728857131</v>
      </c>
      <c r="V1308" s="2">
        <v>6721.8855300123596</v>
      </c>
      <c r="W1308" s="2">
        <v>7391.72705078125</v>
      </c>
      <c r="X1308" s="4">
        <f t="shared" si="80"/>
        <v>0.27502993218554495</v>
      </c>
      <c r="Y1308" s="4">
        <f t="shared" si="81"/>
        <v>0.22364414109415401</v>
      </c>
      <c r="Z1308" s="4">
        <f t="shared" si="82"/>
        <v>0.33472750911244137</v>
      </c>
      <c r="AA1308" s="4">
        <f t="shared" si="83"/>
        <v>0.30439435662903597</v>
      </c>
    </row>
    <row r="1309" spans="1:27" x14ac:dyDescent="0.3">
      <c r="A1309" t="s">
        <v>461</v>
      </c>
      <c r="B1309">
        <v>96622</v>
      </c>
      <c r="C1309">
        <v>2016</v>
      </c>
      <c r="D1309" t="s">
        <v>125</v>
      </c>
      <c r="E1309" t="s">
        <v>297</v>
      </c>
      <c r="F1309">
        <v>4</v>
      </c>
      <c r="G1309" t="s">
        <v>59</v>
      </c>
      <c r="H1309">
        <v>4</v>
      </c>
      <c r="I1309" t="s">
        <v>23</v>
      </c>
      <c r="J1309" t="s">
        <v>24</v>
      </c>
      <c r="K1309" t="s">
        <v>27</v>
      </c>
      <c r="L1309" t="s">
        <v>87</v>
      </c>
      <c r="M1309" t="s">
        <v>33</v>
      </c>
      <c r="N1309">
        <v>0</v>
      </c>
      <c r="O1309" t="s">
        <v>27</v>
      </c>
      <c r="S1309" s="3">
        <v>6800</v>
      </c>
      <c r="T1309" s="2">
        <v>7328.9208984375</v>
      </c>
      <c r="U1309" s="2">
        <v>7858.8853752417326</v>
      </c>
      <c r="V1309" s="2">
        <v>6427.6161725986931</v>
      </c>
      <c r="W1309" s="2">
        <v>7852.5390625</v>
      </c>
      <c r="X1309" s="4">
        <f t="shared" si="80"/>
        <v>0.92783099916520262</v>
      </c>
      <c r="Y1309" s="4">
        <f t="shared" si="81"/>
        <v>0.86526265180332118</v>
      </c>
      <c r="Z1309" s="4">
        <f t="shared" si="82"/>
        <v>1.0579349820216088</v>
      </c>
      <c r="AA1309" s="4">
        <f t="shared" si="83"/>
        <v>0.86596194503171242</v>
      </c>
    </row>
    <row r="1310" spans="1:27" x14ac:dyDescent="0.3">
      <c r="A1310" t="s">
        <v>461</v>
      </c>
      <c r="B1310">
        <v>110861</v>
      </c>
      <c r="C1310">
        <v>2018</v>
      </c>
      <c r="D1310" t="s">
        <v>40</v>
      </c>
      <c r="E1310" t="s">
        <v>41</v>
      </c>
      <c r="F1310">
        <v>8</v>
      </c>
      <c r="G1310" t="s">
        <v>47</v>
      </c>
      <c r="H1310">
        <v>4</v>
      </c>
      <c r="I1310" t="s">
        <v>23</v>
      </c>
      <c r="J1310" t="s">
        <v>42</v>
      </c>
      <c r="K1310" t="s">
        <v>27</v>
      </c>
      <c r="L1310" t="s">
        <v>43</v>
      </c>
      <c r="M1310">
        <v>4</v>
      </c>
      <c r="N1310">
        <v>0</v>
      </c>
      <c r="O1310" t="s">
        <v>27</v>
      </c>
      <c r="S1310" s="3">
        <v>22750</v>
      </c>
      <c r="T1310" s="2">
        <v>19934.80078125</v>
      </c>
      <c r="U1310" s="2">
        <v>27583.814022096609</v>
      </c>
      <c r="V1310" s="2">
        <v>20140.508487456878</v>
      </c>
      <c r="W1310" s="2">
        <v>23410.759765625</v>
      </c>
      <c r="X1310" s="4">
        <f t="shared" si="80"/>
        <v>1.1412203337089719</v>
      </c>
      <c r="Y1310" s="4">
        <f t="shared" si="81"/>
        <v>0.82475904100048025</v>
      </c>
      <c r="Z1310" s="4">
        <f t="shared" si="82"/>
        <v>1.1295643312167745</v>
      </c>
      <c r="AA1310" s="4">
        <f t="shared" si="83"/>
        <v>0.97177538139555719</v>
      </c>
    </row>
    <row r="1311" spans="1:27" x14ac:dyDescent="0.3">
      <c r="A1311" t="s">
        <v>461</v>
      </c>
      <c r="B1311">
        <v>146774</v>
      </c>
      <c r="C1311">
        <v>2001</v>
      </c>
      <c r="D1311" t="s">
        <v>40</v>
      </c>
      <c r="E1311" t="s">
        <v>41</v>
      </c>
      <c r="F1311">
        <v>6</v>
      </c>
      <c r="G1311" t="s">
        <v>171</v>
      </c>
      <c r="H1311">
        <v>2</v>
      </c>
      <c r="I1311" t="s">
        <v>23</v>
      </c>
      <c r="J1311" t="s">
        <v>76</v>
      </c>
      <c r="L1311" t="s">
        <v>308</v>
      </c>
      <c r="M1311" t="s">
        <v>78</v>
      </c>
      <c r="N1311">
        <v>0</v>
      </c>
      <c r="O1311" t="s">
        <v>27</v>
      </c>
      <c r="S1311" s="3">
        <v>5500</v>
      </c>
      <c r="T1311" s="2">
        <v>3365.095458984375</v>
      </c>
      <c r="U1311" s="2">
        <v>2961.170938824896</v>
      </c>
      <c r="V1311" s="2">
        <v>6090.0458987415068</v>
      </c>
      <c r="W1311" s="2">
        <v>2960.699951171875</v>
      </c>
      <c r="X1311" s="4">
        <f t="shared" si="80"/>
        <v>1.6344261454205415</v>
      </c>
      <c r="Y1311" s="4">
        <f t="shared" si="81"/>
        <v>1.8573733545360966</v>
      </c>
      <c r="Z1311" s="4">
        <f t="shared" si="82"/>
        <v>0.90311306210952558</v>
      </c>
      <c r="AA1311" s="4">
        <f t="shared" si="83"/>
        <v>1.857668825178669</v>
      </c>
    </row>
    <row r="1312" spans="1:27" x14ac:dyDescent="0.3">
      <c r="A1312" t="s">
        <v>461</v>
      </c>
      <c r="B1312">
        <v>216152</v>
      </c>
      <c r="C1312">
        <v>2005</v>
      </c>
      <c r="D1312" t="s">
        <v>100</v>
      </c>
      <c r="E1312" t="s">
        <v>114</v>
      </c>
      <c r="F1312">
        <v>8</v>
      </c>
      <c r="G1312" t="s">
        <v>47</v>
      </c>
      <c r="H1312">
        <v>4</v>
      </c>
      <c r="I1312" t="s">
        <v>23</v>
      </c>
      <c r="J1312" t="s">
        <v>42</v>
      </c>
      <c r="L1312" t="s">
        <v>115</v>
      </c>
      <c r="M1312">
        <v>4</v>
      </c>
      <c r="N1312">
        <v>0</v>
      </c>
      <c r="O1312" t="s">
        <v>123</v>
      </c>
      <c r="S1312" s="3">
        <v>400</v>
      </c>
      <c r="T1312" s="2">
        <v>437.31814575195313</v>
      </c>
      <c r="U1312" s="2">
        <v>1027.6959571185221</v>
      </c>
      <c r="V1312" s="2">
        <v>-293.67661028007211</v>
      </c>
      <c r="W1312" s="2">
        <v>1565.286010742188</v>
      </c>
      <c r="X1312" s="4">
        <f t="shared" si="80"/>
        <v>0.91466591058601998</v>
      </c>
      <c r="Y1312" s="4">
        <f t="shared" si="81"/>
        <v>0.38922017473098691</v>
      </c>
      <c r="Z1312" s="4">
        <f t="shared" si="82"/>
        <v>-1.3620424167199761</v>
      </c>
      <c r="AA1312" s="4">
        <f t="shared" si="83"/>
        <v>0.25554435244095619</v>
      </c>
    </row>
    <row r="1313" spans="1:27" x14ac:dyDescent="0.3">
      <c r="A1313" t="s">
        <v>461</v>
      </c>
      <c r="B1313">
        <v>135161</v>
      </c>
      <c r="C1313">
        <v>2017</v>
      </c>
      <c r="D1313" t="s">
        <v>54</v>
      </c>
      <c r="E1313" t="s">
        <v>219</v>
      </c>
      <c r="F1313">
        <v>6</v>
      </c>
      <c r="G1313" t="s">
        <v>22</v>
      </c>
      <c r="H1313">
        <v>4</v>
      </c>
      <c r="I1313" t="s">
        <v>23</v>
      </c>
      <c r="J1313" t="s">
        <v>24</v>
      </c>
      <c r="K1313" t="s">
        <v>27</v>
      </c>
      <c r="L1313" t="s">
        <v>26</v>
      </c>
      <c r="M1313">
        <v>4</v>
      </c>
      <c r="N1313">
        <v>0</v>
      </c>
      <c r="O1313" t="s">
        <v>27</v>
      </c>
      <c r="S1313" s="3">
        <v>8500</v>
      </c>
      <c r="T1313" s="2">
        <v>10315.1103515625</v>
      </c>
      <c r="U1313" s="2">
        <v>10153.64292909183</v>
      </c>
      <c r="V1313" s="2">
        <v>10869.523764507539</v>
      </c>
      <c r="W1313" s="2">
        <v>10642.3759765625</v>
      </c>
      <c r="X1313" s="4">
        <f t="shared" si="80"/>
        <v>0.82403384067650298</v>
      </c>
      <c r="Y1313" s="4">
        <f t="shared" si="81"/>
        <v>0.8371379670685607</v>
      </c>
      <c r="Z1313" s="4">
        <f t="shared" si="82"/>
        <v>0.78200298229764309</v>
      </c>
      <c r="AA1313" s="4">
        <f t="shared" si="83"/>
        <v>0.79869382727310012</v>
      </c>
    </row>
    <row r="1314" spans="1:27" x14ac:dyDescent="0.3">
      <c r="A1314" t="s">
        <v>461</v>
      </c>
      <c r="B1314">
        <v>185380</v>
      </c>
      <c r="C1314">
        <v>2015</v>
      </c>
      <c r="D1314" t="s">
        <v>44</v>
      </c>
      <c r="E1314" t="s">
        <v>267</v>
      </c>
      <c r="F1314">
        <v>8</v>
      </c>
      <c r="G1314" t="s">
        <v>47</v>
      </c>
      <c r="H1314">
        <v>4</v>
      </c>
      <c r="I1314" t="s">
        <v>23</v>
      </c>
      <c r="J1314" t="s">
        <v>46</v>
      </c>
      <c r="K1314" t="s">
        <v>27</v>
      </c>
      <c r="L1314" t="s">
        <v>140</v>
      </c>
      <c r="M1314">
        <v>4</v>
      </c>
      <c r="N1314">
        <v>0</v>
      </c>
      <c r="S1314" s="3">
        <v>16250</v>
      </c>
      <c r="T1314" s="2">
        <v>10260.595703125</v>
      </c>
      <c r="U1314" s="2">
        <v>21300.395029799711</v>
      </c>
      <c r="V1314" s="2">
        <v>15977.97939084037</v>
      </c>
      <c r="W1314" s="2">
        <v>12941.462890625</v>
      </c>
      <c r="X1314" s="4">
        <f t="shared" si="80"/>
        <v>1.5837287103175548</v>
      </c>
      <c r="Y1314" s="4">
        <f t="shared" si="81"/>
        <v>0.76289664944081559</v>
      </c>
      <c r="Z1314" s="4">
        <f t="shared" si="82"/>
        <v>1.0170247189901602</v>
      </c>
      <c r="AA1314" s="4">
        <f t="shared" si="83"/>
        <v>1.2556540274725632</v>
      </c>
    </row>
    <row r="1315" spans="1:27" x14ac:dyDescent="0.3">
      <c r="A1315" t="s">
        <v>461</v>
      </c>
      <c r="B1315">
        <v>183098</v>
      </c>
      <c r="C1315">
        <v>2019</v>
      </c>
      <c r="D1315" t="s">
        <v>74</v>
      </c>
      <c r="E1315" t="s">
        <v>399</v>
      </c>
      <c r="F1315">
        <v>6</v>
      </c>
      <c r="G1315" t="s">
        <v>22</v>
      </c>
      <c r="H1315">
        <v>4</v>
      </c>
      <c r="I1315" t="s">
        <v>23</v>
      </c>
      <c r="J1315" t="s">
        <v>42</v>
      </c>
      <c r="K1315" t="s">
        <v>27</v>
      </c>
      <c r="L1315" t="s">
        <v>255</v>
      </c>
      <c r="M1315">
        <v>4</v>
      </c>
      <c r="N1315">
        <v>0</v>
      </c>
      <c r="O1315" t="s">
        <v>27</v>
      </c>
      <c r="S1315" s="3">
        <v>22000</v>
      </c>
      <c r="T1315" s="2">
        <v>16555.037109375</v>
      </c>
      <c r="U1315" s="2">
        <v>20102.202948871909</v>
      </c>
      <c r="V1315" s="2">
        <v>21092.761306919139</v>
      </c>
      <c r="W1315" s="2">
        <v>21323.884765625</v>
      </c>
      <c r="X1315" s="4">
        <f t="shared" si="80"/>
        <v>1.3289006756464203</v>
      </c>
      <c r="Y1315" s="4">
        <f t="shared" si="81"/>
        <v>1.094407416737109</v>
      </c>
      <c r="Z1315" s="4">
        <f t="shared" si="82"/>
        <v>1.0430118503632455</v>
      </c>
      <c r="AA1315" s="4">
        <f t="shared" si="83"/>
        <v>1.0317069446682119</v>
      </c>
    </row>
    <row r="1316" spans="1:27" x14ac:dyDescent="0.3">
      <c r="A1316" t="s">
        <v>461</v>
      </c>
      <c r="B1316">
        <v>113890</v>
      </c>
      <c r="C1316">
        <v>2016</v>
      </c>
      <c r="D1316" t="s">
        <v>239</v>
      </c>
      <c r="E1316" t="s">
        <v>365</v>
      </c>
      <c r="F1316">
        <v>4</v>
      </c>
      <c r="G1316" t="s">
        <v>66</v>
      </c>
      <c r="H1316">
        <v>4</v>
      </c>
      <c r="I1316" t="s">
        <v>23</v>
      </c>
      <c r="J1316" t="s">
        <v>31</v>
      </c>
      <c r="K1316" t="s">
        <v>27</v>
      </c>
      <c r="L1316" t="s">
        <v>127</v>
      </c>
      <c r="M1316" t="s">
        <v>78</v>
      </c>
      <c r="N1316">
        <v>0</v>
      </c>
      <c r="S1316" s="3">
        <v>2800</v>
      </c>
      <c r="T1316" s="2">
        <v>5924.904296875</v>
      </c>
      <c r="U1316" s="2">
        <v>6428.8363909584623</v>
      </c>
      <c r="V1316" s="2">
        <v>7428.6040913816241</v>
      </c>
      <c r="W1316" s="2">
        <v>7103.03515625</v>
      </c>
      <c r="X1316" s="4">
        <f t="shared" si="80"/>
        <v>0.47258147299979464</v>
      </c>
      <c r="Y1316" s="4">
        <f t="shared" si="81"/>
        <v>0.43553760427593546</v>
      </c>
      <c r="Z1316" s="4">
        <f t="shared" si="82"/>
        <v>0.37692141963097087</v>
      </c>
      <c r="AA1316" s="4">
        <f t="shared" si="83"/>
        <v>0.39419768287874296</v>
      </c>
    </row>
    <row r="1317" spans="1:27" x14ac:dyDescent="0.3">
      <c r="A1317" t="s">
        <v>461</v>
      </c>
      <c r="B1317">
        <v>243711</v>
      </c>
      <c r="C1317">
        <v>2014</v>
      </c>
      <c r="D1317" t="s">
        <v>159</v>
      </c>
      <c r="E1317" t="s">
        <v>510</v>
      </c>
      <c r="F1317">
        <v>4</v>
      </c>
      <c r="G1317" t="s">
        <v>36</v>
      </c>
      <c r="H1317">
        <v>4</v>
      </c>
      <c r="I1317" t="s">
        <v>23</v>
      </c>
      <c r="J1317" t="s">
        <v>37</v>
      </c>
      <c r="K1317" t="s">
        <v>27</v>
      </c>
      <c r="L1317" t="s">
        <v>96</v>
      </c>
      <c r="M1317" t="s">
        <v>33</v>
      </c>
      <c r="N1317">
        <v>0</v>
      </c>
      <c r="O1317" t="s">
        <v>27</v>
      </c>
      <c r="S1317" s="3">
        <v>900</v>
      </c>
      <c r="T1317" s="2">
        <v>2015.1298828125</v>
      </c>
      <c r="U1317" s="2">
        <v>1347.03263802326</v>
      </c>
      <c r="V1317" s="2">
        <v>2291.4134811359691</v>
      </c>
      <c r="W1317" s="2">
        <v>1886.028930664062</v>
      </c>
      <c r="X1317" s="4">
        <f t="shared" si="80"/>
        <v>0.44662133576416302</v>
      </c>
      <c r="Y1317" s="4">
        <f t="shared" si="81"/>
        <v>0.66813525863837253</v>
      </c>
      <c r="Z1317" s="4">
        <f t="shared" si="82"/>
        <v>0.39277066640710551</v>
      </c>
      <c r="AA1317" s="4">
        <f t="shared" si="83"/>
        <v>0.47719310418165972</v>
      </c>
    </row>
    <row r="1318" spans="1:27" x14ac:dyDescent="0.3">
      <c r="A1318" t="s">
        <v>461</v>
      </c>
      <c r="B1318">
        <v>236842</v>
      </c>
      <c r="C1318">
        <v>2011</v>
      </c>
      <c r="D1318" t="s">
        <v>34</v>
      </c>
      <c r="E1318" t="s">
        <v>330</v>
      </c>
      <c r="F1318">
        <v>6</v>
      </c>
      <c r="G1318" t="s">
        <v>36</v>
      </c>
      <c r="H1318">
        <v>4</v>
      </c>
      <c r="I1318" t="s">
        <v>23</v>
      </c>
      <c r="J1318" t="s">
        <v>62</v>
      </c>
      <c r="K1318" t="s">
        <v>27</v>
      </c>
      <c r="L1318" t="s">
        <v>319</v>
      </c>
      <c r="M1318" t="s">
        <v>78</v>
      </c>
      <c r="N1318">
        <v>0</v>
      </c>
      <c r="O1318" t="s">
        <v>27</v>
      </c>
      <c r="S1318" s="3">
        <v>6700</v>
      </c>
      <c r="T1318" s="2">
        <v>7953.63134765625</v>
      </c>
      <c r="U1318" s="2">
        <v>6200.2418318376558</v>
      </c>
      <c r="V1318" s="2">
        <v>4887.18190667212</v>
      </c>
      <c r="W1318" s="2">
        <v>6887.77490234375</v>
      </c>
      <c r="X1318" s="4">
        <f t="shared" si="80"/>
        <v>0.84238251776332762</v>
      </c>
      <c r="Y1318" s="4">
        <f t="shared" si="81"/>
        <v>1.080603012223835</v>
      </c>
      <c r="Z1318" s="4">
        <f t="shared" si="82"/>
        <v>1.3709332142625936</v>
      </c>
      <c r="AA1318" s="4">
        <f t="shared" si="83"/>
        <v>0.97273794440061412</v>
      </c>
    </row>
    <row r="1319" spans="1:27" x14ac:dyDescent="0.3">
      <c r="A1319" t="s">
        <v>461</v>
      </c>
      <c r="B1319">
        <v>188465</v>
      </c>
      <c r="C1319">
        <v>2009</v>
      </c>
      <c r="D1319" t="s">
        <v>28</v>
      </c>
      <c r="E1319" t="s">
        <v>310</v>
      </c>
      <c r="F1319">
        <v>4</v>
      </c>
      <c r="G1319" t="s">
        <v>30</v>
      </c>
      <c r="H1319">
        <v>4</v>
      </c>
      <c r="I1319" t="s">
        <v>23</v>
      </c>
      <c r="J1319" t="s">
        <v>31</v>
      </c>
      <c r="L1319" t="s">
        <v>60</v>
      </c>
      <c r="M1319" t="s">
        <v>33</v>
      </c>
      <c r="N1319">
        <v>0</v>
      </c>
      <c r="S1319" s="3">
        <v>2800</v>
      </c>
      <c r="T1319" s="2">
        <v>3760.75732421875</v>
      </c>
      <c r="U1319" s="2">
        <v>3933.5532319541298</v>
      </c>
      <c r="V1319" s="2">
        <v>2317.8286267811</v>
      </c>
      <c r="W1319" s="2">
        <v>3195.00732421875</v>
      </c>
      <c r="X1319" s="4">
        <f t="shared" si="80"/>
        <v>0.74453089061833166</v>
      </c>
      <c r="Y1319" s="4">
        <f t="shared" si="81"/>
        <v>0.71182461120756269</v>
      </c>
      <c r="Z1319" s="4">
        <f t="shared" si="82"/>
        <v>1.2080271887436815</v>
      </c>
      <c r="AA1319" s="4">
        <f t="shared" si="83"/>
        <v>0.87636731808890667</v>
      </c>
    </row>
    <row r="1320" spans="1:27" x14ac:dyDescent="0.3">
      <c r="A1320" t="s">
        <v>461</v>
      </c>
      <c r="B1320">
        <v>68247</v>
      </c>
      <c r="C1320">
        <v>2016</v>
      </c>
      <c r="D1320" t="s">
        <v>324</v>
      </c>
      <c r="E1320" t="s">
        <v>431</v>
      </c>
      <c r="F1320">
        <v>4</v>
      </c>
      <c r="G1320" t="s">
        <v>36</v>
      </c>
      <c r="H1320">
        <v>4</v>
      </c>
      <c r="I1320" t="s">
        <v>23</v>
      </c>
      <c r="J1320" t="s">
        <v>31</v>
      </c>
      <c r="K1320" t="s">
        <v>27</v>
      </c>
      <c r="L1320" t="s">
        <v>127</v>
      </c>
      <c r="M1320" t="s">
        <v>78</v>
      </c>
      <c r="N1320">
        <v>0</v>
      </c>
      <c r="O1320" t="s">
        <v>27</v>
      </c>
      <c r="S1320" s="3">
        <v>8000</v>
      </c>
      <c r="T1320" s="2">
        <v>11301.0205078125</v>
      </c>
      <c r="U1320" s="2">
        <v>10062.45189206332</v>
      </c>
      <c r="V1320" s="2">
        <v>11109.57708622823</v>
      </c>
      <c r="W1320" s="2">
        <v>11704.4091796875</v>
      </c>
      <c r="X1320" s="4">
        <f t="shared" si="80"/>
        <v>0.70790067095883291</v>
      </c>
      <c r="Y1320" s="4">
        <f t="shared" si="81"/>
        <v>0.79503485689307363</v>
      </c>
      <c r="Z1320" s="4">
        <f t="shared" si="82"/>
        <v>0.72009941853835679</v>
      </c>
      <c r="AA1320" s="4">
        <f t="shared" si="83"/>
        <v>0.68350310358968458</v>
      </c>
    </row>
    <row r="1321" spans="1:27" x14ac:dyDescent="0.3">
      <c r="A1321" t="s">
        <v>461</v>
      </c>
      <c r="B1321">
        <v>25900</v>
      </c>
      <c r="C1321">
        <v>2022</v>
      </c>
      <c r="D1321" t="s">
        <v>54</v>
      </c>
      <c r="E1321" t="s">
        <v>382</v>
      </c>
      <c r="F1321">
        <v>6</v>
      </c>
      <c r="G1321" t="s">
        <v>22</v>
      </c>
      <c r="H1321">
        <v>4</v>
      </c>
      <c r="I1321" t="s">
        <v>23</v>
      </c>
      <c r="J1321" t="s">
        <v>24</v>
      </c>
      <c r="K1321" t="s">
        <v>27</v>
      </c>
      <c r="L1321" t="s">
        <v>26</v>
      </c>
      <c r="M1321">
        <v>4</v>
      </c>
      <c r="N1321">
        <v>0</v>
      </c>
      <c r="O1321" t="s">
        <v>27</v>
      </c>
      <c r="S1321" s="3">
        <v>27200</v>
      </c>
      <c r="T1321" s="2">
        <v>39006.140625</v>
      </c>
      <c r="U1321" s="2">
        <v>40405.490526469926</v>
      </c>
      <c r="V1321" s="2">
        <v>46863.072647495806</v>
      </c>
      <c r="W1321" s="2">
        <v>39672.14453125</v>
      </c>
      <c r="X1321" s="4">
        <f t="shared" si="80"/>
        <v>0.69732610210011003</v>
      </c>
      <c r="Y1321" s="4">
        <f t="shared" si="81"/>
        <v>0.67317583936225411</v>
      </c>
      <c r="Z1321" s="4">
        <f t="shared" si="82"/>
        <v>0.58041435320723622</v>
      </c>
      <c r="AA1321" s="4">
        <f t="shared" si="83"/>
        <v>0.68561960341151684</v>
      </c>
    </row>
    <row r="1322" spans="1:27" x14ac:dyDescent="0.3">
      <c r="A1322" t="s">
        <v>461</v>
      </c>
      <c r="B1322">
        <v>180321</v>
      </c>
      <c r="C1322">
        <v>2013</v>
      </c>
      <c r="D1322" t="s">
        <v>159</v>
      </c>
      <c r="E1322" t="s">
        <v>361</v>
      </c>
      <c r="F1322">
        <v>6</v>
      </c>
      <c r="G1322" t="s">
        <v>22</v>
      </c>
      <c r="H1322">
        <v>4</v>
      </c>
      <c r="I1322" t="s">
        <v>23</v>
      </c>
      <c r="J1322" t="s">
        <v>62</v>
      </c>
      <c r="K1322" t="s">
        <v>27</v>
      </c>
      <c r="L1322" t="s">
        <v>198</v>
      </c>
      <c r="M1322" t="s">
        <v>33</v>
      </c>
      <c r="N1322">
        <v>0</v>
      </c>
      <c r="O1322" t="s">
        <v>27</v>
      </c>
      <c r="S1322" s="3">
        <v>3600</v>
      </c>
      <c r="T1322" s="2">
        <v>3027.959716796875</v>
      </c>
      <c r="U1322" s="2">
        <v>4225.5213726782858</v>
      </c>
      <c r="V1322" s="2">
        <v>3505.704215179891</v>
      </c>
      <c r="W1322" s="2">
        <v>3614.803955078125</v>
      </c>
      <c r="X1322" s="4">
        <f t="shared" si="80"/>
        <v>1.1889193835802603</v>
      </c>
      <c r="Y1322" s="4">
        <f t="shared" si="81"/>
        <v>0.8519658717802655</v>
      </c>
      <c r="Z1322" s="4">
        <f t="shared" si="82"/>
        <v>1.0268978153980599</v>
      </c>
      <c r="AA1322" s="4">
        <f t="shared" si="83"/>
        <v>0.9959046312712676</v>
      </c>
    </row>
    <row r="1323" spans="1:27" x14ac:dyDescent="0.3">
      <c r="A1323" t="s">
        <v>461</v>
      </c>
      <c r="B1323">
        <v>167426</v>
      </c>
      <c r="C1323">
        <v>2011</v>
      </c>
      <c r="D1323" t="s">
        <v>34</v>
      </c>
      <c r="E1323" t="s">
        <v>88</v>
      </c>
      <c r="F1323">
        <v>4</v>
      </c>
      <c r="G1323" t="s">
        <v>66</v>
      </c>
      <c r="H1323">
        <v>4</v>
      </c>
      <c r="I1323" t="s">
        <v>23</v>
      </c>
      <c r="J1323" t="s">
        <v>37</v>
      </c>
      <c r="L1323" t="s">
        <v>89</v>
      </c>
      <c r="M1323" t="s">
        <v>33</v>
      </c>
      <c r="N1323">
        <v>0</v>
      </c>
      <c r="O1323" t="s">
        <v>27</v>
      </c>
      <c r="S1323" s="3">
        <v>2300</v>
      </c>
      <c r="T1323" s="2">
        <v>4004.113525390625</v>
      </c>
      <c r="U1323" s="2">
        <v>3054.771542744591</v>
      </c>
      <c r="V1323" s="2">
        <v>2548.3640289654031</v>
      </c>
      <c r="W1323" s="2">
        <v>3551.05029296875</v>
      </c>
      <c r="X1323" s="4">
        <f t="shared" si="80"/>
        <v>0.57440928820209247</v>
      </c>
      <c r="Y1323" s="4">
        <f t="shared" si="81"/>
        <v>0.75292046158500658</v>
      </c>
      <c r="Z1323" s="4">
        <f t="shared" si="82"/>
        <v>0.90253981529230931</v>
      </c>
      <c r="AA1323" s="4">
        <f t="shared" si="83"/>
        <v>0.64769569852449294</v>
      </c>
    </row>
    <row r="1324" spans="1:27" x14ac:dyDescent="0.3">
      <c r="A1324" t="s">
        <v>461</v>
      </c>
      <c r="B1324">
        <v>41247</v>
      </c>
      <c r="C1324">
        <v>2014</v>
      </c>
      <c r="D1324" t="s">
        <v>125</v>
      </c>
      <c r="E1324" t="s">
        <v>541</v>
      </c>
      <c r="F1324">
        <v>8</v>
      </c>
      <c r="G1324" t="s">
        <v>22</v>
      </c>
      <c r="H1324">
        <v>4</v>
      </c>
      <c r="I1324" t="s">
        <v>23</v>
      </c>
      <c r="J1324" t="s">
        <v>31</v>
      </c>
      <c r="K1324" t="s">
        <v>27</v>
      </c>
      <c r="L1324" t="s">
        <v>134</v>
      </c>
      <c r="M1324" t="s">
        <v>78</v>
      </c>
      <c r="N1324">
        <v>0</v>
      </c>
      <c r="O1324" t="s">
        <v>27</v>
      </c>
      <c r="S1324" s="3">
        <v>12500</v>
      </c>
      <c r="T1324" s="2">
        <v>31230.1640625</v>
      </c>
      <c r="U1324" s="2">
        <v>23614.7355457714</v>
      </c>
      <c r="V1324" s="2">
        <v>10699.48691473574</v>
      </c>
      <c r="W1324" s="2">
        <v>22604.443359375</v>
      </c>
      <c r="X1324" s="4">
        <f t="shared" si="80"/>
        <v>0.40025406126538821</v>
      </c>
      <c r="Y1324" s="4">
        <f t="shared" si="81"/>
        <v>0.5293305095783013</v>
      </c>
      <c r="Z1324" s="4">
        <f t="shared" si="82"/>
        <v>1.1682803203193346</v>
      </c>
      <c r="AA1324" s="4">
        <f t="shared" si="83"/>
        <v>0.55298862269111049</v>
      </c>
    </row>
    <row r="1325" spans="1:27" x14ac:dyDescent="0.3">
      <c r="A1325" t="s">
        <v>461</v>
      </c>
      <c r="B1325">
        <v>140573</v>
      </c>
      <c r="C1325">
        <v>2013</v>
      </c>
      <c r="D1325" t="s">
        <v>187</v>
      </c>
      <c r="E1325" t="s">
        <v>411</v>
      </c>
      <c r="F1325">
        <v>4</v>
      </c>
      <c r="G1325" t="s">
        <v>22</v>
      </c>
      <c r="H1325">
        <v>4</v>
      </c>
      <c r="I1325" t="s">
        <v>23</v>
      </c>
      <c r="J1325" t="s">
        <v>52</v>
      </c>
      <c r="K1325" t="s">
        <v>27</v>
      </c>
      <c r="L1325" t="s">
        <v>102</v>
      </c>
      <c r="M1325" t="s">
        <v>23</v>
      </c>
      <c r="N1325">
        <v>0</v>
      </c>
      <c r="O1325" t="s">
        <v>27</v>
      </c>
      <c r="S1325" s="3">
        <v>3750</v>
      </c>
      <c r="T1325" s="2">
        <v>3922.291748046875</v>
      </c>
      <c r="U1325" s="2">
        <v>3333.0351501340592</v>
      </c>
      <c r="V1325" s="2">
        <v>3811.514229021308</v>
      </c>
      <c r="W1325" s="2">
        <v>4231.9365234375</v>
      </c>
      <c r="X1325" s="4">
        <f t="shared" si="80"/>
        <v>0.95607370407041536</v>
      </c>
      <c r="Y1325" s="4">
        <f t="shared" si="81"/>
        <v>1.1251006458330239</v>
      </c>
      <c r="Z1325" s="4">
        <f t="shared" si="82"/>
        <v>0.98386094729676421</v>
      </c>
      <c r="AA1325" s="4">
        <f t="shared" si="83"/>
        <v>0.88611915118092688</v>
      </c>
    </row>
    <row r="1326" spans="1:27" x14ac:dyDescent="0.3">
      <c r="A1326" t="s">
        <v>461</v>
      </c>
      <c r="B1326">
        <v>145060</v>
      </c>
      <c r="C1326">
        <v>2015</v>
      </c>
      <c r="D1326" t="s">
        <v>44</v>
      </c>
      <c r="E1326" t="s">
        <v>45</v>
      </c>
      <c r="F1326">
        <v>6</v>
      </c>
      <c r="G1326" t="s">
        <v>30</v>
      </c>
      <c r="H1326">
        <v>4</v>
      </c>
      <c r="I1326" t="s">
        <v>23</v>
      </c>
      <c r="J1326" t="s">
        <v>46</v>
      </c>
      <c r="K1326" t="s">
        <v>27</v>
      </c>
      <c r="L1326" t="s">
        <v>38</v>
      </c>
      <c r="M1326">
        <v>4</v>
      </c>
      <c r="N1326">
        <v>0</v>
      </c>
      <c r="O1326" t="s">
        <v>27</v>
      </c>
      <c r="S1326" s="3">
        <v>16000</v>
      </c>
      <c r="T1326" s="2">
        <v>8944.2236328125</v>
      </c>
      <c r="U1326" s="2">
        <v>9938.2449863410638</v>
      </c>
      <c r="V1326" s="2">
        <v>18571.772350969481</v>
      </c>
      <c r="W1326" s="2">
        <v>9447.697265625</v>
      </c>
      <c r="X1326" s="4">
        <f t="shared" si="80"/>
        <v>1.7888640374892795</v>
      </c>
      <c r="Y1326" s="4">
        <f t="shared" si="81"/>
        <v>1.609942200256695</v>
      </c>
      <c r="Z1326" s="4">
        <f t="shared" si="82"/>
        <v>0.86152251371769428</v>
      </c>
      <c r="AA1326" s="4">
        <f t="shared" si="83"/>
        <v>1.6935343661164126</v>
      </c>
    </row>
    <row r="1327" spans="1:27" x14ac:dyDescent="0.3">
      <c r="A1327" t="s">
        <v>461</v>
      </c>
      <c r="B1327">
        <v>220914</v>
      </c>
      <c r="C1327">
        <v>2009</v>
      </c>
      <c r="D1327" t="s">
        <v>44</v>
      </c>
      <c r="E1327" t="s">
        <v>45</v>
      </c>
      <c r="F1327">
        <v>8</v>
      </c>
      <c r="G1327" t="s">
        <v>272</v>
      </c>
      <c r="H1327">
        <v>4</v>
      </c>
      <c r="I1327" t="s">
        <v>23</v>
      </c>
      <c r="J1327" t="s">
        <v>42</v>
      </c>
      <c r="L1327" t="s">
        <v>161</v>
      </c>
      <c r="M1327" t="s">
        <v>78</v>
      </c>
      <c r="N1327">
        <v>0</v>
      </c>
      <c r="O1327" t="s">
        <v>27</v>
      </c>
      <c r="S1327" s="3">
        <v>3200</v>
      </c>
      <c r="T1327" s="2">
        <v>4052.6611328125</v>
      </c>
      <c r="U1327" s="2">
        <v>11471.136168671739</v>
      </c>
      <c r="V1327" s="2">
        <v>1649.3576602218641</v>
      </c>
      <c r="W1327" s="2">
        <v>4176.869140625</v>
      </c>
      <c r="X1327" s="4">
        <f t="shared" si="80"/>
        <v>0.78960463140900139</v>
      </c>
      <c r="Y1327" s="4">
        <f t="shared" si="81"/>
        <v>0.27896103341004391</v>
      </c>
      <c r="Z1327" s="4">
        <f t="shared" si="82"/>
        <v>1.940149233350364</v>
      </c>
      <c r="AA1327" s="4">
        <f t="shared" si="83"/>
        <v>0.76612407338219179</v>
      </c>
    </row>
    <row r="1328" spans="1:27" x14ac:dyDescent="0.3">
      <c r="A1328" t="s">
        <v>461</v>
      </c>
      <c r="B1328">
        <v>161992</v>
      </c>
      <c r="C1328">
        <v>2017</v>
      </c>
      <c r="D1328" t="s">
        <v>40</v>
      </c>
      <c r="E1328" t="s">
        <v>229</v>
      </c>
      <c r="F1328">
        <v>4</v>
      </c>
      <c r="G1328" t="s">
        <v>59</v>
      </c>
      <c r="H1328">
        <v>4</v>
      </c>
      <c r="I1328" t="s">
        <v>23</v>
      </c>
      <c r="J1328" t="s">
        <v>31</v>
      </c>
      <c r="K1328" t="s">
        <v>27</v>
      </c>
      <c r="L1328" t="s">
        <v>107</v>
      </c>
      <c r="M1328" t="s">
        <v>33</v>
      </c>
      <c r="N1328">
        <v>0</v>
      </c>
      <c r="O1328" t="s">
        <v>27</v>
      </c>
      <c r="S1328" s="3">
        <v>3250</v>
      </c>
      <c r="T1328" s="2">
        <v>5487.4716796875</v>
      </c>
      <c r="U1328" s="2">
        <v>5034.9800095782948</v>
      </c>
      <c r="V1328" s="2">
        <v>4559.8424906876226</v>
      </c>
      <c r="W1328" s="2">
        <v>5240.3837890625</v>
      </c>
      <c r="X1328" s="4">
        <f t="shared" si="80"/>
        <v>0.59225818185636281</v>
      </c>
      <c r="Y1328" s="4">
        <f t="shared" si="81"/>
        <v>0.64548419136071289</v>
      </c>
      <c r="Z1328" s="4">
        <f t="shared" si="82"/>
        <v>0.71274391750095323</v>
      </c>
      <c r="AA1328" s="4">
        <f t="shared" si="83"/>
        <v>0.62018358403124174</v>
      </c>
    </row>
    <row r="1329" spans="1:27" x14ac:dyDescent="0.3">
      <c r="A1329" t="s">
        <v>461</v>
      </c>
      <c r="B1329">
        <v>39279</v>
      </c>
      <c r="C1329">
        <v>2022</v>
      </c>
      <c r="D1329" t="s">
        <v>34</v>
      </c>
      <c r="E1329" t="s">
        <v>173</v>
      </c>
      <c r="F1329">
        <v>4</v>
      </c>
      <c r="G1329" t="s">
        <v>36</v>
      </c>
      <c r="H1329">
        <v>4</v>
      </c>
      <c r="I1329" t="s">
        <v>23</v>
      </c>
      <c r="J1329" t="s">
        <v>62</v>
      </c>
      <c r="L1329" t="s">
        <v>128</v>
      </c>
      <c r="M1329" t="s">
        <v>33</v>
      </c>
      <c r="N1329">
        <v>4.4000000000000004</v>
      </c>
      <c r="O1329" t="s">
        <v>27</v>
      </c>
      <c r="S1329" s="3">
        <v>22500</v>
      </c>
      <c r="T1329" s="2">
        <v>22837.658203125</v>
      </c>
      <c r="U1329" s="2">
        <v>21447.583794226932</v>
      </c>
      <c r="V1329" s="2">
        <v>24658.149554512838</v>
      </c>
      <c r="W1329" s="2">
        <v>22586.923828125</v>
      </c>
      <c r="X1329" s="4">
        <f t="shared" si="80"/>
        <v>0.98521484995870567</v>
      </c>
      <c r="Y1329" s="4">
        <f t="shared" si="81"/>
        <v>1.0490692199116782</v>
      </c>
      <c r="Z1329" s="4">
        <f t="shared" si="82"/>
        <v>0.91247722990154945</v>
      </c>
      <c r="AA1329" s="4">
        <f t="shared" si="83"/>
        <v>0.9961515862546646</v>
      </c>
    </row>
    <row r="1330" spans="1:27" x14ac:dyDescent="0.3">
      <c r="A1330" t="s">
        <v>461</v>
      </c>
      <c r="B1330">
        <v>182852</v>
      </c>
      <c r="C1330">
        <v>2014</v>
      </c>
      <c r="D1330" t="s">
        <v>396</v>
      </c>
      <c r="E1330" t="s">
        <v>397</v>
      </c>
      <c r="F1330">
        <v>6</v>
      </c>
      <c r="G1330" t="s">
        <v>30</v>
      </c>
      <c r="H1330">
        <v>4</v>
      </c>
      <c r="I1330" t="s">
        <v>23</v>
      </c>
      <c r="J1330" t="s">
        <v>24</v>
      </c>
      <c r="K1330" t="s">
        <v>27</v>
      </c>
      <c r="L1330" t="s">
        <v>53</v>
      </c>
      <c r="M1330" t="s">
        <v>33</v>
      </c>
      <c r="N1330">
        <v>0</v>
      </c>
      <c r="O1330" t="s">
        <v>27</v>
      </c>
      <c r="S1330" s="3">
        <v>6500</v>
      </c>
      <c r="T1330" s="2">
        <v>-414.60073852539063</v>
      </c>
      <c r="U1330" s="2">
        <v>5502.9899418925024</v>
      </c>
      <c r="V1330" s="2">
        <v>5403.8464546164823</v>
      </c>
      <c r="W1330" s="2">
        <v>4250.56494140625</v>
      </c>
      <c r="X1330" s="4">
        <f t="shared" si="80"/>
        <v>-15.677733771335124</v>
      </c>
      <c r="Y1330" s="4">
        <f t="shared" si="81"/>
        <v>1.181176064037039</v>
      </c>
      <c r="Z1330" s="4">
        <f t="shared" si="82"/>
        <v>1.2028469081402338</v>
      </c>
      <c r="AA1330" s="4">
        <f t="shared" si="83"/>
        <v>1.5292084910128561</v>
      </c>
    </row>
    <row r="1331" spans="1:27" x14ac:dyDescent="0.3">
      <c r="A1331" t="s">
        <v>461</v>
      </c>
      <c r="B1331">
        <v>94957</v>
      </c>
      <c r="C1331">
        <v>2017</v>
      </c>
      <c r="D1331" t="s">
        <v>40</v>
      </c>
      <c r="E1331" t="s">
        <v>41</v>
      </c>
      <c r="F1331">
        <v>8</v>
      </c>
      <c r="G1331" t="s">
        <v>30</v>
      </c>
      <c r="H1331">
        <v>4</v>
      </c>
      <c r="I1331" t="s">
        <v>23</v>
      </c>
      <c r="J1331" t="s">
        <v>42</v>
      </c>
      <c r="K1331" t="s">
        <v>27</v>
      </c>
      <c r="L1331" t="s">
        <v>43</v>
      </c>
      <c r="M1331" t="s">
        <v>78</v>
      </c>
      <c r="N1331">
        <v>0</v>
      </c>
      <c r="O1331" t="s">
        <v>27</v>
      </c>
      <c r="S1331" s="3">
        <v>18250</v>
      </c>
      <c r="T1331" s="2">
        <v>19585.71484375</v>
      </c>
      <c r="U1331" s="2">
        <v>28481.21903656203</v>
      </c>
      <c r="V1331" s="2">
        <v>16266.584985273261</v>
      </c>
      <c r="W1331" s="2">
        <v>21352.6640625</v>
      </c>
      <c r="X1331" s="4">
        <f t="shared" si="80"/>
        <v>0.93180157811925668</v>
      </c>
      <c r="Y1331" s="4">
        <f t="shared" si="81"/>
        <v>0.64077313462503249</v>
      </c>
      <c r="Z1331" s="4">
        <f t="shared" si="82"/>
        <v>1.1219318631736408</v>
      </c>
      <c r="AA1331" s="4">
        <f t="shared" si="83"/>
        <v>0.85469428763462985</v>
      </c>
    </row>
    <row r="1332" spans="1:27" x14ac:dyDescent="0.3">
      <c r="A1332" t="s">
        <v>461</v>
      </c>
      <c r="B1332">
        <v>121169</v>
      </c>
      <c r="C1332">
        <v>2019</v>
      </c>
      <c r="D1332" t="s">
        <v>44</v>
      </c>
      <c r="E1332" t="s">
        <v>408</v>
      </c>
      <c r="F1332">
        <v>6</v>
      </c>
      <c r="G1332" t="s">
        <v>36</v>
      </c>
      <c r="H1332">
        <v>4</v>
      </c>
      <c r="I1332" t="s">
        <v>23</v>
      </c>
      <c r="J1332" t="s">
        <v>62</v>
      </c>
      <c r="K1332" t="s">
        <v>27</v>
      </c>
      <c r="L1332" t="s">
        <v>38</v>
      </c>
      <c r="M1332">
        <v>4</v>
      </c>
      <c r="N1332">
        <v>0</v>
      </c>
      <c r="O1332" t="s">
        <v>27</v>
      </c>
      <c r="S1332" s="3">
        <v>18000</v>
      </c>
      <c r="T1332" s="2">
        <v>16198.171875</v>
      </c>
      <c r="U1332" s="2">
        <v>16374.037457886139</v>
      </c>
      <c r="V1332" s="2">
        <v>24054.413869768941</v>
      </c>
      <c r="W1332" s="2">
        <v>17398.283203125</v>
      </c>
      <c r="X1332" s="4">
        <f t="shared" si="80"/>
        <v>1.1112365110646167</v>
      </c>
      <c r="Y1332" s="4">
        <f t="shared" si="81"/>
        <v>1.0993012594661409</v>
      </c>
      <c r="Z1332" s="4">
        <f t="shared" si="82"/>
        <v>0.74830341314705673</v>
      </c>
      <c r="AA1332" s="4">
        <f t="shared" si="83"/>
        <v>1.0345848374721778</v>
      </c>
    </row>
    <row r="1333" spans="1:27" x14ac:dyDescent="0.3">
      <c r="A1333" t="s">
        <v>461</v>
      </c>
      <c r="B1333">
        <v>112001</v>
      </c>
      <c r="C1333">
        <v>2011</v>
      </c>
      <c r="D1333" t="s">
        <v>28</v>
      </c>
      <c r="E1333" t="s">
        <v>542</v>
      </c>
      <c r="F1333">
        <v>4</v>
      </c>
      <c r="G1333" t="s">
        <v>30</v>
      </c>
      <c r="H1333">
        <v>4</v>
      </c>
      <c r="I1333" t="s">
        <v>23</v>
      </c>
      <c r="J1333" t="s">
        <v>24</v>
      </c>
      <c r="L1333" t="s">
        <v>60</v>
      </c>
      <c r="M1333" t="s">
        <v>33</v>
      </c>
      <c r="N1333">
        <v>0</v>
      </c>
      <c r="O1333" t="s">
        <v>27</v>
      </c>
      <c r="S1333" s="3">
        <v>6250</v>
      </c>
      <c r="T1333" s="2">
        <v>8042.21337890625</v>
      </c>
      <c r="U1333" s="2">
        <v>6932.989382318794</v>
      </c>
      <c r="V1333" s="2">
        <v>5976.9033318922156</v>
      </c>
      <c r="W1333" s="2">
        <v>7972.3876953125</v>
      </c>
      <c r="X1333" s="4">
        <f t="shared" si="80"/>
        <v>0.77714923809320846</v>
      </c>
      <c r="Y1333" s="4">
        <f t="shared" si="81"/>
        <v>0.90148702894877897</v>
      </c>
      <c r="Z1333" s="4">
        <f t="shared" si="82"/>
        <v>1.0456920001785148</v>
      </c>
      <c r="AA1333" s="4">
        <f t="shared" si="83"/>
        <v>0.78395585348600061</v>
      </c>
    </row>
    <row r="1334" spans="1:27" x14ac:dyDescent="0.3">
      <c r="A1334" t="s">
        <v>461</v>
      </c>
      <c r="B1334">
        <v>194438</v>
      </c>
      <c r="C1334">
        <v>2011</v>
      </c>
      <c r="D1334" t="s">
        <v>34</v>
      </c>
      <c r="E1334" t="s">
        <v>61</v>
      </c>
      <c r="F1334">
        <v>6</v>
      </c>
      <c r="G1334" t="s">
        <v>30</v>
      </c>
      <c r="H1334">
        <v>4</v>
      </c>
      <c r="I1334" t="s">
        <v>23</v>
      </c>
      <c r="J1334" t="s">
        <v>62</v>
      </c>
      <c r="K1334" t="s">
        <v>27</v>
      </c>
      <c r="L1334" t="s">
        <v>38</v>
      </c>
      <c r="M1334" t="s">
        <v>23</v>
      </c>
      <c r="N1334">
        <v>0</v>
      </c>
      <c r="S1334" s="3">
        <v>4500</v>
      </c>
      <c r="T1334" s="2">
        <v>5470.40234375</v>
      </c>
      <c r="U1334" s="2">
        <v>5296.3534259949438</v>
      </c>
      <c r="V1334" s="2">
        <v>2941.361450192308</v>
      </c>
      <c r="W1334" s="2">
        <v>4688.4287109375</v>
      </c>
      <c r="X1334" s="4">
        <f t="shared" si="80"/>
        <v>0.82260859754517024</v>
      </c>
      <c r="Y1334" s="4">
        <f t="shared" si="81"/>
        <v>0.84964118480342066</v>
      </c>
      <c r="Z1334" s="4">
        <f t="shared" si="82"/>
        <v>1.5299037796615533</v>
      </c>
      <c r="AA1334" s="4">
        <f t="shared" si="83"/>
        <v>0.95980983767591044</v>
      </c>
    </row>
    <row r="1335" spans="1:27" x14ac:dyDescent="0.3">
      <c r="A1335" t="s">
        <v>461</v>
      </c>
      <c r="B1335">
        <v>135687</v>
      </c>
      <c r="C1335">
        <v>2008</v>
      </c>
      <c r="D1335" t="s">
        <v>489</v>
      </c>
      <c r="E1335" t="s">
        <v>490</v>
      </c>
      <c r="F1335">
        <v>6</v>
      </c>
      <c r="G1335" t="s">
        <v>30</v>
      </c>
      <c r="H1335">
        <v>4</v>
      </c>
      <c r="I1335" t="s">
        <v>23</v>
      </c>
      <c r="J1335" t="s">
        <v>24</v>
      </c>
      <c r="K1335" t="s">
        <v>27</v>
      </c>
      <c r="L1335" t="s">
        <v>301</v>
      </c>
      <c r="M1335" t="s">
        <v>33</v>
      </c>
      <c r="N1335">
        <v>0</v>
      </c>
      <c r="S1335" s="3">
        <v>1500</v>
      </c>
      <c r="T1335" s="2">
        <v>2581.0263671875</v>
      </c>
      <c r="U1335" s="2">
        <v>2184.566133907128</v>
      </c>
      <c r="V1335" s="2">
        <v>1717.1120468950321</v>
      </c>
      <c r="W1335" s="2">
        <v>2031.655517578125</v>
      </c>
      <c r="X1335" s="4">
        <f t="shared" si="80"/>
        <v>0.5811641520092351</v>
      </c>
      <c r="Y1335" s="4">
        <f t="shared" si="81"/>
        <v>0.68663519804604334</v>
      </c>
      <c r="Z1335" s="4">
        <f t="shared" si="82"/>
        <v>0.87355976723381279</v>
      </c>
      <c r="AA1335" s="4">
        <f t="shared" si="83"/>
        <v>0.73831414185220956</v>
      </c>
    </row>
    <row r="1336" spans="1:27" x14ac:dyDescent="0.3">
      <c r="A1336" t="s">
        <v>461</v>
      </c>
      <c r="B1336">
        <v>103960</v>
      </c>
      <c r="C1336">
        <v>2021</v>
      </c>
      <c r="D1336" t="s">
        <v>85</v>
      </c>
      <c r="E1336" t="s">
        <v>225</v>
      </c>
      <c r="F1336">
        <v>4</v>
      </c>
      <c r="G1336" t="s">
        <v>47</v>
      </c>
      <c r="H1336">
        <v>4</v>
      </c>
      <c r="I1336" t="s">
        <v>23</v>
      </c>
      <c r="J1336" t="s">
        <v>31</v>
      </c>
      <c r="K1336" t="s">
        <v>27</v>
      </c>
      <c r="L1336" t="s">
        <v>87</v>
      </c>
      <c r="M1336" t="s">
        <v>33</v>
      </c>
      <c r="N1336">
        <v>0</v>
      </c>
      <c r="O1336" t="s">
        <v>27</v>
      </c>
      <c r="S1336" s="3">
        <v>11750</v>
      </c>
      <c r="T1336" s="2">
        <v>13086.0361328125</v>
      </c>
      <c r="U1336" s="2">
        <v>14567.716973841339</v>
      </c>
      <c r="V1336" s="2">
        <v>11764.82338115627</v>
      </c>
      <c r="W1336" s="2">
        <v>13920.3916015625</v>
      </c>
      <c r="X1336" s="4">
        <f t="shared" si="80"/>
        <v>0.89790367997972553</v>
      </c>
      <c r="Y1336" s="4">
        <f t="shared" si="81"/>
        <v>0.80657799853600942</v>
      </c>
      <c r="Z1336" s="4">
        <f t="shared" si="82"/>
        <v>0.99874002518558735</v>
      </c>
      <c r="AA1336" s="4">
        <f t="shared" si="83"/>
        <v>0.84408544934045648</v>
      </c>
    </row>
    <row r="1337" spans="1:27" x14ac:dyDescent="0.3">
      <c r="A1337" t="s">
        <v>461</v>
      </c>
      <c r="B1337">
        <v>54443</v>
      </c>
      <c r="C1337">
        <v>2021</v>
      </c>
      <c r="D1337" t="s">
        <v>28</v>
      </c>
      <c r="E1337" t="s">
        <v>423</v>
      </c>
      <c r="F1337">
        <v>6</v>
      </c>
      <c r="G1337" t="s">
        <v>36</v>
      </c>
      <c r="H1337">
        <v>4</v>
      </c>
      <c r="I1337" t="s">
        <v>23</v>
      </c>
      <c r="J1337" t="s">
        <v>24</v>
      </c>
      <c r="K1337" t="s">
        <v>27</v>
      </c>
      <c r="L1337" t="s">
        <v>53</v>
      </c>
      <c r="M1337" t="s">
        <v>23</v>
      </c>
      <c r="N1337">
        <v>4.8</v>
      </c>
      <c r="O1337" t="s">
        <v>27</v>
      </c>
      <c r="S1337" s="3">
        <v>21200</v>
      </c>
      <c r="T1337" s="2">
        <v>29807.681640625</v>
      </c>
      <c r="U1337" s="2">
        <v>30835.232209327671</v>
      </c>
      <c r="V1337" s="2">
        <v>30133.970319963351</v>
      </c>
      <c r="W1337" s="2">
        <v>34114.69140625</v>
      </c>
      <c r="X1337" s="4">
        <f t="shared" si="80"/>
        <v>0.71122606097303598</v>
      </c>
      <c r="Y1337" s="4">
        <f t="shared" si="81"/>
        <v>0.68752522621143064</v>
      </c>
      <c r="Z1337" s="4">
        <f t="shared" si="82"/>
        <v>0.70352495123934211</v>
      </c>
      <c r="AA1337" s="4">
        <f t="shared" si="83"/>
        <v>0.62143314584156084</v>
      </c>
    </row>
    <row r="1338" spans="1:27" x14ac:dyDescent="0.3">
      <c r="A1338" t="s">
        <v>461</v>
      </c>
      <c r="B1338">
        <v>41011</v>
      </c>
      <c r="C1338">
        <v>2022</v>
      </c>
      <c r="D1338" t="s">
        <v>187</v>
      </c>
      <c r="E1338" t="s">
        <v>543</v>
      </c>
      <c r="F1338">
        <v>4</v>
      </c>
      <c r="G1338" t="s">
        <v>36</v>
      </c>
      <c r="H1338">
        <v>4</v>
      </c>
      <c r="I1338" t="s">
        <v>23</v>
      </c>
      <c r="J1338" t="s">
        <v>24</v>
      </c>
      <c r="K1338" t="s">
        <v>27</v>
      </c>
      <c r="L1338" t="s">
        <v>60</v>
      </c>
      <c r="M1338" t="s">
        <v>23</v>
      </c>
      <c r="N1338">
        <v>4.8</v>
      </c>
      <c r="O1338" t="s">
        <v>27</v>
      </c>
      <c r="S1338" s="3">
        <v>26000</v>
      </c>
      <c r="T1338" s="2">
        <v>24664.802734375</v>
      </c>
      <c r="U1338" s="2">
        <v>25433.888785558109</v>
      </c>
      <c r="V1338" s="2">
        <v>24557.293170875852</v>
      </c>
      <c r="W1338" s="2">
        <v>26412.435546875</v>
      </c>
      <c r="X1338" s="4">
        <f t="shared" si="80"/>
        <v>1.0541337094808447</v>
      </c>
      <c r="Y1338" s="4">
        <f t="shared" si="81"/>
        <v>1.0222581461771327</v>
      </c>
      <c r="Z1338" s="4">
        <f t="shared" si="82"/>
        <v>1.0587486095916774</v>
      </c>
      <c r="AA1338" s="4">
        <f t="shared" si="83"/>
        <v>0.98438479684529523</v>
      </c>
    </row>
    <row r="1339" spans="1:27" x14ac:dyDescent="0.3">
      <c r="A1339" t="s">
        <v>461</v>
      </c>
      <c r="B1339">
        <v>46100</v>
      </c>
      <c r="C1339">
        <v>2016</v>
      </c>
      <c r="D1339" t="s">
        <v>85</v>
      </c>
      <c r="E1339" t="s">
        <v>509</v>
      </c>
      <c r="F1339">
        <v>4</v>
      </c>
      <c r="G1339" t="s">
        <v>47</v>
      </c>
      <c r="H1339">
        <v>2</v>
      </c>
      <c r="I1339" t="s">
        <v>23</v>
      </c>
      <c r="J1339" t="s">
        <v>83</v>
      </c>
      <c r="L1339" t="s">
        <v>127</v>
      </c>
      <c r="M1339" t="s">
        <v>33</v>
      </c>
      <c r="N1339">
        <v>0</v>
      </c>
      <c r="O1339" t="s">
        <v>27</v>
      </c>
      <c r="S1339" s="3">
        <v>6500</v>
      </c>
      <c r="T1339" s="2">
        <v>14714.7001953125</v>
      </c>
      <c r="U1339" s="2">
        <v>12907.304907570589</v>
      </c>
      <c r="V1339" s="2">
        <v>9822.7092418537395</v>
      </c>
      <c r="W1339" s="2">
        <v>14055.0712890625</v>
      </c>
      <c r="X1339" s="4">
        <f t="shared" si="80"/>
        <v>0.44173512974940754</v>
      </c>
      <c r="Y1339" s="4">
        <f t="shared" si="81"/>
        <v>0.50359079967093057</v>
      </c>
      <c r="Z1339" s="4">
        <f t="shared" si="82"/>
        <v>0.66173189493424545</v>
      </c>
      <c r="AA1339" s="4">
        <f t="shared" si="83"/>
        <v>0.46246652658803855</v>
      </c>
    </row>
    <row r="1340" spans="1:27" x14ac:dyDescent="0.3">
      <c r="A1340" t="s">
        <v>461</v>
      </c>
      <c r="B1340">
        <v>118664</v>
      </c>
      <c r="C1340">
        <v>2013</v>
      </c>
      <c r="D1340" t="s">
        <v>321</v>
      </c>
      <c r="E1340" t="s">
        <v>544</v>
      </c>
      <c r="F1340">
        <v>4</v>
      </c>
      <c r="G1340" t="s">
        <v>36</v>
      </c>
      <c r="H1340">
        <v>4</v>
      </c>
      <c r="I1340" t="s">
        <v>23</v>
      </c>
      <c r="J1340" t="s">
        <v>24</v>
      </c>
      <c r="K1340" t="s">
        <v>27</v>
      </c>
      <c r="L1340" t="s">
        <v>127</v>
      </c>
      <c r="M1340">
        <v>4</v>
      </c>
      <c r="N1340">
        <v>0</v>
      </c>
      <c r="O1340" t="s">
        <v>27</v>
      </c>
      <c r="S1340" s="3">
        <v>3250</v>
      </c>
      <c r="T1340" s="2">
        <v>5289.62109375</v>
      </c>
      <c r="U1340" s="2">
        <v>5192.6241253860317</v>
      </c>
      <c r="V1340" s="2">
        <v>6927.4207357872074</v>
      </c>
      <c r="W1340" s="2">
        <v>5437.1044921875</v>
      </c>
      <c r="X1340" s="4">
        <f t="shared" si="80"/>
        <v>0.61441073800920587</v>
      </c>
      <c r="Y1340" s="4">
        <f t="shared" si="81"/>
        <v>0.62588778265524614</v>
      </c>
      <c r="Z1340" s="4">
        <f t="shared" si="82"/>
        <v>0.46915008109878886</v>
      </c>
      <c r="AA1340" s="4">
        <f t="shared" si="83"/>
        <v>0.59774462761749014</v>
      </c>
    </row>
    <row r="1341" spans="1:27" x14ac:dyDescent="0.3">
      <c r="A1341" t="s">
        <v>461</v>
      </c>
      <c r="B1341">
        <v>44422</v>
      </c>
      <c r="C1341">
        <v>2013</v>
      </c>
      <c r="D1341" t="s">
        <v>324</v>
      </c>
      <c r="E1341" t="s">
        <v>381</v>
      </c>
      <c r="F1341">
        <v>6</v>
      </c>
      <c r="G1341" t="s">
        <v>22</v>
      </c>
      <c r="H1341">
        <v>4</v>
      </c>
      <c r="I1341" t="s">
        <v>23</v>
      </c>
      <c r="J1341" t="s">
        <v>24</v>
      </c>
      <c r="K1341" t="s">
        <v>27</v>
      </c>
      <c r="L1341" t="s">
        <v>26</v>
      </c>
      <c r="M1341" t="s">
        <v>33</v>
      </c>
      <c r="N1341">
        <v>0</v>
      </c>
      <c r="O1341" t="s">
        <v>27</v>
      </c>
      <c r="S1341" s="3">
        <v>7500</v>
      </c>
      <c r="T1341" s="2">
        <v>13366.9609375</v>
      </c>
      <c r="U1341" s="2">
        <v>12986.721264436421</v>
      </c>
      <c r="V1341" s="2">
        <v>10091.31891102151</v>
      </c>
      <c r="W1341" s="2">
        <v>13308.2509765625</v>
      </c>
      <c r="X1341" s="4">
        <f t="shared" si="80"/>
        <v>0.56108490441977099</v>
      </c>
      <c r="Y1341" s="4">
        <f t="shared" si="81"/>
        <v>0.57751297246506927</v>
      </c>
      <c r="Z1341" s="4">
        <f t="shared" si="82"/>
        <v>0.74321305927698611</v>
      </c>
      <c r="AA1341" s="4">
        <f t="shared" si="83"/>
        <v>0.56356015626759981</v>
      </c>
    </row>
    <row r="1342" spans="1:27" x14ac:dyDescent="0.3">
      <c r="A1342" t="s">
        <v>461</v>
      </c>
      <c r="B1342">
        <v>155637</v>
      </c>
      <c r="C1342">
        <v>2012</v>
      </c>
      <c r="D1342" t="s">
        <v>34</v>
      </c>
      <c r="E1342" t="s">
        <v>290</v>
      </c>
      <c r="F1342">
        <v>6</v>
      </c>
      <c r="G1342" t="s">
        <v>66</v>
      </c>
      <c r="H1342">
        <v>4</v>
      </c>
      <c r="I1342" t="s">
        <v>23</v>
      </c>
      <c r="J1342" t="s">
        <v>291</v>
      </c>
      <c r="L1342" t="s">
        <v>38</v>
      </c>
      <c r="M1342" t="s">
        <v>33</v>
      </c>
      <c r="N1342">
        <v>0</v>
      </c>
      <c r="O1342" t="s">
        <v>27</v>
      </c>
      <c r="S1342" s="3">
        <v>5300</v>
      </c>
      <c r="T1342" s="2">
        <v>6306.62158203125</v>
      </c>
      <c r="U1342" s="2">
        <v>4727.4917467346022</v>
      </c>
      <c r="V1342" s="2">
        <v>4385.3685639610303</v>
      </c>
      <c r="W1342" s="2">
        <v>5501.67138671875</v>
      </c>
      <c r="X1342" s="4">
        <f t="shared" si="80"/>
        <v>0.84038655737656687</v>
      </c>
      <c r="Y1342" s="4">
        <f t="shared" si="81"/>
        <v>1.1211019043366588</v>
      </c>
      <c r="Z1342" s="4">
        <f t="shared" si="82"/>
        <v>1.20856432536946</v>
      </c>
      <c r="AA1342" s="4">
        <f t="shared" si="83"/>
        <v>0.96334361459581308</v>
      </c>
    </row>
    <row r="1343" spans="1:27" x14ac:dyDescent="0.3">
      <c r="A1343" t="s">
        <v>461</v>
      </c>
      <c r="B1343">
        <v>285846</v>
      </c>
      <c r="C1343">
        <v>2006</v>
      </c>
      <c r="D1343" t="s">
        <v>81</v>
      </c>
      <c r="E1343" t="s">
        <v>207</v>
      </c>
      <c r="F1343">
        <v>6</v>
      </c>
      <c r="G1343" t="s">
        <v>36</v>
      </c>
      <c r="H1343">
        <v>4</v>
      </c>
      <c r="I1343" t="s">
        <v>23</v>
      </c>
      <c r="J1343" t="s">
        <v>31</v>
      </c>
      <c r="L1343" t="s">
        <v>53</v>
      </c>
      <c r="M1343" t="s">
        <v>78</v>
      </c>
      <c r="N1343">
        <v>0</v>
      </c>
      <c r="O1343" t="s">
        <v>27</v>
      </c>
      <c r="S1343" s="3">
        <v>500</v>
      </c>
      <c r="T1343" s="2">
        <v>1795.139404296875</v>
      </c>
      <c r="U1343" s="2">
        <v>4540.3909985834307</v>
      </c>
      <c r="V1343" s="2">
        <v>358.80795932305591</v>
      </c>
      <c r="W1343" s="2">
        <v>1355.136596679688</v>
      </c>
      <c r="X1343" s="4">
        <f t="shared" si="80"/>
        <v>0.27852990068804229</v>
      </c>
      <c r="Y1343" s="4">
        <f t="shared" si="81"/>
        <v>0.11012267449124898</v>
      </c>
      <c r="Z1343" s="4">
        <f t="shared" si="82"/>
        <v>1.3935030899072687</v>
      </c>
      <c r="AA1343" s="4">
        <f t="shared" si="83"/>
        <v>0.36896649476154941</v>
      </c>
    </row>
    <row r="1344" spans="1:27" x14ac:dyDescent="0.3">
      <c r="A1344" t="s">
        <v>461</v>
      </c>
      <c r="B1344">
        <v>156427</v>
      </c>
      <c r="C1344">
        <v>2010</v>
      </c>
      <c r="D1344" t="s">
        <v>90</v>
      </c>
      <c r="E1344" t="s">
        <v>545</v>
      </c>
      <c r="F1344">
        <v>4</v>
      </c>
      <c r="G1344" t="s">
        <v>36</v>
      </c>
      <c r="H1344">
        <v>4</v>
      </c>
      <c r="I1344" t="s">
        <v>23</v>
      </c>
      <c r="J1344" t="s">
        <v>31</v>
      </c>
      <c r="K1344" t="s">
        <v>27</v>
      </c>
      <c r="L1344" t="s">
        <v>127</v>
      </c>
      <c r="M1344" t="s">
        <v>33</v>
      </c>
      <c r="N1344">
        <v>0</v>
      </c>
      <c r="O1344" t="s">
        <v>27</v>
      </c>
      <c r="S1344" s="3">
        <v>1200</v>
      </c>
      <c r="T1344" s="2">
        <v>2230.54150390625</v>
      </c>
      <c r="U1344" s="2">
        <v>1432.9511379132109</v>
      </c>
      <c r="V1344" s="2">
        <v>1775.7721403187061</v>
      </c>
      <c r="W1344" s="2">
        <v>2026.586791992188</v>
      </c>
      <c r="X1344" s="4">
        <f t="shared" si="80"/>
        <v>0.5379859544861606</v>
      </c>
      <c r="Y1344" s="4">
        <f t="shared" si="81"/>
        <v>0.83743260202685288</v>
      </c>
      <c r="Z1344" s="4">
        <f t="shared" si="82"/>
        <v>0.67576237556279628</v>
      </c>
      <c r="AA1344" s="4">
        <f t="shared" si="83"/>
        <v>0.59212860003906798</v>
      </c>
    </row>
    <row r="1345" spans="1:27" x14ac:dyDescent="0.3">
      <c r="A1345" t="s">
        <v>461</v>
      </c>
      <c r="B1345">
        <v>28451</v>
      </c>
      <c r="C1345">
        <v>2021</v>
      </c>
      <c r="D1345" t="s">
        <v>125</v>
      </c>
      <c r="E1345" t="s">
        <v>126</v>
      </c>
      <c r="F1345">
        <v>4</v>
      </c>
      <c r="G1345" t="s">
        <v>36</v>
      </c>
      <c r="H1345">
        <v>4</v>
      </c>
      <c r="I1345" t="s">
        <v>23</v>
      </c>
      <c r="J1345" t="s">
        <v>31</v>
      </c>
      <c r="K1345" t="s">
        <v>27</v>
      </c>
      <c r="L1345" t="s">
        <v>127</v>
      </c>
      <c r="M1345" t="s">
        <v>33</v>
      </c>
      <c r="N1345">
        <v>0</v>
      </c>
      <c r="O1345" t="s">
        <v>27</v>
      </c>
      <c r="S1345" s="3">
        <v>14750</v>
      </c>
      <c r="T1345" s="2">
        <v>23336.6875</v>
      </c>
      <c r="U1345" s="2">
        <v>22282.762037762081</v>
      </c>
      <c r="V1345" s="2">
        <v>16393.45747696875</v>
      </c>
      <c r="W1345" s="2">
        <v>21218.15234375</v>
      </c>
      <c r="X1345" s="4">
        <f t="shared" si="80"/>
        <v>0.63205199966790493</v>
      </c>
      <c r="Y1345" s="4">
        <f t="shared" si="81"/>
        <v>0.66194666419735204</v>
      </c>
      <c r="Z1345" s="4">
        <f t="shared" si="82"/>
        <v>0.89974918474167809</v>
      </c>
      <c r="AA1345" s="4">
        <f t="shared" si="83"/>
        <v>0.69515949178980929</v>
      </c>
    </row>
    <row r="1346" spans="1:27" x14ac:dyDescent="0.3">
      <c r="A1346" t="s">
        <v>461</v>
      </c>
      <c r="B1346">
        <v>1</v>
      </c>
      <c r="C1346">
        <v>2022</v>
      </c>
      <c r="D1346" t="s">
        <v>34</v>
      </c>
      <c r="E1346" t="s">
        <v>157</v>
      </c>
      <c r="F1346">
        <v>4</v>
      </c>
      <c r="G1346" t="s">
        <v>30</v>
      </c>
      <c r="H1346">
        <v>4</v>
      </c>
      <c r="I1346" t="s">
        <v>23</v>
      </c>
      <c r="J1346" t="s">
        <v>145</v>
      </c>
      <c r="L1346" t="s">
        <v>89</v>
      </c>
      <c r="M1346" t="s">
        <v>33</v>
      </c>
      <c r="N1346">
        <v>0</v>
      </c>
      <c r="O1346" t="s">
        <v>123</v>
      </c>
      <c r="S1346" s="3">
        <v>10250</v>
      </c>
      <c r="T1346" s="2">
        <v>14679.8388671875</v>
      </c>
      <c r="U1346" s="2">
        <v>8113.4581145547036</v>
      </c>
      <c r="V1346" s="2">
        <v>10620.241173368469</v>
      </c>
      <c r="W1346" s="2">
        <v>9617.828125</v>
      </c>
      <c r="X1346" s="4">
        <f t="shared" ref="X1346:X1409" si="84">S1346/T1346</f>
        <v>0.69823654692224768</v>
      </c>
      <c r="Y1346" s="4">
        <f t="shared" ref="Y1346:Y1409" si="85">S1346/U1346</f>
        <v>1.2633330763873127</v>
      </c>
      <c r="Z1346" s="4">
        <f t="shared" ref="Z1346:Z1409" si="86">S1346/V1346</f>
        <v>0.96513815766285105</v>
      </c>
      <c r="AA1346" s="4">
        <f t="shared" ref="AA1346:AA1409" si="87">S1346/W1346</f>
        <v>1.0657291715742736</v>
      </c>
    </row>
    <row r="1347" spans="1:27" x14ac:dyDescent="0.3">
      <c r="A1347" t="s">
        <v>461</v>
      </c>
      <c r="B1347">
        <v>56682</v>
      </c>
      <c r="C1347">
        <v>2020</v>
      </c>
      <c r="D1347" t="s">
        <v>321</v>
      </c>
      <c r="E1347" t="s">
        <v>349</v>
      </c>
      <c r="F1347">
        <v>8</v>
      </c>
      <c r="G1347" t="s">
        <v>22</v>
      </c>
      <c r="H1347">
        <v>4</v>
      </c>
      <c r="I1347" t="s">
        <v>23</v>
      </c>
      <c r="J1347" t="s">
        <v>24</v>
      </c>
      <c r="K1347" t="s">
        <v>27</v>
      </c>
      <c r="L1347" t="s">
        <v>134</v>
      </c>
      <c r="M1347">
        <v>4</v>
      </c>
      <c r="N1347">
        <v>0</v>
      </c>
      <c r="O1347" t="s">
        <v>27</v>
      </c>
      <c r="S1347" s="3">
        <v>35500</v>
      </c>
      <c r="T1347" s="2">
        <v>39210.875</v>
      </c>
      <c r="U1347" s="2">
        <v>47440.108640747902</v>
      </c>
      <c r="V1347" s="2">
        <v>48182.403548426308</v>
      </c>
      <c r="W1347" s="2">
        <v>51034.50390625</v>
      </c>
      <c r="X1347" s="4">
        <f t="shared" si="84"/>
        <v>0.90536107648707154</v>
      </c>
      <c r="Y1347" s="4">
        <f t="shared" si="85"/>
        <v>0.74831194567518045</v>
      </c>
      <c r="Z1347" s="4">
        <f t="shared" si="86"/>
        <v>0.73678350156028005</v>
      </c>
      <c r="AA1347" s="4">
        <f t="shared" si="87"/>
        <v>0.69560781986268017</v>
      </c>
    </row>
    <row r="1348" spans="1:27" x14ac:dyDescent="0.3">
      <c r="A1348" t="s">
        <v>461</v>
      </c>
      <c r="B1348">
        <v>96183</v>
      </c>
      <c r="C1348">
        <v>2019</v>
      </c>
      <c r="D1348" t="s">
        <v>74</v>
      </c>
      <c r="E1348" t="s">
        <v>93</v>
      </c>
      <c r="F1348">
        <v>8</v>
      </c>
      <c r="G1348" t="s">
        <v>47</v>
      </c>
      <c r="H1348">
        <v>4</v>
      </c>
      <c r="I1348" t="s">
        <v>23</v>
      </c>
      <c r="J1348" t="s">
        <v>42</v>
      </c>
      <c r="L1348" t="s">
        <v>84</v>
      </c>
      <c r="M1348" t="s">
        <v>78</v>
      </c>
      <c r="N1348">
        <v>0</v>
      </c>
      <c r="O1348" t="s">
        <v>27</v>
      </c>
      <c r="S1348" s="3">
        <v>14750</v>
      </c>
      <c r="T1348" s="2">
        <v>21528.65625</v>
      </c>
      <c r="U1348" s="2">
        <v>18994.527290090209</v>
      </c>
      <c r="V1348" s="2">
        <v>24197.759224050111</v>
      </c>
      <c r="W1348" s="2">
        <v>19759.80078125</v>
      </c>
      <c r="X1348" s="4">
        <f t="shared" si="84"/>
        <v>0.68513333246240116</v>
      </c>
      <c r="Y1348" s="4">
        <f t="shared" si="85"/>
        <v>0.77653946185306455</v>
      </c>
      <c r="Z1348" s="4">
        <f t="shared" si="86"/>
        <v>0.60956057391214968</v>
      </c>
      <c r="AA1348" s="4">
        <f t="shared" si="87"/>
        <v>0.74646501567952139</v>
      </c>
    </row>
    <row r="1349" spans="1:27" x14ac:dyDescent="0.3">
      <c r="A1349" t="s">
        <v>461</v>
      </c>
      <c r="B1349">
        <v>96220</v>
      </c>
      <c r="C1349">
        <v>2015</v>
      </c>
      <c r="D1349" t="s">
        <v>187</v>
      </c>
      <c r="E1349" t="s">
        <v>188</v>
      </c>
      <c r="F1349">
        <v>4</v>
      </c>
      <c r="G1349" t="s">
        <v>66</v>
      </c>
      <c r="H1349">
        <v>4</v>
      </c>
      <c r="I1349" t="s">
        <v>23</v>
      </c>
      <c r="J1349" t="s">
        <v>24</v>
      </c>
      <c r="K1349" t="s">
        <v>27</v>
      </c>
      <c r="L1349" t="s">
        <v>102</v>
      </c>
      <c r="M1349" t="s">
        <v>23</v>
      </c>
      <c r="N1349">
        <v>0</v>
      </c>
      <c r="O1349" t="s">
        <v>27</v>
      </c>
      <c r="S1349" s="3">
        <v>6250</v>
      </c>
      <c r="T1349" s="2">
        <v>8508.7080078125</v>
      </c>
      <c r="U1349" s="2">
        <v>7724.6321181567964</v>
      </c>
      <c r="V1349" s="2">
        <v>7869.4004501540421</v>
      </c>
      <c r="W1349" s="2">
        <v>7816.43798828125</v>
      </c>
      <c r="X1349" s="4">
        <f t="shared" si="84"/>
        <v>0.73454160070616992</v>
      </c>
      <c r="Y1349" s="4">
        <f t="shared" si="85"/>
        <v>0.80910001983257374</v>
      </c>
      <c r="Z1349" s="4">
        <f t="shared" si="86"/>
        <v>0.79421552373505877</v>
      </c>
      <c r="AA1349" s="4">
        <f t="shared" si="87"/>
        <v>0.79959695316079737</v>
      </c>
    </row>
    <row r="1350" spans="1:27" x14ac:dyDescent="0.3">
      <c r="A1350" t="s">
        <v>461</v>
      </c>
      <c r="B1350">
        <v>224986</v>
      </c>
      <c r="C1350">
        <v>2013</v>
      </c>
      <c r="D1350" t="s">
        <v>81</v>
      </c>
      <c r="E1350" t="s">
        <v>278</v>
      </c>
      <c r="F1350">
        <v>6</v>
      </c>
      <c r="G1350" t="s">
        <v>47</v>
      </c>
      <c r="H1350">
        <v>4</v>
      </c>
      <c r="I1350" t="s">
        <v>23</v>
      </c>
      <c r="J1350" t="s">
        <v>24</v>
      </c>
      <c r="L1350" t="s">
        <v>26</v>
      </c>
      <c r="M1350" t="s">
        <v>78</v>
      </c>
      <c r="N1350">
        <v>0</v>
      </c>
      <c r="O1350" t="s">
        <v>27</v>
      </c>
      <c r="S1350" s="3">
        <v>3000</v>
      </c>
      <c r="T1350" s="2">
        <v>4599.3037109375</v>
      </c>
      <c r="U1350" s="2">
        <v>8492.5137988134265</v>
      </c>
      <c r="V1350" s="2">
        <v>3262.6589439745931</v>
      </c>
      <c r="W1350" s="2">
        <v>3816.5732421875</v>
      </c>
      <c r="X1350" s="4">
        <f t="shared" si="84"/>
        <v>0.65227264571934396</v>
      </c>
      <c r="Y1350" s="4">
        <f t="shared" si="85"/>
        <v>0.35325229620694404</v>
      </c>
      <c r="Z1350" s="4">
        <f t="shared" si="86"/>
        <v>0.91949543348388718</v>
      </c>
      <c r="AA1350" s="4">
        <f t="shared" si="87"/>
        <v>0.7860454417168542</v>
      </c>
    </row>
    <row r="1351" spans="1:27" x14ac:dyDescent="0.3">
      <c r="A1351" t="s">
        <v>461</v>
      </c>
      <c r="B1351">
        <v>114320</v>
      </c>
      <c r="C1351">
        <v>2009</v>
      </c>
      <c r="D1351" t="s">
        <v>44</v>
      </c>
      <c r="E1351" t="s">
        <v>210</v>
      </c>
      <c r="F1351">
        <v>4</v>
      </c>
      <c r="G1351" t="s">
        <v>66</v>
      </c>
      <c r="H1351">
        <v>4</v>
      </c>
      <c r="I1351" t="s">
        <v>23</v>
      </c>
      <c r="J1351" t="s">
        <v>31</v>
      </c>
      <c r="K1351" t="s">
        <v>27</v>
      </c>
      <c r="L1351" t="s">
        <v>205</v>
      </c>
      <c r="M1351" t="s">
        <v>33</v>
      </c>
      <c r="N1351">
        <v>0</v>
      </c>
      <c r="O1351" t="s">
        <v>27</v>
      </c>
      <c r="S1351" s="3">
        <v>4500</v>
      </c>
      <c r="T1351" s="2">
        <v>3902.01708984375</v>
      </c>
      <c r="U1351" s="2">
        <v>3389.2324505584638</v>
      </c>
      <c r="V1351" s="2">
        <v>3624.7171553774551</v>
      </c>
      <c r="W1351" s="2">
        <v>3907.018310546875</v>
      </c>
      <c r="X1351" s="4">
        <f t="shared" si="84"/>
        <v>1.1532496901955382</v>
      </c>
      <c r="Y1351" s="4">
        <f t="shared" si="85"/>
        <v>1.3277342482834154</v>
      </c>
      <c r="Z1351" s="4">
        <f t="shared" si="86"/>
        <v>1.2414761778926715</v>
      </c>
      <c r="AA1351" s="4">
        <f t="shared" si="87"/>
        <v>1.1517734605574765</v>
      </c>
    </row>
    <row r="1352" spans="1:27" x14ac:dyDescent="0.3">
      <c r="A1352" t="s">
        <v>461</v>
      </c>
      <c r="B1352">
        <v>286690</v>
      </c>
      <c r="C1352">
        <v>2010</v>
      </c>
      <c r="D1352" t="s">
        <v>282</v>
      </c>
      <c r="E1352" t="s">
        <v>546</v>
      </c>
      <c r="F1352">
        <v>6</v>
      </c>
      <c r="G1352" t="s">
        <v>22</v>
      </c>
      <c r="H1352">
        <v>4</v>
      </c>
      <c r="I1352" t="s">
        <v>23</v>
      </c>
      <c r="J1352" t="s">
        <v>62</v>
      </c>
      <c r="K1352" t="s">
        <v>27</v>
      </c>
      <c r="L1352" t="s">
        <v>38</v>
      </c>
      <c r="M1352" t="s">
        <v>33</v>
      </c>
      <c r="N1352">
        <v>0</v>
      </c>
      <c r="O1352" t="s">
        <v>27</v>
      </c>
      <c r="S1352" s="3">
        <v>1000</v>
      </c>
      <c r="T1352" s="2">
        <v>4010.971435546875</v>
      </c>
      <c r="U1352" s="2">
        <v>3886.6453212361812</v>
      </c>
      <c r="V1352" s="2">
        <v>2421.5358851673632</v>
      </c>
      <c r="W1352" s="2">
        <v>3756.498291015625</v>
      </c>
      <c r="X1352" s="4">
        <f t="shared" si="84"/>
        <v>0.24931616095232931</v>
      </c>
      <c r="Y1352" s="4">
        <f t="shared" si="85"/>
        <v>0.25729129296571401</v>
      </c>
      <c r="Z1352" s="4">
        <f t="shared" si="86"/>
        <v>0.4129610492767426</v>
      </c>
      <c r="AA1352" s="4">
        <f t="shared" si="87"/>
        <v>0.26620536535094103</v>
      </c>
    </row>
    <row r="1353" spans="1:27" x14ac:dyDescent="0.3">
      <c r="A1353" t="s">
        <v>461</v>
      </c>
      <c r="B1353">
        <v>45223</v>
      </c>
      <c r="C1353">
        <v>2019</v>
      </c>
      <c r="D1353" t="s">
        <v>90</v>
      </c>
      <c r="E1353" t="s">
        <v>547</v>
      </c>
      <c r="F1353">
        <v>4</v>
      </c>
      <c r="G1353" t="s">
        <v>246</v>
      </c>
      <c r="H1353">
        <v>2</v>
      </c>
      <c r="I1353" t="s">
        <v>23</v>
      </c>
      <c r="J1353" t="s">
        <v>83</v>
      </c>
      <c r="L1353" t="s">
        <v>127</v>
      </c>
      <c r="M1353" t="s">
        <v>33</v>
      </c>
      <c r="N1353">
        <v>0</v>
      </c>
      <c r="O1353" t="s">
        <v>27</v>
      </c>
      <c r="S1353" s="3">
        <v>16400</v>
      </c>
      <c r="T1353" s="2">
        <v>17518.54296875</v>
      </c>
      <c r="U1353" s="2">
        <v>14285.88933849768</v>
      </c>
      <c r="V1353" s="2">
        <v>18751.024401518051</v>
      </c>
      <c r="W1353" s="2">
        <v>15767.076171875</v>
      </c>
      <c r="X1353" s="4">
        <f t="shared" si="84"/>
        <v>0.93615091330681532</v>
      </c>
      <c r="Y1353" s="4">
        <f t="shared" si="85"/>
        <v>1.1479859329307001</v>
      </c>
      <c r="Z1353" s="4">
        <f t="shared" si="86"/>
        <v>0.87461888208477212</v>
      </c>
      <c r="AA1353" s="4">
        <f t="shared" si="87"/>
        <v>1.0401421177411445</v>
      </c>
    </row>
    <row r="1354" spans="1:27" x14ac:dyDescent="0.3">
      <c r="A1354" t="s">
        <v>461</v>
      </c>
      <c r="B1354">
        <v>213106</v>
      </c>
      <c r="C1354">
        <v>2003</v>
      </c>
      <c r="D1354" t="s">
        <v>187</v>
      </c>
      <c r="E1354" t="s">
        <v>548</v>
      </c>
      <c r="F1354">
        <v>4</v>
      </c>
      <c r="G1354" t="s">
        <v>59</v>
      </c>
      <c r="H1354">
        <v>4</v>
      </c>
      <c r="I1354" t="s">
        <v>23</v>
      </c>
      <c r="J1354" t="s">
        <v>52</v>
      </c>
      <c r="L1354" t="s">
        <v>102</v>
      </c>
      <c r="M1354" t="s">
        <v>23</v>
      </c>
      <c r="N1354">
        <v>0</v>
      </c>
      <c r="S1354" s="3">
        <v>500</v>
      </c>
      <c r="T1354" s="2">
        <v>1773.465087890625</v>
      </c>
      <c r="U1354" s="2">
        <v>913.45794811098858</v>
      </c>
      <c r="V1354" s="2">
        <v>798.99662407609321</v>
      </c>
      <c r="W1354" s="2">
        <v>1620.569458007812</v>
      </c>
      <c r="X1354" s="4">
        <f t="shared" si="84"/>
        <v>0.28193394017961998</v>
      </c>
      <c r="Y1354" s="4">
        <f t="shared" si="85"/>
        <v>0.54737057248665821</v>
      </c>
      <c r="Z1354" s="4">
        <f t="shared" si="86"/>
        <v>0.62578487184243969</v>
      </c>
      <c r="AA1354" s="4">
        <f t="shared" si="87"/>
        <v>0.30853352044204063</v>
      </c>
    </row>
    <row r="1355" spans="1:27" x14ac:dyDescent="0.3">
      <c r="A1355" t="s">
        <v>461</v>
      </c>
      <c r="B1355">
        <v>167269</v>
      </c>
      <c r="C1355">
        <v>2014</v>
      </c>
      <c r="D1355" t="s">
        <v>239</v>
      </c>
      <c r="E1355" t="s">
        <v>365</v>
      </c>
      <c r="F1355">
        <v>4</v>
      </c>
      <c r="G1355" t="s">
        <v>30</v>
      </c>
      <c r="H1355">
        <v>4</v>
      </c>
      <c r="I1355" t="s">
        <v>23</v>
      </c>
      <c r="J1355" t="s">
        <v>31</v>
      </c>
      <c r="L1355" t="s">
        <v>127</v>
      </c>
      <c r="M1355" t="s">
        <v>78</v>
      </c>
      <c r="N1355">
        <v>0</v>
      </c>
      <c r="O1355" t="s">
        <v>27</v>
      </c>
      <c r="S1355" s="3">
        <v>2900</v>
      </c>
      <c r="T1355" s="2">
        <v>3019.723876953125</v>
      </c>
      <c r="U1355" s="2">
        <v>6847.6546614839954</v>
      </c>
      <c r="V1355" s="2">
        <v>3873.6873508318508</v>
      </c>
      <c r="W1355" s="2">
        <v>4321.72509765625</v>
      </c>
      <c r="X1355" s="4">
        <f t="shared" si="84"/>
        <v>0.96035270712435949</v>
      </c>
      <c r="Y1355" s="4">
        <f t="shared" si="85"/>
        <v>0.42350266527189678</v>
      </c>
      <c r="Z1355" s="4">
        <f t="shared" si="86"/>
        <v>0.74864069744225559</v>
      </c>
      <c r="AA1355" s="4">
        <f t="shared" si="87"/>
        <v>0.67102833578487509</v>
      </c>
    </row>
    <row r="1356" spans="1:27" x14ac:dyDescent="0.3">
      <c r="A1356" t="s">
        <v>461</v>
      </c>
      <c r="B1356">
        <v>108735</v>
      </c>
      <c r="C1356">
        <v>2018</v>
      </c>
      <c r="D1356" t="s">
        <v>90</v>
      </c>
      <c r="E1356" t="s">
        <v>268</v>
      </c>
      <c r="F1356">
        <v>6</v>
      </c>
      <c r="G1356" t="s">
        <v>59</v>
      </c>
      <c r="H1356">
        <v>4</v>
      </c>
      <c r="I1356" t="s">
        <v>23</v>
      </c>
      <c r="J1356" t="s">
        <v>24</v>
      </c>
      <c r="K1356" t="s">
        <v>27</v>
      </c>
      <c r="L1356" t="s">
        <v>26</v>
      </c>
      <c r="M1356" t="s">
        <v>33</v>
      </c>
      <c r="N1356">
        <v>0</v>
      </c>
      <c r="S1356" s="3">
        <v>9000</v>
      </c>
      <c r="T1356" s="2">
        <v>10521.396484375</v>
      </c>
      <c r="U1356" s="2">
        <v>8917.25056919081</v>
      </c>
      <c r="V1356" s="2">
        <v>10177.93674876928</v>
      </c>
      <c r="W1356" s="2">
        <v>9876.259765625</v>
      </c>
      <c r="X1356" s="4">
        <f t="shared" si="84"/>
        <v>0.85539975737684837</v>
      </c>
      <c r="Y1356" s="4">
        <f t="shared" si="85"/>
        <v>1.0092797023215978</v>
      </c>
      <c r="Z1356" s="4">
        <f t="shared" si="86"/>
        <v>0.88426566426523368</v>
      </c>
      <c r="AA1356" s="4">
        <f t="shared" si="87"/>
        <v>0.91127615246868232</v>
      </c>
    </row>
    <row r="1357" spans="1:27" x14ac:dyDescent="0.3">
      <c r="A1357" t="s">
        <v>461</v>
      </c>
      <c r="B1357">
        <v>64305</v>
      </c>
      <c r="C1357">
        <v>2016</v>
      </c>
      <c r="D1357" t="s">
        <v>100</v>
      </c>
      <c r="E1357" t="s">
        <v>101</v>
      </c>
      <c r="F1357">
        <v>4</v>
      </c>
      <c r="G1357" t="s">
        <v>47</v>
      </c>
      <c r="H1357">
        <v>4</v>
      </c>
      <c r="I1357" t="s">
        <v>23</v>
      </c>
      <c r="J1357" t="s">
        <v>31</v>
      </c>
      <c r="K1357" t="s">
        <v>27</v>
      </c>
      <c r="L1357" t="s">
        <v>102</v>
      </c>
      <c r="M1357" t="s">
        <v>33</v>
      </c>
      <c r="N1357">
        <v>0</v>
      </c>
      <c r="S1357" s="3">
        <v>5250</v>
      </c>
      <c r="T1357" s="2">
        <v>9106.423828125</v>
      </c>
      <c r="U1357" s="2">
        <v>9147.0565569990595</v>
      </c>
      <c r="V1357" s="2">
        <v>12509.406907836201</v>
      </c>
      <c r="W1357" s="2">
        <v>10207.05078125</v>
      </c>
      <c r="X1357" s="4">
        <f t="shared" si="84"/>
        <v>0.57651610545354637</v>
      </c>
      <c r="Y1357" s="4">
        <f t="shared" si="85"/>
        <v>0.57395512614195587</v>
      </c>
      <c r="Z1357" s="4">
        <f t="shared" si="86"/>
        <v>0.41968416557872706</v>
      </c>
      <c r="AA1357" s="4">
        <f t="shared" si="87"/>
        <v>0.51435033610727876</v>
      </c>
    </row>
    <row r="1358" spans="1:27" x14ac:dyDescent="0.3">
      <c r="A1358" t="s">
        <v>461</v>
      </c>
      <c r="B1358">
        <v>102657</v>
      </c>
      <c r="C1358">
        <v>2017</v>
      </c>
      <c r="D1358" t="s">
        <v>54</v>
      </c>
      <c r="E1358" t="s">
        <v>275</v>
      </c>
      <c r="F1358">
        <v>6</v>
      </c>
      <c r="G1358" t="s">
        <v>30</v>
      </c>
      <c r="H1358">
        <v>4</v>
      </c>
      <c r="I1358" t="s">
        <v>23</v>
      </c>
      <c r="J1358" t="s">
        <v>24</v>
      </c>
      <c r="L1358" t="s">
        <v>301</v>
      </c>
      <c r="M1358" t="s">
        <v>33</v>
      </c>
      <c r="N1358">
        <v>0</v>
      </c>
      <c r="O1358" t="s">
        <v>27</v>
      </c>
      <c r="S1358" s="3">
        <v>4000</v>
      </c>
      <c r="T1358" s="2">
        <v>13070.7841796875</v>
      </c>
      <c r="U1358" s="2">
        <v>11413.152982245811</v>
      </c>
      <c r="V1358" s="2">
        <v>9075.8406583873311</v>
      </c>
      <c r="W1358" s="2">
        <v>11946.810546875</v>
      </c>
      <c r="X1358" s="4">
        <f t="shared" si="84"/>
        <v>0.30602601534926677</v>
      </c>
      <c r="Y1358" s="4">
        <f t="shared" si="85"/>
        <v>0.35047282781737538</v>
      </c>
      <c r="Z1358" s="4">
        <f t="shared" si="86"/>
        <v>0.44073052299606508</v>
      </c>
      <c r="AA1358" s="4">
        <f t="shared" si="87"/>
        <v>0.33481739618331058</v>
      </c>
    </row>
    <row r="1359" spans="1:27" x14ac:dyDescent="0.3">
      <c r="A1359" t="s">
        <v>461</v>
      </c>
      <c r="B1359">
        <v>249761</v>
      </c>
      <c r="C1359">
        <v>2019</v>
      </c>
      <c r="D1359" t="s">
        <v>125</v>
      </c>
      <c r="E1359" t="s">
        <v>230</v>
      </c>
      <c r="F1359">
        <v>4</v>
      </c>
      <c r="G1359" t="s">
        <v>36</v>
      </c>
      <c r="H1359">
        <v>4</v>
      </c>
      <c r="I1359" t="s">
        <v>23</v>
      </c>
      <c r="J1359" t="s">
        <v>31</v>
      </c>
      <c r="K1359" t="s">
        <v>27</v>
      </c>
      <c r="L1359" t="s">
        <v>60</v>
      </c>
      <c r="M1359" t="s">
        <v>33</v>
      </c>
      <c r="N1359">
        <v>0</v>
      </c>
      <c r="O1359" t="s">
        <v>27</v>
      </c>
      <c r="S1359" s="3">
        <v>3900</v>
      </c>
      <c r="T1359" s="2">
        <v>4736.10400390625</v>
      </c>
      <c r="U1359" s="2">
        <v>4780.8640846701483</v>
      </c>
      <c r="V1359" s="2">
        <v>3604.7519537034709</v>
      </c>
      <c r="W1359" s="2">
        <v>6355.92578125</v>
      </c>
      <c r="X1359" s="4">
        <f t="shared" si="84"/>
        <v>0.82346164627790119</v>
      </c>
      <c r="Y1359" s="4">
        <f t="shared" si="85"/>
        <v>0.81575211738508924</v>
      </c>
      <c r="Z1359" s="4">
        <f t="shared" si="86"/>
        <v>1.0819052323401046</v>
      </c>
      <c r="AA1359" s="4">
        <f t="shared" si="87"/>
        <v>0.61360061999229309</v>
      </c>
    </row>
    <row r="1360" spans="1:27" x14ac:dyDescent="0.3">
      <c r="A1360" t="s">
        <v>461</v>
      </c>
      <c r="B1360">
        <v>98159</v>
      </c>
      <c r="C1360">
        <v>2018</v>
      </c>
      <c r="D1360" t="s">
        <v>125</v>
      </c>
      <c r="E1360" t="s">
        <v>126</v>
      </c>
      <c r="F1360">
        <v>4</v>
      </c>
      <c r="G1360" t="s">
        <v>22</v>
      </c>
      <c r="H1360">
        <v>4</v>
      </c>
      <c r="I1360" t="s">
        <v>23</v>
      </c>
      <c r="J1360" t="s">
        <v>31</v>
      </c>
      <c r="K1360" t="s">
        <v>27</v>
      </c>
      <c r="L1360" t="s">
        <v>127</v>
      </c>
      <c r="M1360" t="s">
        <v>33</v>
      </c>
      <c r="N1360">
        <v>0</v>
      </c>
      <c r="O1360" t="s">
        <v>27</v>
      </c>
      <c r="S1360" s="3">
        <v>5000</v>
      </c>
      <c r="T1360" s="2">
        <v>8124.87353515625</v>
      </c>
      <c r="U1360" s="2">
        <v>8973.3720857499738</v>
      </c>
      <c r="V1360" s="2">
        <v>7154.8188751589187</v>
      </c>
      <c r="W1360" s="2">
        <v>8759.1689453125</v>
      </c>
      <c r="X1360" s="4">
        <f t="shared" si="84"/>
        <v>0.61539419393607153</v>
      </c>
      <c r="Y1360" s="4">
        <f t="shared" si="85"/>
        <v>0.55720413153714798</v>
      </c>
      <c r="Z1360" s="4">
        <f t="shared" si="86"/>
        <v>0.69882971005173666</v>
      </c>
      <c r="AA1360" s="4">
        <f t="shared" si="87"/>
        <v>0.57083040996437995</v>
      </c>
    </row>
    <row r="1361" spans="1:27" x14ac:dyDescent="0.3">
      <c r="A1361" t="s">
        <v>461</v>
      </c>
      <c r="B1361">
        <v>199172</v>
      </c>
      <c r="C1361">
        <v>2016</v>
      </c>
      <c r="D1361" t="s">
        <v>44</v>
      </c>
      <c r="E1361" t="s">
        <v>45</v>
      </c>
      <c r="F1361">
        <v>8</v>
      </c>
      <c r="G1361" t="s">
        <v>47</v>
      </c>
      <c r="H1361">
        <v>4</v>
      </c>
      <c r="I1361" t="s">
        <v>23</v>
      </c>
      <c r="J1361" t="s">
        <v>156</v>
      </c>
      <c r="K1361" t="s">
        <v>27</v>
      </c>
      <c r="L1361" t="s">
        <v>48</v>
      </c>
      <c r="M1361" t="s">
        <v>78</v>
      </c>
      <c r="N1361">
        <v>0</v>
      </c>
      <c r="O1361" t="s">
        <v>27</v>
      </c>
      <c r="S1361" s="3">
        <v>6500</v>
      </c>
      <c r="T1361" s="2">
        <v>7098.59375</v>
      </c>
      <c r="U1361" s="2">
        <v>14371.315642450631</v>
      </c>
      <c r="V1361" s="2">
        <v>5941.2098431287759</v>
      </c>
      <c r="W1361" s="2">
        <v>7427.03369140625</v>
      </c>
      <c r="X1361" s="4">
        <f t="shared" si="84"/>
        <v>0.91567431929739607</v>
      </c>
      <c r="Y1361" s="4">
        <f t="shared" si="85"/>
        <v>0.45228983634595088</v>
      </c>
      <c r="Z1361" s="4">
        <f t="shared" si="86"/>
        <v>1.0940532604680653</v>
      </c>
      <c r="AA1361" s="4">
        <f t="shared" si="87"/>
        <v>0.87518116519669054</v>
      </c>
    </row>
    <row r="1362" spans="1:27" x14ac:dyDescent="0.3">
      <c r="A1362" t="s">
        <v>461</v>
      </c>
      <c r="B1362">
        <v>302318</v>
      </c>
      <c r="C1362">
        <v>2011</v>
      </c>
      <c r="D1362" t="s">
        <v>44</v>
      </c>
      <c r="E1362" t="s">
        <v>176</v>
      </c>
      <c r="F1362">
        <v>6</v>
      </c>
      <c r="G1362" t="s">
        <v>59</v>
      </c>
      <c r="H1362">
        <v>4</v>
      </c>
      <c r="I1362" t="s">
        <v>23</v>
      </c>
      <c r="J1362" t="s">
        <v>62</v>
      </c>
      <c r="L1362" t="s">
        <v>38</v>
      </c>
      <c r="M1362" t="s">
        <v>33</v>
      </c>
      <c r="N1362">
        <v>0</v>
      </c>
      <c r="O1362" t="s">
        <v>27</v>
      </c>
      <c r="S1362" s="3">
        <v>1500</v>
      </c>
      <c r="T1362" s="2">
        <v>2352.395263671875</v>
      </c>
      <c r="U1362" s="2">
        <v>1488.744719432827</v>
      </c>
      <c r="V1362" s="2">
        <v>1136.2159955699569</v>
      </c>
      <c r="W1362" s="2">
        <v>2064.7890625</v>
      </c>
      <c r="X1362" s="4">
        <f t="shared" si="84"/>
        <v>0.63764794257349267</v>
      </c>
      <c r="Y1362" s="4">
        <f t="shared" si="85"/>
        <v>1.0075602488594961</v>
      </c>
      <c r="Z1362" s="4">
        <f t="shared" si="86"/>
        <v>1.3201715218307228</v>
      </c>
      <c r="AA1362" s="4">
        <f t="shared" si="87"/>
        <v>0.7264664595732766</v>
      </c>
    </row>
    <row r="1363" spans="1:27" x14ac:dyDescent="0.3">
      <c r="A1363" t="s">
        <v>461</v>
      </c>
      <c r="B1363">
        <v>120059</v>
      </c>
      <c r="C1363">
        <v>2017</v>
      </c>
      <c r="D1363" t="s">
        <v>44</v>
      </c>
      <c r="E1363" t="s">
        <v>68</v>
      </c>
      <c r="F1363">
        <v>4</v>
      </c>
      <c r="G1363" t="s">
        <v>59</v>
      </c>
      <c r="H1363">
        <v>4</v>
      </c>
      <c r="I1363" t="s">
        <v>23</v>
      </c>
      <c r="J1363" t="s">
        <v>62</v>
      </c>
      <c r="K1363" t="s">
        <v>27</v>
      </c>
      <c r="L1363" t="s">
        <v>69</v>
      </c>
      <c r="M1363" t="s">
        <v>33</v>
      </c>
      <c r="N1363">
        <v>0</v>
      </c>
      <c r="O1363" t="s">
        <v>27</v>
      </c>
      <c r="S1363" s="3">
        <v>8400</v>
      </c>
      <c r="T1363" s="2">
        <v>8631.3232421875</v>
      </c>
      <c r="U1363" s="2">
        <v>8160.5436200045033</v>
      </c>
      <c r="V1363" s="2">
        <v>8637.6908737340636</v>
      </c>
      <c r="W1363" s="2">
        <v>9008.95703125</v>
      </c>
      <c r="X1363" s="4">
        <f t="shared" si="84"/>
        <v>0.97319956214165904</v>
      </c>
      <c r="Y1363" s="4">
        <f t="shared" si="85"/>
        <v>1.0293431897610965</v>
      </c>
      <c r="Z1363" s="4">
        <f t="shared" si="86"/>
        <v>0.97248212778060328</v>
      </c>
      <c r="AA1363" s="4">
        <f t="shared" si="87"/>
        <v>0.93240537954197489</v>
      </c>
    </row>
    <row r="1364" spans="1:27" x14ac:dyDescent="0.3">
      <c r="A1364" t="s">
        <v>461</v>
      </c>
      <c r="B1364">
        <v>172474</v>
      </c>
      <c r="C1364">
        <v>2015</v>
      </c>
      <c r="D1364" t="s">
        <v>44</v>
      </c>
      <c r="E1364" t="s">
        <v>45</v>
      </c>
      <c r="F1364">
        <v>8</v>
      </c>
      <c r="G1364" t="s">
        <v>66</v>
      </c>
      <c r="H1364">
        <v>4</v>
      </c>
      <c r="I1364" t="s">
        <v>23</v>
      </c>
      <c r="J1364" t="s">
        <v>46</v>
      </c>
      <c r="K1364" t="s">
        <v>27</v>
      </c>
      <c r="L1364" t="s">
        <v>48</v>
      </c>
      <c r="M1364">
        <v>4</v>
      </c>
      <c r="N1364">
        <v>0</v>
      </c>
      <c r="O1364" t="s">
        <v>27</v>
      </c>
      <c r="S1364" s="3">
        <v>11250</v>
      </c>
      <c r="T1364" s="2">
        <v>8370.2421875</v>
      </c>
      <c r="U1364" s="2">
        <v>17455.25061579157</v>
      </c>
      <c r="V1364" s="2">
        <v>10682.827640772721</v>
      </c>
      <c r="W1364" s="2">
        <v>10661.634765625</v>
      </c>
      <c r="X1364" s="4">
        <f t="shared" si="84"/>
        <v>1.344047131252736</v>
      </c>
      <c r="Y1364" s="4">
        <f t="shared" si="85"/>
        <v>0.6445052120776914</v>
      </c>
      <c r="Z1364" s="4">
        <f t="shared" si="86"/>
        <v>1.0530919694952838</v>
      </c>
      <c r="AA1364" s="4">
        <f t="shared" si="87"/>
        <v>1.0551852738636287</v>
      </c>
    </row>
    <row r="1365" spans="1:27" x14ac:dyDescent="0.3">
      <c r="A1365" t="s">
        <v>461</v>
      </c>
      <c r="B1365">
        <v>116679</v>
      </c>
      <c r="C1365">
        <v>2013</v>
      </c>
      <c r="D1365" t="s">
        <v>396</v>
      </c>
      <c r="E1365" t="s">
        <v>428</v>
      </c>
      <c r="F1365">
        <v>6</v>
      </c>
      <c r="G1365" t="s">
        <v>30</v>
      </c>
      <c r="H1365">
        <v>4</v>
      </c>
      <c r="I1365" t="s">
        <v>23</v>
      </c>
      <c r="J1365" t="s">
        <v>31</v>
      </c>
      <c r="K1365" t="s">
        <v>27</v>
      </c>
      <c r="L1365" t="s">
        <v>53</v>
      </c>
      <c r="M1365" t="s">
        <v>33</v>
      </c>
      <c r="N1365">
        <v>0</v>
      </c>
      <c r="O1365" t="s">
        <v>27</v>
      </c>
      <c r="S1365" s="3">
        <v>5000</v>
      </c>
      <c r="T1365" s="2">
        <v>2479.5390625</v>
      </c>
      <c r="U1365" s="2">
        <v>7519.7477806632887</v>
      </c>
      <c r="V1365" s="2">
        <v>6975.8322135064318</v>
      </c>
      <c r="W1365" s="2">
        <v>6495.53759765625</v>
      </c>
      <c r="X1365" s="4">
        <f t="shared" si="84"/>
        <v>2.0165038234802966</v>
      </c>
      <c r="Y1365" s="4">
        <f t="shared" si="85"/>
        <v>0.66491591817178852</v>
      </c>
      <c r="Z1365" s="4">
        <f t="shared" si="86"/>
        <v>0.71676035875965094</v>
      </c>
      <c r="AA1365" s="4">
        <f t="shared" si="87"/>
        <v>0.76975922698132382</v>
      </c>
    </row>
    <row r="1366" spans="1:27" x14ac:dyDescent="0.3">
      <c r="A1366" t="s">
        <v>461</v>
      </c>
      <c r="B1366">
        <v>169447</v>
      </c>
      <c r="C1366">
        <v>2014</v>
      </c>
      <c r="D1366" t="s">
        <v>100</v>
      </c>
      <c r="E1366" t="s">
        <v>412</v>
      </c>
      <c r="F1366">
        <v>6</v>
      </c>
      <c r="G1366" t="s">
        <v>59</v>
      </c>
      <c r="H1366">
        <v>4</v>
      </c>
      <c r="I1366" t="s">
        <v>23</v>
      </c>
      <c r="J1366" t="s">
        <v>24</v>
      </c>
      <c r="K1366" t="s">
        <v>27</v>
      </c>
      <c r="L1366" t="s">
        <v>53</v>
      </c>
      <c r="M1366" t="s">
        <v>33</v>
      </c>
      <c r="N1366">
        <v>0</v>
      </c>
      <c r="O1366" t="s">
        <v>27</v>
      </c>
      <c r="S1366" s="3">
        <v>1100</v>
      </c>
      <c r="T1366" s="2">
        <v>2817.4140625</v>
      </c>
      <c r="U1366" s="2">
        <v>3030.1007963456368</v>
      </c>
      <c r="V1366" s="2">
        <v>3828.4706597267482</v>
      </c>
      <c r="W1366" s="2">
        <v>3361.78125</v>
      </c>
      <c r="X1366" s="4">
        <f t="shared" si="84"/>
        <v>0.39042894498223935</v>
      </c>
      <c r="Y1366" s="4">
        <f t="shared" si="85"/>
        <v>0.36302422722261329</v>
      </c>
      <c r="Z1366" s="4">
        <f t="shared" si="86"/>
        <v>0.28732099518780457</v>
      </c>
      <c r="AA1366" s="4">
        <f t="shared" si="87"/>
        <v>0.32720748858956838</v>
      </c>
    </row>
    <row r="1367" spans="1:27" x14ac:dyDescent="0.3">
      <c r="A1367" t="s">
        <v>461</v>
      </c>
      <c r="B1367">
        <v>1</v>
      </c>
      <c r="C1367">
        <v>2007</v>
      </c>
      <c r="D1367" t="s">
        <v>100</v>
      </c>
      <c r="E1367" t="s">
        <v>549</v>
      </c>
      <c r="F1367">
        <v>8</v>
      </c>
      <c r="G1367" t="s">
        <v>22</v>
      </c>
      <c r="H1367">
        <v>4</v>
      </c>
      <c r="I1367" t="s">
        <v>23</v>
      </c>
      <c r="J1367" t="s">
        <v>24</v>
      </c>
      <c r="L1367" t="s">
        <v>115</v>
      </c>
      <c r="M1367" t="s">
        <v>78</v>
      </c>
      <c r="N1367">
        <v>0</v>
      </c>
      <c r="O1367" t="s">
        <v>123</v>
      </c>
      <c r="S1367" s="3">
        <v>500</v>
      </c>
      <c r="T1367" s="2">
        <v>18662.822265625</v>
      </c>
      <c r="U1367" s="2">
        <v>27021.534063935909</v>
      </c>
      <c r="V1367" s="2">
        <v>12173.084700818299</v>
      </c>
      <c r="W1367" s="2">
        <v>33832.01171875</v>
      </c>
      <c r="X1367" s="4">
        <f t="shared" si="84"/>
        <v>2.6791231941427671E-2</v>
      </c>
      <c r="Y1367" s="4">
        <f t="shared" si="85"/>
        <v>1.8503760697558668E-2</v>
      </c>
      <c r="Z1367" s="4">
        <f t="shared" si="86"/>
        <v>4.1074223361510745E-2</v>
      </c>
      <c r="AA1367" s="4">
        <f t="shared" si="87"/>
        <v>1.4778902424028647E-2</v>
      </c>
    </row>
    <row r="1368" spans="1:27" x14ac:dyDescent="0.3">
      <c r="A1368" t="s">
        <v>461</v>
      </c>
      <c r="B1368">
        <v>163051</v>
      </c>
      <c r="C1368">
        <v>2017</v>
      </c>
      <c r="D1368" t="s">
        <v>90</v>
      </c>
      <c r="E1368" t="s">
        <v>486</v>
      </c>
      <c r="F1368">
        <v>4</v>
      </c>
      <c r="G1368" t="s">
        <v>47</v>
      </c>
      <c r="H1368">
        <v>4</v>
      </c>
      <c r="I1368" t="s">
        <v>23</v>
      </c>
      <c r="J1368" t="s">
        <v>31</v>
      </c>
      <c r="L1368" t="s">
        <v>73</v>
      </c>
      <c r="M1368" t="s">
        <v>33</v>
      </c>
      <c r="N1368">
        <v>0</v>
      </c>
      <c r="O1368" t="s">
        <v>27</v>
      </c>
      <c r="S1368" s="3">
        <v>2500</v>
      </c>
      <c r="T1368" s="2">
        <v>3860.481689453125</v>
      </c>
      <c r="U1368" s="2">
        <v>3085.2427594727069</v>
      </c>
      <c r="V1368" s="2">
        <v>4161.3359694426144</v>
      </c>
      <c r="W1368" s="2">
        <v>4024.35302734375</v>
      </c>
      <c r="X1368" s="4">
        <f t="shared" si="84"/>
        <v>0.64758758131919791</v>
      </c>
      <c r="Y1368" s="4">
        <f t="shared" si="85"/>
        <v>0.81030900804294259</v>
      </c>
      <c r="Z1368" s="4">
        <f t="shared" si="86"/>
        <v>0.60076860372676411</v>
      </c>
      <c r="AA1368" s="4">
        <f t="shared" si="87"/>
        <v>0.62121786608023055</v>
      </c>
    </row>
    <row r="1369" spans="1:27" x14ac:dyDescent="0.3">
      <c r="A1369" t="s">
        <v>461</v>
      </c>
      <c r="B1369">
        <v>108678</v>
      </c>
      <c r="C1369">
        <v>2011</v>
      </c>
      <c r="D1369" t="s">
        <v>40</v>
      </c>
      <c r="E1369" t="s">
        <v>63</v>
      </c>
      <c r="F1369">
        <v>4</v>
      </c>
      <c r="G1369" t="s">
        <v>99</v>
      </c>
      <c r="H1369">
        <v>4</v>
      </c>
      <c r="I1369" t="s">
        <v>23</v>
      </c>
      <c r="J1369" t="s">
        <v>24</v>
      </c>
      <c r="K1369" t="s">
        <v>27</v>
      </c>
      <c r="L1369" t="s">
        <v>60</v>
      </c>
      <c r="M1369" t="s">
        <v>33</v>
      </c>
      <c r="N1369">
        <v>0</v>
      </c>
      <c r="O1369" t="s">
        <v>27</v>
      </c>
      <c r="S1369" s="3">
        <v>1600</v>
      </c>
      <c r="T1369" s="2">
        <v>4850.72509765625</v>
      </c>
      <c r="U1369" s="2">
        <v>4632.6964361934224</v>
      </c>
      <c r="V1369" s="2">
        <v>4332.999585667566</v>
      </c>
      <c r="W1369" s="2">
        <v>4857.97607421875</v>
      </c>
      <c r="X1369" s="4">
        <f t="shared" si="84"/>
        <v>0.32984759346042519</v>
      </c>
      <c r="Y1369" s="4">
        <f t="shared" si="85"/>
        <v>0.34537121567038881</v>
      </c>
      <c r="Z1369" s="4">
        <f t="shared" si="86"/>
        <v>0.36925920909209947</v>
      </c>
      <c r="AA1369" s="4">
        <f t="shared" si="87"/>
        <v>0.32935526555826211</v>
      </c>
    </row>
    <row r="1370" spans="1:27" x14ac:dyDescent="0.3">
      <c r="A1370" t="s">
        <v>461</v>
      </c>
      <c r="B1370">
        <v>146020</v>
      </c>
      <c r="C1370">
        <v>2016</v>
      </c>
      <c r="D1370" t="s">
        <v>40</v>
      </c>
      <c r="E1370" t="s">
        <v>257</v>
      </c>
      <c r="F1370">
        <v>6</v>
      </c>
      <c r="G1370" t="s">
        <v>36</v>
      </c>
      <c r="H1370">
        <v>4</v>
      </c>
      <c r="I1370" t="s">
        <v>23</v>
      </c>
      <c r="J1370" t="s">
        <v>42</v>
      </c>
      <c r="K1370" t="s">
        <v>27</v>
      </c>
      <c r="L1370" t="s">
        <v>26</v>
      </c>
      <c r="M1370" t="s">
        <v>78</v>
      </c>
      <c r="N1370">
        <v>0</v>
      </c>
      <c r="O1370" t="s">
        <v>27</v>
      </c>
      <c r="S1370" s="3">
        <v>9500</v>
      </c>
      <c r="T1370" s="2">
        <v>11798.05078125</v>
      </c>
      <c r="U1370" s="2">
        <v>9595.2765310098803</v>
      </c>
      <c r="V1370" s="2">
        <v>13677.522243463151</v>
      </c>
      <c r="W1370" s="2">
        <v>10862.677734375</v>
      </c>
      <c r="X1370" s="4">
        <f t="shared" si="84"/>
        <v>0.80521775809762008</v>
      </c>
      <c r="Y1370" s="4">
        <f t="shared" si="85"/>
        <v>0.99007047574898266</v>
      </c>
      <c r="Z1370" s="4">
        <f t="shared" si="86"/>
        <v>0.69457024678137891</v>
      </c>
      <c r="AA1370" s="4">
        <f t="shared" si="87"/>
        <v>0.87455415987691509</v>
      </c>
    </row>
    <row r="1371" spans="1:27" x14ac:dyDescent="0.3">
      <c r="A1371" t="s">
        <v>461</v>
      </c>
      <c r="B1371">
        <v>137148</v>
      </c>
      <c r="C1371">
        <v>2017</v>
      </c>
      <c r="D1371" t="s">
        <v>44</v>
      </c>
      <c r="E1371" t="s">
        <v>352</v>
      </c>
      <c r="F1371">
        <v>6</v>
      </c>
      <c r="G1371" t="s">
        <v>36</v>
      </c>
      <c r="H1371">
        <v>4</v>
      </c>
      <c r="I1371" t="s">
        <v>23</v>
      </c>
      <c r="J1371" t="s">
        <v>62</v>
      </c>
      <c r="K1371" t="s">
        <v>27</v>
      </c>
      <c r="L1371" t="s">
        <v>38</v>
      </c>
      <c r="M1371" t="s">
        <v>78</v>
      </c>
      <c r="N1371">
        <v>0</v>
      </c>
      <c r="S1371" s="3">
        <v>7600</v>
      </c>
      <c r="T1371" s="2">
        <v>8888.7392578125</v>
      </c>
      <c r="U1371" s="2">
        <v>10169.31512208041</v>
      </c>
      <c r="V1371" s="2">
        <v>8189.9809077572954</v>
      </c>
      <c r="W1371" s="2">
        <v>9375.794921875</v>
      </c>
      <c r="X1371" s="4">
        <f t="shared" si="84"/>
        <v>0.85501439288144265</v>
      </c>
      <c r="Y1371" s="4">
        <f t="shared" si="85"/>
        <v>0.74734629704789923</v>
      </c>
      <c r="Z1371" s="4">
        <f t="shared" si="86"/>
        <v>0.92796309119616094</v>
      </c>
      <c r="AA1371" s="4">
        <f t="shared" si="87"/>
        <v>0.81059793471678543</v>
      </c>
    </row>
    <row r="1372" spans="1:27" x14ac:dyDescent="0.3">
      <c r="A1372" t="s">
        <v>461</v>
      </c>
      <c r="B1372">
        <v>163139</v>
      </c>
      <c r="C1372">
        <v>2017</v>
      </c>
      <c r="D1372" t="s">
        <v>100</v>
      </c>
      <c r="E1372" t="s">
        <v>101</v>
      </c>
      <c r="F1372">
        <v>4</v>
      </c>
      <c r="G1372" t="s">
        <v>22</v>
      </c>
      <c r="H1372">
        <v>4</v>
      </c>
      <c r="I1372" t="s">
        <v>23</v>
      </c>
      <c r="J1372" t="s">
        <v>31</v>
      </c>
      <c r="K1372" t="s">
        <v>27</v>
      </c>
      <c r="L1372" t="s">
        <v>102</v>
      </c>
      <c r="M1372" t="s">
        <v>33</v>
      </c>
      <c r="N1372">
        <v>0</v>
      </c>
      <c r="O1372" t="s">
        <v>27</v>
      </c>
      <c r="S1372" s="3">
        <v>4000</v>
      </c>
      <c r="T1372" s="2">
        <v>3565.784912109375</v>
      </c>
      <c r="U1372" s="2">
        <v>3996.1921019226211</v>
      </c>
      <c r="V1372" s="2">
        <v>6029.5724305474841</v>
      </c>
      <c r="W1372" s="2">
        <v>4175.96630859375</v>
      </c>
      <c r="X1372" s="4">
        <f t="shared" si="84"/>
        <v>1.1217726527520027</v>
      </c>
      <c r="Y1372" s="4">
        <f t="shared" si="85"/>
        <v>1.0009528816383844</v>
      </c>
      <c r="Z1372" s="4">
        <f t="shared" si="86"/>
        <v>0.66339695659594233</v>
      </c>
      <c r="AA1372" s="4">
        <f t="shared" si="87"/>
        <v>0.95786213403311526</v>
      </c>
    </row>
    <row r="1373" spans="1:27" x14ac:dyDescent="0.3">
      <c r="A1373" t="s">
        <v>461</v>
      </c>
      <c r="B1373">
        <v>152779</v>
      </c>
      <c r="C1373">
        <v>2010</v>
      </c>
      <c r="D1373" t="s">
        <v>40</v>
      </c>
      <c r="E1373" t="s">
        <v>229</v>
      </c>
      <c r="F1373">
        <v>6</v>
      </c>
      <c r="G1373" t="s">
        <v>36</v>
      </c>
      <c r="H1373">
        <v>4</v>
      </c>
      <c r="I1373" t="s">
        <v>23</v>
      </c>
      <c r="J1373" t="s">
        <v>31</v>
      </c>
      <c r="K1373" t="s">
        <v>27</v>
      </c>
      <c r="L1373" t="s">
        <v>26</v>
      </c>
      <c r="M1373" t="s">
        <v>33</v>
      </c>
      <c r="N1373">
        <v>0</v>
      </c>
      <c r="S1373" s="3">
        <v>750</v>
      </c>
      <c r="T1373" s="2">
        <v>3104.261474609375</v>
      </c>
      <c r="U1373" s="2">
        <v>3599.189058301863</v>
      </c>
      <c r="V1373" s="2">
        <v>2361.9835929193632</v>
      </c>
      <c r="W1373" s="2">
        <v>3168.282958984375</v>
      </c>
      <c r="X1373" s="4">
        <f t="shared" si="84"/>
        <v>0.241603359167538</v>
      </c>
      <c r="Y1373" s="4">
        <f t="shared" si="85"/>
        <v>0.20838027340354781</v>
      </c>
      <c r="Z1373" s="4">
        <f t="shared" si="86"/>
        <v>0.31752972469762814</v>
      </c>
      <c r="AA1373" s="4">
        <f t="shared" si="87"/>
        <v>0.23672128080391533</v>
      </c>
    </row>
    <row r="1374" spans="1:27" x14ac:dyDescent="0.3">
      <c r="A1374" t="s">
        <v>430</v>
      </c>
      <c r="B1374">
        <v>32072</v>
      </c>
      <c r="C1374">
        <v>2020</v>
      </c>
      <c r="D1374" t="s">
        <v>100</v>
      </c>
      <c r="E1374" t="s">
        <v>367</v>
      </c>
      <c r="F1374">
        <v>6</v>
      </c>
      <c r="G1374" t="s">
        <v>36</v>
      </c>
      <c r="H1374">
        <v>4</v>
      </c>
      <c r="I1374" t="s">
        <v>23</v>
      </c>
      <c r="J1374" t="s">
        <v>31</v>
      </c>
      <c r="K1374" t="s">
        <v>25</v>
      </c>
      <c r="L1374" t="s">
        <v>53</v>
      </c>
      <c r="M1374" t="s">
        <v>33</v>
      </c>
      <c r="N1374">
        <v>0</v>
      </c>
      <c r="O1374" t="s">
        <v>27</v>
      </c>
      <c r="S1374" s="3">
        <v>7000</v>
      </c>
      <c r="T1374" s="2">
        <v>24030.94921875</v>
      </c>
      <c r="U1374" s="2">
        <v>23634.132291534821</v>
      </c>
      <c r="V1374" s="2">
        <v>24341.65415183704</v>
      </c>
      <c r="W1374" s="2">
        <v>23703.22265625</v>
      </c>
      <c r="X1374" s="4">
        <f t="shared" si="84"/>
        <v>0.29129103208866564</v>
      </c>
      <c r="Y1374" s="4">
        <f t="shared" si="85"/>
        <v>0.29618180661987881</v>
      </c>
      <c r="Z1374" s="4">
        <f t="shared" si="86"/>
        <v>0.28757289690896859</v>
      </c>
      <c r="AA1374" s="4">
        <f t="shared" si="87"/>
        <v>0.29531849324945103</v>
      </c>
    </row>
    <row r="1375" spans="1:27" x14ac:dyDescent="0.3">
      <c r="A1375" t="s">
        <v>430</v>
      </c>
      <c r="B1375">
        <v>168177</v>
      </c>
      <c r="C1375">
        <v>2015</v>
      </c>
      <c r="D1375" t="s">
        <v>100</v>
      </c>
      <c r="E1375" t="s">
        <v>138</v>
      </c>
      <c r="F1375">
        <v>4</v>
      </c>
      <c r="G1375" t="s">
        <v>22</v>
      </c>
      <c r="H1375">
        <v>4</v>
      </c>
      <c r="I1375" t="s">
        <v>23</v>
      </c>
      <c r="J1375" t="s">
        <v>24</v>
      </c>
      <c r="K1375" t="s">
        <v>25</v>
      </c>
      <c r="L1375" t="s">
        <v>102</v>
      </c>
      <c r="M1375" t="s">
        <v>23</v>
      </c>
      <c r="N1375">
        <v>0</v>
      </c>
      <c r="O1375" t="s">
        <v>27</v>
      </c>
      <c r="S1375" s="3">
        <v>2500</v>
      </c>
      <c r="T1375" s="2">
        <v>2719.292236328125</v>
      </c>
      <c r="U1375" s="2">
        <v>3021.4223494615771</v>
      </c>
      <c r="V1375" s="2">
        <v>4685.4826897802004</v>
      </c>
      <c r="W1375" s="2">
        <v>3139.286865234375</v>
      </c>
      <c r="X1375" s="4">
        <f t="shared" si="84"/>
        <v>0.91935687036556379</v>
      </c>
      <c r="Y1375" s="4">
        <f t="shared" si="85"/>
        <v>0.82742487174807078</v>
      </c>
      <c r="Z1375" s="4">
        <f t="shared" si="86"/>
        <v>0.53356295722805813</v>
      </c>
      <c r="AA1375" s="4">
        <f t="shared" si="87"/>
        <v>0.79635920746393885</v>
      </c>
    </row>
    <row r="1376" spans="1:27" x14ac:dyDescent="0.3">
      <c r="A1376" t="s">
        <v>430</v>
      </c>
      <c r="B1376">
        <v>61669</v>
      </c>
      <c r="C1376">
        <v>2004</v>
      </c>
      <c r="D1376" t="s">
        <v>34</v>
      </c>
      <c r="E1376" t="s">
        <v>88</v>
      </c>
      <c r="F1376">
        <v>4</v>
      </c>
      <c r="G1376" t="s">
        <v>30</v>
      </c>
      <c r="H1376">
        <v>4</v>
      </c>
      <c r="I1376" t="s">
        <v>23</v>
      </c>
      <c r="J1376" t="s">
        <v>37</v>
      </c>
      <c r="K1376" t="s">
        <v>25</v>
      </c>
      <c r="L1376" t="s">
        <v>89</v>
      </c>
      <c r="M1376" t="s">
        <v>33</v>
      </c>
      <c r="N1376">
        <v>0</v>
      </c>
      <c r="O1376" t="s">
        <v>27</v>
      </c>
      <c r="S1376" s="3">
        <v>2200</v>
      </c>
      <c r="T1376" s="2">
        <v>4407.37060546875</v>
      </c>
      <c r="U1376" s="2">
        <v>2472.4798828519451</v>
      </c>
      <c r="V1376" s="2">
        <v>1314.485172033797</v>
      </c>
      <c r="W1376" s="2">
        <v>2437.60400390625</v>
      </c>
      <c r="X1376" s="4">
        <f t="shared" si="84"/>
        <v>0.49916383189337377</v>
      </c>
      <c r="Y1376" s="4">
        <f t="shared" si="85"/>
        <v>0.88979490399831029</v>
      </c>
      <c r="Z1376" s="4">
        <f t="shared" si="86"/>
        <v>1.6736590467552535</v>
      </c>
      <c r="AA1376" s="4">
        <f t="shared" si="87"/>
        <v>0.90252559335909743</v>
      </c>
    </row>
    <row r="1377" spans="1:27" x14ac:dyDescent="0.3">
      <c r="A1377" t="s">
        <v>430</v>
      </c>
      <c r="B1377">
        <v>129445</v>
      </c>
      <c r="C1377">
        <v>2013</v>
      </c>
      <c r="D1377" t="s">
        <v>34</v>
      </c>
      <c r="E1377" t="s">
        <v>88</v>
      </c>
      <c r="F1377">
        <v>4</v>
      </c>
      <c r="G1377" t="s">
        <v>59</v>
      </c>
      <c r="H1377">
        <v>4</v>
      </c>
      <c r="I1377" t="s">
        <v>23</v>
      </c>
      <c r="J1377" t="s">
        <v>37</v>
      </c>
      <c r="K1377" t="s">
        <v>25</v>
      </c>
      <c r="L1377" t="s">
        <v>89</v>
      </c>
      <c r="M1377" t="s">
        <v>33</v>
      </c>
      <c r="N1377">
        <v>0</v>
      </c>
      <c r="O1377" t="s">
        <v>27</v>
      </c>
      <c r="S1377" s="3">
        <v>5500</v>
      </c>
      <c r="T1377" s="2">
        <v>4956.7158203125</v>
      </c>
      <c r="U1377" s="2">
        <v>4177.6183299872964</v>
      </c>
      <c r="V1377" s="2">
        <v>3297.3796042539529</v>
      </c>
      <c r="W1377" s="2">
        <v>4408.61474609375</v>
      </c>
      <c r="X1377" s="4">
        <f t="shared" si="84"/>
        <v>1.1096056742775398</v>
      </c>
      <c r="Y1377" s="4">
        <f t="shared" si="85"/>
        <v>1.3165396083506569</v>
      </c>
      <c r="Z1377" s="4">
        <f t="shared" si="86"/>
        <v>1.6679911505804319</v>
      </c>
      <c r="AA1377" s="4">
        <f t="shared" si="87"/>
        <v>1.2475574112873598</v>
      </c>
    </row>
    <row r="1378" spans="1:27" x14ac:dyDescent="0.3">
      <c r="A1378" t="s">
        <v>430</v>
      </c>
      <c r="B1378">
        <v>170058</v>
      </c>
      <c r="C1378">
        <v>2013</v>
      </c>
      <c r="D1378" t="s">
        <v>396</v>
      </c>
      <c r="E1378" t="s">
        <v>550</v>
      </c>
      <c r="F1378">
        <v>4</v>
      </c>
      <c r="G1378" t="s">
        <v>22</v>
      </c>
      <c r="H1378">
        <v>4</v>
      </c>
      <c r="I1378" t="s">
        <v>23</v>
      </c>
      <c r="J1378" t="s">
        <v>31</v>
      </c>
      <c r="K1378" t="s">
        <v>25</v>
      </c>
      <c r="L1378" t="s">
        <v>127</v>
      </c>
      <c r="M1378" t="s">
        <v>33</v>
      </c>
      <c r="N1378">
        <v>0</v>
      </c>
      <c r="O1378" t="s">
        <v>27</v>
      </c>
      <c r="S1378" s="3">
        <v>1500</v>
      </c>
      <c r="T1378" s="2">
        <v>-1001.039978027344</v>
      </c>
      <c r="U1378" s="2">
        <v>3820.1005459264038</v>
      </c>
      <c r="V1378" s="2">
        <v>3161.120360110232</v>
      </c>
      <c r="W1378" s="2">
        <v>2734.685791015625</v>
      </c>
      <c r="X1378" s="4">
        <f t="shared" si="84"/>
        <v>-1.4984416536049938</v>
      </c>
      <c r="Y1378" s="4">
        <f t="shared" si="85"/>
        <v>0.39265982189906951</v>
      </c>
      <c r="Z1378" s="4">
        <f t="shared" si="86"/>
        <v>0.47451530758787469</v>
      </c>
      <c r="AA1378" s="4">
        <f t="shared" si="87"/>
        <v>0.54850908463707648</v>
      </c>
    </row>
    <row r="1379" spans="1:27" x14ac:dyDescent="0.3">
      <c r="A1379" t="s">
        <v>430</v>
      </c>
      <c r="B1379">
        <v>203382</v>
      </c>
      <c r="C1379">
        <v>2008</v>
      </c>
      <c r="D1379" t="s">
        <v>28</v>
      </c>
      <c r="E1379" t="s">
        <v>355</v>
      </c>
      <c r="F1379">
        <v>4</v>
      </c>
      <c r="G1379" t="s">
        <v>30</v>
      </c>
      <c r="H1379">
        <v>2</v>
      </c>
      <c r="I1379" t="s">
        <v>23</v>
      </c>
      <c r="J1379" t="s">
        <v>83</v>
      </c>
      <c r="K1379" t="s">
        <v>25</v>
      </c>
      <c r="L1379" t="s">
        <v>32</v>
      </c>
      <c r="M1379" t="s">
        <v>33</v>
      </c>
      <c r="N1379">
        <v>0</v>
      </c>
      <c r="O1379" t="s">
        <v>27</v>
      </c>
      <c r="S1379" s="3">
        <v>700</v>
      </c>
      <c r="T1379" s="2">
        <v>2240.444580078125</v>
      </c>
      <c r="U1379" s="2">
        <v>2536.7408249710211</v>
      </c>
      <c r="V1379" s="2">
        <v>1283.029275123461</v>
      </c>
      <c r="W1379" s="2">
        <v>1748.779418945312</v>
      </c>
      <c r="X1379" s="4">
        <f t="shared" si="84"/>
        <v>0.31243798941707845</v>
      </c>
      <c r="Y1379" s="4">
        <f t="shared" si="85"/>
        <v>0.27594462670738018</v>
      </c>
      <c r="Z1379" s="4">
        <f t="shared" si="86"/>
        <v>0.54558380979470766</v>
      </c>
      <c r="AA1379" s="4">
        <f t="shared" si="87"/>
        <v>0.40027918467966056</v>
      </c>
    </row>
    <row r="1380" spans="1:27" x14ac:dyDescent="0.3">
      <c r="A1380" t="s">
        <v>430</v>
      </c>
      <c r="B1380">
        <v>66741</v>
      </c>
      <c r="C1380">
        <v>2007</v>
      </c>
      <c r="D1380" t="s">
        <v>44</v>
      </c>
      <c r="E1380" t="s">
        <v>210</v>
      </c>
      <c r="F1380">
        <v>4</v>
      </c>
      <c r="G1380" t="s">
        <v>36</v>
      </c>
      <c r="H1380">
        <v>4</v>
      </c>
      <c r="I1380" t="s">
        <v>23</v>
      </c>
      <c r="J1380" t="s">
        <v>31</v>
      </c>
      <c r="K1380" t="s">
        <v>25</v>
      </c>
      <c r="L1380" t="s">
        <v>205</v>
      </c>
      <c r="M1380" t="s">
        <v>33</v>
      </c>
      <c r="N1380">
        <v>0</v>
      </c>
      <c r="O1380" t="s">
        <v>27</v>
      </c>
      <c r="S1380" s="3">
        <v>400</v>
      </c>
      <c r="T1380" s="2">
        <v>4658.875</v>
      </c>
      <c r="U1380" s="2">
        <v>3489.0102847525582</v>
      </c>
      <c r="V1380" s="2">
        <v>3055.150727597063</v>
      </c>
      <c r="W1380" s="2">
        <v>4222.3203125</v>
      </c>
      <c r="X1380" s="4">
        <f t="shared" si="84"/>
        <v>8.5857637305143411E-2</v>
      </c>
      <c r="Y1380" s="4">
        <f t="shared" si="85"/>
        <v>0.11464569243262294</v>
      </c>
      <c r="Z1380" s="4">
        <f t="shared" si="86"/>
        <v>0.13092643724148037</v>
      </c>
      <c r="AA1380" s="4">
        <f t="shared" si="87"/>
        <v>9.4734641238803458E-2</v>
      </c>
    </row>
    <row r="1381" spans="1:27" x14ac:dyDescent="0.3">
      <c r="A1381" t="s">
        <v>430</v>
      </c>
      <c r="B1381">
        <v>218607</v>
      </c>
      <c r="C1381">
        <v>2022</v>
      </c>
      <c r="D1381" t="s">
        <v>34</v>
      </c>
      <c r="E1381" t="s">
        <v>88</v>
      </c>
      <c r="F1381">
        <v>4</v>
      </c>
      <c r="G1381" t="s">
        <v>30</v>
      </c>
      <c r="H1381">
        <v>4</v>
      </c>
      <c r="I1381" t="s">
        <v>23</v>
      </c>
      <c r="J1381" t="s">
        <v>37</v>
      </c>
      <c r="K1381" t="s">
        <v>25</v>
      </c>
      <c r="L1381" t="s">
        <v>89</v>
      </c>
      <c r="M1381" t="s">
        <v>33</v>
      </c>
      <c r="N1381">
        <v>0</v>
      </c>
      <c r="O1381" t="s">
        <v>27</v>
      </c>
      <c r="S1381" s="3">
        <v>8000</v>
      </c>
      <c r="T1381" s="2">
        <v>5135.5888671875</v>
      </c>
      <c r="U1381" s="2">
        <v>4431.5853492213892</v>
      </c>
      <c r="V1381" s="2">
        <v>6039.6210604551616</v>
      </c>
      <c r="W1381" s="2">
        <v>5867.5439453125</v>
      </c>
      <c r="X1381" s="4">
        <f t="shared" si="84"/>
        <v>1.5577570960000138</v>
      </c>
      <c r="Y1381" s="4">
        <f t="shared" si="85"/>
        <v>1.8052230453838751</v>
      </c>
      <c r="Z1381" s="4">
        <f t="shared" si="86"/>
        <v>1.3245864136047467</v>
      </c>
      <c r="AA1381" s="4">
        <f t="shared" si="87"/>
        <v>1.3634324812157717</v>
      </c>
    </row>
    <row r="1382" spans="1:27" x14ac:dyDescent="0.3">
      <c r="A1382" t="s">
        <v>419</v>
      </c>
      <c r="B1382">
        <v>62382</v>
      </c>
      <c r="C1382">
        <v>2010</v>
      </c>
      <c r="D1382" t="s">
        <v>90</v>
      </c>
      <c r="E1382" t="s">
        <v>551</v>
      </c>
      <c r="F1382">
        <v>5</v>
      </c>
      <c r="G1382" t="s">
        <v>298</v>
      </c>
      <c r="H1382">
        <v>2</v>
      </c>
      <c r="I1382" t="s">
        <v>23</v>
      </c>
      <c r="J1382" t="s">
        <v>209</v>
      </c>
      <c r="K1382" t="s">
        <v>27</v>
      </c>
      <c r="L1382" t="s">
        <v>102</v>
      </c>
      <c r="M1382" t="s">
        <v>33</v>
      </c>
      <c r="N1382">
        <v>3.3</v>
      </c>
      <c r="O1382" t="s">
        <v>27</v>
      </c>
      <c r="S1382" s="3">
        <v>4000</v>
      </c>
      <c r="T1382" s="2">
        <v>5655.4853515625</v>
      </c>
      <c r="U1382" s="2">
        <v>2972.557130989846</v>
      </c>
      <c r="V1382" s="2">
        <v>2165.367078569443</v>
      </c>
      <c r="W1382" s="2">
        <v>4587.689453125</v>
      </c>
      <c r="X1382" s="4">
        <f t="shared" si="84"/>
        <v>0.70727793484512835</v>
      </c>
      <c r="Y1382" s="4">
        <f t="shared" si="85"/>
        <v>1.345642766054431</v>
      </c>
      <c r="Z1382" s="4">
        <f t="shared" si="86"/>
        <v>1.8472618520840418</v>
      </c>
      <c r="AA1382" s="4">
        <f t="shared" si="87"/>
        <v>0.87189859751193854</v>
      </c>
    </row>
    <row r="1383" spans="1:27" x14ac:dyDescent="0.3">
      <c r="A1383" t="s">
        <v>461</v>
      </c>
      <c r="B1383">
        <v>113270</v>
      </c>
      <c r="C1383">
        <v>2015</v>
      </c>
      <c r="D1383" t="s">
        <v>44</v>
      </c>
      <c r="E1383" t="s">
        <v>45</v>
      </c>
      <c r="F1383">
        <v>6</v>
      </c>
      <c r="G1383" t="s">
        <v>47</v>
      </c>
      <c r="H1383">
        <v>4</v>
      </c>
      <c r="I1383" t="s">
        <v>23</v>
      </c>
      <c r="J1383" t="s">
        <v>46</v>
      </c>
      <c r="K1383" t="s">
        <v>27</v>
      </c>
      <c r="L1383" t="s">
        <v>38</v>
      </c>
      <c r="M1383" t="s">
        <v>78</v>
      </c>
      <c r="N1383">
        <v>2</v>
      </c>
      <c r="O1383" t="s">
        <v>27</v>
      </c>
      <c r="S1383" s="3">
        <v>9000</v>
      </c>
      <c r="T1383" s="2">
        <v>10354.3115234375</v>
      </c>
      <c r="U1383" s="2">
        <v>10413.591261507911</v>
      </c>
      <c r="V1383" s="2">
        <v>9243.9752401679925</v>
      </c>
      <c r="W1383" s="2">
        <v>9841.845703125</v>
      </c>
      <c r="X1383" s="4">
        <f t="shared" si="84"/>
        <v>0.86920313143254879</v>
      </c>
      <c r="Y1383" s="4">
        <f t="shared" si="85"/>
        <v>0.86425516173915784</v>
      </c>
      <c r="Z1383" s="4">
        <f t="shared" si="86"/>
        <v>0.97360710799961436</v>
      </c>
      <c r="AA1383" s="4">
        <f t="shared" si="87"/>
        <v>0.91446261925670147</v>
      </c>
    </row>
    <row r="1384" spans="1:27" x14ac:dyDescent="0.3">
      <c r="A1384" t="s">
        <v>461</v>
      </c>
      <c r="B1384">
        <v>131852</v>
      </c>
      <c r="C1384">
        <v>2015</v>
      </c>
      <c r="D1384" t="s">
        <v>20</v>
      </c>
      <c r="E1384" t="s">
        <v>390</v>
      </c>
      <c r="F1384">
        <v>8</v>
      </c>
      <c r="G1384" t="s">
        <v>47</v>
      </c>
      <c r="H1384">
        <v>4</v>
      </c>
      <c r="I1384" t="s">
        <v>23</v>
      </c>
      <c r="J1384" t="s">
        <v>24</v>
      </c>
      <c r="K1384" t="s">
        <v>27</v>
      </c>
      <c r="L1384" t="s">
        <v>166</v>
      </c>
      <c r="M1384" t="s">
        <v>78</v>
      </c>
      <c r="N1384">
        <v>2.9</v>
      </c>
      <c r="O1384" t="s">
        <v>27</v>
      </c>
      <c r="S1384" s="3">
        <v>7500</v>
      </c>
      <c r="T1384" s="2">
        <v>13104.830078125</v>
      </c>
      <c r="U1384" s="2">
        <v>14693.413759377279</v>
      </c>
      <c r="V1384" s="2">
        <v>11444.318494833369</v>
      </c>
      <c r="W1384" s="2">
        <v>15606.2412109375</v>
      </c>
      <c r="X1384" s="4">
        <f t="shared" si="84"/>
        <v>0.57230806926060329</v>
      </c>
      <c r="Y1384" s="4">
        <f t="shared" si="85"/>
        <v>0.51043277776163687</v>
      </c>
      <c r="Z1384" s="4">
        <f t="shared" si="86"/>
        <v>0.65534701811959672</v>
      </c>
      <c r="AA1384" s="4">
        <f t="shared" si="87"/>
        <v>0.48057696267975719</v>
      </c>
    </row>
    <row r="1385" spans="1:27" x14ac:dyDescent="0.3">
      <c r="A1385" t="s">
        <v>461</v>
      </c>
      <c r="B1385">
        <v>149180</v>
      </c>
      <c r="C1385">
        <v>2011</v>
      </c>
      <c r="D1385" t="s">
        <v>40</v>
      </c>
      <c r="E1385" t="s">
        <v>146</v>
      </c>
      <c r="F1385">
        <v>8</v>
      </c>
      <c r="G1385" t="s">
        <v>22</v>
      </c>
      <c r="H1385">
        <v>4</v>
      </c>
      <c r="I1385" t="s">
        <v>23</v>
      </c>
      <c r="J1385" t="s">
        <v>24</v>
      </c>
      <c r="L1385" t="s">
        <v>43</v>
      </c>
      <c r="M1385" t="s">
        <v>78</v>
      </c>
      <c r="N1385">
        <v>1.9</v>
      </c>
      <c r="O1385" t="s">
        <v>27</v>
      </c>
      <c r="S1385" s="3">
        <v>5500</v>
      </c>
      <c r="T1385" s="2">
        <v>5612.6572265625</v>
      </c>
      <c r="U1385" s="2">
        <v>15177.23880809919</v>
      </c>
      <c r="V1385" s="2">
        <v>6539.6694340029153</v>
      </c>
      <c r="W1385" s="2">
        <v>7885.7080078125</v>
      </c>
      <c r="X1385" s="4">
        <f t="shared" si="84"/>
        <v>0.97992800521839507</v>
      </c>
      <c r="Y1385" s="4">
        <f t="shared" si="85"/>
        <v>0.36238475717104596</v>
      </c>
      <c r="Z1385" s="4">
        <f t="shared" si="86"/>
        <v>0.84102110290205656</v>
      </c>
      <c r="AA1385" s="4">
        <f t="shared" si="87"/>
        <v>0.69746432337477626</v>
      </c>
    </row>
    <row r="1386" spans="1:27" x14ac:dyDescent="0.3">
      <c r="A1386" t="s">
        <v>461</v>
      </c>
      <c r="B1386">
        <v>140285</v>
      </c>
      <c r="C1386">
        <v>2015</v>
      </c>
      <c r="D1386" t="s">
        <v>40</v>
      </c>
      <c r="E1386" t="s">
        <v>172</v>
      </c>
      <c r="F1386">
        <v>4</v>
      </c>
      <c r="G1386" t="s">
        <v>66</v>
      </c>
      <c r="H1386">
        <v>4</v>
      </c>
      <c r="I1386" t="s">
        <v>23</v>
      </c>
      <c r="J1386" t="s">
        <v>31</v>
      </c>
      <c r="K1386" t="s">
        <v>27</v>
      </c>
      <c r="L1386" t="s">
        <v>102</v>
      </c>
      <c r="M1386" t="s">
        <v>33</v>
      </c>
      <c r="N1386">
        <v>1</v>
      </c>
      <c r="O1386" t="s">
        <v>39</v>
      </c>
      <c r="S1386" s="3">
        <v>1100</v>
      </c>
      <c r="T1386" s="2">
        <v>3370.265625</v>
      </c>
      <c r="U1386" s="2">
        <v>2950.1848542231442</v>
      </c>
      <c r="V1386" s="2">
        <v>3202.589152343804</v>
      </c>
      <c r="W1386" s="2">
        <v>3067.091552734375</v>
      </c>
      <c r="X1386" s="4">
        <f t="shared" si="84"/>
        <v>0.32638376982526413</v>
      </c>
      <c r="Y1386" s="4">
        <f t="shared" si="85"/>
        <v>0.37285799173748957</v>
      </c>
      <c r="Z1386" s="4">
        <f t="shared" si="86"/>
        <v>0.34347209325772204</v>
      </c>
      <c r="AA1386" s="4">
        <f t="shared" si="87"/>
        <v>0.35864596184594733</v>
      </c>
    </row>
    <row r="1387" spans="1:27" x14ac:dyDescent="0.3">
      <c r="A1387" t="s">
        <v>461</v>
      </c>
      <c r="B1387">
        <v>80983</v>
      </c>
      <c r="C1387">
        <v>2020</v>
      </c>
      <c r="D1387" t="s">
        <v>40</v>
      </c>
      <c r="E1387" t="s">
        <v>229</v>
      </c>
      <c r="F1387">
        <v>4</v>
      </c>
      <c r="G1387" t="s">
        <v>36</v>
      </c>
      <c r="H1387">
        <v>4</v>
      </c>
      <c r="I1387" t="s">
        <v>23</v>
      </c>
      <c r="J1387" t="s">
        <v>31</v>
      </c>
      <c r="K1387" t="s">
        <v>27</v>
      </c>
      <c r="L1387" t="s">
        <v>107</v>
      </c>
      <c r="M1387" t="s">
        <v>33</v>
      </c>
      <c r="N1387">
        <v>2.9</v>
      </c>
      <c r="O1387" t="s">
        <v>27</v>
      </c>
      <c r="S1387" s="3">
        <v>9900</v>
      </c>
      <c r="T1387" s="2">
        <v>10455.916015625</v>
      </c>
      <c r="U1387" s="2">
        <v>13803.68490185327</v>
      </c>
      <c r="V1387" s="2">
        <v>11966.43431391169</v>
      </c>
      <c r="W1387" s="2">
        <v>12082.6923828125</v>
      </c>
      <c r="X1387" s="4">
        <f t="shared" si="84"/>
        <v>0.94683239471374325</v>
      </c>
      <c r="Y1387" s="4">
        <f t="shared" si="85"/>
        <v>0.71719979631459385</v>
      </c>
      <c r="Z1387" s="4">
        <f t="shared" si="86"/>
        <v>0.82731411382007614</v>
      </c>
      <c r="AA1387" s="4">
        <f t="shared" si="87"/>
        <v>0.8193538067792443</v>
      </c>
    </row>
    <row r="1388" spans="1:27" x14ac:dyDescent="0.3">
      <c r="A1388" t="s">
        <v>461</v>
      </c>
      <c r="B1388">
        <v>140197</v>
      </c>
      <c r="C1388">
        <v>2012</v>
      </c>
      <c r="D1388" t="s">
        <v>28</v>
      </c>
      <c r="E1388" t="s">
        <v>216</v>
      </c>
      <c r="F1388">
        <v>6</v>
      </c>
      <c r="G1388" t="s">
        <v>272</v>
      </c>
      <c r="H1388">
        <v>4</v>
      </c>
      <c r="I1388" t="s">
        <v>23</v>
      </c>
      <c r="J1388" t="s">
        <v>106</v>
      </c>
      <c r="K1388" t="s">
        <v>27</v>
      </c>
      <c r="L1388" t="s">
        <v>53</v>
      </c>
      <c r="M1388" t="s">
        <v>33</v>
      </c>
      <c r="N1388">
        <v>1.7</v>
      </c>
      <c r="O1388" t="s">
        <v>27</v>
      </c>
      <c r="S1388" s="3">
        <v>3100</v>
      </c>
      <c r="T1388" s="2">
        <v>4666.623046875</v>
      </c>
      <c r="U1388" s="2">
        <v>5012.5460292514454</v>
      </c>
      <c r="V1388" s="2">
        <v>4386.4714625332317</v>
      </c>
      <c r="W1388" s="2">
        <v>4825.2734375</v>
      </c>
      <c r="X1388" s="4">
        <f t="shared" si="84"/>
        <v>0.66429192348756605</v>
      </c>
      <c r="Y1388" s="4">
        <f t="shared" si="85"/>
        <v>0.6184481861931036</v>
      </c>
      <c r="Z1388" s="4">
        <f t="shared" si="86"/>
        <v>0.70671837865091647</v>
      </c>
      <c r="AA1388" s="4">
        <f t="shared" si="87"/>
        <v>0.64245063832198623</v>
      </c>
    </row>
    <row r="1389" spans="1:27" x14ac:dyDescent="0.3">
      <c r="A1389" t="s">
        <v>461</v>
      </c>
      <c r="B1389">
        <v>130804</v>
      </c>
      <c r="C1389">
        <v>2018</v>
      </c>
      <c r="D1389" t="s">
        <v>20</v>
      </c>
      <c r="E1389" t="s">
        <v>390</v>
      </c>
      <c r="F1389">
        <v>8</v>
      </c>
      <c r="G1389" t="s">
        <v>36</v>
      </c>
      <c r="H1389">
        <v>4</v>
      </c>
      <c r="I1389" t="s">
        <v>23</v>
      </c>
      <c r="J1389" t="s">
        <v>24</v>
      </c>
      <c r="K1389" t="s">
        <v>27</v>
      </c>
      <c r="L1389" t="s">
        <v>166</v>
      </c>
      <c r="M1389" t="s">
        <v>78</v>
      </c>
      <c r="N1389">
        <v>0</v>
      </c>
      <c r="O1389" t="s">
        <v>27</v>
      </c>
      <c r="S1389" s="3">
        <v>19250</v>
      </c>
      <c r="T1389" s="2">
        <v>20540.779296875</v>
      </c>
      <c r="U1389" s="2">
        <v>17844.667060030959</v>
      </c>
      <c r="V1389" s="2">
        <v>14072.70353893985</v>
      </c>
      <c r="W1389" s="2">
        <v>21962.96484375</v>
      </c>
      <c r="X1389" s="4">
        <f t="shared" si="84"/>
        <v>0.93716015939709874</v>
      </c>
      <c r="Y1389" s="4">
        <f t="shared" si="85"/>
        <v>1.0787536654643868</v>
      </c>
      <c r="Z1389" s="4">
        <f t="shared" si="86"/>
        <v>1.3678963638176787</v>
      </c>
      <c r="AA1389" s="4">
        <f t="shared" si="87"/>
        <v>0.87647547300418194</v>
      </c>
    </row>
    <row r="1390" spans="1:27" x14ac:dyDescent="0.3">
      <c r="A1390" t="s">
        <v>461</v>
      </c>
      <c r="B1390">
        <v>210959</v>
      </c>
      <c r="C1390">
        <v>2016</v>
      </c>
      <c r="D1390" t="s">
        <v>34</v>
      </c>
      <c r="E1390" t="s">
        <v>262</v>
      </c>
      <c r="F1390">
        <v>8</v>
      </c>
      <c r="G1390" t="s">
        <v>22</v>
      </c>
      <c r="H1390">
        <v>4</v>
      </c>
      <c r="I1390" t="s">
        <v>23</v>
      </c>
      <c r="J1390" t="s">
        <v>46</v>
      </c>
      <c r="K1390" t="s">
        <v>27</v>
      </c>
      <c r="L1390" t="s">
        <v>354</v>
      </c>
      <c r="M1390">
        <v>4</v>
      </c>
      <c r="N1390">
        <v>0</v>
      </c>
      <c r="O1390" t="s">
        <v>27</v>
      </c>
      <c r="S1390" s="3">
        <v>12300</v>
      </c>
      <c r="T1390" s="2">
        <v>11236.4775390625</v>
      </c>
      <c r="U1390" s="2">
        <v>11383.224096446729</v>
      </c>
      <c r="V1390" s="2">
        <v>13681.62465511811</v>
      </c>
      <c r="W1390" s="2">
        <v>11537.7216796875</v>
      </c>
      <c r="X1390" s="4">
        <f t="shared" si="84"/>
        <v>1.0946490977479615</v>
      </c>
      <c r="Y1390" s="4">
        <f t="shared" si="85"/>
        <v>1.0805374554507314</v>
      </c>
      <c r="Z1390" s="4">
        <f t="shared" si="86"/>
        <v>0.89901603866897029</v>
      </c>
      <c r="AA1390" s="4">
        <f t="shared" si="87"/>
        <v>1.0660683574690932</v>
      </c>
    </row>
    <row r="1391" spans="1:27" x14ac:dyDescent="0.3">
      <c r="A1391" t="s">
        <v>461</v>
      </c>
      <c r="B1391">
        <v>106478</v>
      </c>
      <c r="C1391">
        <v>2019</v>
      </c>
      <c r="D1391" t="s">
        <v>187</v>
      </c>
      <c r="E1391" t="s">
        <v>552</v>
      </c>
      <c r="F1391">
        <v>4</v>
      </c>
      <c r="G1391" t="s">
        <v>66</v>
      </c>
      <c r="H1391">
        <v>4</v>
      </c>
      <c r="I1391" t="s">
        <v>337</v>
      </c>
      <c r="J1391" t="s">
        <v>31</v>
      </c>
      <c r="K1391" t="s">
        <v>27</v>
      </c>
      <c r="L1391" t="s">
        <v>102</v>
      </c>
      <c r="M1391" t="s">
        <v>23</v>
      </c>
      <c r="N1391">
        <v>0</v>
      </c>
      <c r="O1391" t="s">
        <v>27</v>
      </c>
      <c r="S1391" s="3">
        <v>18700</v>
      </c>
      <c r="T1391" s="2">
        <v>10917.48046875</v>
      </c>
      <c r="U1391" s="2">
        <v>11429.598576747439</v>
      </c>
      <c r="V1391" s="2">
        <v>13249.18504527599</v>
      </c>
      <c r="W1391" s="2">
        <v>12614.7001953125</v>
      </c>
      <c r="X1391" s="4">
        <f t="shared" si="84"/>
        <v>1.7128494118699404</v>
      </c>
      <c r="Y1391" s="4">
        <f t="shared" si="85"/>
        <v>1.6361029544855217</v>
      </c>
      <c r="Z1391" s="4">
        <f t="shared" si="86"/>
        <v>1.4114075647745219</v>
      </c>
      <c r="AA1391" s="4">
        <f t="shared" si="87"/>
        <v>1.482397497401384</v>
      </c>
    </row>
    <row r="1392" spans="1:27" x14ac:dyDescent="0.3">
      <c r="A1392" t="s">
        <v>461</v>
      </c>
      <c r="B1392">
        <v>81484</v>
      </c>
      <c r="C1392">
        <v>2017</v>
      </c>
      <c r="D1392" t="s">
        <v>100</v>
      </c>
      <c r="E1392" t="s">
        <v>138</v>
      </c>
      <c r="F1392">
        <v>4</v>
      </c>
      <c r="G1392" t="s">
        <v>36</v>
      </c>
      <c r="H1392">
        <v>4</v>
      </c>
      <c r="I1392" t="s">
        <v>23</v>
      </c>
      <c r="J1392" t="s">
        <v>24</v>
      </c>
      <c r="K1392" t="s">
        <v>27</v>
      </c>
      <c r="L1392" t="s">
        <v>102</v>
      </c>
      <c r="M1392" t="s">
        <v>23</v>
      </c>
      <c r="N1392">
        <v>0</v>
      </c>
      <c r="O1392" t="s">
        <v>27</v>
      </c>
      <c r="S1392" s="3">
        <v>6000</v>
      </c>
      <c r="T1392" s="2">
        <v>9150.83984375</v>
      </c>
      <c r="U1392" s="2">
        <v>9858.4787314001078</v>
      </c>
      <c r="V1392" s="2">
        <v>12088.72193175605</v>
      </c>
      <c r="W1392" s="2">
        <v>10772.830078125</v>
      </c>
      <c r="X1392" s="4">
        <f t="shared" si="84"/>
        <v>0.65567752276835933</v>
      </c>
      <c r="Y1392" s="4">
        <f t="shared" si="85"/>
        <v>0.60861317080184807</v>
      </c>
      <c r="Z1392" s="4">
        <f t="shared" si="86"/>
        <v>0.49633038412758151</v>
      </c>
      <c r="AA1392" s="4">
        <f t="shared" si="87"/>
        <v>0.5569567102133568</v>
      </c>
    </row>
    <row r="1393" spans="1:27" x14ac:dyDescent="0.3">
      <c r="A1393" t="s">
        <v>461</v>
      </c>
      <c r="B1393">
        <v>259141</v>
      </c>
      <c r="C1393">
        <v>2007</v>
      </c>
      <c r="D1393" t="s">
        <v>396</v>
      </c>
      <c r="E1393" t="s">
        <v>397</v>
      </c>
      <c r="F1393">
        <v>6</v>
      </c>
      <c r="G1393" t="s">
        <v>30</v>
      </c>
      <c r="H1393">
        <v>4</v>
      </c>
      <c r="I1393" t="s">
        <v>23</v>
      </c>
      <c r="J1393" t="s">
        <v>24</v>
      </c>
      <c r="K1393" t="s">
        <v>27</v>
      </c>
      <c r="L1393" t="s">
        <v>57</v>
      </c>
      <c r="M1393" t="s">
        <v>23</v>
      </c>
      <c r="N1393">
        <v>0</v>
      </c>
      <c r="O1393" t="s">
        <v>27</v>
      </c>
      <c r="S1393" s="3">
        <v>900</v>
      </c>
      <c r="T1393" s="2">
        <v>1777.930053710938</v>
      </c>
      <c r="U1393" s="2">
        <v>2048.6659724090082</v>
      </c>
      <c r="V1393" s="2">
        <v>1530.4753249900241</v>
      </c>
      <c r="W1393" s="2">
        <v>1614.180419921875</v>
      </c>
      <c r="X1393" s="4">
        <f t="shared" si="84"/>
        <v>0.50620664076266586</v>
      </c>
      <c r="Y1393" s="4">
        <f t="shared" si="85"/>
        <v>0.43931026927815764</v>
      </c>
      <c r="Z1393" s="4">
        <f t="shared" si="86"/>
        <v>0.58805260385747571</v>
      </c>
      <c r="AA1393" s="4">
        <f t="shared" si="87"/>
        <v>0.55755849153687498</v>
      </c>
    </row>
    <row r="1394" spans="1:27" x14ac:dyDescent="0.3">
      <c r="A1394" t="s">
        <v>461</v>
      </c>
      <c r="B1394">
        <v>219640</v>
      </c>
      <c r="C1394">
        <v>2010</v>
      </c>
      <c r="D1394" t="s">
        <v>50</v>
      </c>
      <c r="E1394" t="s">
        <v>51</v>
      </c>
      <c r="F1394">
        <v>6</v>
      </c>
      <c r="G1394" t="s">
        <v>36</v>
      </c>
      <c r="H1394">
        <v>4</v>
      </c>
      <c r="I1394" t="s">
        <v>23</v>
      </c>
      <c r="J1394" t="s">
        <v>31</v>
      </c>
      <c r="K1394" t="s">
        <v>27</v>
      </c>
      <c r="L1394" t="s">
        <v>53</v>
      </c>
      <c r="M1394" t="s">
        <v>78</v>
      </c>
      <c r="N1394">
        <v>0</v>
      </c>
      <c r="O1394" t="s">
        <v>27</v>
      </c>
      <c r="S1394" s="3">
        <v>2300</v>
      </c>
      <c r="T1394" s="2">
        <v>1548.3955078125</v>
      </c>
      <c r="U1394" s="2">
        <v>1870.7562507299299</v>
      </c>
      <c r="V1394" s="2">
        <v>1510.863402501245</v>
      </c>
      <c r="W1394" s="2">
        <v>2391.7509765625</v>
      </c>
      <c r="X1394" s="4">
        <f t="shared" si="84"/>
        <v>1.4854085977356852</v>
      </c>
      <c r="Y1394" s="4">
        <f t="shared" si="85"/>
        <v>1.2294493198152288</v>
      </c>
      <c r="Z1394" s="4">
        <f t="shared" si="86"/>
        <v>1.522308367647488</v>
      </c>
      <c r="AA1394" s="4">
        <f t="shared" si="87"/>
        <v>0.96163857464192726</v>
      </c>
    </row>
    <row r="1395" spans="1:27" x14ac:dyDescent="0.3">
      <c r="A1395" t="s">
        <v>461</v>
      </c>
      <c r="B1395">
        <v>307021</v>
      </c>
      <c r="C1395">
        <v>2004</v>
      </c>
      <c r="D1395" t="s">
        <v>20</v>
      </c>
      <c r="E1395" t="s">
        <v>390</v>
      </c>
      <c r="F1395">
        <v>8</v>
      </c>
      <c r="G1395" t="s">
        <v>22</v>
      </c>
      <c r="H1395">
        <v>4</v>
      </c>
      <c r="I1395" t="s">
        <v>23</v>
      </c>
      <c r="J1395" t="s">
        <v>24</v>
      </c>
      <c r="K1395" t="s">
        <v>27</v>
      </c>
      <c r="L1395" t="s">
        <v>43</v>
      </c>
      <c r="M1395" t="s">
        <v>78</v>
      </c>
      <c r="N1395">
        <v>0</v>
      </c>
      <c r="O1395" t="s">
        <v>27</v>
      </c>
      <c r="S1395" s="3">
        <v>1500</v>
      </c>
      <c r="T1395" s="2">
        <v>1929.569091796875</v>
      </c>
      <c r="U1395" s="2">
        <v>3854.3582303590078</v>
      </c>
      <c r="V1395" s="2">
        <v>466.89937221943001</v>
      </c>
      <c r="W1395" s="2">
        <v>3946.348876953125</v>
      </c>
      <c r="X1395" s="4">
        <f t="shared" si="84"/>
        <v>0.77737563603029791</v>
      </c>
      <c r="Y1395" s="4">
        <f t="shared" si="85"/>
        <v>0.38916984627562368</v>
      </c>
      <c r="Z1395" s="4">
        <f t="shared" si="86"/>
        <v>3.2126836942822892</v>
      </c>
      <c r="AA1395" s="4">
        <f t="shared" si="87"/>
        <v>0.38009817346866492</v>
      </c>
    </row>
    <row r="1396" spans="1:27" x14ac:dyDescent="0.3">
      <c r="A1396" t="s">
        <v>461</v>
      </c>
      <c r="B1396">
        <v>144908</v>
      </c>
      <c r="C1396">
        <v>2016</v>
      </c>
      <c r="D1396" t="s">
        <v>34</v>
      </c>
      <c r="E1396" t="s">
        <v>116</v>
      </c>
      <c r="F1396">
        <v>4</v>
      </c>
      <c r="G1396" t="s">
        <v>30</v>
      </c>
      <c r="H1396">
        <v>4</v>
      </c>
      <c r="I1396" t="s">
        <v>23</v>
      </c>
      <c r="J1396" t="s">
        <v>37</v>
      </c>
      <c r="L1396" t="s">
        <v>128</v>
      </c>
      <c r="M1396" t="s">
        <v>33</v>
      </c>
      <c r="N1396">
        <v>0</v>
      </c>
      <c r="O1396" t="s">
        <v>27</v>
      </c>
      <c r="S1396" s="3">
        <v>7750</v>
      </c>
      <c r="T1396" s="2">
        <v>6403.92822265625</v>
      </c>
      <c r="U1396" s="2">
        <v>5409.5346700262971</v>
      </c>
      <c r="V1396" s="2">
        <v>5355.0829627359208</v>
      </c>
      <c r="W1396" s="2">
        <v>6564.685546875</v>
      </c>
      <c r="X1396" s="4">
        <f t="shared" si="84"/>
        <v>1.2101947008996019</v>
      </c>
      <c r="Y1396" s="4">
        <f t="shared" si="85"/>
        <v>1.43265557441419</v>
      </c>
      <c r="Z1396" s="4">
        <f t="shared" si="86"/>
        <v>1.4472231436803944</v>
      </c>
      <c r="AA1396" s="4">
        <f t="shared" si="87"/>
        <v>1.1805592125717654</v>
      </c>
    </row>
    <row r="1397" spans="1:27" x14ac:dyDescent="0.3">
      <c r="A1397" t="s">
        <v>461</v>
      </c>
      <c r="B1397">
        <v>68165</v>
      </c>
      <c r="C1397">
        <v>2019</v>
      </c>
      <c r="D1397" t="s">
        <v>44</v>
      </c>
      <c r="E1397" t="s">
        <v>45</v>
      </c>
      <c r="F1397">
        <v>6</v>
      </c>
      <c r="G1397" t="s">
        <v>59</v>
      </c>
      <c r="H1397">
        <v>4</v>
      </c>
      <c r="I1397" t="s">
        <v>23</v>
      </c>
      <c r="J1397" t="s">
        <v>46</v>
      </c>
      <c r="K1397" t="s">
        <v>27</v>
      </c>
      <c r="L1397" t="s">
        <v>38</v>
      </c>
      <c r="M1397">
        <v>4</v>
      </c>
      <c r="N1397">
        <v>0</v>
      </c>
      <c r="O1397" t="s">
        <v>27</v>
      </c>
      <c r="S1397" s="3">
        <v>25500</v>
      </c>
      <c r="T1397" s="2">
        <v>24694.455078125</v>
      </c>
      <c r="U1397" s="2">
        <v>25596.381817987422</v>
      </c>
      <c r="V1397" s="2">
        <v>31177.054007381561</v>
      </c>
      <c r="W1397" s="2">
        <v>23558.970703125</v>
      </c>
      <c r="X1397" s="4">
        <f t="shared" si="84"/>
        <v>1.0326204777277541</v>
      </c>
      <c r="Y1397" s="4">
        <f t="shared" si="85"/>
        <v>0.99623455304453656</v>
      </c>
      <c r="Z1397" s="4">
        <f t="shared" si="86"/>
        <v>0.8179092224031993</v>
      </c>
      <c r="AA1397" s="4">
        <f t="shared" si="87"/>
        <v>1.0823902419734124</v>
      </c>
    </row>
    <row r="1398" spans="1:27" x14ac:dyDescent="0.3">
      <c r="A1398" t="s">
        <v>461</v>
      </c>
      <c r="B1398">
        <v>159925</v>
      </c>
      <c r="C1398">
        <v>2012</v>
      </c>
      <c r="D1398" t="s">
        <v>81</v>
      </c>
      <c r="E1398" t="s">
        <v>201</v>
      </c>
      <c r="F1398">
        <v>6</v>
      </c>
      <c r="G1398" t="s">
        <v>30</v>
      </c>
      <c r="H1398">
        <v>4</v>
      </c>
      <c r="I1398" t="s">
        <v>23</v>
      </c>
      <c r="J1398" t="s">
        <v>31</v>
      </c>
      <c r="L1398" t="s">
        <v>26</v>
      </c>
      <c r="M1398" t="s">
        <v>33</v>
      </c>
      <c r="N1398">
        <v>0</v>
      </c>
      <c r="O1398" t="s">
        <v>27</v>
      </c>
      <c r="S1398" s="3">
        <v>1250</v>
      </c>
      <c r="T1398" s="2">
        <v>3599.816650390625</v>
      </c>
      <c r="U1398" s="2">
        <v>3303.9855047337078</v>
      </c>
      <c r="V1398" s="2">
        <v>2280.079241014429</v>
      </c>
      <c r="W1398" s="2">
        <v>3792.7353515625</v>
      </c>
      <c r="X1398" s="4">
        <f t="shared" si="84"/>
        <v>0.34723990730593446</v>
      </c>
      <c r="Y1398" s="4">
        <f t="shared" si="85"/>
        <v>0.37833095762953312</v>
      </c>
      <c r="Z1398" s="4">
        <f t="shared" si="86"/>
        <v>0.54822656051368768</v>
      </c>
      <c r="AA1398" s="4">
        <f t="shared" si="87"/>
        <v>0.32957743795254135</v>
      </c>
    </row>
    <row r="1399" spans="1:27" x14ac:dyDescent="0.3">
      <c r="A1399" t="s">
        <v>461</v>
      </c>
      <c r="B1399">
        <v>158909</v>
      </c>
      <c r="C1399">
        <v>2002</v>
      </c>
      <c r="D1399" t="s">
        <v>81</v>
      </c>
      <c r="E1399" t="s">
        <v>377</v>
      </c>
      <c r="F1399">
        <v>8</v>
      </c>
      <c r="G1399" t="s">
        <v>59</v>
      </c>
      <c r="H1399">
        <v>4</v>
      </c>
      <c r="I1399" t="s">
        <v>23</v>
      </c>
      <c r="J1399" t="s">
        <v>94</v>
      </c>
      <c r="L1399" t="s">
        <v>77</v>
      </c>
      <c r="M1399" t="s">
        <v>78</v>
      </c>
      <c r="N1399">
        <v>0</v>
      </c>
      <c r="O1399" t="s">
        <v>27</v>
      </c>
      <c r="S1399" s="3">
        <v>1300</v>
      </c>
      <c r="T1399" s="2">
        <v>3176.500732421875</v>
      </c>
      <c r="U1399" s="2">
        <v>12676.56100670506</v>
      </c>
      <c r="V1399" s="2">
        <v>2433.2141171136191</v>
      </c>
      <c r="W1399" s="2">
        <v>4823.79833984375</v>
      </c>
      <c r="X1399" s="4">
        <f t="shared" si="84"/>
        <v>0.40925537549265245</v>
      </c>
      <c r="Y1399" s="4">
        <f t="shared" si="85"/>
        <v>0.10255147269929014</v>
      </c>
      <c r="Z1399" s="4">
        <f t="shared" si="86"/>
        <v>0.53427275094972515</v>
      </c>
      <c r="AA1399" s="4">
        <f t="shared" si="87"/>
        <v>0.26949716974323368</v>
      </c>
    </row>
    <row r="1400" spans="1:27" x14ac:dyDescent="0.3">
      <c r="A1400" t="s">
        <v>461</v>
      </c>
      <c r="B1400">
        <v>146748</v>
      </c>
      <c r="C1400">
        <v>2016</v>
      </c>
      <c r="D1400" t="s">
        <v>44</v>
      </c>
      <c r="E1400" t="s">
        <v>45</v>
      </c>
      <c r="F1400">
        <v>8</v>
      </c>
      <c r="G1400" t="s">
        <v>47</v>
      </c>
      <c r="H1400">
        <v>4</v>
      </c>
      <c r="I1400" t="s">
        <v>23</v>
      </c>
      <c r="J1400" t="s">
        <v>46</v>
      </c>
      <c r="K1400" t="s">
        <v>27</v>
      </c>
      <c r="L1400" t="s">
        <v>48</v>
      </c>
      <c r="M1400">
        <v>4</v>
      </c>
      <c r="N1400">
        <v>0</v>
      </c>
      <c r="O1400" t="s">
        <v>27</v>
      </c>
      <c r="S1400" s="3">
        <v>19000</v>
      </c>
      <c r="T1400" s="2">
        <v>11355.7275390625</v>
      </c>
      <c r="U1400" s="2">
        <v>18519.243203364389</v>
      </c>
      <c r="V1400" s="2">
        <v>11249.61694225748</v>
      </c>
      <c r="W1400" s="2">
        <v>12886.0830078125</v>
      </c>
      <c r="X1400" s="4">
        <f t="shared" si="84"/>
        <v>1.6731644832655603</v>
      </c>
      <c r="Y1400" s="4">
        <f t="shared" si="85"/>
        <v>1.0259598511319443</v>
      </c>
      <c r="Z1400" s="4">
        <f t="shared" si="86"/>
        <v>1.6889463967994662</v>
      </c>
      <c r="AA1400" s="4">
        <f t="shared" si="87"/>
        <v>1.4744589173048777</v>
      </c>
    </row>
    <row r="1401" spans="1:27" x14ac:dyDescent="0.3">
      <c r="A1401" t="s">
        <v>461</v>
      </c>
      <c r="B1401">
        <v>185099</v>
      </c>
      <c r="C1401">
        <v>2015</v>
      </c>
      <c r="D1401" t="s">
        <v>44</v>
      </c>
      <c r="E1401" t="s">
        <v>68</v>
      </c>
      <c r="F1401">
        <v>6</v>
      </c>
      <c r="G1401" t="s">
        <v>47</v>
      </c>
      <c r="H1401">
        <v>4</v>
      </c>
      <c r="I1401" t="s">
        <v>23</v>
      </c>
      <c r="J1401" t="s">
        <v>62</v>
      </c>
      <c r="K1401" t="s">
        <v>27</v>
      </c>
      <c r="L1401" t="s">
        <v>38</v>
      </c>
      <c r="M1401" t="s">
        <v>33</v>
      </c>
      <c r="N1401">
        <v>0</v>
      </c>
      <c r="O1401" t="s">
        <v>27</v>
      </c>
      <c r="S1401" s="3">
        <v>4200</v>
      </c>
      <c r="T1401" s="2">
        <v>4868.54150390625</v>
      </c>
      <c r="U1401" s="2">
        <v>5579.0841241392782</v>
      </c>
      <c r="V1401" s="2">
        <v>5010.8917155713334</v>
      </c>
      <c r="W1401" s="2">
        <v>5007.6396484375</v>
      </c>
      <c r="X1401" s="4">
        <f t="shared" si="84"/>
        <v>0.86268135880738639</v>
      </c>
      <c r="Y1401" s="4">
        <f t="shared" si="85"/>
        <v>0.75281173514263178</v>
      </c>
      <c r="Z1401" s="4">
        <f t="shared" si="86"/>
        <v>0.83817416907024966</v>
      </c>
      <c r="AA1401" s="4">
        <f t="shared" si="87"/>
        <v>0.83871849710881208</v>
      </c>
    </row>
    <row r="1402" spans="1:27" x14ac:dyDescent="0.3">
      <c r="A1402" t="s">
        <v>461</v>
      </c>
      <c r="B1402">
        <v>183800</v>
      </c>
      <c r="C1402">
        <v>2014</v>
      </c>
      <c r="D1402" t="s">
        <v>40</v>
      </c>
      <c r="E1402" t="s">
        <v>229</v>
      </c>
      <c r="F1402">
        <v>4</v>
      </c>
      <c r="G1402" t="s">
        <v>30</v>
      </c>
      <c r="H1402">
        <v>4</v>
      </c>
      <c r="I1402" t="s">
        <v>23</v>
      </c>
      <c r="J1402" t="s">
        <v>31</v>
      </c>
      <c r="K1402" t="s">
        <v>27</v>
      </c>
      <c r="L1402" t="s">
        <v>102</v>
      </c>
      <c r="M1402" t="s">
        <v>33</v>
      </c>
      <c r="N1402">
        <v>0</v>
      </c>
      <c r="O1402" t="s">
        <v>27</v>
      </c>
      <c r="S1402" s="3">
        <v>2500</v>
      </c>
      <c r="T1402" s="2">
        <v>3908.19287109375</v>
      </c>
      <c r="U1402" s="2">
        <v>3468.6815298248171</v>
      </c>
      <c r="V1402" s="2">
        <v>2867.1362355865749</v>
      </c>
      <c r="W1402" s="2">
        <v>3849.933837890625</v>
      </c>
      <c r="X1402" s="4">
        <f t="shared" si="84"/>
        <v>0.63968183824570257</v>
      </c>
      <c r="Y1402" s="4">
        <f t="shared" si="85"/>
        <v>0.72073494741567135</v>
      </c>
      <c r="Z1402" s="4">
        <f t="shared" si="86"/>
        <v>0.87195019510069982</v>
      </c>
      <c r="AA1402" s="4">
        <f t="shared" si="87"/>
        <v>0.64936180860961168</v>
      </c>
    </row>
    <row r="1403" spans="1:27" x14ac:dyDescent="0.3">
      <c r="A1403" t="s">
        <v>461</v>
      </c>
      <c r="B1403">
        <v>139839</v>
      </c>
      <c r="C1403">
        <v>2008</v>
      </c>
      <c r="D1403" t="s">
        <v>40</v>
      </c>
      <c r="E1403" t="s">
        <v>172</v>
      </c>
      <c r="F1403">
        <v>6</v>
      </c>
      <c r="G1403" t="s">
        <v>99</v>
      </c>
      <c r="H1403">
        <v>4</v>
      </c>
      <c r="I1403" t="s">
        <v>23</v>
      </c>
      <c r="J1403" t="s">
        <v>31</v>
      </c>
      <c r="L1403" t="s">
        <v>53</v>
      </c>
      <c r="M1403" t="s">
        <v>33</v>
      </c>
      <c r="N1403">
        <v>0</v>
      </c>
      <c r="O1403" t="s">
        <v>27</v>
      </c>
      <c r="S1403" s="3">
        <v>300</v>
      </c>
      <c r="T1403" s="2">
        <v>3487.3408203125</v>
      </c>
      <c r="U1403" s="2">
        <v>3455.964158089449</v>
      </c>
      <c r="V1403" s="2">
        <v>2569.9742360874011</v>
      </c>
      <c r="W1403" s="2">
        <v>3275.932373046875</v>
      </c>
      <c r="X1403" s="4">
        <f t="shared" si="84"/>
        <v>8.6025431828345655E-2</v>
      </c>
      <c r="Y1403" s="4">
        <f t="shared" si="85"/>
        <v>8.6806455818641409E-2</v>
      </c>
      <c r="Z1403" s="4">
        <f t="shared" si="86"/>
        <v>0.11673268773959702</v>
      </c>
      <c r="AA1403" s="4">
        <f t="shared" si="87"/>
        <v>9.1576982012292391E-2</v>
      </c>
    </row>
    <row r="1404" spans="1:27" x14ac:dyDescent="0.3">
      <c r="A1404" t="s">
        <v>461</v>
      </c>
      <c r="B1404">
        <v>234847</v>
      </c>
      <c r="C1404">
        <v>2012</v>
      </c>
      <c r="D1404" t="s">
        <v>40</v>
      </c>
      <c r="E1404" t="s">
        <v>41</v>
      </c>
      <c r="F1404">
        <v>8</v>
      </c>
      <c r="G1404" t="s">
        <v>30</v>
      </c>
      <c r="H1404">
        <v>2</v>
      </c>
      <c r="I1404" t="s">
        <v>23</v>
      </c>
      <c r="J1404" t="s">
        <v>49</v>
      </c>
      <c r="K1404" t="s">
        <v>27</v>
      </c>
      <c r="L1404" t="s">
        <v>334</v>
      </c>
      <c r="M1404">
        <v>4</v>
      </c>
      <c r="N1404">
        <v>0</v>
      </c>
      <c r="O1404" t="s">
        <v>27</v>
      </c>
      <c r="S1404" s="3">
        <v>4400</v>
      </c>
      <c r="T1404" s="2">
        <v>3551.076904296875</v>
      </c>
      <c r="U1404" s="2">
        <v>10335.93467583265</v>
      </c>
      <c r="V1404" s="2">
        <v>3084.5447304355839</v>
      </c>
      <c r="W1404" s="2">
        <v>5755.171875</v>
      </c>
      <c r="X1404" s="4">
        <f t="shared" si="84"/>
        <v>1.2390607465233745</v>
      </c>
      <c r="Y1404" s="4">
        <f t="shared" si="85"/>
        <v>0.42569928487338676</v>
      </c>
      <c r="Z1404" s="4">
        <f t="shared" si="86"/>
        <v>1.4264665889214239</v>
      </c>
      <c r="AA1404" s="4">
        <f t="shared" si="87"/>
        <v>0.76452973005258862</v>
      </c>
    </row>
    <row r="1405" spans="1:27" x14ac:dyDescent="0.3">
      <c r="A1405" t="s">
        <v>461</v>
      </c>
      <c r="B1405">
        <v>93695</v>
      </c>
      <c r="C1405">
        <v>2013</v>
      </c>
      <c r="D1405" t="s">
        <v>239</v>
      </c>
      <c r="E1405" t="s">
        <v>438</v>
      </c>
      <c r="F1405">
        <v>6</v>
      </c>
      <c r="G1405" t="s">
        <v>36</v>
      </c>
      <c r="H1405">
        <v>4</v>
      </c>
      <c r="I1405" t="s">
        <v>23</v>
      </c>
      <c r="J1405" t="s">
        <v>31</v>
      </c>
      <c r="K1405" t="s">
        <v>27</v>
      </c>
      <c r="L1405" t="s">
        <v>218</v>
      </c>
      <c r="M1405" t="s">
        <v>78</v>
      </c>
      <c r="N1405">
        <v>0</v>
      </c>
      <c r="O1405" t="s">
        <v>27</v>
      </c>
      <c r="S1405" s="3">
        <v>7000</v>
      </c>
      <c r="T1405" s="2">
        <v>5679.5966796875</v>
      </c>
      <c r="U1405" s="2">
        <v>12220.422760531041</v>
      </c>
      <c r="V1405" s="2">
        <v>7999.9628000236416</v>
      </c>
      <c r="W1405" s="2">
        <v>7382.9619140625</v>
      </c>
      <c r="X1405" s="4">
        <f t="shared" si="84"/>
        <v>1.2324818811580034</v>
      </c>
      <c r="Y1405" s="4">
        <f t="shared" si="85"/>
        <v>0.57281160702625433</v>
      </c>
      <c r="Z1405" s="4">
        <f t="shared" si="86"/>
        <v>0.87500406876633396</v>
      </c>
      <c r="AA1405" s="4">
        <f t="shared" si="87"/>
        <v>0.94812895982396128</v>
      </c>
    </row>
    <row r="1406" spans="1:27" x14ac:dyDescent="0.3">
      <c r="A1406" t="s">
        <v>461</v>
      </c>
      <c r="B1406">
        <v>197532</v>
      </c>
      <c r="C1406">
        <v>2013</v>
      </c>
      <c r="D1406" t="s">
        <v>340</v>
      </c>
      <c r="E1406" t="s">
        <v>512</v>
      </c>
      <c r="F1406">
        <v>6</v>
      </c>
      <c r="G1406" t="s">
        <v>22</v>
      </c>
      <c r="H1406">
        <v>4</v>
      </c>
      <c r="I1406" t="s">
        <v>23</v>
      </c>
      <c r="J1406" t="s">
        <v>24</v>
      </c>
      <c r="K1406" t="s">
        <v>27</v>
      </c>
      <c r="L1406" t="s">
        <v>57</v>
      </c>
      <c r="M1406" t="s">
        <v>33</v>
      </c>
      <c r="N1406">
        <v>0</v>
      </c>
      <c r="O1406" t="s">
        <v>27</v>
      </c>
      <c r="S1406" s="3">
        <v>500</v>
      </c>
      <c r="T1406" s="2">
        <v>2648.09765625</v>
      </c>
      <c r="U1406" s="2">
        <v>2637.7182752596282</v>
      </c>
      <c r="V1406" s="2">
        <v>2069.6234962585131</v>
      </c>
      <c r="W1406" s="2">
        <v>2793.302490234375</v>
      </c>
      <c r="X1406" s="4">
        <f t="shared" si="84"/>
        <v>0.18881478891834202</v>
      </c>
      <c r="Y1406" s="4">
        <f t="shared" si="85"/>
        <v>0.1895577722191675</v>
      </c>
      <c r="Z1406" s="4">
        <f t="shared" si="86"/>
        <v>0.24158983549612054</v>
      </c>
      <c r="AA1406" s="4">
        <f t="shared" si="87"/>
        <v>0.17899958982174072</v>
      </c>
    </row>
    <row r="1407" spans="1:27" x14ac:dyDescent="0.3">
      <c r="A1407" t="s">
        <v>461</v>
      </c>
      <c r="B1407">
        <v>141803</v>
      </c>
      <c r="C1407">
        <v>2022</v>
      </c>
      <c r="D1407" t="s">
        <v>40</v>
      </c>
      <c r="E1407" t="s">
        <v>553</v>
      </c>
      <c r="F1407">
        <v>8</v>
      </c>
      <c r="G1407" t="s">
        <v>47</v>
      </c>
      <c r="H1407">
        <v>4</v>
      </c>
      <c r="I1407" t="s">
        <v>23</v>
      </c>
      <c r="J1407" t="s">
        <v>42</v>
      </c>
      <c r="K1407" t="s">
        <v>27</v>
      </c>
      <c r="L1407" t="s">
        <v>43</v>
      </c>
      <c r="M1407" t="s">
        <v>78</v>
      </c>
      <c r="N1407">
        <v>0</v>
      </c>
      <c r="O1407" t="s">
        <v>27</v>
      </c>
      <c r="S1407" s="3">
        <v>13250</v>
      </c>
      <c r="T1407" s="2">
        <v>34928.51171875</v>
      </c>
      <c r="U1407" s="2">
        <v>45179.487154130817</v>
      </c>
      <c r="V1407" s="2">
        <v>21278.194901611059</v>
      </c>
      <c r="W1407" s="2">
        <v>24382.1484375</v>
      </c>
      <c r="X1407" s="4">
        <f t="shared" si="84"/>
        <v>0.37934625175819497</v>
      </c>
      <c r="Y1407" s="4">
        <f t="shared" si="85"/>
        <v>0.2932746880193069</v>
      </c>
      <c r="Z1407" s="4">
        <f t="shared" si="86"/>
        <v>0.62270319739372193</v>
      </c>
      <c r="AA1407" s="4">
        <f t="shared" si="87"/>
        <v>0.543430372182517</v>
      </c>
    </row>
    <row r="1408" spans="1:27" x14ac:dyDescent="0.3">
      <c r="A1408" t="s">
        <v>461</v>
      </c>
      <c r="B1408">
        <v>139150</v>
      </c>
      <c r="C1408">
        <v>2019</v>
      </c>
      <c r="D1408" t="s">
        <v>28</v>
      </c>
      <c r="E1408" t="s">
        <v>137</v>
      </c>
      <c r="F1408">
        <v>4</v>
      </c>
      <c r="G1408" t="s">
        <v>30</v>
      </c>
      <c r="H1408">
        <v>4</v>
      </c>
      <c r="I1408" t="s">
        <v>23</v>
      </c>
      <c r="J1408" t="s">
        <v>31</v>
      </c>
      <c r="K1408" t="s">
        <v>27</v>
      </c>
      <c r="L1408" t="s">
        <v>107</v>
      </c>
      <c r="M1408" t="s">
        <v>33</v>
      </c>
      <c r="N1408">
        <v>0</v>
      </c>
      <c r="O1408" t="s">
        <v>27</v>
      </c>
      <c r="S1408" s="3">
        <v>10100</v>
      </c>
      <c r="T1408" s="2">
        <v>12398.5146484375</v>
      </c>
      <c r="U1408" s="2">
        <v>11164.62287706206</v>
      </c>
      <c r="V1408" s="2">
        <v>11861.996279964929</v>
      </c>
      <c r="W1408" s="2">
        <v>13582.583984375</v>
      </c>
      <c r="X1408" s="4">
        <f t="shared" si="84"/>
        <v>0.81461370868911576</v>
      </c>
      <c r="Y1408" s="4">
        <f t="shared" si="85"/>
        <v>0.9046431851048593</v>
      </c>
      <c r="Z1408" s="4">
        <f t="shared" si="86"/>
        <v>0.85145870573733318</v>
      </c>
      <c r="AA1408" s="4">
        <f t="shared" si="87"/>
        <v>0.743599304198578</v>
      </c>
    </row>
    <row r="1409" spans="1:27" x14ac:dyDescent="0.3">
      <c r="A1409" t="s">
        <v>461</v>
      </c>
      <c r="B1409">
        <v>143796</v>
      </c>
      <c r="C1409">
        <v>2020</v>
      </c>
      <c r="D1409" t="s">
        <v>85</v>
      </c>
      <c r="E1409" t="s">
        <v>86</v>
      </c>
      <c r="F1409">
        <v>4</v>
      </c>
      <c r="G1409" t="s">
        <v>22</v>
      </c>
      <c r="H1409">
        <v>4</v>
      </c>
      <c r="I1409" t="s">
        <v>23</v>
      </c>
      <c r="J1409" t="s">
        <v>31</v>
      </c>
      <c r="L1409" t="s">
        <v>127</v>
      </c>
      <c r="M1409" t="s">
        <v>33</v>
      </c>
      <c r="N1409">
        <v>0</v>
      </c>
      <c r="O1409" t="s">
        <v>27</v>
      </c>
      <c r="S1409" s="3">
        <v>4500</v>
      </c>
      <c r="T1409" s="2">
        <v>9281.7314453125</v>
      </c>
      <c r="U1409" s="2">
        <v>7807.9980752394786</v>
      </c>
      <c r="V1409" s="2">
        <v>6553.6604633987654</v>
      </c>
      <c r="W1409" s="2">
        <v>8819.04296875</v>
      </c>
      <c r="X1409" s="4">
        <f t="shared" si="84"/>
        <v>0.48482333565819868</v>
      </c>
      <c r="Y1409" s="4">
        <f t="shared" si="85"/>
        <v>0.57633210928551371</v>
      </c>
      <c r="Z1409" s="4">
        <f t="shared" si="86"/>
        <v>0.68663917289152243</v>
      </c>
      <c r="AA1409" s="4">
        <f t="shared" si="87"/>
        <v>0.5102594483262648</v>
      </c>
    </row>
    <row r="1410" spans="1:27" x14ac:dyDescent="0.3">
      <c r="A1410" t="s">
        <v>461</v>
      </c>
      <c r="B1410">
        <v>71558</v>
      </c>
      <c r="C1410">
        <v>2016</v>
      </c>
      <c r="D1410" t="s">
        <v>226</v>
      </c>
      <c r="E1410" t="s">
        <v>554</v>
      </c>
      <c r="F1410">
        <v>4</v>
      </c>
      <c r="G1410" t="s">
        <v>47</v>
      </c>
      <c r="H1410">
        <v>4</v>
      </c>
      <c r="I1410" t="s">
        <v>23</v>
      </c>
      <c r="J1410" t="s">
        <v>31</v>
      </c>
      <c r="K1410" t="s">
        <v>27</v>
      </c>
      <c r="L1410" t="s">
        <v>127</v>
      </c>
      <c r="M1410" t="s">
        <v>23</v>
      </c>
      <c r="N1410">
        <v>0</v>
      </c>
      <c r="O1410" t="s">
        <v>27</v>
      </c>
      <c r="S1410" s="3">
        <v>14000</v>
      </c>
      <c r="T1410" s="2">
        <v>10501.060546875</v>
      </c>
      <c r="U1410" s="2">
        <v>12465.29069549109</v>
      </c>
      <c r="V1410" s="2">
        <v>13833.43457383752</v>
      </c>
      <c r="W1410" s="2">
        <v>13781.677734375</v>
      </c>
      <c r="X1410" s="4">
        <f t="shared" ref="X1410:X1473" si="88">S1410/T1410</f>
        <v>1.3331986743154476</v>
      </c>
      <c r="Y1410" s="4">
        <f t="shared" ref="Y1410:Y1473" si="89">S1410/U1410</f>
        <v>1.1231186132758253</v>
      </c>
      <c r="Z1410" s="4">
        <f t="shared" ref="Z1410:Z1473" si="90">S1410/V1410</f>
        <v>1.0120407860588359</v>
      </c>
      <c r="AA1410" s="4">
        <f t="shared" ref="AA1410:AA1473" si="91">S1410/W1410</f>
        <v>1.0158414867792511</v>
      </c>
    </row>
    <row r="1411" spans="1:27" x14ac:dyDescent="0.3">
      <c r="A1411" t="s">
        <v>461</v>
      </c>
      <c r="B1411">
        <v>211077</v>
      </c>
      <c r="C1411">
        <v>2015</v>
      </c>
      <c r="D1411" t="s">
        <v>20</v>
      </c>
      <c r="E1411" t="s">
        <v>151</v>
      </c>
      <c r="F1411">
        <v>8</v>
      </c>
      <c r="G1411" t="s">
        <v>22</v>
      </c>
      <c r="H1411">
        <v>4</v>
      </c>
      <c r="I1411" t="s">
        <v>23</v>
      </c>
      <c r="J1411" t="s">
        <v>42</v>
      </c>
      <c r="K1411" t="s">
        <v>27</v>
      </c>
      <c r="L1411" t="s">
        <v>43</v>
      </c>
      <c r="M1411">
        <v>4</v>
      </c>
      <c r="N1411">
        <v>0</v>
      </c>
      <c r="O1411" t="s">
        <v>27</v>
      </c>
      <c r="S1411" s="3">
        <v>8750</v>
      </c>
      <c r="T1411" s="2">
        <v>10307.94921875</v>
      </c>
      <c r="U1411" s="2">
        <v>10038.160776339941</v>
      </c>
      <c r="V1411" s="2">
        <v>8191.9808040124008</v>
      </c>
      <c r="W1411" s="2">
        <v>10694.591796875</v>
      </c>
      <c r="X1411" s="4">
        <f t="shared" si="88"/>
        <v>0.84885943986645618</v>
      </c>
      <c r="Y1411" s="4">
        <f t="shared" si="89"/>
        <v>0.87167362577254692</v>
      </c>
      <c r="Z1411" s="4">
        <f t="shared" si="90"/>
        <v>1.0681177372527879</v>
      </c>
      <c r="AA1411" s="4">
        <f t="shared" si="91"/>
        <v>0.81817054509334175</v>
      </c>
    </row>
    <row r="1412" spans="1:27" x14ac:dyDescent="0.3">
      <c r="A1412" t="s">
        <v>461</v>
      </c>
      <c r="B1412">
        <v>31200</v>
      </c>
      <c r="C1412">
        <v>2023</v>
      </c>
      <c r="D1412" t="s">
        <v>340</v>
      </c>
      <c r="E1412" t="s">
        <v>555</v>
      </c>
      <c r="F1412">
        <v>4</v>
      </c>
      <c r="G1412" t="s">
        <v>22</v>
      </c>
      <c r="H1412">
        <v>4</v>
      </c>
      <c r="I1412" t="s">
        <v>23</v>
      </c>
      <c r="J1412" t="s">
        <v>165</v>
      </c>
      <c r="K1412" t="s">
        <v>25</v>
      </c>
      <c r="L1412" t="s">
        <v>102</v>
      </c>
      <c r="M1412" t="s">
        <v>23</v>
      </c>
      <c r="N1412">
        <v>0</v>
      </c>
      <c r="S1412" s="3">
        <v>27900</v>
      </c>
      <c r="T1412" s="2">
        <v>32360.28515625</v>
      </c>
      <c r="U1412" s="2">
        <v>29532.145596565111</v>
      </c>
      <c r="V1412" s="2">
        <v>30573.16255391388</v>
      </c>
      <c r="W1412" s="2">
        <v>32020.7109375</v>
      </c>
      <c r="X1412" s="4">
        <f t="shared" si="88"/>
        <v>0.86216792791801</v>
      </c>
      <c r="Y1412" s="4">
        <f t="shared" si="89"/>
        <v>0.94473325376145556</v>
      </c>
      <c r="Z1412" s="4">
        <f t="shared" si="90"/>
        <v>0.91256506260351955</v>
      </c>
      <c r="AA1412" s="4">
        <f t="shared" si="91"/>
        <v>0.87131107283835585</v>
      </c>
    </row>
    <row r="1413" spans="1:27" x14ac:dyDescent="0.3">
      <c r="A1413" t="s">
        <v>556</v>
      </c>
      <c r="B1413">
        <v>105795</v>
      </c>
      <c r="C1413">
        <v>2020</v>
      </c>
      <c r="D1413" t="s">
        <v>40</v>
      </c>
      <c r="E1413" t="s">
        <v>229</v>
      </c>
      <c r="F1413">
        <v>4</v>
      </c>
      <c r="G1413" t="s">
        <v>30</v>
      </c>
      <c r="H1413">
        <v>4</v>
      </c>
      <c r="I1413" t="s">
        <v>23</v>
      </c>
      <c r="J1413" t="s">
        <v>31</v>
      </c>
      <c r="K1413" t="s">
        <v>27</v>
      </c>
      <c r="L1413" t="s">
        <v>107</v>
      </c>
      <c r="M1413" t="s">
        <v>33</v>
      </c>
      <c r="N1413">
        <v>1.5</v>
      </c>
      <c r="O1413" t="s">
        <v>27</v>
      </c>
      <c r="S1413" s="3">
        <v>6400</v>
      </c>
      <c r="T1413" s="2">
        <v>7035.29248046875</v>
      </c>
      <c r="U1413" s="2">
        <v>7793.1726141107083</v>
      </c>
      <c r="V1413" s="2">
        <v>7222.8742229398549</v>
      </c>
      <c r="W1413" s="2">
        <v>7612.63525390625</v>
      </c>
      <c r="X1413" s="4">
        <f t="shared" si="88"/>
        <v>0.90969920835097651</v>
      </c>
      <c r="Y1413" s="4">
        <f t="shared" si="89"/>
        <v>0.82123164940705151</v>
      </c>
      <c r="Z1413" s="4">
        <f t="shared" si="90"/>
        <v>0.88607385404463979</v>
      </c>
      <c r="AA1413" s="4">
        <f t="shared" si="91"/>
        <v>0.84070755875450442</v>
      </c>
    </row>
    <row r="1414" spans="1:27" x14ac:dyDescent="0.3">
      <c r="A1414" t="s">
        <v>557</v>
      </c>
      <c r="B1414">
        <v>44282</v>
      </c>
      <c r="C1414">
        <v>2022</v>
      </c>
      <c r="D1414" t="s">
        <v>239</v>
      </c>
      <c r="E1414" t="s">
        <v>521</v>
      </c>
      <c r="F1414">
        <v>6</v>
      </c>
      <c r="G1414" t="s">
        <v>47</v>
      </c>
      <c r="H1414">
        <v>4</v>
      </c>
      <c r="I1414" t="s">
        <v>23</v>
      </c>
      <c r="J1414" t="s">
        <v>24</v>
      </c>
      <c r="K1414" t="s">
        <v>25</v>
      </c>
      <c r="L1414" t="s">
        <v>218</v>
      </c>
      <c r="M1414" t="s">
        <v>23</v>
      </c>
      <c r="N1414">
        <v>0</v>
      </c>
      <c r="O1414" t="s">
        <v>27</v>
      </c>
      <c r="S1414" s="3">
        <v>51100</v>
      </c>
      <c r="T1414" s="2">
        <v>45567.7265625</v>
      </c>
      <c r="U1414" s="2">
        <v>44000.737464691651</v>
      </c>
      <c r="V1414" s="2">
        <v>45783.418990602069</v>
      </c>
      <c r="W1414" s="2">
        <v>46604.99609375</v>
      </c>
      <c r="X1414" s="4">
        <f t="shared" si="88"/>
        <v>1.1214077123183228</v>
      </c>
      <c r="Y1414" s="4">
        <f t="shared" si="89"/>
        <v>1.1613441715836046</v>
      </c>
      <c r="Z1414" s="4">
        <f t="shared" si="90"/>
        <v>1.1161245954673953</v>
      </c>
      <c r="AA1414" s="4">
        <f t="shared" si="91"/>
        <v>1.0964489707757492</v>
      </c>
    </row>
    <row r="1415" spans="1:27" x14ac:dyDescent="0.3">
      <c r="A1415" t="s">
        <v>557</v>
      </c>
      <c r="B1415">
        <v>14246</v>
      </c>
      <c r="C1415">
        <v>2024</v>
      </c>
      <c r="D1415" t="s">
        <v>44</v>
      </c>
      <c r="E1415" t="s">
        <v>558</v>
      </c>
      <c r="F1415">
        <v>8</v>
      </c>
      <c r="G1415" t="s">
        <v>66</v>
      </c>
      <c r="H1415">
        <v>4</v>
      </c>
      <c r="I1415" t="s">
        <v>23</v>
      </c>
      <c r="J1415" t="s">
        <v>42</v>
      </c>
      <c r="K1415" t="s">
        <v>25</v>
      </c>
      <c r="L1415" t="s">
        <v>255</v>
      </c>
      <c r="M1415">
        <v>4</v>
      </c>
      <c r="N1415">
        <v>0</v>
      </c>
      <c r="O1415" t="s">
        <v>27</v>
      </c>
      <c r="S1415" s="3">
        <v>78500</v>
      </c>
      <c r="T1415" s="2">
        <v>83323.0703125</v>
      </c>
      <c r="U1415" s="2">
        <v>78011.057301624664</v>
      </c>
      <c r="V1415" s="2">
        <v>71172.509955238973</v>
      </c>
      <c r="W1415" s="2">
        <v>93241.7734375</v>
      </c>
      <c r="X1415" s="4">
        <f t="shared" si="88"/>
        <v>0.94211602747700895</v>
      </c>
      <c r="Y1415" s="4">
        <f t="shared" si="89"/>
        <v>1.0062676076352211</v>
      </c>
      <c r="Z1415" s="4">
        <f t="shared" si="90"/>
        <v>1.1029539361386771</v>
      </c>
      <c r="AA1415" s="4">
        <f t="shared" si="91"/>
        <v>0.84189732891147318</v>
      </c>
    </row>
    <row r="1416" spans="1:27" x14ac:dyDescent="0.3">
      <c r="A1416" t="s">
        <v>394</v>
      </c>
      <c r="B1416">
        <v>90371</v>
      </c>
      <c r="C1416">
        <v>2017</v>
      </c>
      <c r="D1416" t="s">
        <v>44</v>
      </c>
      <c r="E1416" t="s">
        <v>267</v>
      </c>
      <c r="F1416">
        <v>8</v>
      </c>
      <c r="G1416" t="s">
        <v>47</v>
      </c>
      <c r="H1416">
        <v>4</v>
      </c>
      <c r="I1416" t="s">
        <v>23</v>
      </c>
      <c r="J1416" t="s">
        <v>46</v>
      </c>
      <c r="K1416" t="s">
        <v>27</v>
      </c>
      <c r="L1416" t="s">
        <v>313</v>
      </c>
      <c r="M1416" t="s">
        <v>78</v>
      </c>
      <c r="N1416">
        <v>2.5</v>
      </c>
      <c r="O1416" t="s">
        <v>27</v>
      </c>
      <c r="S1416" s="3">
        <v>14000</v>
      </c>
      <c r="T1416" s="2">
        <v>14031.2421875</v>
      </c>
      <c r="U1416" s="2">
        <v>25533.518756528742</v>
      </c>
      <c r="V1416" s="2">
        <v>16695.556796016561</v>
      </c>
      <c r="W1416" s="2">
        <v>19442.669921875</v>
      </c>
      <c r="X1416" s="4">
        <f t="shared" si="88"/>
        <v>0.99777338406090421</v>
      </c>
      <c r="Y1416" s="4">
        <f t="shared" si="89"/>
        <v>0.5482988903133571</v>
      </c>
      <c r="Z1416" s="4">
        <f t="shared" si="90"/>
        <v>0.83854645706337261</v>
      </c>
      <c r="AA1416" s="4">
        <f t="shared" si="91"/>
        <v>0.72006571403285324</v>
      </c>
    </row>
    <row r="1417" spans="1:27" x14ac:dyDescent="0.3">
      <c r="A1417" t="s">
        <v>394</v>
      </c>
      <c r="B1417">
        <v>102958</v>
      </c>
      <c r="C1417">
        <v>2010</v>
      </c>
      <c r="D1417" t="s">
        <v>40</v>
      </c>
      <c r="E1417" t="s">
        <v>41</v>
      </c>
      <c r="F1417">
        <v>6</v>
      </c>
      <c r="G1417" t="s">
        <v>47</v>
      </c>
      <c r="H1417">
        <v>2</v>
      </c>
      <c r="I1417" t="s">
        <v>23</v>
      </c>
      <c r="J1417" t="s">
        <v>76</v>
      </c>
      <c r="L1417" t="s">
        <v>308</v>
      </c>
      <c r="M1417" t="s">
        <v>78</v>
      </c>
      <c r="N1417">
        <v>1.9</v>
      </c>
      <c r="O1417" t="s">
        <v>27</v>
      </c>
      <c r="S1417" s="3">
        <v>4000</v>
      </c>
      <c r="T1417" s="2">
        <v>5319.29296875</v>
      </c>
      <c r="U1417" s="2">
        <v>3808.5512167814918</v>
      </c>
      <c r="V1417" s="2">
        <v>3998.5662943396419</v>
      </c>
      <c r="W1417" s="2">
        <v>4522.31298828125</v>
      </c>
      <c r="X1417" s="4">
        <f t="shared" si="88"/>
        <v>0.75197963780137012</v>
      </c>
      <c r="Y1417" s="4">
        <f t="shared" si="89"/>
        <v>1.050268139332073</v>
      </c>
      <c r="Z1417" s="4">
        <f t="shared" si="90"/>
        <v>1.000358554930648</v>
      </c>
      <c r="AA1417" s="4">
        <f t="shared" si="91"/>
        <v>0.8845031315535371</v>
      </c>
    </row>
    <row r="1418" spans="1:27" x14ac:dyDescent="0.3">
      <c r="A1418" t="s">
        <v>556</v>
      </c>
      <c r="B1418">
        <v>82365</v>
      </c>
      <c r="C1418">
        <v>2021</v>
      </c>
      <c r="D1418" t="s">
        <v>100</v>
      </c>
      <c r="E1418" t="s">
        <v>101</v>
      </c>
      <c r="F1418">
        <v>4</v>
      </c>
      <c r="G1418" t="s">
        <v>22</v>
      </c>
      <c r="H1418">
        <v>4</v>
      </c>
      <c r="I1418" t="s">
        <v>23</v>
      </c>
      <c r="J1418" t="s">
        <v>31</v>
      </c>
      <c r="K1418" t="s">
        <v>27</v>
      </c>
      <c r="L1418" t="s">
        <v>102</v>
      </c>
      <c r="M1418" t="s">
        <v>33</v>
      </c>
      <c r="N1418">
        <v>3.2</v>
      </c>
      <c r="O1418" t="s">
        <v>27</v>
      </c>
      <c r="S1418" s="3">
        <v>9100</v>
      </c>
      <c r="T1418" s="2">
        <v>12926.2607421875</v>
      </c>
      <c r="U1418" s="2">
        <v>11900.638692951559</v>
      </c>
      <c r="V1418" s="2">
        <v>13264.985411477701</v>
      </c>
      <c r="W1418" s="2">
        <v>13302.9169921875</v>
      </c>
      <c r="X1418" s="4">
        <f t="shared" si="88"/>
        <v>0.70399322599924707</v>
      </c>
      <c r="Y1418" s="4">
        <f t="shared" si="89"/>
        <v>0.76466484150885905</v>
      </c>
      <c r="Z1418" s="4">
        <f t="shared" si="90"/>
        <v>0.68601658559881318</v>
      </c>
      <c r="AA1418" s="4">
        <f t="shared" si="91"/>
        <v>0.68406049630650345</v>
      </c>
    </row>
    <row r="1419" spans="1:27" x14ac:dyDescent="0.3">
      <c r="A1419" t="s">
        <v>556</v>
      </c>
      <c r="B1419">
        <v>143144</v>
      </c>
      <c r="C1419">
        <v>2016</v>
      </c>
      <c r="D1419" t="s">
        <v>100</v>
      </c>
      <c r="E1419" t="s">
        <v>444</v>
      </c>
      <c r="F1419">
        <v>6</v>
      </c>
      <c r="G1419" t="s">
        <v>47</v>
      </c>
      <c r="H1419">
        <v>4</v>
      </c>
      <c r="I1419" t="s">
        <v>23</v>
      </c>
      <c r="J1419" t="s">
        <v>42</v>
      </c>
      <c r="L1419" t="s">
        <v>348</v>
      </c>
      <c r="M1419" t="s">
        <v>78</v>
      </c>
      <c r="N1419">
        <v>2.5</v>
      </c>
      <c r="O1419" t="s">
        <v>27</v>
      </c>
      <c r="S1419" s="3">
        <v>5750</v>
      </c>
      <c r="T1419" s="2">
        <v>8814.0009765625</v>
      </c>
      <c r="U1419" s="2">
        <v>8851.8277556116263</v>
      </c>
      <c r="V1419" s="2">
        <v>7700.3096292226219</v>
      </c>
      <c r="W1419" s="2">
        <v>7969.60693359375</v>
      </c>
      <c r="X1419" s="4">
        <f t="shared" si="88"/>
        <v>0.65237115531186674</v>
      </c>
      <c r="Y1419" s="4">
        <f t="shared" si="89"/>
        <v>0.64958335823409818</v>
      </c>
      <c r="Z1419" s="4">
        <f t="shared" si="90"/>
        <v>0.74672321982726375</v>
      </c>
      <c r="AA1419" s="4">
        <f t="shared" si="91"/>
        <v>0.72149104063870584</v>
      </c>
    </row>
    <row r="1420" spans="1:27" x14ac:dyDescent="0.3">
      <c r="A1420" t="s">
        <v>556</v>
      </c>
      <c r="B1420">
        <v>114146</v>
      </c>
      <c r="C1420">
        <v>2015</v>
      </c>
      <c r="D1420" t="s">
        <v>125</v>
      </c>
      <c r="E1420" t="s">
        <v>126</v>
      </c>
      <c r="F1420">
        <v>4</v>
      </c>
      <c r="G1420" t="s">
        <v>36</v>
      </c>
      <c r="H1420">
        <v>4</v>
      </c>
      <c r="I1420" t="s">
        <v>23</v>
      </c>
      <c r="J1420" t="s">
        <v>31</v>
      </c>
      <c r="K1420" t="s">
        <v>27</v>
      </c>
      <c r="L1420" t="s">
        <v>32</v>
      </c>
      <c r="M1420" t="s">
        <v>33</v>
      </c>
      <c r="N1420">
        <v>0</v>
      </c>
      <c r="S1420" s="3">
        <v>3400</v>
      </c>
      <c r="T1420" s="2">
        <v>4811.20556640625</v>
      </c>
      <c r="U1420" s="2">
        <v>5353.3426315345923</v>
      </c>
      <c r="V1420" s="2">
        <v>3838.1507084172999</v>
      </c>
      <c r="W1420" s="2">
        <v>6442.123046875</v>
      </c>
      <c r="X1420" s="4">
        <f t="shared" si="88"/>
        <v>0.7066835854489677</v>
      </c>
      <c r="Y1420" s="4">
        <f t="shared" si="89"/>
        <v>0.6351172032165171</v>
      </c>
      <c r="Z1420" s="4">
        <f t="shared" si="90"/>
        <v>0.88584327669666318</v>
      </c>
      <c r="AA1420" s="4">
        <f t="shared" si="91"/>
        <v>0.52777632082785209</v>
      </c>
    </row>
    <row r="1421" spans="1:27" x14ac:dyDescent="0.3">
      <c r="A1421" t="s">
        <v>556</v>
      </c>
      <c r="B1421">
        <v>111353</v>
      </c>
      <c r="C1421">
        <v>2014</v>
      </c>
      <c r="D1421" t="s">
        <v>119</v>
      </c>
      <c r="E1421" t="s">
        <v>191</v>
      </c>
      <c r="F1421">
        <v>4</v>
      </c>
      <c r="G1421" t="s">
        <v>30</v>
      </c>
      <c r="H1421">
        <v>4</v>
      </c>
      <c r="I1421" t="s">
        <v>23</v>
      </c>
      <c r="J1421" t="s">
        <v>24</v>
      </c>
      <c r="K1421" t="s">
        <v>27</v>
      </c>
      <c r="L1421" t="s">
        <v>60</v>
      </c>
      <c r="M1421">
        <v>4</v>
      </c>
      <c r="N1421">
        <v>0</v>
      </c>
      <c r="S1421" s="3">
        <v>5500</v>
      </c>
      <c r="T1421" s="2">
        <v>5304.16943359375</v>
      </c>
      <c r="U1421" s="2">
        <v>5277.3898525187778</v>
      </c>
      <c r="V1421" s="2">
        <v>5151.1832880616976</v>
      </c>
      <c r="W1421" s="2">
        <v>4916.69482421875</v>
      </c>
      <c r="X1421" s="4">
        <f t="shared" si="88"/>
        <v>1.0369201189475519</v>
      </c>
      <c r="Y1421" s="4">
        <f t="shared" si="89"/>
        <v>1.0421818652216825</v>
      </c>
      <c r="Z1421" s="4">
        <f t="shared" si="90"/>
        <v>1.0677158416682075</v>
      </c>
      <c r="AA1421" s="4">
        <f t="shared" si="91"/>
        <v>1.1186376614037532</v>
      </c>
    </row>
    <row r="1422" spans="1:27" x14ac:dyDescent="0.3">
      <c r="A1422" t="s">
        <v>556</v>
      </c>
      <c r="B1422">
        <v>115183</v>
      </c>
      <c r="C1422">
        <v>2017</v>
      </c>
      <c r="D1422" t="s">
        <v>44</v>
      </c>
      <c r="E1422" t="s">
        <v>210</v>
      </c>
      <c r="F1422">
        <v>4</v>
      </c>
      <c r="G1422" t="s">
        <v>30</v>
      </c>
      <c r="H1422">
        <v>4</v>
      </c>
      <c r="I1422" t="s">
        <v>23</v>
      </c>
      <c r="J1422" t="s">
        <v>37</v>
      </c>
      <c r="K1422" t="s">
        <v>27</v>
      </c>
      <c r="L1422" t="s">
        <v>200</v>
      </c>
      <c r="M1422" t="s">
        <v>33</v>
      </c>
      <c r="N1422">
        <v>0</v>
      </c>
      <c r="S1422" s="3">
        <v>3500</v>
      </c>
      <c r="T1422" s="2">
        <v>5703.80322265625</v>
      </c>
      <c r="U1422" s="2">
        <v>5797.6988119386087</v>
      </c>
      <c r="V1422" s="2">
        <v>5617.8544415159449</v>
      </c>
      <c r="W1422" s="2">
        <v>5585.0283203125</v>
      </c>
      <c r="X1422" s="4">
        <f t="shared" si="88"/>
        <v>0.61362565701732896</v>
      </c>
      <c r="Y1422" s="4">
        <f t="shared" si="89"/>
        <v>0.60368779295550978</v>
      </c>
      <c r="Z1422" s="4">
        <f t="shared" si="90"/>
        <v>0.62301364986159125</v>
      </c>
      <c r="AA1422" s="4">
        <f t="shared" si="91"/>
        <v>0.62667542566805889</v>
      </c>
    </row>
    <row r="1423" spans="1:27" x14ac:dyDescent="0.3">
      <c r="A1423" t="s">
        <v>556</v>
      </c>
      <c r="B1423">
        <v>144572</v>
      </c>
      <c r="C1423">
        <v>2016</v>
      </c>
      <c r="D1423" t="s">
        <v>44</v>
      </c>
      <c r="E1423" t="s">
        <v>117</v>
      </c>
      <c r="F1423">
        <v>4</v>
      </c>
      <c r="G1423" t="s">
        <v>36</v>
      </c>
      <c r="H1423">
        <v>4</v>
      </c>
      <c r="I1423" t="s">
        <v>23</v>
      </c>
      <c r="J1423" t="s">
        <v>62</v>
      </c>
      <c r="K1423" t="s">
        <v>27</v>
      </c>
      <c r="L1423" t="s">
        <v>96</v>
      </c>
      <c r="M1423" t="s">
        <v>33</v>
      </c>
      <c r="N1423">
        <v>0</v>
      </c>
      <c r="S1423" s="3">
        <v>1200</v>
      </c>
      <c r="T1423" s="2">
        <v>4053.955078125</v>
      </c>
      <c r="U1423" s="2">
        <v>3564.3661776937111</v>
      </c>
      <c r="V1423" s="2">
        <v>3211.7677383489781</v>
      </c>
      <c r="W1423" s="2">
        <v>3070.442626953125</v>
      </c>
      <c r="X1423" s="4">
        <f t="shared" si="88"/>
        <v>0.29600722673893404</v>
      </c>
      <c r="Y1423" s="4">
        <f t="shared" si="89"/>
        <v>0.33666574649646364</v>
      </c>
      <c r="Z1423" s="4">
        <f t="shared" si="90"/>
        <v>0.37362602085817848</v>
      </c>
      <c r="AA1423" s="4">
        <f t="shared" si="91"/>
        <v>0.39082313066725144</v>
      </c>
    </row>
    <row r="1424" spans="1:27" x14ac:dyDescent="0.3">
      <c r="A1424" t="s">
        <v>461</v>
      </c>
      <c r="B1424">
        <v>109343</v>
      </c>
      <c r="C1424">
        <v>2018</v>
      </c>
      <c r="D1424" t="s">
        <v>74</v>
      </c>
      <c r="E1424" t="s">
        <v>217</v>
      </c>
      <c r="F1424">
        <v>6</v>
      </c>
      <c r="G1424" t="s">
        <v>30</v>
      </c>
      <c r="H1424">
        <v>4</v>
      </c>
      <c r="I1424" t="s">
        <v>23</v>
      </c>
      <c r="J1424" t="s">
        <v>42</v>
      </c>
      <c r="K1424" t="s">
        <v>27</v>
      </c>
      <c r="L1424" t="s">
        <v>255</v>
      </c>
      <c r="M1424">
        <v>4</v>
      </c>
      <c r="N1424">
        <v>0</v>
      </c>
      <c r="O1424" t="s">
        <v>27</v>
      </c>
      <c r="S1424" s="3">
        <v>31500</v>
      </c>
      <c r="T1424" s="2">
        <v>20443.671875</v>
      </c>
      <c r="U1424" s="2">
        <v>23911.901655203688</v>
      </c>
      <c r="V1424" s="2">
        <v>27952.6578326696</v>
      </c>
      <c r="W1424" s="2">
        <v>23403.244140625</v>
      </c>
      <c r="X1424" s="4">
        <f t="shared" si="88"/>
        <v>1.5408190951509293</v>
      </c>
      <c r="Y1424" s="4">
        <f t="shared" si="89"/>
        <v>1.317335628684513</v>
      </c>
      <c r="Z1424" s="4">
        <f t="shared" si="90"/>
        <v>1.1269053622222804</v>
      </c>
      <c r="AA1424" s="4">
        <f t="shared" si="91"/>
        <v>1.3459672432900054</v>
      </c>
    </row>
    <row r="1425" spans="1:27" x14ac:dyDescent="0.3">
      <c r="A1425" t="s">
        <v>461</v>
      </c>
      <c r="B1425">
        <v>124049</v>
      </c>
      <c r="C1425">
        <v>2019</v>
      </c>
      <c r="D1425" t="s">
        <v>44</v>
      </c>
      <c r="E1425" t="s">
        <v>267</v>
      </c>
      <c r="F1425">
        <v>8</v>
      </c>
      <c r="G1425" t="s">
        <v>47</v>
      </c>
      <c r="H1425">
        <v>4</v>
      </c>
      <c r="I1425" t="s">
        <v>23</v>
      </c>
      <c r="J1425" t="s">
        <v>46</v>
      </c>
      <c r="K1425" t="s">
        <v>27</v>
      </c>
      <c r="L1425" t="s">
        <v>140</v>
      </c>
      <c r="M1425">
        <v>4</v>
      </c>
      <c r="N1425">
        <v>0</v>
      </c>
      <c r="O1425" t="s">
        <v>27</v>
      </c>
      <c r="S1425" s="3">
        <v>39750</v>
      </c>
      <c r="T1425" s="2">
        <v>20843.62890625</v>
      </c>
      <c r="U1425" s="2">
        <v>33383.325949094418</v>
      </c>
      <c r="V1425" s="2">
        <v>30515.514787043601</v>
      </c>
      <c r="W1425" s="2">
        <v>24390.791015625</v>
      </c>
      <c r="X1425" s="4">
        <f t="shared" si="88"/>
        <v>1.9070575559940472</v>
      </c>
      <c r="Y1425" s="4">
        <f t="shared" si="89"/>
        <v>1.1907141924868121</v>
      </c>
      <c r="Z1425" s="4">
        <f t="shared" si="90"/>
        <v>1.302616071772029</v>
      </c>
      <c r="AA1425" s="4">
        <f t="shared" si="91"/>
        <v>1.6297134428537281</v>
      </c>
    </row>
    <row r="1426" spans="1:27" x14ac:dyDescent="0.3">
      <c r="A1426" t="s">
        <v>461</v>
      </c>
      <c r="B1426">
        <v>158899</v>
      </c>
      <c r="C1426">
        <v>2019</v>
      </c>
      <c r="D1426" t="s">
        <v>74</v>
      </c>
      <c r="E1426" t="s">
        <v>93</v>
      </c>
      <c r="F1426">
        <v>8</v>
      </c>
      <c r="G1426" t="s">
        <v>66</v>
      </c>
      <c r="H1426">
        <v>4</v>
      </c>
      <c r="I1426" t="s">
        <v>23</v>
      </c>
      <c r="J1426" t="s">
        <v>42</v>
      </c>
      <c r="K1426" t="s">
        <v>27</v>
      </c>
      <c r="L1426" t="s">
        <v>84</v>
      </c>
      <c r="M1426">
        <v>4</v>
      </c>
      <c r="N1426">
        <v>0</v>
      </c>
      <c r="O1426" t="s">
        <v>27</v>
      </c>
      <c r="S1426" s="3">
        <v>9200</v>
      </c>
      <c r="T1426" s="2">
        <v>12905.771484375</v>
      </c>
      <c r="U1426" s="2">
        <v>11293.67923033538</v>
      </c>
      <c r="V1426" s="2">
        <v>18621.94907545258</v>
      </c>
      <c r="W1426" s="2">
        <v>11513.296875</v>
      </c>
      <c r="X1426" s="4">
        <f t="shared" si="88"/>
        <v>0.7128593599490296</v>
      </c>
      <c r="Y1426" s="4">
        <f t="shared" si="89"/>
        <v>0.81461495517672811</v>
      </c>
      <c r="Z1426" s="4">
        <f t="shared" si="90"/>
        <v>0.49404065937047503</v>
      </c>
      <c r="AA1426" s="4">
        <f t="shared" si="91"/>
        <v>0.79907606829603273</v>
      </c>
    </row>
    <row r="1427" spans="1:27" x14ac:dyDescent="0.3">
      <c r="A1427" t="s">
        <v>461</v>
      </c>
      <c r="B1427">
        <v>148803</v>
      </c>
      <c r="C1427">
        <v>2018</v>
      </c>
      <c r="D1427" t="s">
        <v>44</v>
      </c>
      <c r="E1427" t="s">
        <v>45</v>
      </c>
      <c r="F1427">
        <v>6</v>
      </c>
      <c r="G1427" t="s">
        <v>22</v>
      </c>
      <c r="H1427">
        <v>4</v>
      </c>
      <c r="I1427" t="s">
        <v>23</v>
      </c>
      <c r="J1427" t="s">
        <v>46</v>
      </c>
      <c r="K1427" t="s">
        <v>27</v>
      </c>
      <c r="L1427" t="s">
        <v>242</v>
      </c>
      <c r="M1427">
        <v>4</v>
      </c>
      <c r="N1427">
        <v>0</v>
      </c>
      <c r="O1427" t="s">
        <v>27</v>
      </c>
      <c r="S1427" s="3">
        <v>9750</v>
      </c>
      <c r="T1427" s="2">
        <v>14218.1962890625</v>
      </c>
      <c r="U1427" s="2">
        <v>12457.950255723939</v>
      </c>
      <c r="V1427" s="2">
        <v>20681.389160562321</v>
      </c>
      <c r="W1427" s="2">
        <v>12819.91015625</v>
      </c>
      <c r="X1427" s="4">
        <f t="shared" si="88"/>
        <v>0.68574099005091749</v>
      </c>
      <c r="Y1427" s="4">
        <f t="shared" si="89"/>
        <v>0.78263276059560904</v>
      </c>
      <c r="Z1427" s="4">
        <f t="shared" si="90"/>
        <v>0.47143835089145919</v>
      </c>
      <c r="AA1427" s="4">
        <f t="shared" si="91"/>
        <v>0.76053575112198823</v>
      </c>
    </row>
    <row r="1428" spans="1:27" x14ac:dyDescent="0.3">
      <c r="A1428" t="s">
        <v>461</v>
      </c>
      <c r="B1428">
        <v>176300</v>
      </c>
      <c r="C1428">
        <v>2012</v>
      </c>
      <c r="D1428" t="s">
        <v>44</v>
      </c>
      <c r="E1428" t="s">
        <v>45</v>
      </c>
      <c r="F1428">
        <v>8</v>
      </c>
      <c r="G1428" t="s">
        <v>56</v>
      </c>
      <c r="H1428">
        <v>4</v>
      </c>
      <c r="I1428" t="s">
        <v>23</v>
      </c>
      <c r="J1428" t="s">
        <v>46</v>
      </c>
      <c r="K1428" t="s">
        <v>27</v>
      </c>
      <c r="L1428" t="s">
        <v>48</v>
      </c>
      <c r="M1428">
        <v>4</v>
      </c>
      <c r="N1428">
        <v>0</v>
      </c>
      <c r="O1428" t="s">
        <v>27</v>
      </c>
      <c r="S1428" s="3">
        <v>4600</v>
      </c>
      <c r="T1428" s="2">
        <v>5565.73486328125</v>
      </c>
      <c r="U1428" s="2">
        <v>13063.75934315785</v>
      </c>
      <c r="V1428" s="2">
        <v>4030.702530629937</v>
      </c>
      <c r="W1428" s="2">
        <v>6180.70703125</v>
      </c>
      <c r="X1428" s="4">
        <f t="shared" si="88"/>
        <v>0.82648565068155155</v>
      </c>
      <c r="Y1428" s="4">
        <f t="shared" si="89"/>
        <v>0.35211916257545361</v>
      </c>
      <c r="Z1428" s="4">
        <f t="shared" si="90"/>
        <v>1.1412402589979991</v>
      </c>
      <c r="AA1428" s="4">
        <f t="shared" si="91"/>
        <v>0.74425142248971565</v>
      </c>
    </row>
    <row r="1429" spans="1:27" x14ac:dyDescent="0.3">
      <c r="A1429" t="s">
        <v>461</v>
      </c>
      <c r="B1429">
        <v>31607</v>
      </c>
      <c r="C1429">
        <v>2024</v>
      </c>
      <c r="D1429" t="s">
        <v>125</v>
      </c>
      <c r="E1429" t="s">
        <v>297</v>
      </c>
      <c r="F1429">
        <v>4</v>
      </c>
      <c r="G1429" t="s">
        <v>30</v>
      </c>
      <c r="H1429">
        <v>4</v>
      </c>
      <c r="I1429" t="s">
        <v>23</v>
      </c>
      <c r="J1429" t="s">
        <v>24</v>
      </c>
      <c r="K1429" t="s">
        <v>27</v>
      </c>
      <c r="L1429" t="s">
        <v>102</v>
      </c>
      <c r="M1429" t="s">
        <v>33</v>
      </c>
      <c r="N1429">
        <v>0</v>
      </c>
      <c r="O1429" t="s">
        <v>27</v>
      </c>
      <c r="S1429" s="3">
        <v>19500</v>
      </c>
      <c r="T1429" s="2">
        <v>29352.86328125</v>
      </c>
      <c r="U1429" s="2">
        <v>25629.075153473139</v>
      </c>
      <c r="V1429" s="2">
        <v>19821.4160853629</v>
      </c>
      <c r="W1429" s="2">
        <v>26211.658203125</v>
      </c>
      <c r="X1429" s="4">
        <f t="shared" si="88"/>
        <v>0.66433042027815381</v>
      </c>
      <c r="Y1429" s="4">
        <f t="shared" si="89"/>
        <v>0.76085461075865024</v>
      </c>
      <c r="Z1429" s="4">
        <f t="shared" si="90"/>
        <v>0.98378440349676888</v>
      </c>
      <c r="AA1429" s="4">
        <f t="shared" si="91"/>
        <v>0.74394377680673307</v>
      </c>
    </row>
    <row r="1430" spans="1:27" x14ac:dyDescent="0.3">
      <c r="A1430" t="s">
        <v>461</v>
      </c>
      <c r="B1430">
        <v>105888</v>
      </c>
      <c r="C1430">
        <v>2012</v>
      </c>
      <c r="D1430" t="s">
        <v>125</v>
      </c>
      <c r="E1430" t="s">
        <v>230</v>
      </c>
      <c r="F1430">
        <v>4</v>
      </c>
      <c r="G1430" t="s">
        <v>30</v>
      </c>
      <c r="H1430">
        <v>4</v>
      </c>
      <c r="I1430" t="s">
        <v>23</v>
      </c>
      <c r="J1430" t="s">
        <v>31</v>
      </c>
      <c r="K1430" t="s">
        <v>27</v>
      </c>
      <c r="L1430" t="s">
        <v>60</v>
      </c>
      <c r="M1430" t="s">
        <v>33</v>
      </c>
      <c r="N1430">
        <v>0</v>
      </c>
      <c r="O1430" t="s">
        <v>27</v>
      </c>
      <c r="S1430" s="3">
        <v>2900</v>
      </c>
      <c r="T1430" s="2">
        <v>4459.4072265625</v>
      </c>
      <c r="U1430" s="2">
        <v>4645.5076606253606</v>
      </c>
      <c r="V1430" s="2">
        <v>4069.9301175772571</v>
      </c>
      <c r="W1430" s="2">
        <v>6355.92578125</v>
      </c>
      <c r="X1430" s="4">
        <f t="shared" si="88"/>
        <v>0.65031064728202514</v>
      </c>
      <c r="Y1430" s="4">
        <f t="shared" si="89"/>
        <v>0.6242590071651315</v>
      </c>
      <c r="Z1430" s="4">
        <f t="shared" si="90"/>
        <v>0.71254294698462994</v>
      </c>
      <c r="AA1430" s="4">
        <f t="shared" si="91"/>
        <v>0.45626712768657696</v>
      </c>
    </row>
    <row r="1431" spans="1:27" x14ac:dyDescent="0.3">
      <c r="A1431" t="s">
        <v>461</v>
      </c>
      <c r="B1431">
        <v>160437</v>
      </c>
      <c r="C1431">
        <v>2019</v>
      </c>
      <c r="D1431" t="s">
        <v>44</v>
      </c>
      <c r="E1431" t="s">
        <v>45</v>
      </c>
      <c r="F1431">
        <v>6</v>
      </c>
      <c r="G1431" t="s">
        <v>36</v>
      </c>
      <c r="H1431">
        <v>4</v>
      </c>
      <c r="I1431" t="s">
        <v>23</v>
      </c>
      <c r="J1431" t="s">
        <v>46</v>
      </c>
      <c r="K1431" t="s">
        <v>27</v>
      </c>
      <c r="L1431" t="s">
        <v>38</v>
      </c>
      <c r="M1431">
        <v>4</v>
      </c>
      <c r="N1431">
        <v>0</v>
      </c>
      <c r="O1431" t="s">
        <v>27</v>
      </c>
      <c r="S1431" s="3">
        <v>11750</v>
      </c>
      <c r="T1431" s="2">
        <v>13566.1279296875</v>
      </c>
      <c r="U1431" s="2">
        <v>12741.01954798316</v>
      </c>
      <c r="V1431" s="2">
        <v>16259.138392812871</v>
      </c>
      <c r="W1431" s="2">
        <v>12751.25390625</v>
      </c>
      <c r="X1431" s="4">
        <f t="shared" si="88"/>
        <v>0.86612776032332939</v>
      </c>
      <c r="Y1431" s="4">
        <f t="shared" si="89"/>
        <v>0.92221819107560876</v>
      </c>
      <c r="Z1431" s="4">
        <f t="shared" si="90"/>
        <v>0.72267052017921973</v>
      </c>
      <c r="AA1431" s="4">
        <f t="shared" si="91"/>
        <v>0.92147800415461589</v>
      </c>
    </row>
    <row r="1432" spans="1:27" x14ac:dyDescent="0.3">
      <c r="A1432" t="s">
        <v>461</v>
      </c>
      <c r="B1432">
        <v>83380</v>
      </c>
      <c r="C1432">
        <v>2019</v>
      </c>
      <c r="D1432" t="s">
        <v>324</v>
      </c>
      <c r="E1432" t="s">
        <v>559</v>
      </c>
      <c r="F1432">
        <v>6</v>
      </c>
      <c r="G1432" t="s">
        <v>66</v>
      </c>
      <c r="H1432">
        <v>4</v>
      </c>
      <c r="I1432" t="s">
        <v>23</v>
      </c>
      <c r="J1432" t="s">
        <v>24</v>
      </c>
      <c r="L1432" t="s">
        <v>26</v>
      </c>
      <c r="M1432" t="s">
        <v>33</v>
      </c>
      <c r="N1432">
        <v>0</v>
      </c>
      <c r="O1432" t="s">
        <v>27</v>
      </c>
      <c r="S1432" s="3">
        <v>14000</v>
      </c>
      <c r="T1432" s="2">
        <v>20859.869140625</v>
      </c>
      <c r="U1432" s="2">
        <v>20338.081871221049</v>
      </c>
      <c r="V1432" s="2">
        <v>21176.764845443311</v>
      </c>
      <c r="W1432" s="2">
        <v>19435.275390625</v>
      </c>
      <c r="X1432" s="4">
        <f t="shared" si="88"/>
        <v>0.6711451498386789</v>
      </c>
      <c r="Y1432" s="4">
        <f t="shared" si="89"/>
        <v>0.68836383335689044</v>
      </c>
      <c r="Z1432" s="4">
        <f t="shared" si="90"/>
        <v>0.66110192478302165</v>
      </c>
      <c r="AA1432" s="4">
        <f t="shared" si="91"/>
        <v>0.72033967713949576</v>
      </c>
    </row>
    <row r="1433" spans="1:27" x14ac:dyDescent="0.3">
      <c r="A1433" t="s">
        <v>461</v>
      </c>
      <c r="B1433">
        <v>181278</v>
      </c>
      <c r="C1433">
        <v>2018</v>
      </c>
      <c r="D1433" t="s">
        <v>324</v>
      </c>
      <c r="E1433" t="s">
        <v>431</v>
      </c>
      <c r="F1433">
        <v>6</v>
      </c>
      <c r="G1433" t="s">
        <v>36</v>
      </c>
      <c r="H1433">
        <v>4</v>
      </c>
      <c r="I1433" t="s">
        <v>23</v>
      </c>
      <c r="J1433" t="s">
        <v>31</v>
      </c>
      <c r="K1433" t="s">
        <v>27</v>
      </c>
      <c r="L1433" t="s">
        <v>26</v>
      </c>
      <c r="M1433" t="s">
        <v>78</v>
      </c>
      <c r="N1433">
        <v>0</v>
      </c>
      <c r="O1433" t="s">
        <v>27</v>
      </c>
      <c r="S1433" s="3">
        <v>5000</v>
      </c>
      <c r="T1433" s="2">
        <v>6235.88525390625</v>
      </c>
      <c r="U1433" s="2">
        <v>6466.0880355616291</v>
      </c>
      <c r="V1433" s="2">
        <v>7674.5872404911524</v>
      </c>
      <c r="W1433" s="2">
        <v>6765.26318359375</v>
      </c>
      <c r="X1433" s="4">
        <f t="shared" si="88"/>
        <v>0.80181077688495417</v>
      </c>
      <c r="Y1433" s="4">
        <f t="shared" si="89"/>
        <v>0.77326506730212063</v>
      </c>
      <c r="Z1433" s="4">
        <f t="shared" si="90"/>
        <v>0.6515008355915195</v>
      </c>
      <c r="AA1433" s="4">
        <f t="shared" si="91"/>
        <v>0.73906954752704368</v>
      </c>
    </row>
    <row r="1434" spans="1:27" x14ac:dyDescent="0.3">
      <c r="A1434" t="s">
        <v>461</v>
      </c>
      <c r="B1434">
        <v>94992</v>
      </c>
      <c r="C1434">
        <v>2007</v>
      </c>
      <c r="D1434" t="s">
        <v>40</v>
      </c>
      <c r="E1434" t="s">
        <v>214</v>
      </c>
      <c r="F1434">
        <v>8</v>
      </c>
      <c r="G1434" t="s">
        <v>171</v>
      </c>
      <c r="H1434">
        <v>4</v>
      </c>
      <c r="I1434" t="s">
        <v>23</v>
      </c>
      <c r="J1434" t="s">
        <v>24</v>
      </c>
      <c r="L1434" t="s">
        <v>43</v>
      </c>
      <c r="M1434" t="s">
        <v>78</v>
      </c>
      <c r="N1434">
        <v>0</v>
      </c>
      <c r="O1434" t="s">
        <v>27</v>
      </c>
      <c r="S1434" s="3">
        <v>5250</v>
      </c>
      <c r="T1434" s="2">
        <v>8371.146484375</v>
      </c>
      <c r="U1434" s="2">
        <v>16403.25886976752</v>
      </c>
      <c r="V1434" s="2">
        <v>6844.7350544949659</v>
      </c>
      <c r="W1434" s="2">
        <v>10276.2578125</v>
      </c>
      <c r="X1434" s="4">
        <f t="shared" si="88"/>
        <v>0.62715423864572017</v>
      </c>
      <c r="Y1434" s="4">
        <f t="shared" si="89"/>
        <v>0.32005835192152932</v>
      </c>
      <c r="Z1434" s="4">
        <f t="shared" si="90"/>
        <v>0.76701288774534859</v>
      </c>
      <c r="AA1434" s="4">
        <f t="shared" si="91"/>
        <v>0.51088636503591034</v>
      </c>
    </row>
    <row r="1435" spans="1:27" x14ac:dyDescent="0.3">
      <c r="A1435" t="s">
        <v>461</v>
      </c>
      <c r="B1435">
        <v>123917</v>
      </c>
      <c r="C1435">
        <v>2017</v>
      </c>
      <c r="D1435" t="s">
        <v>28</v>
      </c>
      <c r="E1435" t="s">
        <v>220</v>
      </c>
      <c r="F1435">
        <v>6</v>
      </c>
      <c r="G1435" t="s">
        <v>22</v>
      </c>
      <c r="H1435">
        <v>4</v>
      </c>
      <c r="I1435" t="s">
        <v>23</v>
      </c>
      <c r="J1435" t="s">
        <v>24</v>
      </c>
      <c r="K1435" t="s">
        <v>27</v>
      </c>
      <c r="L1435" t="s">
        <v>53</v>
      </c>
      <c r="M1435" t="s">
        <v>33</v>
      </c>
      <c r="N1435">
        <v>0</v>
      </c>
      <c r="O1435" t="s">
        <v>27</v>
      </c>
      <c r="S1435" s="3">
        <v>9000</v>
      </c>
      <c r="T1435" s="2">
        <v>12742.5654296875</v>
      </c>
      <c r="U1435" s="2">
        <v>11775.480286304621</v>
      </c>
      <c r="V1435" s="2">
        <v>10018.80162464852</v>
      </c>
      <c r="W1435" s="2">
        <v>12404.8046875</v>
      </c>
      <c r="X1435" s="4">
        <f t="shared" si="88"/>
        <v>0.70629419559674311</v>
      </c>
      <c r="Y1435" s="4">
        <f t="shared" si="89"/>
        <v>0.7643000354276317</v>
      </c>
      <c r="Z1435" s="4">
        <f t="shared" si="90"/>
        <v>0.89831102932090823</v>
      </c>
      <c r="AA1435" s="4">
        <f t="shared" si="91"/>
        <v>0.72552532883238918</v>
      </c>
    </row>
    <row r="1436" spans="1:27" x14ac:dyDescent="0.3">
      <c r="A1436" t="s">
        <v>461</v>
      </c>
      <c r="B1436">
        <v>362719</v>
      </c>
      <c r="C1436">
        <v>2005</v>
      </c>
      <c r="D1436" t="s">
        <v>81</v>
      </c>
      <c r="E1436" t="s">
        <v>377</v>
      </c>
      <c r="F1436">
        <v>8</v>
      </c>
      <c r="G1436" t="s">
        <v>66</v>
      </c>
      <c r="H1436">
        <v>4</v>
      </c>
      <c r="I1436" t="s">
        <v>23</v>
      </c>
      <c r="J1436" t="s">
        <v>94</v>
      </c>
      <c r="L1436" t="s">
        <v>77</v>
      </c>
      <c r="M1436" t="s">
        <v>78</v>
      </c>
      <c r="N1436">
        <v>0</v>
      </c>
      <c r="O1436" t="s">
        <v>27</v>
      </c>
      <c r="S1436" s="3">
        <v>1250</v>
      </c>
      <c r="T1436" s="2">
        <v>2589.307373046875</v>
      </c>
      <c r="U1436" s="2">
        <v>11379.95123126111</v>
      </c>
      <c r="V1436" s="2">
        <v>1113.2401153852661</v>
      </c>
      <c r="W1436" s="2">
        <v>4039.221435546875</v>
      </c>
      <c r="X1436" s="4">
        <f t="shared" si="88"/>
        <v>0.4827545825620182</v>
      </c>
      <c r="Y1436" s="4">
        <f t="shared" si="89"/>
        <v>0.10984229849476049</v>
      </c>
      <c r="Z1436" s="4">
        <f t="shared" si="90"/>
        <v>1.1228485056590012</v>
      </c>
      <c r="AA1436" s="4">
        <f t="shared" si="91"/>
        <v>0.30946557893545168</v>
      </c>
    </row>
    <row r="1437" spans="1:27" x14ac:dyDescent="0.3">
      <c r="A1437" t="s">
        <v>461</v>
      </c>
      <c r="B1437">
        <v>140876</v>
      </c>
      <c r="C1437">
        <v>2018</v>
      </c>
      <c r="D1437" t="s">
        <v>40</v>
      </c>
      <c r="E1437" t="s">
        <v>229</v>
      </c>
      <c r="F1437">
        <v>4</v>
      </c>
      <c r="G1437" t="s">
        <v>36</v>
      </c>
      <c r="H1437">
        <v>4</v>
      </c>
      <c r="I1437" t="s">
        <v>23</v>
      </c>
      <c r="J1437" t="s">
        <v>31</v>
      </c>
      <c r="K1437" t="s">
        <v>27</v>
      </c>
      <c r="L1437" t="s">
        <v>107</v>
      </c>
      <c r="M1437" t="s">
        <v>33</v>
      </c>
      <c r="N1437">
        <v>0</v>
      </c>
      <c r="O1437" t="s">
        <v>27</v>
      </c>
      <c r="S1437" s="3">
        <v>5500</v>
      </c>
      <c r="T1437" s="2">
        <v>7608.31103515625</v>
      </c>
      <c r="U1437" s="2">
        <v>6943.5598756342861</v>
      </c>
      <c r="V1437" s="2">
        <v>6398.8112050744467</v>
      </c>
      <c r="W1437" s="2">
        <v>6694.50244140625</v>
      </c>
      <c r="X1437" s="4">
        <f t="shared" si="88"/>
        <v>0.7228936848908738</v>
      </c>
      <c r="Y1437" s="4">
        <f t="shared" si="89"/>
        <v>0.7921008961556022</v>
      </c>
      <c r="Z1437" s="4">
        <f t="shared" si="90"/>
        <v>0.85953465788119165</v>
      </c>
      <c r="AA1437" s="4">
        <f t="shared" si="91"/>
        <v>0.82156964586074122</v>
      </c>
    </row>
    <row r="1438" spans="1:27" x14ac:dyDescent="0.3">
      <c r="A1438" t="s">
        <v>461</v>
      </c>
      <c r="B1438">
        <v>161507</v>
      </c>
      <c r="C1438">
        <v>2010</v>
      </c>
      <c r="D1438" t="s">
        <v>282</v>
      </c>
      <c r="E1438" t="s">
        <v>483</v>
      </c>
      <c r="F1438">
        <v>6</v>
      </c>
      <c r="G1438" t="s">
        <v>66</v>
      </c>
      <c r="H1438">
        <v>4</v>
      </c>
      <c r="I1438" t="s">
        <v>23</v>
      </c>
      <c r="J1438" t="s">
        <v>62</v>
      </c>
      <c r="K1438" t="s">
        <v>27</v>
      </c>
      <c r="L1438" t="s">
        <v>38</v>
      </c>
      <c r="M1438" t="s">
        <v>33</v>
      </c>
      <c r="N1438">
        <v>0</v>
      </c>
      <c r="O1438" t="s">
        <v>27</v>
      </c>
      <c r="S1438" s="3">
        <v>6100</v>
      </c>
      <c r="T1438" s="2">
        <v>6088.6826171875</v>
      </c>
      <c r="U1438" s="2">
        <v>5597.7999870067097</v>
      </c>
      <c r="V1438" s="2">
        <v>5379.0698759164607</v>
      </c>
      <c r="W1438" s="2">
        <v>5351.78955078125</v>
      </c>
      <c r="X1438" s="4">
        <f t="shared" si="88"/>
        <v>1.0018587572261612</v>
      </c>
      <c r="Y1438" s="4">
        <f t="shared" si="89"/>
        <v>1.0897138186714366</v>
      </c>
      <c r="Z1438" s="4">
        <f t="shared" si="90"/>
        <v>1.1340250527905089</v>
      </c>
      <c r="AA1438" s="4">
        <f t="shared" si="91"/>
        <v>1.1398056560556509</v>
      </c>
    </row>
    <row r="1439" spans="1:27" x14ac:dyDescent="0.3">
      <c r="A1439" t="s">
        <v>461</v>
      </c>
      <c r="B1439">
        <v>148295</v>
      </c>
      <c r="C1439">
        <v>2011</v>
      </c>
      <c r="D1439" t="s">
        <v>34</v>
      </c>
      <c r="E1439" t="s">
        <v>116</v>
      </c>
      <c r="F1439">
        <v>4</v>
      </c>
      <c r="G1439" t="s">
        <v>22</v>
      </c>
      <c r="H1439">
        <v>4</v>
      </c>
      <c r="I1439" t="s">
        <v>23</v>
      </c>
      <c r="J1439" t="s">
        <v>37</v>
      </c>
      <c r="K1439" t="s">
        <v>27</v>
      </c>
      <c r="L1439" t="s">
        <v>128</v>
      </c>
      <c r="M1439" t="s">
        <v>33</v>
      </c>
      <c r="N1439">
        <v>0</v>
      </c>
      <c r="O1439" t="s">
        <v>27</v>
      </c>
      <c r="S1439" s="3">
        <v>3600</v>
      </c>
      <c r="T1439" s="2">
        <v>4453.208984375</v>
      </c>
      <c r="U1439" s="2">
        <v>3524.2867212005131</v>
      </c>
      <c r="V1439" s="2">
        <v>4403.5498365587464</v>
      </c>
      <c r="W1439" s="2">
        <v>4105.2978515625</v>
      </c>
      <c r="X1439" s="4">
        <f t="shared" si="88"/>
        <v>0.80840580638172177</v>
      </c>
      <c r="Y1439" s="4">
        <f t="shared" si="89"/>
        <v>1.0214832914541345</v>
      </c>
      <c r="Z1439" s="4">
        <f t="shared" si="90"/>
        <v>0.8175222567285173</v>
      </c>
      <c r="AA1439" s="4">
        <f t="shared" si="91"/>
        <v>0.87691566608981109</v>
      </c>
    </row>
    <row r="1440" spans="1:27" x14ac:dyDescent="0.3">
      <c r="A1440" t="s">
        <v>461</v>
      </c>
      <c r="B1440">
        <v>88212</v>
      </c>
      <c r="C1440">
        <v>2013</v>
      </c>
      <c r="D1440" t="s">
        <v>125</v>
      </c>
      <c r="E1440" t="s">
        <v>297</v>
      </c>
      <c r="F1440">
        <v>4</v>
      </c>
      <c r="G1440" t="s">
        <v>30</v>
      </c>
      <c r="H1440">
        <v>4</v>
      </c>
      <c r="I1440" t="s">
        <v>23</v>
      </c>
      <c r="J1440" t="s">
        <v>24</v>
      </c>
      <c r="K1440" t="s">
        <v>27</v>
      </c>
      <c r="L1440" t="s">
        <v>60</v>
      </c>
      <c r="M1440" t="s">
        <v>33</v>
      </c>
      <c r="N1440">
        <v>0</v>
      </c>
      <c r="S1440" s="3">
        <v>1300</v>
      </c>
      <c r="T1440" s="2">
        <v>5957.751953125</v>
      </c>
      <c r="U1440" s="2">
        <v>6224.1034622973411</v>
      </c>
      <c r="V1440" s="2">
        <v>5804.9020609831496</v>
      </c>
      <c r="W1440" s="2">
        <v>6123.583984375</v>
      </c>
      <c r="X1440" s="4">
        <f t="shared" si="88"/>
        <v>0.21820310919760855</v>
      </c>
      <c r="Y1440" s="4">
        <f t="shared" si="89"/>
        <v>0.20886542260661023</v>
      </c>
      <c r="Z1440" s="4">
        <f t="shared" si="90"/>
        <v>0.22394865345580439</v>
      </c>
      <c r="AA1440" s="4">
        <f t="shared" si="91"/>
        <v>0.21229397740230124</v>
      </c>
    </row>
    <row r="1441" spans="1:27" x14ac:dyDescent="0.3">
      <c r="A1441" t="s">
        <v>461</v>
      </c>
      <c r="B1441">
        <v>72555</v>
      </c>
      <c r="C1441">
        <v>2021</v>
      </c>
      <c r="D1441" t="s">
        <v>44</v>
      </c>
      <c r="E1441" t="s">
        <v>45</v>
      </c>
      <c r="F1441">
        <v>6</v>
      </c>
      <c r="G1441" t="s">
        <v>30</v>
      </c>
      <c r="H1441">
        <v>4</v>
      </c>
      <c r="I1441" t="s">
        <v>23</v>
      </c>
      <c r="J1441" t="s">
        <v>46</v>
      </c>
      <c r="K1441" t="s">
        <v>27</v>
      </c>
      <c r="L1441" t="s">
        <v>38</v>
      </c>
      <c r="M1441">
        <v>4</v>
      </c>
      <c r="N1441">
        <v>0</v>
      </c>
      <c r="O1441" t="s">
        <v>27</v>
      </c>
      <c r="S1441" s="3">
        <v>48100</v>
      </c>
      <c r="T1441" s="2">
        <v>28689.50390625</v>
      </c>
      <c r="U1441" s="2">
        <v>33730.244132339729</v>
      </c>
      <c r="V1441" s="2">
        <v>34852.807038893217</v>
      </c>
      <c r="W1441" s="2">
        <v>29768.986328125</v>
      </c>
      <c r="X1441" s="4">
        <f t="shared" si="88"/>
        <v>1.6765713397198698</v>
      </c>
      <c r="Y1441" s="4">
        <f t="shared" si="89"/>
        <v>1.4260199188384439</v>
      </c>
      <c r="Z1441" s="4">
        <f t="shared" si="90"/>
        <v>1.3800896996997651</v>
      </c>
      <c r="AA1441" s="4">
        <f t="shared" si="91"/>
        <v>1.6157755413578296</v>
      </c>
    </row>
    <row r="1442" spans="1:27" x14ac:dyDescent="0.3">
      <c r="A1442" t="s">
        <v>461</v>
      </c>
      <c r="B1442">
        <v>223591</v>
      </c>
      <c r="C1442">
        <v>2011</v>
      </c>
      <c r="D1442" t="s">
        <v>100</v>
      </c>
      <c r="E1442" t="s">
        <v>358</v>
      </c>
      <c r="F1442">
        <v>6</v>
      </c>
      <c r="G1442" t="s">
        <v>36</v>
      </c>
      <c r="H1442">
        <v>4</v>
      </c>
      <c r="I1442" t="s">
        <v>23</v>
      </c>
      <c r="J1442" t="s">
        <v>24</v>
      </c>
      <c r="K1442" t="s">
        <v>27</v>
      </c>
      <c r="L1442" t="s">
        <v>53</v>
      </c>
      <c r="M1442" t="s">
        <v>33</v>
      </c>
      <c r="N1442">
        <v>0</v>
      </c>
      <c r="S1442" s="3">
        <v>500</v>
      </c>
      <c r="T1442" s="2">
        <v>1267.459228515625</v>
      </c>
      <c r="U1442" s="2">
        <v>1801.805421022264</v>
      </c>
      <c r="V1442" s="2">
        <v>1268.0202337303781</v>
      </c>
      <c r="W1442" s="2">
        <v>1961.095825195312</v>
      </c>
      <c r="X1442" s="4">
        <f t="shared" si="88"/>
        <v>0.39449000705574655</v>
      </c>
      <c r="Y1442" s="4">
        <f t="shared" si="89"/>
        <v>0.27749944259592818</v>
      </c>
      <c r="Z1442" s="4">
        <f t="shared" si="90"/>
        <v>0.39431547439038428</v>
      </c>
      <c r="AA1442" s="4">
        <f t="shared" si="91"/>
        <v>0.25495949436851378</v>
      </c>
    </row>
    <row r="1443" spans="1:27" x14ac:dyDescent="0.3">
      <c r="A1443" t="s">
        <v>461</v>
      </c>
      <c r="B1443">
        <v>187798</v>
      </c>
      <c r="C1443">
        <v>2016</v>
      </c>
      <c r="D1443" t="s">
        <v>226</v>
      </c>
      <c r="E1443" t="s">
        <v>260</v>
      </c>
      <c r="F1443">
        <v>4</v>
      </c>
      <c r="G1443" t="s">
        <v>36</v>
      </c>
      <c r="H1443">
        <v>4</v>
      </c>
      <c r="I1443" t="s">
        <v>23</v>
      </c>
      <c r="J1443" t="s">
        <v>24</v>
      </c>
      <c r="K1443" t="s">
        <v>27</v>
      </c>
      <c r="L1443" t="s">
        <v>127</v>
      </c>
      <c r="M1443" t="s">
        <v>33</v>
      </c>
      <c r="N1443">
        <v>0</v>
      </c>
      <c r="S1443" s="3">
        <v>2700</v>
      </c>
      <c r="T1443" s="2">
        <v>-348.21673583984381</v>
      </c>
      <c r="U1443" s="2">
        <v>3988.3463114079132</v>
      </c>
      <c r="V1443" s="2">
        <v>4810.34447690243</v>
      </c>
      <c r="W1443" s="2">
        <v>4065.364990234375</v>
      </c>
      <c r="X1443" s="4">
        <f t="shared" si="88"/>
        <v>-7.753791596167904</v>
      </c>
      <c r="Y1443" s="4">
        <f t="shared" si="89"/>
        <v>0.67697230611021886</v>
      </c>
      <c r="Z1443" s="4">
        <f t="shared" si="90"/>
        <v>0.56129036349983741</v>
      </c>
      <c r="AA1443" s="4">
        <f t="shared" si="91"/>
        <v>0.66414700930563697</v>
      </c>
    </row>
    <row r="1444" spans="1:27" x14ac:dyDescent="0.3">
      <c r="A1444" t="s">
        <v>461</v>
      </c>
      <c r="B1444">
        <v>72540</v>
      </c>
      <c r="C1444">
        <v>2022</v>
      </c>
      <c r="D1444" t="s">
        <v>28</v>
      </c>
      <c r="E1444" t="s">
        <v>137</v>
      </c>
      <c r="F1444">
        <v>4</v>
      </c>
      <c r="G1444" t="s">
        <v>36</v>
      </c>
      <c r="H1444">
        <v>4</v>
      </c>
      <c r="I1444" t="s">
        <v>23</v>
      </c>
      <c r="J1444" t="s">
        <v>31</v>
      </c>
      <c r="K1444" t="s">
        <v>27</v>
      </c>
      <c r="L1444" t="s">
        <v>107</v>
      </c>
      <c r="M1444" t="s">
        <v>33</v>
      </c>
      <c r="N1444">
        <v>0</v>
      </c>
      <c r="O1444" t="s">
        <v>27</v>
      </c>
      <c r="S1444" s="3">
        <v>19900</v>
      </c>
      <c r="T1444" s="2">
        <v>23779.607421875</v>
      </c>
      <c r="U1444" s="2">
        <v>22347.755106156241</v>
      </c>
      <c r="V1444" s="2">
        <v>19020.65634832787</v>
      </c>
      <c r="W1444" s="2">
        <v>20461.626953125</v>
      </c>
      <c r="X1444" s="4">
        <f t="shared" si="88"/>
        <v>0.83685149409547754</v>
      </c>
      <c r="Y1444" s="4">
        <f t="shared" si="89"/>
        <v>0.89046975436553155</v>
      </c>
      <c r="Z1444" s="4">
        <f t="shared" si="90"/>
        <v>1.0462309835984938</v>
      </c>
      <c r="AA1444" s="4">
        <f t="shared" si="91"/>
        <v>0.97255218490633144</v>
      </c>
    </row>
    <row r="1445" spans="1:27" x14ac:dyDescent="0.3">
      <c r="A1445" t="s">
        <v>461</v>
      </c>
      <c r="B1445">
        <v>388085</v>
      </c>
      <c r="C1445">
        <v>2013</v>
      </c>
      <c r="D1445" t="s">
        <v>40</v>
      </c>
      <c r="E1445" t="s">
        <v>79</v>
      </c>
      <c r="F1445">
        <v>8</v>
      </c>
      <c r="G1445" t="s">
        <v>47</v>
      </c>
      <c r="H1445">
        <v>4</v>
      </c>
      <c r="I1445" t="s">
        <v>23</v>
      </c>
      <c r="J1445" t="s">
        <v>42</v>
      </c>
      <c r="K1445" t="s">
        <v>27</v>
      </c>
      <c r="L1445" t="s">
        <v>130</v>
      </c>
      <c r="M1445">
        <v>4</v>
      </c>
      <c r="N1445">
        <v>0</v>
      </c>
      <c r="S1445" s="3">
        <v>4300</v>
      </c>
      <c r="T1445" s="2">
        <v>5949.826171875</v>
      </c>
      <c r="U1445" s="2">
        <v>14048.84202646284</v>
      </c>
      <c r="V1445" s="2">
        <v>4287.5143764717004</v>
      </c>
      <c r="W1445" s="2">
        <v>8319.3505859375</v>
      </c>
      <c r="X1445" s="4">
        <f t="shared" si="88"/>
        <v>0.72271018947179066</v>
      </c>
      <c r="Y1445" s="4">
        <f t="shared" si="89"/>
        <v>0.30607504817125747</v>
      </c>
      <c r="Z1445" s="4">
        <f t="shared" si="90"/>
        <v>1.0029120890175474</v>
      </c>
      <c r="AA1445" s="4">
        <f t="shared" si="91"/>
        <v>0.51686726693168161</v>
      </c>
    </row>
    <row r="1446" spans="1:27" x14ac:dyDescent="0.3">
      <c r="A1446" t="s">
        <v>461</v>
      </c>
      <c r="B1446">
        <v>193004</v>
      </c>
      <c r="C1446">
        <v>2015</v>
      </c>
      <c r="D1446" t="s">
        <v>187</v>
      </c>
      <c r="E1446" t="s">
        <v>188</v>
      </c>
      <c r="F1446">
        <v>4</v>
      </c>
      <c r="G1446" t="s">
        <v>22</v>
      </c>
      <c r="H1446">
        <v>4</v>
      </c>
      <c r="I1446" t="s">
        <v>23</v>
      </c>
      <c r="J1446" t="s">
        <v>24</v>
      </c>
      <c r="K1446" t="s">
        <v>27</v>
      </c>
      <c r="L1446" t="s">
        <v>102</v>
      </c>
      <c r="M1446" t="s">
        <v>23</v>
      </c>
      <c r="N1446">
        <v>0</v>
      </c>
      <c r="O1446" t="s">
        <v>27</v>
      </c>
      <c r="S1446" s="3">
        <v>2000</v>
      </c>
      <c r="T1446" s="2">
        <v>3820.024169921875</v>
      </c>
      <c r="U1446" s="2">
        <v>3266.6887531906641</v>
      </c>
      <c r="V1446" s="2">
        <v>3583.0626049183588</v>
      </c>
      <c r="W1446" s="2">
        <v>3506.1630859375</v>
      </c>
      <c r="X1446" s="4">
        <f t="shared" si="88"/>
        <v>0.52355689677243666</v>
      </c>
      <c r="Y1446" s="4">
        <f t="shared" si="89"/>
        <v>0.61224075848871284</v>
      </c>
      <c r="Z1446" s="4">
        <f t="shared" si="90"/>
        <v>0.5581817066926662</v>
      </c>
      <c r="AA1446" s="4">
        <f t="shared" si="91"/>
        <v>0.5704241220328824</v>
      </c>
    </row>
    <row r="1447" spans="1:27" x14ac:dyDescent="0.3">
      <c r="A1447" t="s">
        <v>461</v>
      </c>
      <c r="B1447">
        <v>102694</v>
      </c>
      <c r="C1447">
        <v>2016</v>
      </c>
      <c r="D1447" t="s">
        <v>40</v>
      </c>
      <c r="E1447" t="s">
        <v>41</v>
      </c>
      <c r="F1447">
        <v>8</v>
      </c>
      <c r="G1447" t="s">
        <v>36</v>
      </c>
      <c r="H1447">
        <v>4</v>
      </c>
      <c r="I1447" t="s">
        <v>23</v>
      </c>
      <c r="J1447" t="s">
        <v>42</v>
      </c>
      <c r="K1447" t="s">
        <v>27</v>
      </c>
      <c r="L1447" t="s">
        <v>43</v>
      </c>
      <c r="M1447" t="s">
        <v>78</v>
      </c>
      <c r="N1447">
        <v>0</v>
      </c>
      <c r="O1447" t="s">
        <v>27</v>
      </c>
      <c r="S1447" s="3">
        <v>9750</v>
      </c>
      <c r="T1447" s="2">
        <v>17441.0390625</v>
      </c>
      <c r="U1447" s="2">
        <v>24593.19180472532</v>
      </c>
      <c r="V1447" s="2">
        <v>14764.869412109239</v>
      </c>
      <c r="W1447" s="2">
        <v>18825.7109375</v>
      </c>
      <c r="X1447" s="4">
        <f t="shared" si="88"/>
        <v>0.55902632664607044</v>
      </c>
      <c r="Y1447" s="4">
        <f t="shared" si="89"/>
        <v>0.39645118362093373</v>
      </c>
      <c r="Z1447" s="4">
        <f t="shared" si="90"/>
        <v>0.66035125187112376</v>
      </c>
      <c r="AA1447" s="4">
        <f t="shared" si="91"/>
        <v>0.51790872771654128</v>
      </c>
    </row>
    <row r="1448" spans="1:27" x14ac:dyDescent="0.3">
      <c r="A1448" t="s">
        <v>557</v>
      </c>
      <c r="B1448">
        <v>33384</v>
      </c>
      <c r="C1448">
        <v>2023</v>
      </c>
      <c r="D1448" t="s">
        <v>239</v>
      </c>
      <c r="E1448" t="s">
        <v>240</v>
      </c>
      <c r="F1448">
        <v>6</v>
      </c>
      <c r="G1448" t="s">
        <v>59</v>
      </c>
      <c r="H1448">
        <v>4</v>
      </c>
      <c r="I1448" t="s">
        <v>23</v>
      </c>
      <c r="J1448" t="s">
        <v>24</v>
      </c>
      <c r="K1448" t="s">
        <v>25</v>
      </c>
      <c r="L1448" t="s">
        <v>218</v>
      </c>
      <c r="M1448" t="s">
        <v>23</v>
      </c>
      <c r="N1448">
        <v>0</v>
      </c>
      <c r="O1448" t="s">
        <v>27</v>
      </c>
      <c r="S1448" s="3">
        <v>46200</v>
      </c>
      <c r="T1448" s="2">
        <v>46024.54296875</v>
      </c>
      <c r="U1448" s="2">
        <v>47124.865274683587</v>
      </c>
      <c r="V1448" s="2">
        <v>48169.94761360305</v>
      </c>
      <c r="W1448" s="2">
        <v>48773.40234375</v>
      </c>
      <c r="X1448" s="4">
        <f t="shared" si="88"/>
        <v>1.0038122492898871</v>
      </c>
      <c r="Y1448" s="4">
        <f t="shared" si="89"/>
        <v>0.98037415556961938</v>
      </c>
      <c r="Z1448" s="4">
        <f t="shared" si="90"/>
        <v>0.95910421930692025</v>
      </c>
      <c r="AA1448" s="4">
        <f t="shared" si="91"/>
        <v>0.94723758810974634</v>
      </c>
    </row>
    <row r="1449" spans="1:27" x14ac:dyDescent="0.3">
      <c r="A1449" t="s">
        <v>461</v>
      </c>
      <c r="B1449">
        <v>90491</v>
      </c>
      <c r="C1449">
        <v>2018</v>
      </c>
      <c r="D1449" t="s">
        <v>239</v>
      </c>
      <c r="E1449" t="s">
        <v>304</v>
      </c>
      <c r="F1449">
        <v>6</v>
      </c>
      <c r="G1449" t="s">
        <v>59</v>
      </c>
      <c r="H1449">
        <v>4</v>
      </c>
      <c r="I1449" t="s">
        <v>23</v>
      </c>
      <c r="J1449" t="s">
        <v>24</v>
      </c>
      <c r="K1449" t="s">
        <v>27</v>
      </c>
      <c r="L1449" t="s">
        <v>218</v>
      </c>
      <c r="M1449" t="s">
        <v>23</v>
      </c>
      <c r="N1449">
        <v>0</v>
      </c>
      <c r="O1449" t="s">
        <v>27</v>
      </c>
      <c r="S1449" s="3">
        <v>16800</v>
      </c>
      <c r="T1449" s="2">
        <v>16362.1435546875</v>
      </c>
      <c r="U1449" s="2">
        <v>17049.924207052329</v>
      </c>
      <c r="V1449" s="2">
        <v>18440.5509702296</v>
      </c>
      <c r="W1449" s="2">
        <v>15532.4892578125</v>
      </c>
      <c r="X1449" s="4">
        <f t="shared" si="88"/>
        <v>1.0267603351510175</v>
      </c>
      <c r="Y1449" s="4">
        <f t="shared" si="89"/>
        <v>0.98534162357455213</v>
      </c>
      <c r="Z1449" s="4">
        <f t="shared" si="90"/>
        <v>0.91103568581664918</v>
      </c>
      <c r="AA1449" s="4">
        <f t="shared" si="91"/>
        <v>1.081603838325526</v>
      </c>
    </row>
    <row r="1450" spans="1:27" x14ac:dyDescent="0.3">
      <c r="A1450" t="s">
        <v>461</v>
      </c>
      <c r="B1450">
        <v>190559</v>
      </c>
      <c r="C1450">
        <v>2012</v>
      </c>
      <c r="D1450" t="s">
        <v>81</v>
      </c>
      <c r="E1450" t="s">
        <v>201</v>
      </c>
      <c r="F1450">
        <v>4</v>
      </c>
      <c r="G1450" t="s">
        <v>47</v>
      </c>
      <c r="H1450">
        <v>4</v>
      </c>
      <c r="I1450" t="s">
        <v>23</v>
      </c>
      <c r="J1450" t="s">
        <v>31</v>
      </c>
      <c r="L1450" t="s">
        <v>60</v>
      </c>
      <c r="M1450" t="s">
        <v>33</v>
      </c>
      <c r="N1450">
        <v>0</v>
      </c>
      <c r="O1450" t="s">
        <v>27</v>
      </c>
      <c r="S1450" s="3">
        <v>400</v>
      </c>
      <c r="T1450" s="2">
        <v>2976.637939453125</v>
      </c>
      <c r="U1450" s="2">
        <v>2571.4471161614929</v>
      </c>
      <c r="V1450" s="2">
        <v>2657.290255521888</v>
      </c>
      <c r="W1450" s="2">
        <v>2825.9765625</v>
      </c>
      <c r="X1450" s="4">
        <f t="shared" si="88"/>
        <v>0.13437979631257704</v>
      </c>
      <c r="Y1450" s="4">
        <f t="shared" si="89"/>
        <v>0.15555443372177796</v>
      </c>
      <c r="Z1450" s="4">
        <f t="shared" si="90"/>
        <v>0.15052928417164596</v>
      </c>
      <c r="AA1450" s="4">
        <f t="shared" si="91"/>
        <v>0.14154399060059436</v>
      </c>
    </row>
    <row r="1451" spans="1:27" x14ac:dyDescent="0.3">
      <c r="A1451" t="s">
        <v>461</v>
      </c>
      <c r="B1451">
        <v>179883</v>
      </c>
      <c r="C1451">
        <v>2014</v>
      </c>
      <c r="D1451" t="s">
        <v>40</v>
      </c>
      <c r="E1451" t="s">
        <v>41</v>
      </c>
      <c r="F1451">
        <v>8</v>
      </c>
      <c r="G1451" t="s">
        <v>30</v>
      </c>
      <c r="H1451">
        <v>4</v>
      </c>
      <c r="I1451" t="s">
        <v>23</v>
      </c>
      <c r="J1451" t="s">
        <v>42</v>
      </c>
      <c r="K1451" t="s">
        <v>27</v>
      </c>
      <c r="L1451" t="s">
        <v>43</v>
      </c>
      <c r="M1451">
        <v>4</v>
      </c>
      <c r="N1451">
        <v>0</v>
      </c>
      <c r="O1451" t="s">
        <v>27</v>
      </c>
      <c r="S1451" s="3">
        <v>11500</v>
      </c>
      <c r="T1451" s="2">
        <v>7525.064453125</v>
      </c>
      <c r="U1451" s="2">
        <v>14561.131152637759</v>
      </c>
      <c r="V1451" s="2">
        <v>5109.818338065912</v>
      </c>
      <c r="W1451" s="2">
        <v>12401.36328125</v>
      </c>
      <c r="X1451" s="4">
        <f t="shared" si="88"/>
        <v>1.5282261130965189</v>
      </c>
      <c r="Y1451" s="4">
        <f t="shared" si="89"/>
        <v>0.78977380805451824</v>
      </c>
      <c r="Z1451" s="4">
        <f t="shared" si="90"/>
        <v>2.2505692451588795</v>
      </c>
      <c r="AA1451" s="4">
        <f t="shared" si="91"/>
        <v>0.92731740367506221</v>
      </c>
    </row>
    <row r="1452" spans="1:27" x14ac:dyDescent="0.3">
      <c r="A1452" t="s">
        <v>557</v>
      </c>
      <c r="B1452">
        <v>78786</v>
      </c>
      <c r="C1452">
        <v>2021</v>
      </c>
      <c r="D1452" t="s">
        <v>20</v>
      </c>
      <c r="E1452" t="s">
        <v>151</v>
      </c>
      <c r="F1452">
        <v>6</v>
      </c>
      <c r="G1452" t="s">
        <v>66</v>
      </c>
      <c r="H1452">
        <v>4</v>
      </c>
      <c r="I1452" t="s">
        <v>23</v>
      </c>
      <c r="J1452" t="s">
        <v>42</v>
      </c>
      <c r="K1452" t="s">
        <v>25</v>
      </c>
      <c r="L1452" t="s">
        <v>218</v>
      </c>
      <c r="M1452">
        <v>4</v>
      </c>
      <c r="N1452">
        <v>0</v>
      </c>
      <c r="O1452" t="s">
        <v>27</v>
      </c>
      <c r="S1452" s="3">
        <v>35000</v>
      </c>
      <c r="T1452" s="2">
        <v>27522.60546875</v>
      </c>
      <c r="U1452" s="2">
        <v>33297.56393458556</v>
      </c>
      <c r="V1452" s="2">
        <v>35925.164435371189</v>
      </c>
      <c r="W1452" s="2">
        <v>31799.650390625</v>
      </c>
      <c r="X1452" s="4">
        <f t="shared" si="88"/>
        <v>1.2716819285056447</v>
      </c>
      <c r="Y1452" s="4">
        <f t="shared" si="89"/>
        <v>1.0511279464395338</v>
      </c>
      <c r="Z1452" s="4">
        <f t="shared" si="90"/>
        <v>0.97424745439827987</v>
      </c>
      <c r="AA1452" s="4">
        <f t="shared" si="91"/>
        <v>1.1006410312711647</v>
      </c>
    </row>
    <row r="1453" spans="1:27" x14ac:dyDescent="0.3">
      <c r="A1453" t="s">
        <v>557</v>
      </c>
      <c r="B1453">
        <v>37955</v>
      </c>
      <c r="C1453">
        <v>2022</v>
      </c>
      <c r="D1453" t="s">
        <v>44</v>
      </c>
      <c r="E1453" t="s">
        <v>558</v>
      </c>
      <c r="F1453">
        <v>8</v>
      </c>
      <c r="G1453" t="s">
        <v>47</v>
      </c>
      <c r="H1453">
        <v>4</v>
      </c>
      <c r="I1453" t="s">
        <v>23</v>
      </c>
      <c r="J1453" t="s">
        <v>42</v>
      </c>
      <c r="K1453" t="s">
        <v>25</v>
      </c>
      <c r="L1453" t="s">
        <v>166</v>
      </c>
      <c r="M1453">
        <v>4</v>
      </c>
      <c r="N1453">
        <v>0</v>
      </c>
      <c r="O1453" t="s">
        <v>27</v>
      </c>
      <c r="S1453" s="3">
        <v>38300</v>
      </c>
      <c r="T1453" s="2">
        <v>60900.40234375</v>
      </c>
      <c r="U1453" s="2">
        <v>61907.388410676169</v>
      </c>
      <c r="V1453" s="2">
        <v>57803.39850212224</v>
      </c>
      <c r="W1453" s="2">
        <v>64722.8828125</v>
      </c>
      <c r="X1453" s="4">
        <f t="shared" si="88"/>
        <v>0.62889568091549064</v>
      </c>
      <c r="Y1453" s="4">
        <f t="shared" si="89"/>
        <v>0.61866605882206815</v>
      </c>
      <c r="Z1453" s="4">
        <f t="shared" si="90"/>
        <v>0.66259079902704721</v>
      </c>
      <c r="AA1453" s="4">
        <f t="shared" si="91"/>
        <v>0.59175361689240269</v>
      </c>
    </row>
    <row r="1454" spans="1:27" x14ac:dyDescent="0.3">
      <c r="A1454" t="s">
        <v>557</v>
      </c>
      <c r="B1454">
        <v>34925</v>
      </c>
      <c r="C1454">
        <v>2022</v>
      </c>
      <c r="D1454" t="s">
        <v>239</v>
      </c>
      <c r="E1454" t="s">
        <v>560</v>
      </c>
      <c r="F1454">
        <v>8</v>
      </c>
      <c r="G1454" t="s">
        <v>36</v>
      </c>
      <c r="H1454">
        <v>4</v>
      </c>
      <c r="I1454" t="s">
        <v>23</v>
      </c>
      <c r="J1454" t="s">
        <v>31</v>
      </c>
      <c r="K1454" t="s">
        <v>25</v>
      </c>
      <c r="L1454" t="s">
        <v>522</v>
      </c>
      <c r="M1454" t="s">
        <v>23</v>
      </c>
      <c r="N1454">
        <v>0</v>
      </c>
      <c r="O1454" t="s">
        <v>27</v>
      </c>
      <c r="S1454" s="3">
        <v>48500</v>
      </c>
      <c r="T1454" s="2">
        <v>63994.40625</v>
      </c>
      <c r="U1454" s="2">
        <v>67022.553966106498</v>
      </c>
      <c r="V1454" s="2">
        <v>54332.316596299468</v>
      </c>
      <c r="W1454" s="2">
        <v>64722.8828125</v>
      </c>
      <c r="X1454" s="4">
        <f t="shared" si="88"/>
        <v>0.75787874037818737</v>
      </c>
      <c r="Y1454" s="4">
        <f t="shared" si="89"/>
        <v>0.72363700172521916</v>
      </c>
      <c r="Z1454" s="4">
        <f t="shared" si="90"/>
        <v>0.89265474101472964</v>
      </c>
      <c r="AA1454" s="4">
        <f t="shared" si="91"/>
        <v>0.74934857491596685</v>
      </c>
    </row>
    <row r="1455" spans="1:27" x14ac:dyDescent="0.3">
      <c r="A1455" t="s">
        <v>557</v>
      </c>
      <c r="B1455">
        <v>71494</v>
      </c>
      <c r="C1455">
        <v>2019</v>
      </c>
      <c r="D1455" t="s">
        <v>40</v>
      </c>
      <c r="E1455" t="s">
        <v>41</v>
      </c>
      <c r="F1455">
        <v>8</v>
      </c>
      <c r="G1455" t="s">
        <v>36</v>
      </c>
      <c r="H1455">
        <v>4</v>
      </c>
      <c r="I1455" t="s">
        <v>23</v>
      </c>
      <c r="J1455" t="s">
        <v>42</v>
      </c>
      <c r="K1455" t="s">
        <v>25</v>
      </c>
      <c r="L1455" t="s">
        <v>43</v>
      </c>
      <c r="M1455">
        <v>4</v>
      </c>
      <c r="N1455">
        <v>0</v>
      </c>
      <c r="O1455" t="s">
        <v>27</v>
      </c>
      <c r="S1455" s="3">
        <v>33800</v>
      </c>
      <c r="T1455" s="2">
        <v>41744.69921875</v>
      </c>
      <c r="U1455" s="2">
        <v>34846.363643329787</v>
      </c>
      <c r="V1455" s="2">
        <v>31996.649815178429</v>
      </c>
      <c r="W1455" s="2">
        <v>32302.251953125</v>
      </c>
      <c r="X1455" s="4">
        <f t="shared" si="88"/>
        <v>0.80968363966121071</v>
      </c>
      <c r="Y1455" s="4">
        <f t="shared" si="89"/>
        <v>0.969972085063456</v>
      </c>
      <c r="Z1455" s="4">
        <f t="shared" si="90"/>
        <v>1.0563605938508633</v>
      </c>
      <c r="AA1455" s="4">
        <f t="shared" si="91"/>
        <v>1.0463666758914654</v>
      </c>
    </row>
    <row r="1456" spans="1:27" x14ac:dyDescent="0.3">
      <c r="A1456" t="s">
        <v>556</v>
      </c>
      <c r="B1456">
        <v>106128</v>
      </c>
      <c r="C1456">
        <v>2019</v>
      </c>
      <c r="D1456" t="s">
        <v>44</v>
      </c>
      <c r="E1456" t="s">
        <v>45</v>
      </c>
      <c r="F1456">
        <v>6</v>
      </c>
      <c r="G1456" t="s">
        <v>66</v>
      </c>
      <c r="H1456">
        <v>4</v>
      </c>
      <c r="I1456" t="s">
        <v>23</v>
      </c>
      <c r="J1456" t="s">
        <v>46</v>
      </c>
      <c r="K1456" t="s">
        <v>27</v>
      </c>
      <c r="L1456" t="s">
        <v>38</v>
      </c>
      <c r="M1456">
        <v>4</v>
      </c>
      <c r="N1456">
        <v>3.1</v>
      </c>
      <c r="O1456" t="s">
        <v>27</v>
      </c>
      <c r="S1456" s="3">
        <v>16250</v>
      </c>
      <c r="T1456" s="2">
        <v>17911.15234375</v>
      </c>
      <c r="U1456" s="2">
        <v>18752.104968445728</v>
      </c>
      <c r="V1456" s="2">
        <v>22704.20853844034</v>
      </c>
      <c r="W1456" s="2">
        <v>16937.767578125</v>
      </c>
      <c r="X1456" s="4">
        <f t="shared" si="88"/>
        <v>0.90725597594899299</v>
      </c>
      <c r="Y1456" s="4">
        <f t="shared" si="89"/>
        <v>0.86656938126914107</v>
      </c>
      <c r="Z1456" s="4">
        <f t="shared" si="90"/>
        <v>0.71572633648458772</v>
      </c>
      <c r="AA1456" s="4">
        <f t="shared" si="91"/>
        <v>0.95939443761093723</v>
      </c>
    </row>
    <row r="1457" spans="1:27" x14ac:dyDescent="0.3">
      <c r="A1457" t="s">
        <v>556</v>
      </c>
      <c r="B1457">
        <v>146242</v>
      </c>
      <c r="C1457">
        <v>2015</v>
      </c>
      <c r="D1457" t="s">
        <v>40</v>
      </c>
      <c r="E1457" t="s">
        <v>496</v>
      </c>
      <c r="F1457">
        <v>4</v>
      </c>
      <c r="G1457" t="s">
        <v>47</v>
      </c>
      <c r="H1457">
        <v>4</v>
      </c>
      <c r="I1457" t="s">
        <v>23</v>
      </c>
      <c r="J1457" t="s">
        <v>31</v>
      </c>
      <c r="K1457" t="s">
        <v>27</v>
      </c>
      <c r="L1457" t="s">
        <v>32</v>
      </c>
      <c r="M1457" t="s">
        <v>33</v>
      </c>
      <c r="N1457">
        <v>0</v>
      </c>
      <c r="S1457" s="3">
        <v>500</v>
      </c>
      <c r="T1457" s="2">
        <v>3670.728271484375</v>
      </c>
      <c r="U1457" s="2">
        <v>3415.1684540731312</v>
      </c>
      <c r="V1457" s="2">
        <v>2240.3195939822449</v>
      </c>
      <c r="W1457" s="2">
        <v>2772.1806640625</v>
      </c>
      <c r="X1457" s="4">
        <f t="shared" si="88"/>
        <v>0.1362127520808859</v>
      </c>
      <c r="Y1457" s="4">
        <f t="shared" si="89"/>
        <v>0.14640566248018325</v>
      </c>
      <c r="Z1457" s="4">
        <f t="shared" si="90"/>
        <v>0.22318244296173514</v>
      </c>
      <c r="AA1457" s="4">
        <f t="shared" si="91"/>
        <v>0.18036342525644544</v>
      </c>
    </row>
    <row r="1458" spans="1:27" x14ac:dyDescent="0.3">
      <c r="A1458" t="s">
        <v>556</v>
      </c>
      <c r="B1458">
        <v>187906</v>
      </c>
      <c r="C1458">
        <v>2015</v>
      </c>
      <c r="D1458" t="s">
        <v>40</v>
      </c>
      <c r="E1458" t="s">
        <v>129</v>
      </c>
      <c r="F1458">
        <v>8</v>
      </c>
      <c r="G1458" t="s">
        <v>47</v>
      </c>
      <c r="H1458">
        <v>2</v>
      </c>
      <c r="I1458" t="s">
        <v>23</v>
      </c>
      <c r="J1458" t="s">
        <v>561</v>
      </c>
      <c r="L1458" t="s">
        <v>130</v>
      </c>
      <c r="M1458" t="s">
        <v>78</v>
      </c>
      <c r="N1458">
        <v>2.5</v>
      </c>
      <c r="O1458" t="s">
        <v>27</v>
      </c>
      <c r="S1458" s="3">
        <v>5250</v>
      </c>
      <c r="T1458" s="2">
        <v>9897.6494140625</v>
      </c>
      <c r="U1458" s="2">
        <v>17198.789206474819</v>
      </c>
      <c r="V1458" s="2">
        <v>11205.76764984106</v>
      </c>
      <c r="W1458" s="2">
        <v>12511.37890625</v>
      </c>
      <c r="X1458" s="4">
        <f t="shared" si="88"/>
        <v>0.53042897160419145</v>
      </c>
      <c r="Y1458" s="4">
        <f t="shared" si="89"/>
        <v>0.30525404648971077</v>
      </c>
      <c r="Z1458" s="4">
        <f t="shared" si="90"/>
        <v>0.46850873265023169</v>
      </c>
      <c r="AA1458" s="4">
        <f t="shared" si="91"/>
        <v>0.41961801647437819</v>
      </c>
    </row>
    <row r="1459" spans="1:27" x14ac:dyDescent="0.3">
      <c r="A1459" t="s">
        <v>556</v>
      </c>
      <c r="B1459">
        <v>160487</v>
      </c>
      <c r="C1459">
        <v>2016</v>
      </c>
      <c r="D1459" t="s">
        <v>125</v>
      </c>
      <c r="E1459" t="s">
        <v>126</v>
      </c>
      <c r="F1459">
        <v>4</v>
      </c>
      <c r="G1459" t="s">
        <v>66</v>
      </c>
      <c r="H1459">
        <v>4</v>
      </c>
      <c r="I1459" t="s">
        <v>23</v>
      </c>
      <c r="J1459" t="s">
        <v>31</v>
      </c>
      <c r="K1459" t="s">
        <v>27</v>
      </c>
      <c r="L1459" t="s">
        <v>32</v>
      </c>
      <c r="M1459" t="s">
        <v>33</v>
      </c>
      <c r="N1459">
        <v>0</v>
      </c>
      <c r="S1459" s="3">
        <v>2000</v>
      </c>
      <c r="T1459" s="2">
        <v>3743.208251953125</v>
      </c>
      <c r="U1459" s="2">
        <v>3983.504441550861</v>
      </c>
      <c r="V1459" s="2">
        <v>2767.2600525540288</v>
      </c>
      <c r="W1459" s="2">
        <v>4945.70068359375</v>
      </c>
      <c r="X1459" s="4">
        <f t="shared" si="88"/>
        <v>0.53430102344865349</v>
      </c>
      <c r="Y1459" s="4">
        <f t="shared" si="89"/>
        <v>0.50207048325051162</v>
      </c>
      <c r="Z1459" s="4">
        <f t="shared" si="90"/>
        <v>0.72273655602194309</v>
      </c>
      <c r="AA1459" s="4">
        <f t="shared" si="91"/>
        <v>0.4043916378996712</v>
      </c>
    </row>
    <row r="1460" spans="1:27" x14ac:dyDescent="0.3">
      <c r="A1460" t="s">
        <v>556</v>
      </c>
      <c r="B1460">
        <v>165379</v>
      </c>
      <c r="C1460">
        <v>2014</v>
      </c>
      <c r="D1460" t="s">
        <v>44</v>
      </c>
      <c r="E1460" t="s">
        <v>45</v>
      </c>
      <c r="F1460">
        <v>8</v>
      </c>
      <c r="G1460" t="s">
        <v>47</v>
      </c>
      <c r="H1460">
        <v>4</v>
      </c>
      <c r="I1460" t="s">
        <v>23</v>
      </c>
      <c r="J1460" t="s">
        <v>46</v>
      </c>
      <c r="K1460" t="s">
        <v>27</v>
      </c>
      <c r="L1460" t="s">
        <v>48</v>
      </c>
      <c r="M1460" t="s">
        <v>78</v>
      </c>
      <c r="N1460">
        <v>2</v>
      </c>
      <c r="O1460" t="s">
        <v>27</v>
      </c>
      <c r="S1460" s="3">
        <v>4500</v>
      </c>
      <c r="T1460" s="2">
        <v>6236.2822265625</v>
      </c>
      <c r="U1460" s="2">
        <v>13079.90862742947</v>
      </c>
      <c r="V1460" s="2">
        <v>3290.9624405783939</v>
      </c>
      <c r="W1460" s="2">
        <v>5963.90576171875</v>
      </c>
      <c r="X1460" s="4">
        <f t="shared" si="88"/>
        <v>0.72158376361366894</v>
      </c>
      <c r="Y1460" s="4">
        <f t="shared" si="89"/>
        <v>0.34403910059151255</v>
      </c>
      <c r="Z1460" s="4">
        <f t="shared" si="90"/>
        <v>1.3673811479930216</v>
      </c>
      <c r="AA1460" s="4">
        <f t="shared" si="91"/>
        <v>0.75453908559130822</v>
      </c>
    </row>
    <row r="1461" spans="1:27" x14ac:dyDescent="0.3">
      <c r="A1461" t="s">
        <v>556</v>
      </c>
      <c r="B1461">
        <v>39925</v>
      </c>
      <c r="C1461">
        <v>2020</v>
      </c>
      <c r="D1461" t="s">
        <v>34</v>
      </c>
      <c r="E1461" t="s">
        <v>562</v>
      </c>
      <c r="F1461">
        <v>4</v>
      </c>
      <c r="G1461" t="s">
        <v>30</v>
      </c>
      <c r="H1461">
        <v>4</v>
      </c>
      <c r="I1461" t="s">
        <v>23</v>
      </c>
      <c r="J1461" t="s">
        <v>62</v>
      </c>
      <c r="L1461" t="s">
        <v>128</v>
      </c>
      <c r="M1461" t="s">
        <v>23</v>
      </c>
      <c r="N1461">
        <v>2.9</v>
      </c>
      <c r="O1461" t="s">
        <v>27</v>
      </c>
      <c r="S1461" s="3">
        <v>24000</v>
      </c>
      <c r="T1461" s="2">
        <v>19111.0859375</v>
      </c>
      <c r="U1461" s="2">
        <v>20683.257555194668</v>
      </c>
      <c r="V1461" s="2">
        <v>22707.146009638211</v>
      </c>
      <c r="W1461" s="2">
        <v>22354.7578125</v>
      </c>
      <c r="X1461" s="4">
        <f t="shared" si="88"/>
        <v>1.2558156076786258</v>
      </c>
      <c r="Y1461" s="4">
        <f t="shared" si="89"/>
        <v>1.1603588040208068</v>
      </c>
      <c r="Z1461" s="4">
        <f t="shared" si="90"/>
        <v>1.0569359967039904</v>
      </c>
      <c r="AA1461" s="4">
        <f t="shared" si="91"/>
        <v>1.0735969587011154</v>
      </c>
    </row>
    <row r="1462" spans="1:27" x14ac:dyDescent="0.3">
      <c r="A1462" t="s">
        <v>556</v>
      </c>
      <c r="B1462">
        <v>172293</v>
      </c>
      <c r="C1462">
        <v>2017</v>
      </c>
      <c r="D1462" t="s">
        <v>125</v>
      </c>
      <c r="E1462" t="s">
        <v>297</v>
      </c>
      <c r="F1462">
        <v>4</v>
      </c>
      <c r="G1462" t="s">
        <v>36</v>
      </c>
      <c r="H1462">
        <v>4</v>
      </c>
      <c r="I1462" t="s">
        <v>23</v>
      </c>
      <c r="J1462" t="s">
        <v>24</v>
      </c>
      <c r="K1462" t="s">
        <v>27</v>
      </c>
      <c r="L1462" t="s">
        <v>127</v>
      </c>
      <c r="M1462" t="s">
        <v>33</v>
      </c>
      <c r="N1462">
        <v>0</v>
      </c>
      <c r="S1462" s="3">
        <v>2600</v>
      </c>
      <c r="T1462" s="2">
        <v>3974.554443359375</v>
      </c>
      <c r="U1462" s="2">
        <v>4227.947416280711</v>
      </c>
      <c r="V1462" s="2">
        <v>3260.751013116078</v>
      </c>
      <c r="W1462" s="2">
        <v>4294.6689453125</v>
      </c>
      <c r="X1462" s="4">
        <f t="shared" si="88"/>
        <v>0.6541613750804296</v>
      </c>
      <c r="Y1462" s="4">
        <f t="shared" si="89"/>
        <v>0.61495561415643096</v>
      </c>
      <c r="Z1462" s="4">
        <f t="shared" si="90"/>
        <v>0.79736232222016756</v>
      </c>
      <c r="AA1462" s="4">
        <f t="shared" si="91"/>
        <v>0.60540172784163504</v>
      </c>
    </row>
    <row r="1463" spans="1:27" x14ac:dyDescent="0.3">
      <c r="A1463" t="s">
        <v>556</v>
      </c>
      <c r="B1463">
        <v>89338</v>
      </c>
      <c r="C1463">
        <v>2015</v>
      </c>
      <c r="D1463" t="s">
        <v>40</v>
      </c>
      <c r="E1463" t="s">
        <v>122</v>
      </c>
      <c r="F1463">
        <v>4</v>
      </c>
      <c r="G1463" t="s">
        <v>30</v>
      </c>
      <c r="H1463">
        <v>4</v>
      </c>
      <c r="I1463" t="s">
        <v>23</v>
      </c>
      <c r="J1463" t="s">
        <v>24</v>
      </c>
      <c r="K1463" t="s">
        <v>27</v>
      </c>
      <c r="L1463" t="s">
        <v>73</v>
      </c>
      <c r="M1463" t="s">
        <v>33</v>
      </c>
      <c r="N1463">
        <v>0</v>
      </c>
      <c r="O1463" t="s">
        <v>39</v>
      </c>
      <c r="S1463" s="3">
        <v>1600</v>
      </c>
      <c r="T1463" s="2">
        <v>3634.676513671875</v>
      </c>
      <c r="U1463" s="2">
        <v>3557.1627416810438</v>
      </c>
      <c r="V1463" s="2">
        <v>1665.2885175198039</v>
      </c>
      <c r="W1463" s="2">
        <v>2399.49462890625</v>
      </c>
      <c r="X1463" s="4">
        <f t="shared" si="88"/>
        <v>0.44020423660306018</v>
      </c>
      <c r="Y1463" s="4">
        <f t="shared" si="89"/>
        <v>0.44979668240983323</v>
      </c>
      <c r="Z1463" s="4">
        <f t="shared" si="90"/>
        <v>0.96079447084818592</v>
      </c>
      <c r="AA1463" s="4">
        <f t="shared" si="91"/>
        <v>0.66680707709244602</v>
      </c>
    </row>
    <row r="1464" spans="1:27" x14ac:dyDescent="0.3">
      <c r="A1464" t="s">
        <v>556</v>
      </c>
      <c r="B1464">
        <v>191549</v>
      </c>
      <c r="C1464">
        <v>2014</v>
      </c>
      <c r="D1464" t="s">
        <v>40</v>
      </c>
      <c r="E1464" t="s">
        <v>63</v>
      </c>
      <c r="F1464">
        <v>4</v>
      </c>
      <c r="G1464" t="s">
        <v>59</v>
      </c>
      <c r="H1464">
        <v>4</v>
      </c>
      <c r="I1464" t="s">
        <v>23</v>
      </c>
      <c r="J1464" t="s">
        <v>24</v>
      </c>
      <c r="K1464" t="s">
        <v>27</v>
      </c>
      <c r="L1464" t="s">
        <v>60</v>
      </c>
      <c r="M1464" t="s">
        <v>33</v>
      </c>
      <c r="N1464">
        <v>0</v>
      </c>
      <c r="S1464" s="3">
        <v>1900</v>
      </c>
      <c r="T1464" s="2">
        <v>3339.701171875</v>
      </c>
      <c r="U1464" s="2">
        <v>3000.633562606065</v>
      </c>
      <c r="V1464" s="2">
        <v>2461.064519004331</v>
      </c>
      <c r="W1464" s="2">
        <v>3101.174072265625</v>
      </c>
      <c r="X1464" s="4">
        <f t="shared" si="88"/>
        <v>0.56891317582563461</v>
      </c>
      <c r="Y1464" s="4">
        <f t="shared" si="89"/>
        <v>0.63319960946842191</v>
      </c>
      <c r="Z1464" s="4">
        <f t="shared" si="90"/>
        <v>0.77202364477981256</v>
      </c>
      <c r="AA1464" s="4">
        <f t="shared" si="91"/>
        <v>0.61267118701657297</v>
      </c>
    </row>
    <row r="1465" spans="1:27" x14ac:dyDescent="0.3">
      <c r="A1465" t="s">
        <v>556</v>
      </c>
      <c r="B1465">
        <v>164619</v>
      </c>
      <c r="C1465">
        <v>2015</v>
      </c>
      <c r="D1465" t="s">
        <v>71</v>
      </c>
      <c r="E1465" t="s">
        <v>72</v>
      </c>
      <c r="F1465">
        <v>4</v>
      </c>
      <c r="G1465" t="s">
        <v>30</v>
      </c>
      <c r="H1465">
        <v>4</v>
      </c>
      <c r="I1465" t="s">
        <v>23</v>
      </c>
      <c r="J1465" t="s">
        <v>24</v>
      </c>
      <c r="K1465" t="s">
        <v>27</v>
      </c>
      <c r="L1465" t="s">
        <v>73</v>
      </c>
      <c r="M1465" t="s">
        <v>33</v>
      </c>
      <c r="N1465">
        <v>0</v>
      </c>
      <c r="S1465" s="3">
        <v>1900</v>
      </c>
      <c r="T1465" s="2">
        <v>4173.51171875</v>
      </c>
      <c r="U1465" s="2">
        <v>3235.6539495800712</v>
      </c>
      <c r="V1465" s="2">
        <v>3215.66287409291</v>
      </c>
      <c r="W1465" s="2">
        <v>3239.216796875</v>
      </c>
      <c r="X1465" s="4">
        <f t="shared" si="88"/>
        <v>0.45525210614936651</v>
      </c>
      <c r="Y1465" s="4">
        <f t="shared" si="89"/>
        <v>0.58720741760613349</v>
      </c>
      <c r="Z1465" s="4">
        <f t="shared" si="90"/>
        <v>0.59085795818567</v>
      </c>
      <c r="AA1465" s="4">
        <f t="shared" si="91"/>
        <v>0.58656154223237078</v>
      </c>
    </row>
    <row r="1466" spans="1:27" x14ac:dyDescent="0.3">
      <c r="A1466" t="s">
        <v>556</v>
      </c>
      <c r="B1466">
        <v>100037</v>
      </c>
      <c r="C1466">
        <v>2018</v>
      </c>
      <c r="D1466" t="s">
        <v>187</v>
      </c>
      <c r="E1466" t="s">
        <v>247</v>
      </c>
      <c r="F1466">
        <v>4</v>
      </c>
      <c r="G1466" t="s">
        <v>47</v>
      </c>
      <c r="H1466">
        <v>4</v>
      </c>
      <c r="I1466" t="s">
        <v>23</v>
      </c>
      <c r="J1466" t="s">
        <v>31</v>
      </c>
      <c r="K1466" t="s">
        <v>27</v>
      </c>
      <c r="L1466" t="s">
        <v>102</v>
      </c>
      <c r="M1466" t="s">
        <v>23</v>
      </c>
      <c r="N1466">
        <v>0</v>
      </c>
      <c r="S1466" s="3">
        <v>5750</v>
      </c>
      <c r="T1466" s="2">
        <v>10016.181640625</v>
      </c>
      <c r="U1466" s="2">
        <v>9143.7530103765639</v>
      </c>
      <c r="V1466" s="2">
        <v>9150.0761985305508</v>
      </c>
      <c r="W1466" s="2">
        <v>9242.072265625</v>
      </c>
      <c r="X1466" s="4">
        <f t="shared" si="88"/>
        <v>0.57407105884325849</v>
      </c>
      <c r="Y1466" s="4">
        <f t="shared" si="89"/>
        <v>0.62884463233802945</v>
      </c>
      <c r="Z1466" s="4">
        <f t="shared" si="90"/>
        <v>0.62841006733074167</v>
      </c>
      <c r="AA1466" s="4">
        <f t="shared" si="91"/>
        <v>0.62215484089932649</v>
      </c>
    </row>
    <row r="1467" spans="1:27" x14ac:dyDescent="0.3">
      <c r="A1467" t="s">
        <v>556</v>
      </c>
      <c r="B1467">
        <v>75033</v>
      </c>
      <c r="C1467">
        <v>2018</v>
      </c>
      <c r="D1467" t="s">
        <v>141</v>
      </c>
      <c r="E1467" t="s">
        <v>215</v>
      </c>
      <c r="F1467">
        <v>6</v>
      </c>
      <c r="G1467" t="s">
        <v>22</v>
      </c>
      <c r="H1467">
        <v>4</v>
      </c>
      <c r="I1467" t="s">
        <v>23</v>
      </c>
      <c r="J1467" t="s">
        <v>31</v>
      </c>
      <c r="K1467" t="s">
        <v>27</v>
      </c>
      <c r="L1467" t="s">
        <v>26</v>
      </c>
      <c r="M1467" t="s">
        <v>78</v>
      </c>
      <c r="N1467">
        <v>3.1</v>
      </c>
      <c r="O1467" t="s">
        <v>27</v>
      </c>
      <c r="S1467" s="3">
        <v>14000</v>
      </c>
      <c r="T1467" s="2">
        <v>17071.71875</v>
      </c>
      <c r="U1467" s="2">
        <v>15730.786422278559</v>
      </c>
      <c r="V1467" s="2">
        <v>13589.659117664731</v>
      </c>
      <c r="W1467" s="2">
        <v>15953.1826171875</v>
      </c>
      <c r="X1467" s="4">
        <f t="shared" si="88"/>
        <v>0.82006974253837217</v>
      </c>
      <c r="Y1467" s="4">
        <f t="shared" si="89"/>
        <v>0.88997457750571507</v>
      </c>
      <c r="Z1467" s="4">
        <f t="shared" si="90"/>
        <v>1.0301950828039448</v>
      </c>
      <c r="AA1467" s="4">
        <f t="shared" si="91"/>
        <v>0.87756783934240201</v>
      </c>
    </row>
    <row r="1468" spans="1:27" x14ac:dyDescent="0.3">
      <c r="A1468" t="s">
        <v>556</v>
      </c>
      <c r="B1468">
        <v>93411</v>
      </c>
      <c r="C1468">
        <v>2019</v>
      </c>
      <c r="D1468" t="s">
        <v>40</v>
      </c>
      <c r="E1468" t="s">
        <v>252</v>
      </c>
      <c r="F1468">
        <v>8</v>
      </c>
      <c r="G1468" t="s">
        <v>47</v>
      </c>
      <c r="H1468">
        <v>2</v>
      </c>
      <c r="I1468" t="s">
        <v>23</v>
      </c>
      <c r="J1468" t="s">
        <v>253</v>
      </c>
      <c r="K1468" t="s">
        <v>27</v>
      </c>
      <c r="L1468" t="s">
        <v>80</v>
      </c>
      <c r="M1468" t="s">
        <v>78</v>
      </c>
      <c r="N1468">
        <v>2.8</v>
      </c>
      <c r="O1468" t="s">
        <v>27</v>
      </c>
      <c r="S1468" s="3">
        <v>14000</v>
      </c>
      <c r="T1468" s="2">
        <v>20696.4140625</v>
      </c>
      <c r="U1468" s="2">
        <v>31480.389125975242</v>
      </c>
      <c r="V1468" s="2">
        <v>17625.09856020318</v>
      </c>
      <c r="W1468" s="2">
        <v>17028.62890625</v>
      </c>
      <c r="X1468" s="4">
        <f t="shared" si="88"/>
        <v>0.67644568560148366</v>
      </c>
      <c r="Y1468" s="4">
        <f t="shared" si="89"/>
        <v>0.44472131344933907</v>
      </c>
      <c r="Z1468" s="4">
        <f t="shared" si="90"/>
        <v>0.7943217992330257</v>
      </c>
      <c r="AA1468" s="4">
        <f t="shared" si="91"/>
        <v>0.82214487596600305</v>
      </c>
    </row>
    <row r="1469" spans="1:27" x14ac:dyDescent="0.3">
      <c r="A1469" t="s">
        <v>556</v>
      </c>
      <c r="B1469">
        <v>114903</v>
      </c>
      <c r="C1469">
        <v>2013</v>
      </c>
      <c r="D1469" t="s">
        <v>100</v>
      </c>
      <c r="E1469" t="s">
        <v>192</v>
      </c>
      <c r="F1469">
        <v>4</v>
      </c>
      <c r="G1469" t="s">
        <v>36</v>
      </c>
      <c r="H1469">
        <v>4</v>
      </c>
      <c r="I1469" t="s">
        <v>23</v>
      </c>
      <c r="J1469" t="s">
        <v>31</v>
      </c>
      <c r="K1469" t="s">
        <v>27</v>
      </c>
      <c r="L1469" t="s">
        <v>32</v>
      </c>
      <c r="M1469" t="s">
        <v>33</v>
      </c>
      <c r="N1469">
        <v>0</v>
      </c>
      <c r="O1469" t="s">
        <v>39</v>
      </c>
      <c r="S1469" s="3">
        <v>700</v>
      </c>
      <c r="T1469" s="2">
        <v>608.419677734375</v>
      </c>
      <c r="U1469" s="2">
        <v>627.7113116012406</v>
      </c>
      <c r="V1469" s="2">
        <v>3039.8150690474522</v>
      </c>
      <c r="W1469" s="2">
        <v>1003.54052734375</v>
      </c>
      <c r="X1469" s="4">
        <f t="shared" si="88"/>
        <v>1.1505216310666522</v>
      </c>
      <c r="Y1469" s="4">
        <f t="shared" si="89"/>
        <v>1.1151623159607509</v>
      </c>
      <c r="Z1469" s="4">
        <f t="shared" si="90"/>
        <v>0.23027716624200761</v>
      </c>
      <c r="AA1469" s="4">
        <f t="shared" si="91"/>
        <v>0.69753037463550682</v>
      </c>
    </row>
    <row r="1470" spans="1:27" x14ac:dyDescent="0.3">
      <c r="A1470" t="s">
        <v>556</v>
      </c>
      <c r="B1470">
        <v>143527</v>
      </c>
      <c r="C1470">
        <v>2012</v>
      </c>
      <c r="D1470" t="s">
        <v>85</v>
      </c>
      <c r="E1470" t="s">
        <v>270</v>
      </c>
      <c r="F1470">
        <v>4</v>
      </c>
      <c r="G1470" t="s">
        <v>272</v>
      </c>
      <c r="H1470">
        <v>4</v>
      </c>
      <c r="I1470" t="s">
        <v>23</v>
      </c>
      <c r="J1470" t="s">
        <v>24</v>
      </c>
      <c r="L1470" t="s">
        <v>60</v>
      </c>
      <c r="M1470" t="s">
        <v>33</v>
      </c>
      <c r="N1470">
        <v>2.4</v>
      </c>
      <c r="O1470" t="s">
        <v>27</v>
      </c>
      <c r="S1470" s="3">
        <v>1900</v>
      </c>
      <c r="T1470" s="2">
        <v>3274.216064453125</v>
      </c>
      <c r="U1470" s="2">
        <v>3017.0008752804938</v>
      </c>
      <c r="V1470" s="2">
        <v>2587.5216399528381</v>
      </c>
      <c r="W1470" s="2">
        <v>3188.277099609375</v>
      </c>
      <c r="X1470" s="4">
        <f t="shared" si="88"/>
        <v>0.58029157593707759</v>
      </c>
      <c r="Y1470" s="4">
        <f t="shared" si="89"/>
        <v>0.62976448418277475</v>
      </c>
      <c r="Z1470" s="4">
        <f t="shared" si="90"/>
        <v>0.7342933758168031</v>
      </c>
      <c r="AA1470" s="4">
        <f t="shared" si="91"/>
        <v>0.59593314528175312</v>
      </c>
    </row>
    <row r="1471" spans="1:27" x14ac:dyDescent="0.3">
      <c r="A1471" t="s">
        <v>556</v>
      </c>
      <c r="B1471">
        <v>148616</v>
      </c>
      <c r="C1471">
        <v>2015</v>
      </c>
      <c r="D1471" t="s">
        <v>81</v>
      </c>
      <c r="E1471" t="s">
        <v>201</v>
      </c>
      <c r="F1471">
        <v>6</v>
      </c>
      <c r="G1471" t="s">
        <v>36</v>
      </c>
      <c r="H1471">
        <v>4</v>
      </c>
      <c r="I1471" t="s">
        <v>23</v>
      </c>
      <c r="J1471" t="s">
        <v>24</v>
      </c>
      <c r="K1471" t="s">
        <v>27</v>
      </c>
      <c r="L1471" t="s">
        <v>26</v>
      </c>
      <c r="M1471" t="s">
        <v>33</v>
      </c>
      <c r="N1471">
        <v>2.5</v>
      </c>
      <c r="O1471" t="s">
        <v>27</v>
      </c>
      <c r="S1471" s="3">
        <v>800</v>
      </c>
      <c r="T1471" s="2">
        <v>3441.53857421875</v>
      </c>
      <c r="U1471" s="2">
        <v>3107.2402621882388</v>
      </c>
      <c r="V1471" s="2">
        <v>2382.7941770469479</v>
      </c>
      <c r="W1471" s="2">
        <v>2392.04150390625</v>
      </c>
      <c r="X1471" s="4">
        <f t="shared" si="88"/>
        <v>0.23245417209412067</v>
      </c>
      <c r="Y1471" s="4">
        <f t="shared" si="89"/>
        <v>0.25746319321847644</v>
      </c>
      <c r="Z1471" s="4">
        <f t="shared" si="90"/>
        <v>0.33574028663753852</v>
      </c>
      <c r="AA1471" s="4">
        <f t="shared" si="91"/>
        <v>0.33444235758183316</v>
      </c>
    </row>
    <row r="1472" spans="1:27" x14ac:dyDescent="0.3">
      <c r="A1472" t="s">
        <v>556</v>
      </c>
      <c r="B1472">
        <v>74492</v>
      </c>
      <c r="C1472">
        <v>2021</v>
      </c>
      <c r="D1472" t="s">
        <v>100</v>
      </c>
      <c r="E1472" t="s">
        <v>360</v>
      </c>
      <c r="F1472">
        <v>4</v>
      </c>
      <c r="G1472" t="s">
        <v>30</v>
      </c>
      <c r="H1472">
        <v>4</v>
      </c>
      <c r="I1472" t="s">
        <v>23</v>
      </c>
      <c r="J1472" t="s">
        <v>24</v>
      </c>
      <c r="K1472" t="s">
        <v>27</v>
      </c>
      <c r="L1472" t="s">
        <v>127</v>
      </c>
      <c r="M1472" t="s">
        <v>33</v>
      </c>
      <c r="N1472">
        <v>2.8</v>
      </c>
      <c r="O1472" t="s">
        <v>27</v>
      </c>
      <c r="S1472" s="3">
        <v>10500</v>
      </c>
      <c r="T1472" s="2">
        <v>9325.392578125</v>
      </c>
      <c r="U1472" s="2">
        <v>12649.70394470586</v>
      </c>
      <c r="V1472" s="2">
        <v>14626.176127174031</v>
      </c>
      <c r="W1472" s="2">
        <v>11631.4091796875</v>
      </c>
      <c r="X1472" s="4">
        <f t="shared" si="88"/>
        <v>1.125957959628459</v>
      </c>
      <c r="Y1472" s="4">
        <f t="shared" si="89"/>
        <v>0.83005895204325697</v>
      </c>
      <c r="Z1472" s="4">
        <f t="shared" si="90"/>
        <v>0.71789098590793043</v>
      </c>
      <c r="AA1472" s="4">
        <f t="shared" si="91"/>
        <v>0.90272810781488666</v>
      </c>
    </row>
    <row r="1473" spans="1:27" x14ac:dyDescent="0.3">
      <c r="A1473" t="s">
        <v>556</v>
      </c>
      <c r="B1473">
        <v>103912</v>
      </c>
      <c r="C1473">
        <v>2017</v>
      </c>
      <c r="D1473" t="s">
        <v>85</v>
      </c>
      <c r="E1473" t="s">
        <v>292</v>
      </c>
      <c r="F1473">
        <v>4</v>
      </c>
      <c r="G1473" t="s">
        <v>22</v>
      </c>
      <c r="H1473">
        <v>4</v>
      </c>
      <c r="I1473" t="s">
        <v>23</v>
      </c>
      <c r="J1473" t="s">
        <v>24</v>
      </c>
      <c r="K1473" t="s">
        <v>27</v>
      </c>
      <c r="L1473" t="s">
        <v>60</v>
      </c>
      <c r="M1473" t="s">
        <v>33</v>
      </c>
      <c r="N1473">
        <v>2.5</v>
      </c>
      <c r="O1473" t="s">
        <v>27</v>
      </c>
      <c r="S1473" s="3">
        <v>3700</v>
      </c>
      <c r="T1473" s="2">
        <v>5499.3701171875</v>
      </c>
      <c r="U1473" s="2">
        <v>5564.1799622871486</v>
      </c>
      <c r="V1473" s="2">
        <v>4745.5621403199029</v>
      </c>
      <c r="W1473" s="2">
        <v>5590.744140625</v>
      </c>
      <c r="X1473" s="4">
        <f t="shared" si="88"/>
        <v>0.67280432506918852</v>
      </c>
      <c r="Y1473" s="4">
        <f t="shared" si="89"/>
        <v>0.6649677086431115</v>
      </c>
      <c r="Z1473" s="4">
        <f t="shared" si="90"/>
        <v>0.7796758088074639</v>
      </c>
      <c r="AA1473" s="4">
        <f t="shared" si="91"/>
        <v>0.66180814341225958</v>
      </c>
    </row>
    <row r="1474" spans="1:27" x14ac:dyDescent="0.3">
      <c r="A1474" t="s">
        <v>461</v>
      </c>
      <c r="B1474">
        <v>171420</v>
      </c>
      <c r="C1474">
        <v>2009</v>
      </c>
      <c r="D1474" t="s">
        <v>282</v>
      </c>
      <c r="E1474" t="s">
        <v>283</v>
      </c>
      <c r="F1474">
        <v>6</v>
      </c>
      <c r="G1474" t="s">
        <v>47</v>
      </c>
      <c r="H1474">
        <v>4</v>
      </c>
      <c r="I1474" t="s">
        <v>23</v>
      </c>
      <c r="J1474" t="s">
        <v>37</v>
      </c>
      <c r="K1474" t="s">
        <v>27</v>
      </c>
      <c r="L1474" t="s">
        <v>128</v>
      </c>
      <c r="M1474" t="s">
        <v>78</v>
      </c>
      <c r="N1474">
        <v>0</v>
      </c>
      <c r="O1474" t="s">
        <v>27</v>
      </c>
      <c r="S1474" s="3">
        <v>4000</v>
      </c>
      <c r="T1474" s="2">
        <v>3155.255615234375</v>
      </c>
      <c r="U1474" s="2">
        <v>3841.803301017489</v>
      </c>
      <c r="V1474" s="2">
        <v>2926.9857747342121</v>
      </c>
      <c r="W1474" s="2">
        <v>4095.396240234375</v>
      </c>
      <c r="X1474" s="4">
        <f t="shared" ref="X1474:X1537" si="92">S1474/T1474</f>
        <v>1.267726133086329</v>
      </c>
      <c r="Y1474" s="4">
        <f t="shared" ref="Y1474:Y1537" si="93">S1474/U1474</f>
        <v>1.0411777195726322</v>
      </c>
      <c r="Z1474" s="4">
        <f t="shared" ref="Z1474:Z1537" si="94">S1474/V1474</f>
        <v>1.3665935907608653</v>
      </c>
      <c r="AA1474" s="4">
        <f t="shared" ref="AA1474:AA1537" si="95">S1474/W1474</f>
        <v>0.97670646876676437</v>
      </c>
    </row>
    <row r="1475" spans="1:27" x14ac:dyDescent="0.3">
      <c r="A1475" t="s">
        <v>461</v>
      </c>
      <c r="B1475">
        <v>123472</v>
      </c>
      <c r="C1475">
        <v>2015</v>
      </c>
      <c r="D1475" t="s">
        <v>100</v>
      </c>
      <c r="E1475" t="s">
        <v>412</v>
      </c>
      <c r="F1475">
        <v>6</v>
      </c>
      <c r="G1475" t="s">
        <v>66</v>
      </c>
      <c r="H1475">
        <v>4</v>
      </c>
      <c r="I1475" t="s">
        <v>23</v>
      </c>
      <c r="J1475" t="s">
        <v>24</v>
      </c>
      <c r="K1475" t="s">
        <v>27</v>
      </c>
      <c r="L1475" t="s">
        <v>53</v>
      </c>
      <c r="M1475" t="s">
        <v>33</v>
      </c>
      <c r="N1475">
        <v>0</v>
      </c>
      <c r="O1475" t="s">
        <v>27</v>
      </c>
      <c r="S1475" s="3">
        <v>4100</v>
      </c>
      <c r="T1475" s="2">
        <v>4775.5087890625</v>
      </c>
      <c r="U1475" s="2">
        <v>5741.2357964392359</v>
      </c>
      <c r="V1475" s="2">
        <v>6273.657305185623</v>
      </c>
      <c r="W1475" s="2">
        <v>5247.85498046875</v>
      </c>
      <c r="X1475" s="4">
        <f t="shared" si="92"/>
        <v>0.85854726294093742</v>
      </c>
      <c r="Y1475" s="4">
        <f t="shared" si="93"/>
        <v>0.71413196485377861</v>
      </c>
      <c r="Z1475" s="4">
        <f t="shared" si="94"/>
        <v>0.65352629264768081</v>
      </c>
      <c r="AA1475" s="4">
        <f t="shared" si="95"/>
        <v>0.78127158910816152</v>
      </c>
    </row>
    <row r="1476" spans="1:27" x14ac:dyDescent="0.3">
      <c r="A1476" t="s">
        <v>557</v>
      </c>
      <c r="B1476">
        <v>46310</v>
      </c>
      <c r="C1476">
        <v>2022</v>
      </c>
      <c r="D1476" t="s">
        <v>54</v>
      </c>
      <c r="E1476" t="s">
        <v>219</v>
      </c>
      <c r="F1476">
        <v>6</v>
      </c>
      <c r="G1476" t="s">
        <v>66</v>
      </c>
      <c r="H1476">
        <v>4</v>
      </c>
      <c r="I1476" t="s">
        <v>23</v>
      </c>
      <c r="J1476" t="s">
        <v>24</v>
      </c>
      <c r="K1476" t="s">
        <v>25</v>
      </c>
      <c r="L1476" t="s">
        <v>26</v>
      </c>
      <c r="M1476">
        <v>4</v>
      </c>
      <c r="N1476">
        <v>0</v>
      </c>
      <c r="O1476" t="s">
        <v>27</v>
      </c>
      <c r="S1476" s="3">
        <v>27800</v>
      </c>
      <c r="T1476" s="2">
        <v>34694.671875</v>
      </c>
      <c r="U1476" s="2">
        <v>35287.85471032068</v>
      </c>
      <c r="V1476" s="2">
        <v>38420.944446747773</v>
      </c>
      <c r="W1476" s="2">
        <v>35048.265625</v>
      </c>
      <c r="X1476" s="4">
        <f t="shared" si="92"/>
        <v>0.80127577226150093</v>
      </c>
      <c r="Y1476" s="4">
        <f t="shared" si="93"/>
        <v>0.78780646282442612</v>
      </c>
      <c r="Z1476" s="4">
        <f t="shared" si="94"/>
        <v>0.7235636812242181</v>
      </c>
      <c r="AA1476" s="4">
        <f t="shared" si="95"/>
        <v>0.79319188850732181</v>
      </c>
    </row>
    <row r="1477" spans="1:27" x14ac:dyDescent="0.3">
      <c r="A1477" t="s">
        <v>556</v>
      </c>
      <c r="B1477">
        <v>168873</v>
      </c>
      <c r="C1477">
        <v>2016</v>
      </c>
      <c r="D1477" t="s">
        <v>125</v>
      </c>
      <c r="E1477" t="s">
        <v>230</v>
      </c>
      <c r="F1477">
        <v>4</v>
      </c>
      <c r="G1477" t="s">
        <v>22</v>
      </c>
      <c r="H1477">
        <v>4</v>
      </c>
      <c r="I1477" t="s">
        <v>23</v>
      </c>
      <c r="J1477" t="s">
        <v>31</v>
      </c>
      <c r="K1477" t="s">
        <v>27</v>
      </c>
      <c r="L1477" t="s">
        <v>60</v>
      </c>
      <c r="M1477" t="s">
        <v>33</v>
      </c>
      <c r="N1477">
        <v>0</v>
      </c>
      <c r="S1477" s="3">
        <v>1400</v>
      </c>
      <c r="T1477" s="2">
        <v>3822.3505859375</v>
      </c>
      <c r="U1477" s="2">
        <v>3959.6692392948121</v>
      </c>
      <c r="V1477" s="2">
        <v>2643.3614088330091</v>
      </c>
      <c r="W1477" s="2">
        <v>5044.20068359375</v>
      </c>
      <c r="X1477" s="4">
        <f t="shared" si="92"/>
        <v>0.36626676923635065</v>
      </c>
      <c r="Y1477" s="4">
        <f t="shared" si="93"/>
        <v>0.35356488519463553</v>
      </c>
      <c r="Z1477" s="4">
        <f t="shared" si="94"/>
        <v>0.52962867480844089</v>
      </c>
      <c r="AA1477" s="4">
        <f t="shared" si="95"/>
        <v>0.2775464514236114</v>
      </c>
    </row>
    <row r="1478" spans="1:27" x14ac:dyDescent="0.3">
      <c r="A1478" t="s">
        <v>556</v>
      </c>
      <c r="B1478">
        <v>151796</v>
      </c>
      <c r="C1478">
        <v>2015</v>
      </c>
      <c r="D1478" t="s">
        <v>125</v>
      </c>
      <c r="E1478" t="s">
        <v>230</v>
      </c>
      <c r="F1478">
        <v>4</v>
      </c>
      <c r="G1478" t="s">
        <v>22</v>
      </c>
      <c r="H1478">
        <v>4</v>
      </c>
      <c r="I1478" t="s">
        <v>23</v>
      </c>
      <c r="J1478" t="s">
        <v>31</v>
      </c>
      <c r="K1478" t="s">
        <v>27</v>
      </c>
      <c r="L1478" t="s">
        <v>60</v>
      </c>
      <c r="M1478" t="s">
        <v>33</v>
      </c>
      <c r="N1478">
        <v>0</v>
      </c>
      <c r="S1478" s="3">
        <v>2400</v>
      </c>
      <c r="T1478" s="2">
        <v>3876.626708984375</v>
      </c>
      <c r="U1478" s="2">
        <v>4016.1336767987632</v>
      </c>
      <c r="V1478" s="2">
        <v>2748.402360579526</v>
      </c>
      <c r="W1478" s="2">
        <v>5044.20068359375</v>
      </c>
      <c r="X1478" s="4">
        <f t="shared" si="92"/>
        <v>0.6190949452104374</v>
      </c>
      <c r="Y1478" s="4">
        <f t="shared" si="93"/>
        <v>0.59758967035007315</v>
      </c>
      <c r="Z1478" s="4">
        <f t="shared" si="94"/>
        <v>0.87323458690886069</v>
      </c>
      <c r="AA1478" s="4">
        <f t="shared" si="95"/>
        <v>0.47579391672619092</v>
      </c>
    </row>
    <row r="1479" spans="1:27" x14ac:dyDescent="0.3">
      <c r="A1479" t="s">
        <v>556</v>
      </c>
      <c r="B1479">
        <v>186967</v>
      </c>
      <c r="C1479">
        <v>2016</v>
      </c>
      <c r="D1479" t="s">
        <v>81</v>
      </c>
      <c r="E1479" t="s">
        <v>201</v>
      </c>
      <c r="F1479">
        <v>6</v>
      </c>
      <c r="G1479" t="s">
        <v>47</v>
      </c>
      <c r="H1479">
        <v>4</v>
      </c>
      <c r="I1479" t="s">
        <v>23</v>
      </c>
      <c r="J1479" t="s">
        <v>24</v>
      </c>
      <c r="L1479" t="s">
        <v>26</v>
      </c>
      <c r="M1479" t="s">
        <v>33</v>
      </c>
      <c r="N1479">
        <v>0</v>
      </c>
      <c r="S1479" s="3">
        <v>500</v>
      </c>
      <c r="T1479" s="2">
        <v>4321.1982421875</v>
      </c>
      <c r="U1479" s="2">
        <v>4711.1482175212423</v>
      </c>
      <c r="V1479" s="2">
        <v>2730.5264704149249</v>
      </c>
      <c r="W1479" s="2">
        <v>4266.033203125</v>
      </c>
      <c r="X1479" s="4">
        <f t="shared" si="92"/>
        <v>0.11570864653200622</v>
      </c>
      <c r="Y1479" s="4">
        <f t="shared" si="93"/>
        <v>0.10613123954378019</v>
      </c>
      <c r="Z1479" s="4">
        <f t="shared" si="94"/>
        <v>0.1831148701239366</v>
      </c>
      <c r="AA1479" s="4">
        <f t="shared" si="95"/>
        <v>0.11720490117932854</v>
      </c>
    </row>
    <row r="1480" spans="1:27" x14ac:dyDescent="0.3">
      <c r="A1480" t="s">
        <v>556</v>
      </c>
      <c r="B1480">
        <v>151045</v>
      </c>
      <c r="C1480">
        <v>2011</v>
      </c>
      <c r="D1480" t="s">
        <v>28</v>
      </c>
      <c r="E1480" t="s">
        <v>310</v>
      </c>
      <c r="F1480">
        <v>4</v>
      </c>
      <c r="G1480" t="s">
        <v>30</v>
      </c>
      <c r="H1480">
        <v>4</v>
      </c>
      <c r="I1480" t="s">
        <v>23</v>
      </c>
      <c r="J1480" t="s">
        <v>31</v>
      </c>
      <c r="K1480" t="s">
        <v>27</v>
      </c>
      <c r="L1480" t="s">
        <v>60</v>
      </c>
      <c r="M1480" t="s">
        <v>33</v>
      </c>
      <c r="N1480">
        <v>0</v>
      </c>
      <c r="S1480" s="3">
        <v>2500</v>
      </c>
      <c r="T1480" s="2">
        <v>4624.97705078125</v>
      </c>
      <c r="U1480" s="2">
        <v>3541.267958608395</v>
      </c>
      <c r="V1480" s="2">
        <v>3462.4176591302571</v>
      </c>
      <c r="W1480" s="2">
        <v>4468.564453125</v>
      </c>
      <c r="X1480" s="4">
        <f t="shared" si="92"/>
        <v>0.54054322271235933</v>
      </c>
      <c r="Y1480" s="4">
        <f t="shared" si="93"/>
        <v>0.705961827577267</v>
      </c>
      <c r="Z1480" s="4">
        <f t="shared" si="94"/>
        <v>0.72203883127952506</v>
      </c>
      <c r="AA1480" s="4">
        <f t="shared" si="95"/>
        <v>0.55946378892480242</v>
      </c>
    </row>
    <row r="1481" spans="1:27" x14ac:dyDescent="0.3">
      <c r="A1481" t="s">
        <v>556</v>
      </c>
      <c r="B1481">
        <v>135980</v>
      </c>
      <c r="C1481">
        <v>2016</v>
      </c>
      <c r="D1481" t="s">
        <v>85</v>
      </c>
      <c r="E1481" t="s">
        <v>292</v>
      </c>
      <c r="F1481">
        <v>4</v>
      </c>
      <c r="G1481" t="s">
        <v>36</v>
      </c>
      <c r="H1481">
        <v>4</v>
      </c>
      <c r="I1481" t="s">
        <v>23</v>
      </c>
      <c r="J1481" t="s">
        <v>24</v>
      </c>
      <c r="K1481" t="s">
        <v>27</v>
      </c>
      <c r="L1481" t="s">
        <v>60</v>
      </c>
      <c r="M1481" t="s">
        <v>33</v>
      </c>
      <c r="N1481">
        <v>0</v>
      </c>
      <c r="O1481" t="s">
        <v>27</v>
      </c>
      <c r="S1481" s="3">
        <v>4200</v>
      </c>
      <c r="T1481" s="2">
        <v>4527.259765625</v>
      </c>
      <c r="U1481" s="2">
        <v>4665.4465594295471</v>
      </c>
      <c r="V1481" s="2">
        <v>3889.4934588630649</v>
      </c>
      <c r="W1481" s="2">
        <v>4098.0263671875</v>
      </c>
      <c r="X1481" s="4">
        <f t="shared" si="92"/>
        <v>0.92771349943074877</v>
      </c>
      <c r="Y1481" s="4">
        <f t="shared" si="93"/>
        <v>0.90023536793304126</v>
      </c>
      <c r="Z1481" s="4">
        <f t="shared" si="94"/>
        <v>1.0798321283789223</v>
      </c>
      <c r="AA1481" s="4">
        <f t="shared" si="95"/>
        <v>1.0248835960717562</v>
      </c>
    </row>
    <row r="1482" spans="1:27" x14ac:dyDescent="0.3">
      <c r="A1482" t="s">
        <v>556</v>
      </c>
      <c r="B1482">
        <v>224561</v>
      </c>
      <c r="C1482">
        <v>2017</v>
      </c>
      <c r="D1482" t="s">
        <v>40</v>
      </c>
      <c r="E1482" t="s">
        <v>150</v>
      </c>
      <c r="F1482">
        <v>6</v>
      </c>
      <c r="G1482" t="s">
        <v>22</v>
      </c>
      <c r="H1482">
        <v>4</v>
      </c>
      <c r="I1482" t="s">
        <v>23</v>
      </c>
      <c r="J1482" t="s">
        <v>24</v>
      </c>
      <c r="L1482" t="s">
        <v>26</v>
      </c>
      <c r="M1482" t="s">
        <v>33</v>
      </c>
      <c r="N1482">
        <v>0</v>
      </c>
      <c r="S1482" s="3">
        <v>1000</v>
      </c>
      <c r="T1482" s="2">
        <v>4715.515625</v>
      </c>
      <c r="U1482" s="2">
        <v>5877.2381788436123</v>
      </c>
      <c r="V1482" s="2">
        <v>3361.4228606161491</v>
      </c>
      <c r="W1482" s="2">
        <v>5470.6982421875</v>
      </c>
      <c r="X1482" s="4">
        <f t="shared" si="92"/>
        <v>0.21206588622002498</v>
      </c>
      <c r="Y1482" s="4">
        <f t="shared" si="93"/>
        <v>0.17014794527125274</v>
      </c>
      <c r="Z1482" s="4">
        <f t="shared" si="94"/>
        <v>0.2974930681041123</v>
      </c>
      <c r="AA1482" s="4">
        <f t="shared" si="95"/>
        <v>0.18279202319887825</v>
      </c>
    </row>
    <row r="1483" spans="1:27" x14ac:dyDescent="0.3">
      <c r="A1483" t="s">
        <v>556</v>
      </c>
      <c r="B1483">
        <v>131041</v>
      </c>
      <c r="C1483">
        <v>2017</v>
      </c>
      <c r="D1483" t="s">
        <v>125</v>
      </c>
      <c r="E1483" t="s">
        <v>230</v>
      </c>
      <c r="F1483">
        <v>4</v>
      </c>
      <c r="G1483" t="s">
        <v>47</v>
      </c>
      <c r="H1483">
        <v>4</v>
      </c>
      <c r="I1483" t="s">
        <v>23</v>
      </c>
      <c r="J1483" t="s">
        <v>31</v>
      </c>
      <c r="K1483" t="s">
        <v>27</v>
      </c>
      <c r="L1483" t="s">
        <v>60</v>
      </c>
      <c r="M1483" t="s">
        <v>33</v>
      </c>
      <c r="N1483">
        <v>0</v>
      </c>
      <c r="S1483" s="3">
        <v>3800</v>
      </c>
      <c r="T1483" s="2">
        <v>5296.3759765625</v>
      </c>
      <c r="U1483" s="2">
        <v>5664.4934795180379</v>
      </c>
      <c r="V1483" s="2">
        <v>4396.0510077160261</v>
      </c>
      <c r="W1483" s="2">
        <v>7285.486328125</v>
      </c>
      <c r="X1483" s="4">
        <f t="shared" si="92"/>
        <v>0.71747172346067267</v>
      </c>
      <c r="Y1483" s="4">
        <f t="shared" si="93"/>
        <v>0.67084550697078782</v>
      </c>
      <c r="Z1483" s="4">
        <f t="shared" si="94"/>
        <v>0.86441217204490417</v>
      </c>
      <c r="AA1483" s="4">
        <f t="shared" si="95"/>
        <v>0.52158494695548652</v>
      </c>
    </row>
    <row r="1484" spans="1:27" x14ac:dyDescent="0.3">
      <c r="A1484" t="s">
        <v>556</v>
      </c>
      <c r="B1484">
        <v>109731</v>
      </c>
      <c r="C1484">
        <v>2014</v>
      </c>
      <c r="D1484" t="s">
        <v>100</v>
      </c>
      <c r="E1484" t="s">
        <v>363</v>
      </c>
      <c r="F1484">
        <v>4</v>
      </c>
      <c r="G1484" t="s">
        <v>30</v>
      </c>
      <c r="H1484">
        <v>4</v>
      </c>
      <c r="I1484" t="s">
        <v>23</v>
      </c>
      <c r="J1484" t="s">
        <v>24</v>
      </c>
      <c r="K1484" t="s">
        <v>27</v>
      </c>
      <c r="L1484" t="s">
        <v>87</v>
      </c>
      <c r="M1484" t="s">
        <v>33</v>
      </c>
      <c r="N1484">
        <v>0</v>
      </c>
      <c r="S1484" s="3">
        <v>1400</v>
      </c>
      <c r="T1484" s="2">
        <v>3652.534912109375</v>
      </c>
      <c r="U1484" s="2">
        <v>3999.6673441099128</v>
      </c>
      <c r="V1484" s="2">
        <v>4336.087569604867</v>
      </c>
      <c r="W1484" s="2">
        <v>4357.1806640625</v>
      </c>
      <c r="X1484" s="4">
        <f t="shared" si="92"/>
        <v>0.38329544650169711</v>
      </c>
      <c r="Y1484" s="4">
        <f t="shared" si="93"/>
        <v>0.35002910981127017</v>
      </c>
      <c r="Z1484" s="4">
        <f t="shared" si="94"/>
        <v>0.32287170808397148</v>
      </c>
      <c r="AA1484" s="4">
        <f t="shared" si="95"/>
        <v>0.32130868741501378</v>
      </c>
    </row>
    <row r="1485" spans="1:27" x14ac:dyDescent="0.3">
      <c r="A1485" t="s">
        <v>556</v>
      </c>
      <c r="B1485">
        <v>152297</v>
      </c>
      <c r="C1485">
        <v>2016</v>
      </c>
      <c r="D1485" t="s">
        <v>125</v>
      </c>
      <c r="E1485" t="s">
        <v>297</v>
      </c>
      <c r="F1485">
        <v>4</v>
      </c>
      <c r="G1485" t="s">
        <v>59</v>
      </c>
      <c r="H1485">
        <v>4</v>
      </c>
      <c r="I1485" t="s">
        <v>23</v>
      </c>
      <c r="J1485" t="s">
        <v>24</v>
      </c>
      <c r="K1485" t="s">
        <v>27</v>
      </c>
      <c r="L1485" t="s">
        <v>87</v>
      </c>
      <c r="M1485" t="s">
        <v>23</v>
      </c>
      <c r="N1485">
        <v>1.8</v>
      </c>
      <c r="O1485" t="s">
        <v>27</v>
      </c>
      <c r="S1485" s="3">
        <v>3800</v>
      </c>
      <c r="T1485" s="2">
        <v>3779.093505859375</v>
      </c>
      <c r="U1485" s="2">
        <v>4292.4073980017529</v>
      </c>
      <c r="V1485" s="2">
        <v>3998.290411228877</v>
      </c>
      <c r="W1485" s="2">
        <v>3381.486328125</v>
      </c>
      <c r="X1485" s="4">
        <f t="shared" si="92"/>
        <v>1.0055321452375312</v>
      </c>
      <c r="Y1485" s="4">
        <f t="shared" si="93"/>
        <v>0.88528409530023089</v>
      </c>
      <c r="Z1485" s="4">
        <f t="shared" si="94"/>
        <v>0.95040620094228412</v>
      </c>
      <c r="AA1485" s="4">
        <f t="shared" si="95"/>
        <v>1.123766187783779</v>
      </c>
    </row>
    <row r="1486" spans="1:27" x14ac:dyDescent="0.3">
      <c r="A1486" t="s">
        <v>556</v>
      </c>
      <c r="B1486">
        <v>159949</v>
      </c>
      <c r="C1486">
        <v>2012</v>
      </c>
      <c r="D1486" t="s">
        <v>44</v>
      </c>
      <c r="E1486" t="s">
        <v>210</v>
      </c>
      <c r="F1486">
        <v>4</v>
      </c>
      <c r="G1486" t="s">
        <v>47</v>
      </c>
      <c r="H1486">
        <v>4</v>
      </c>
      <c r="I1486" t="s">
        <v>23</v>
      </c>
      <c r="J1486" t="s">
        <v>37</v>
      </c>
      <c r="K1486" t="s">
        <v>27</v>
      </c>
      <c r="L1486" t="s">
        <v>128</v>
      </c>
      <c r="M1486" t="s">
        <v>33</v>
      </c>
      <c r="N1486">
        <v>0</v>
      </c>
      <c r="S1486" s="3">
        <v>400</v>
      </c>
      <c r="T1486" s="2">
        <v>2966.228759765625</v>
      </c>
      <c r="U1486" s="2">
        <v>2707.5963027568519</v>
      </c>
      <c r="V1486" s="2">
        <v>2426.4786110884652</v>
      </c>
      <c r="W1486" s="2">
        <v>2736.481201171875</v>
      </c>
      <c r="X1486" s="4">
        <f t="shared" si="92"/>
        <v>0.13485136595857353</v>
      </c>
      <c r="Y1486" s="4">
        <f t="shared" si="93"/>
        <v>0.14773251078557145</v>
      </c>
      <c r="Z1486" s="4">
        <f t="shared" si="94"/>
        <v>0.16484793979723925</v>
      </c>
      <c r="AA1486" s="4">
        <f t="shared" si="95"/>
        <v>0.14617312182839165</v>
      </c>
    </row>
    <row r="1487" spans="1:27" x14ac:dyDescent="0.3">
      <c r="A1487" t="s">
        <v>556</v>
      </c>
      <c r="B1487">
        <v>120092</v>
      </c>
      <c r="C1487">
        <v>2018</v>
      </c>
      <c r="D1487" t="s">
        <v>44</v>
      </c>
      <c r="E1487" t="s">
        <v>210</v>
      </c>
      <c r="F1487">
        <v>4</v>
      </c>
      <c r="G1487" t="s">
        <v>66</v>
      </c>
      <c r="H1487">
        <v>4</v>
      </c>
      <c r="I1487" t="s">
        <v>23</v>
      </c>
      <c r="J1487" t="s">
        <v>37</v>
      </c>
      <c r="K1487" t="s">
        <v>27</v>
      </c>
      <c r="L1487" t="s">
        <v>200</v>
      </c>
      <c r="M1487" t="s">
        <v>33</v>
      </c>
      <c r="N1487">
        <v>0</v>
      </c>
      <c r="S1487" s="3">
        <v>4300</v>
      </c>
      <c r="T1487" s="2">
        <v>6926.4189453125</v>
      </c>
      <c r="U1487" s="2">
        <v>6559.7781764427318</v>
      </c>
      <c r="V1487" s="2">
        <v>5941.6438345431716</v>
      </c>
      <c r="W1487" s="2">
        <v>6334.85302734375</v>
      </c>
      <c r="X1487" s="4">
        <f t="shared" si="92"/>
        <v>0.62081142274971013</v>
      </c>
      <c r="Y1487" s="4">
        <f t="shared" si="93"/>
        <v>0.65550997066364591</v>
      </c>
      <c r="Z1487" s="4">
        <f t="shared" si="94"/>
        <v>0.72370544578941587</v>
      </c>
      <c r="AA1487" s="4">
        <f t="shared" si="95"/>
        <v>0.67878449293763987</v>
      </c>
    </row>
    <row r="1488" spans="1:27" x14ac:dyDescent="0.3">
      <c r="A1488" t="s">
        <v>556</v>
      </c>
      <c r="B1488">
        <v>1</v>
      </c>
      <c r="C1488">
        <v>2019</v>
      </c>
      <c r="D1488" t="s">
        <v>44</v>
      </c>
      <c r="E1488" t="s">
        <v>210</v>
      </c>
      <c r="F1488">
        <v>4</v>
      </c>
      <c r="G1488" t="s">
        <v>47</v>
      </c>
      <c r="H1488">
        <v>4</v>
      </c>
      <c r="I1488" t="s">
        <v>23</v>
      </c>
      <c r="J1488" t="s">
        <v>37</v>
      </c>
      <c r="K1488" t="s">
        <v>27</v>
      </c>
      <c r="L1488" t="s">
        <v>128</v>
      </c>
      <c r="M1488" t="s">
        <v>33</v>
      </c>
      <c r="N1488">
        <v>0</v>
      </c>
      <c r="S1488" s="3">
        <v>500</v>
      </c>
      <c r="T1488" s="2">
        <v>26841.234375</v>
      </c>
      <c r="U1488" s="2">
        <v>23302.260462791619</v>
      </c>
      <c r="V1488" s="2">
        <v>12529.273255077151</v>
      </c>
      <c r="W1488" s="2">
        <v>28207.330078125</v>
      </c>
      <c r="X1488" s="4">
        <f t="shared" si="92"/>
        <v>1.8628055364909052E-2</v>
      </c>
      <c r="Y1488" s="4">
        <f t="shared" si="93"/>
        <v>2.1457145790571935E-2</v>
      </c>
      <c r="Z1488" s="4">
        <f t="shared" si="94"/>
        <v>3.9906544443620337E-2</v>
      </c>
      <c r="AA1488" s="4">
        <f t="shared" si="95"/>
        <v>1.7725888930826311E-2</v>
      </c>
    </row>
    <row r="1489" spans="1:27" x14ac:dyDescent="0.3">
      <c r="A1489" t="s">
        <v>556</v>
      </c>
      <c r="B1489">
        <v>155167</v>
      </c>
      <c r="C1489">
        <v>2016</v>
      </c>
      <c r="D1489" t="s">
        <v>125</v>
      </c>
      <c r="E1489" t="s">
        <v>230</v>
      </c>
      <c r="F1489">
        <v>4</v>
      </c>
      <c r="G1489" t="s">
        <v>30</v>
      </c>
      <c r="H1489">
        <v>4</v>
      </c>
      <c r="I1489" t="s">
        <v>23</v>
      </c>
      <c r="J1489" t="s">
        <v>31</v>
      </c>
      <c r="K1489" t="s">
        <v>27</v>
      </c>
      <c r="L1489" t="s">
        <v>60</v>
      </c>
      <c r="M1489" t="s">
        <v>33</v>
      </c>
      <c r="N1489">
        <v>0</v>
      </c>
      <c r="O1489" t="s">
        <v>39</v>
      </c>
      <c r="S1489" s="3">
        <v>1800</v>
      </c>
      <c r="T1489" s="2">
        <v>2454.5908203125</v>
      </c>
      <c r="U1489" s="2">
        <v>1290.9835426917689</v>
      </c>
      <c r="V1489" s="2">
        <v>1703.5694173275749</v>
      </c>
      <c r="W1489" s="2">
        <v>3976.45556640625</v>
      </c>
      <c r="X1489" s="4">
        <f t="shared" si="92"/>
        <v>0.73331977986083952</v>
      </c>
      <c r="Y1489" s="4">
        <f t="shared" si="93"/>
        <v>1.394285783261733</v>
      </c>
      <c r="Z1489" s="4">
        <f t="shared" si="94"/>
        <v>1.0566050210173987</v>
      </c>
      <c r="AA1489" s="4">
        <f t="shared" si="95"/>
        <v>0.45266443191436506</v>
      </c>
    </row>
    <row r="1490" spans="1:27" x14ac:dyDescent="0.3">
      <c r="A1490" t="s">
        <v>556</v>
      </c>
      <c r="B1490">
        <v>86422</v>
      </c>
      <c r="C1490">
        <v>2022</v>
      </c>
      <c r="D1490" t="s">
        <v>20</v>
      </c>
      <c r="E1490" t="s">
        <v>453</v>
      </c>
      <c r="F1490">
        <v>8</v>
      </c>
      <c r="G1490" t="s">
        <v>47</v>
      </c>
      <c r="H1490">
        <v>4</v>
      </c>
      <c r="I1490" t="s">
        <v>23</v>
      </c>
      <c r="J1490" t="s">
        <v>42</v>
      </c>
      <c r="K1490" t="s">
        <v>27</v>
      </c>
      <c r="L1490" t="s">
        <v>130</v>
      </c>
      <c r="M1490">
        <v>4</v>
      </c>
      <c r="N1490">
        <v>2.5</v>
      </c>
      <c r="O1490" t="s">
        <v>27</v>
      </c>
      <c r="S1490" s="3">
        <v>46500</v>
      </c>
      <c r="T1490" s="2">
        <v>47659.453125</v>
      </c>
      <c r="U1490" s="2">
        <v>51153.714991126253</v>
      </c>
      <c r="V1490" s="2">
        <v>45123.053496454973</v>
      </c>
      <c r="W1490" s="2">
        <v>48631.30859375</v>
      </c>
      <c r="X1490" s="4">
        <f t="shared" si="92"/>
        <v>0.9756721269554014</v>
      </c>
      <c r="Y1490" s="4">
        <f t="shared" si="93"/>
        <v>0.90902488720646113</v>
      </c>
      <c r="Z1490" s="4">
        <f t="shared" si="94"/>
        <v>1.0305153662451767</v>
      </c>
      <c r="AA1490" s="4">
        <f t="shared" si="95"/>
        <v>0.95617414675072276</v>
      </c>
    </row>
    <row r="1491" spans="1:27" x14ac:dyDescent="0.3">
      <c r="A1491" t="s">
        <v>556</v>
      </c>
      <c r="B1491">
        <v>52561</v>
      </c>
      <c r="C1491">
        <v>2023</v>
      </c>
      <c r="D1491" t="s">
        <v>40</v>
      </c>
      <c r="E1491" t="s">
        <v>214</v>
      </c>
      <c r="F1491">
        <v>8</v>
      </c>
      <c r="G1491" t="s">
        <v>22</v>
      </c>
      <c r="H1491">
        <v>4</v>
      </c>
      <c r="I1491" t="s">
        <v>23</v>
      </c>
      <c r="J1491" t="s">
        <v>24</v>
      </c>
      <c r="K1491" t="s">
        <v>27</v>
      </c>
      <c r="L1491" t="s">
        <v>43</v>
      </c>
      <c r="M1491" t="s">
        <v>78</v>
      </c>
      <c r="N1491">
        <v>2.5</v>
      </c>
      <c r="O1491" t="s">
        <v>27</v>
      </c>
      <c r="S1491" s="3">
        <v>37000</v>
      </c>
      <c r="T1491" s="2">
        <v>53640.93359375</v>
      </c>
      <c r="U1491" s="2">
        <v>66961.474652077217</v>
      </c>
      <c r="V1491" s="2">
        <v>38508.206930988439</v>
      </c>
      <c r="W1491" s="2">
        <v>57738.25390625</v>
      </c>
      <c r="X1491" s="4">
        <f t="shared" si="92"/>
        <v>0.68977173813229586</v>
      </c>
      <c r="Y1491" s="4">
        <f t="shared" si="93"/>
        <v>0.55255652884359263</v>
      </c>
      <c r="Z1491" s="4">
        <f t="shared" si="94"/>
        <v>0.96083414287008129</v>
      </c>
      <c r="AA1491" s="4">
        <f t="shared" si="95"/>
        <v>0.64082298124354709</v>
      </c>
    </row>
    <row r="1492" spans="1:27" x14ac:dyDescent="0.3">
      <c r="A1492" t="s">
        <v>556</v>
      </c>
      <c r="B1492">
        <v>204102</v>
      </c>
      <c r="C1492">
        <v>2011</v>
      </c>
      <c r="D1492" t="s">
        <v>44</v>
      </c>
      <c r="E1492" t="s">
        <v>45</v>
      </c>
      <c r="F1492">
        <v>8</v>
      </c>
      <c r="G1492" t="s">
        <v>47</v>
      </c>
      <c r="H1492">
        <v>4</v>
      </c>
      <c r="I1492" t="s">
        <v>23</v>
      </c>
      <c r="J1492" t="s">
        <v>46</v>
      </c>
      <c r="K1492" t="s">
        <v>27</v>
      </c>
      <c r="L1492" t="s">
        <v>48</v>
      </c>
      <c r="M1492">
        <v>4</v>
      </c>
      <c r="N1492">
        <v>0</v>
      </c>
      <c r="O1492" t="s">
        <v>199</v>
      </c>
      <c r="S1492" s="3">
        <v>1500</v>
      </c>
      <c r="T1492" s="2">
        <v>1631.748901367188</v>
      </c>
      <c r="U1492" s="2">
        <v>8293.8086048840123</v>
      </c>
      <c r="V1492" s="2">
        <v>-2979.154684481864</v>
      </c>
      <c r="W1492" s="2">
        <v>1734.556030273438</v>
      </c>
      <c r="X1492" s="4">
        <f t="shared" si="92"/>
        <v>0.91925908376172338</v>
      </c>
      <c r="Y1492" s="4">
        <f t="shared" si="93"/>
        <v>0.18085780266459106</v>
      </c>
      <c r="Z1492" s="4">
        <f t="shared" si="94"/>
        <v>-0.50349852856360855</v>
      </c>
      <c r="AA1492" s="4">
        <f t="shared" si="95"/>
        <v>0.86477460158121144</v>
      </c>
    </row>
    <row r="1493" spans="1:27" x14ac:dyDescent="0.3">
      <c r="A1493" t="s">
        <v>556</v>
      </c>
      <c r="B1493">
        <v>147682</v>
      </c>
      <c r="C1493">
        <v>2011</v>
      </c>
      <c r="D1493" t="s">
        <v>324</v>
      </c>
      <c r="E1493" t="s">
        <v>415</v>
      </c>
      <c r="F1493">
        <v>6</v>
      </c>
      <c r="G1493" t="s">
        <v>30</v>
      </c>
      <c r="H1493">
        <v>4</v>
      </c>
      <c r="I1493" t="s">
        <v>23</v>
      </c>
      <c r="J1493" t="s">
        <v>31</v>
      </c>
      <c r="L1493" t="s">
        <v>26</v>
      </c>
      <c r="M1493" t="s">
        <v>78</v>
      </c>
      <c r="N1493">
        <v>2.5</v>
      </c>
      <c r="O1493" t="s">
        <v>199</v>
      </c>
      <c r="S1493" s="3">
        <v>1500</v>
      </c>
      <c r="T1493" s="2">
        <v>-779.1431884765625</v>
      </c>
      <c r="U1493" s="2">
        <v>5326.3671196719533</v>
      </c>
      <c r="V1493" s="2">
        <v>744.27083090788983</v>
      </c>
      <c r="W1493" s="2">
        <v>2313.03466796875</v>
      </c>
      <c r="X1493" s="4">
        <f t="shared" si="92"/>
        <v>-1.9251917005562345</v>
      </c>
      <c r="Y1493" s="4">
        <f t="shared" si="93"/>
        <v>0.28161783938249901</v>
      </c>
      <c r="Z1493" s="4">
        <f t="shared" si="94"/>
        <v>2.0153953879533919</v>
      </c>
      <c r="AA1493" s="4">
        <f t="shared" si="95"/>
        <v>0.6484987107077228</v>
      </c>
    </row>
    <row r="1494" spans="1:27" x14ac:dyDescent="0.3">
      <c r="A1494" t="s">
        <v>556</v>
      </c>
      <c r="B1494">
        <v>175632</v>
      </c>
      <c r="C1494">
        <v>2013</v>
      </c>
      <c r="D1494" t="s">
        <v>473</v>
      </c>
      <c r="E1494" t="s">
        <v>563</v>
      </c>
      <c r="F1494">
        <v>4</v>
      </c>
      <c r="G1494" t="s">
        <v>36</v>
      </c>
      <c r="H1494">
        <v>2</v>
      </c>
      <c r="I1494" t="s">
        <v>23</v>
      </c>
      <c r="J1494" t="s">
        <v>209</v>
      </c>
      <c r="L1494" t="s">
        <v>87</v>
      </c>
      <c r="M1494" t="s">
        <v>33</v>
      </c>
      <c r="N1494">
        <v>0</v>
      </c>
      <c r="S1494" s="3">
        <v>1000</v>
      </c>
      <c r="T1494" s="2">
        <v>2770.11083984375</v>
      </c>
      <c r="U1494" s="2">
        <v>2339.3223955460849</v>
      </c>
      <c r="V1494" s="2">
        <v>1647.3680883906979</v>
      </c>
      <c r="W1494" s="2">
        <v>2838.224365234375</v>
      </c>
      <c r="X1494" s="4">
        <f t="shared" si="92"/>
        <v>0.36099638527691752</v>
      </c>
      <c r="Y1494" s="4">
        <f t="shared" si="93"/>
        <v>0.42747421300455801</v>
      </c>
      <c r="Z1494" s="4">
        <f t="shared" si="94"/>
        <v>0.60702887657420435</v>
      </c>
      <c r="AA1494" s="4">
        <f t="shared" si="95"/>
        <v>0.35233296290775162</v>
      </c>
    </row>
    <row r="1495" spans="1:27" x14ac:dyDescent="0.3">
      <c r="A1495" t="s">
        <v>556</v>
      </c>
      <c r="B1495">
        <v>242949</v>
      </c>
      <c r="C1495">
        <v>2012</v>
      </c>
      <c r="D1495" t="s">
        <v>40</v>
      </c>
      <c r="E1495" t="s">
        <v>41</v>
      </c>
      <c r="F1495">
        <v>8</v>
      </c>
      <c r="G1495" t="s">
        <v>47</v>
      </c>
      <c r="H1495">
        <v>4</v>
      </c>
      <c r="I1495" t="s">
        <v>23</v>
      </c>
      <c r="J1495" t="s">
        <v>42</v>
      </c>
      <c r="K1495" t="s">
        <v>27</v>
      </c>
      <c r="L1495" t="s">
        <v>43</v>
      </c>
      <c r="M1495">
        <v>4</v>
      </c>
      <c r="N1495">
        <v>0</v>
      </c>
      <c r="S1495" s="3">
        <v>3800</v>
      </c>
      <c r="T1495" s="2">
        <v>4259.48291015625</v>
      </c>
      <c r="U1495" s="2">
        <v>11421.514426103729</v>
      </c>
      <c r="V1495" s="2">
        <v>513.03198931591578</v>
      </c>
      <c r="W1495" s="2">
        <v>6391.0087890625</v>
      </c>
      <c r="X1495" s="4">
        <f t="shared" si="92"/>
        <v>0.8921270680390182</v>
      </c>
      <c r="Y1495" s="4">
        <f t="shared" si="93"/>
        <v>0.3327054415231615</v>
      </c>
      <c r="Z1495" s="4">
        <f t="shared" si="94"/>
        <v>7.4069455299794749</v>
      </c>
      <c r="AA1495" s="4">
        <f t="shared" si="95"/>
        <v>0.59458531906626022</v>
      </c>
    </row>
    <row r="1496" spans="1:27" x14ac:dyDescent="0.3">
      <c r="A1496" t="s">
        <v>556</v>
      </c>
      <c r="B1496">
        <v>153948</v>
      </c>
      <c r="C1496">
        <v>2019</v>
      </c>
      <c r="D1496" t="s">
        <v>74</v>
      </c>
      <c r="E1496" t="s">
        <v>75</v>
      </c>
      <c r="F1496">
        <v>8</v>
      </c>
      <c r="G1496" t="s">
        <v>22</v>
      </c>
      <c r="H1496">
        <v>4</v>
      </c>
      <c r="I1496" t="s">
        <v>23</v>
      </c>
      <c r="J1496" t="s">
        <v>42</v>
      </c>
      <c r="K1496" t="s">
        <v>27</v>
      </c>
      <c r="L1496" t="s">
        <v>84</v>
      </c>
      <c r="M1496">
        <v>4</v>
      </c>
      <c r="N1496">
        <v>0</v>
      </c>
      <c r="S1496" s="3">
        <v>13250</v>
      </c>
      <c r="T1496" s="2">
        <v>15913.033203125</v>
      </c>
      <c r="U1496" s="2">
        <v>17165.433992623271</v>
      </c>
      <c r="V1496" s="2">
        <v>20633.352495087551</v>
      </c>
      <c r="W1496" s="2">
        <v>16083.6806640625</v>
      </c>
      <c r="X1496" s="4">
        <f t="shared" si="92"/>
        <v>0.83265081087105164</v>
      </c>
      <c r="Y1496" s="4">
        <f t="shared" si="93"/>
        <v>0.7719000874486539</v>
      </c>
      <c r="Z1496" s="4">
        <f t="shared" si="94"/>
        <v>0.64216418554156907</v>
      </c>
      <c r="AA1496" s="4">
        <f t="shared" si="95"/>
        <v>0.82381640600499495</v>
      </c>
    </row>
    <row r="1497" spans="1:27" x14ac:dyDescent="0.3">
      <c r="A1497" t="s">
        <v>556</v>
      </c>
      <c r="B1497">
        <v>162584</v>
      </c>
      <c r="C1497">
        <v>2019</v>
      </c>
      <c r="D1497" t="s">
        <v>44</v>
      </c>
      <c r="E1497" t="s">
        <v>203</v>
      </c>
      <c r="F1497">
        <v>4</v>
      </c>
      <c r="G1497" t="s">
        <v>47</v>
      </c>
      <c r="H1497">
        <v>4</v>
      </c>
      <c r="I1497" t="s">
        <v>233</v>
      </c>
      <c r="J1497" t="s">
        <v>145</v>
      </c>
      <c r="K1497" t="s">
        <v>27</v>
      </c>
      <c r="L1497" t="s">
        <v>118</v>
      </c>
      <c r="M1497" t="s">
        <v>33</v>
      </c>
      <c r="N1497">
        <v>0</v>
      </c>
      <c r="S1497" s="3">
        <v>2200</v>
      </c>
      <c r="T1497" s="2">
        <v>4036.6181640625</v>
      </c>
      <c r="U1497" s="2">
        <v>4024.3301686033778</v>
      </c>
      <c r="V1497" s="2">
        <v>2541.876828908677</v>
      </c>
      <c r="W1497" s="2">
        <v>3645.717529296875</v>
      </c>
      <c r="X1497" s="4">
        <f t="shared" si="92"/>
        <v>0.54501067739979003</v>
      </c>
      <c r="Y1497" s="4">
        <f t="shared" si="93"/>
        <v>0.54667482732002037</v>
      </c>
      <c r="Z1497" s="4">
        <f t="shared" si="94"/>
        <v>0.86550220489815888</v>
      </c>
      <c r="AA1497" s="4">
        <f t="shared" si="95"/>
        <v>0.60344773897617332</v>
      </c>
    </row>
    <row r="1498" spans="1:27" x14ac:dyDescent="0.3">
      <c r="A1498" t="s">
        <v>556</v>
      </c>
      <c r="B1498">
        <v>119899</v>
      </c>
      <c r="C1498">
        <v>2020</v>
      </c>
      <c r="D1498" t="s">
        <v>20</v>
      </c>
      <c r="E1498" t="s">
        <v>390</v>
      </c>
      <c r="F1498">
        <v>8</v>
      </c>
      <c r="G1498" t="s">
        <v>47</v>
      </c>
      <c r="H1498">
        <v>4</v>
      </c>
      <c r="I1498" t="s">
        <v>23</v>
      </c>
      <c r="J1498" t="s">
        <v>24</v>
      </c>
      <c r="K1498" t="s">
        <v>27</v>
      </c>
      <c r="L1498" t="s">
        <v>166</v>
      </c>
      <c r="M1498">
        <v>4</v>
      </c>
      <c r="N1498">
        <v>0</v>
      </c>
      <c r="S1498" s="3">
        <v>25200</v>
      </c>
      <c r="T1498" s="2">
        <v>25496.3203125</v>
      </c>
      <c r="U1498" s="2">
        <v>25502.478107897761</v>
      </c>
      <c r="V1498" s="2">
        <v>26191.891677382191</v>
      </c>
      <c r="W1498" s="2">
        <v>30612.373046875</v>
      </c>
      <c r="X1498" s="4">
        <f t="shared" si="92"/>
        <v>0.98837791850478429</v>
      </c>
      <c r="Y1498" s="4">
        <f t="shared" si="93"/>
        <v>0.98813926605022406</v>
      </c>
      <c r="Z1498" s="4">
        <f t="shared" si="94"/>
        <v>0.96212981904477213</v>
      </c>
      <c r="AA1498" s="4">
        <f t="shared" si="95"/>
        <v>0.82319655393630087</v>
      </c>
    </row>
    <row r="1499" spans="1:27" x14ac:dyDescent="0.3">
      <c r="A1499" t="s">
        <v>461</v>
      </c>
      <c r="B1499">
        <v>151350</v>
      </c>
      <c r="C1499">
        <v>2014</v>
      </c>
      <c r="D1499" t="s">
        <v>103</v>
      </c>
      <c r="E1499" t="s">
        <v>356</v>
      </c>
      <c r="F1499">
        <v>6</v>
      </c>
      <c r="G1499" t="s">
        <v>47</v>
      </c>
      <c r="H1499">
        <v>4</v>
      </c>
      <c r="I1499" t="s">
        <v>23</v>
      </c>
      <c r="J1499" t="s">
        <v>24</v>
      </c>
      <c r="K1499" t="s">
        <v>27</v>
      </c>
      <c r="L1499" t="s">
        <v>53</v>
      </c>
      <c r="M1499" t="s">
        <v>33</v>
      </c>
      <c r="N1499">
        <v>0</v>
      </c>
      <c r="O1499" t="s">
        <v>27</v>
      </c>
      <c r="S1499" s="3">
        <v>3200</v>
      </c>
      <c r="T1499" s="2">
        <v>4869.34228515625</v>
      </c>
      <c r="U1499" s="2">
        <v>5221.5015249116432</v>
      </c>
      <c r="V1499" s="2">
        <v>5260.4868657072439</v>
      </c>
      <c r="W1499" s="2">
        <v>5362.462890625</v>
      </c>
      <c r="X1499" s="4">
        <f t="shared" si="92"/>
        <v>0.65717294299784812</v>
      </c>
      <c r="Y1499" s="4">
        <f t="shared" si="93"/>
        <v>0.61285053441675463</v>
      </c>
      <c r="Z1499" s="4">
        <f t="shared" si="94"/>
        <v>0.60830871394444164</v>
      </c>
      <c r="AA1499" s="4">
        <f t="shared" si="95"/>
        <v>0.59674072627979291</v>
      </c>
    </row>
    <row r="1500" spans="1:27" x14ac:dyDescent="0.3">
      <c r="A1500" t="s">
        <v>461</v>
      </c>
      <c r="B1500">
        <v>169501</v>
      </c>
      <c r="C1500">
        <v>2012</v>
      </c>
      <c r="D1500" t="s">
        <v>54</v>
      </c>
      <c r="E1500" t="s">
        <v>219</v>
      </c>
      <c r="F1500">
        <v>6</v>
      </c>
      <c r="G1500" t="s">
        <v>36</v>
      </c>
      <c r="H1500">
        <v>4</v>
      </c>
      <c r="I1500" t="s">
        <v>23</v>
      </c>
      <c r="J1500" t="s">
        <v>24</v>
      </c>
      <c r="K1500" t="s">
        <v>27</v>
      </c>
      <c r="L1500" t="s">
        <v>26</v>
      </c>
      <c r="M1500">
        <v>4</v>
      </c>
      <c r="N1500">
        <v>0</v>
      </c>
      <c r="S1500" s="3">
        <v>2100</v>
      </c>
      <c r="T1500" s="2">
        <v>3765.403564453125</v>
      </c>
      <c r="U1500" s="2">
        <v>5036.9963935338492</v>
      </c>
      <c r="V1500" s="2">
        <v>3036.6054181214149</v>
      </c>
      <c r="W1500" s="2">
        <v>3705.287353515625</v>
      </c>
      <c r="X1500" s="4">
        <f t="shared" si="92"/>
        <v>0.55770914433311136</v>
      </c>
      <c r="Y1500" s="4">
        <f t="shared" si="93"/>
        <v>0.41691512876519748</v>
      </c>
      <c r="Z1500" s="4">
        <f t="shared" si="94"/>
        <v>0.69156169829241676</v>
      </c>
      <c r="AA1500" s="4">
        <f t="shared" si="95"/>
        <v>0.56675766267020899</v>
      </c>
    </row>
    <row r="1501" spans="1:27" x14ac:dyDescent="0.3">
      <c r="A1501" t="s">
        <v>461</v>
      </c>
      <c r="B1501">
        <v>139035</v>
      </c>
      <c r="C1501">
        <v>2018</v>
      </c>
      <c r="D1501" t="s">
        <v>324</v>
      </c>
      <c r="E1501" t="s">
        <v>564</v>
      </c>
      <c r="F1501">
        <v>8</v>
      </c>
      <c r="G1501" t="s">
        <v>36</v>
      </c>
      <c r="H1501">
        <v>4</v>
      </c>
      <c r="I1501" t="s">
        <v>23</v>
      </c>
      <c r="J1501" t="s">
        <v>24</v>
      </c>
      <c r="K1501" t="s">
        <v>27</v>
      </c>
      <c r="L1501" t="s">
        <v>166</v>
      </c>
      <c r="M1501" t="s">
        <v>78</v>
      </c>
      <c r="N1501">
        <v>0</v>
      </c>
      <c r="O1501" t="s">
        <v>27</v>
      </c>
      <c r="S1501" s="3">
        <v>17250</v>
      </c>
      <c r="T1501" s="2">
        <v>15790.1162109375</v>
      </c>
      <c r="U1501" s="2">
        <v>23640.564213903741</v>
      </c>
      <c r="V1501" s="2">
        <v>18252.464959998939</v>
      </c>
      <c r="W1501" s="2">
        <v>19626.978515625</v>
      </c>
      <c r="X1501" s="4">
        <f t="shared" si="92"/>
        <v>1.0924555443139341</v>
      </c>
      <c r="Y1501" s="4">
        <f t="shared" si="93"/>
        <v>0.72967801630786566</v>
      </c>
      <c r="Z1501" s="4">
        <f t="shared" si="94"/>
        <v>0.94507783128493139</v>
      </c>
      <c r="AA1501" s="4">
        <f t="shared" si="95"/>
        <v>0.87889228524234175</v>
      </c>
    </row>
    <row r="1502" spans="1:27" x14ac:dyDescent="0.3">
      <c r="A1502" t="s">
        <v>461</v>
      </c>
      <c r="B1502">
        <v>113405</v>
      </c>
      <c r="C1502">
        <v>2016</v>
      </c>
      <c r="D1502" t="s">
        <v>100</v>
      </c>
      <c r="E1502" t="s">
        <v>138</v>
      </c>
      <c r="F1502">
        <v>4</v>
      </c>
      <c r="G1502" t="s">
        <v>22</v>
      </c>
      <c r="H1502">
        <v>4</v>
      </c>
      <c r="I1502" t="s">
        <v>23</v>
      </c>
      <c r="J1502" t="s">
        <v>24</v>
      </c>
      <c r="K1502" t="s">
        <v>27</v>
      </c>
      <c r="L1502" t="s">
        <v>102</v>
      </c>
      <c r="M1502" t="s">
        <v>33</v>
      </c>
      <c r="N1502">
        <v>0</v>
      </c>
      <c r="S1502" s="3">
        <v>3500</v>
      </c>
      <c r="T1502" s="2">
        <v>5602.69921875</v>
      </c>
      <c r="U1502" s="2">
        <v>5847.5909102141704</v>
      </c>
      <c r="V1502" s="2">
        <v>8154.6680422926083</v>
      </c>
      <c r="W1502" s="2">
        <v>6171.578125</v>
      </c>
      <c r="X1502" s="4">
        <f t="shared" si="92"/>
        <v>0.62469889304192805</v>
      </c>
      <c r="Y1502" s="4">
        <f t="shared" si="93"/>
        <v>0.59853708197788602</v>
      </c>
      <c r="Z1502" s="4">
        <f t="shared" si="94"/>
        <v>0.42920202046826761</v>
      </c>
      <c r="AA1502" s="4">
        <f t="shared" si="95"/>
        <v>0.56711588658694978</v>
      </c>
    </row>
    <row r="1503" spans="1:27" x14ac:dyDescent="0.3">
      <c r="A1503" t="s">
        <v>461</v>
      </c>
      <c r="B1503">
        <v>149977</v>
      </c>
      <c r="C1503">
        <v>2008</v>
      </c>
      <c r="D1503" t="s">
        <v>44</v>
      </c>
      <c r="E1503" t="s">
        <v>45</v>
      </c>
      <c r="F1503">
        <v>8</v>
      </c>
      <c r="G1503" t="s">
        <v>47</v>
      </c>
      <c r="H1503">
        <v>4</v>
      </c>
      <c r="I1503" t="s">
        <v>23</v>
      </c>
      <c r="J1503" t="s">
        <v>42</v>
      </c>
      <c r="L1503" t="s">
        <v>311</v>
      </c>
      <c r="M1503" t="s">
        <v>78</v>
      </c>
      <c r="N1503">
        <v>0</v>
      </c>
      <c r="O1503" t="s">
        <v>27</v>
      </c>
      <c r="S1503" s="3">
        <v>5250</v>
      </c>
      <c r="T1503" s="2">
        <v>5307.7412109375</v>
      </c>
      <c r="U1503" s="2">
        <v>12377.36757453041</v>
      </c>
      <c r="V1503" s="2">
        <v>2831.955365430716</v>
      </c>
      <c r="W1503" s="2">
        <v>5766.56396484375</v>
      </c>
      <c r="X1503" s="4">
        <f t="shared" si="92"/>
        <v>0.98912132136010811</v>
      </c>
      <c r="Y1503" s="4">
        <f t="shared" si="93"/>
        <v>0.42416127406632198</v>
      </c>
      <c r="Z1503" s="4">
        <f t="shared" si="94"/>
        <v>1.8538427773565986</v>
      </c>
      <c r="AA1503" s="4">
        <f t="shared" si="95"/>
        <v>0.91042083847625421</v>
      </c>
    </row>
    <row r="1504" spans="1:27" x14ac:dyDescent="0.3">
      <c r="A1504" t="s">
        <v>461</v>
      </c>
      <c r="B1504">
        <v>223860</v>
      </c>
      <c r="C1504">
        <v>2017</v>
      </c>
      <c r="D1504" t="s">
        <v>187</v>
      </c>
      <c r="E1504" t="s">
        <v>411</v>
      </c>
      <c r="F1504">
        <v>4</v>
      </c>
      <c r="G1504" t="s">
        <v>59</v>
      </c>
      <c r="H1504">
        <v>4</v>
      </c>
      <c r="I1504" t="s">
        <v>23</v>
      </c>
      <c r="J1504" t="s">
        <v>24</v>
      </c>
      <c r="K1504" t="s">
        <v>27</v>
      </c>
      <c r="L1504" t="s">
        <v>102</v>
      </c>
      <c r="M1504" t="s">
        <v>23</v>
      </c>
      <c r="N1504">
        <v>0</v>
      </c>
      <c r="O1504" t="s">
        <v>27</v>
      </c>
      <c r="S1504" s="3">
        <v>2250</v>
      </c>
      <c r="T1504" s="2">
        <v>3792.989501953125</v>
      </c>
      <c r="U1504" s="2">
        <v>3420.862087167317</v>
      </c>
      <c r="V1504" s="2">
        <v>3744.756269118066</v>
      </c>
      <c r="W1504" s="2">
        <v>3833.74755859375</v>
      </c>
      <c r="X1504" s="4">
        <f t="shared" si="92"/>
        <v>0.59319963813277288</v>
      </c>
      <c r="Y1504" s="4">
        <f t="shared" si="93"/>
        <v>0.65772894161399464</v>
      </c>
      <c r="Z1504" s="4">
        <f t="shared" si="94"/>
        <v>0.60084017177702764</v>
      </c>
      <c r="AA1504" s="4">
        <f t="shared" si="95"/>
        <v>0.58689310279608453</v>
      </c>
    </row>
    <row r="1505" spans="1:27" x14ac:dyDescent="0.3">
      <c r="A1505" t="s">
        <v>461</v>
      </c>
      <c r="B1505">
        <v>87702</v>
      </c>
      <c r="C1505">
        <v>2021</v>
      </c>
      <c r="D1505" t="s">
        <v>159</v>
      </c>
      <c r="E1505" t="s">
        <v>565</v>
      </c>
      <c r="F1505">
        <v>4</v>
      </c>
      <c r="G1505" t="s">
        <v>36</v>
      </c>
      <c r="H1505">
        <v>4</v>
      </c>
      <c r="I1505" t="s">
        <v>23</v>
      </c>
      <c r="J1505" t="s">
        <v>62</v>
      </c>
      <c r="K1505" t="s">
        <v>27</v>
      </c>
      <c r="L1505" t="s">
        <v>69</v>
      </c>
      <c r="M1505" t="s">
        <v>23</v>
      </c>
      <c r="N1505">
        <v>0</v>
      </c>
      <c r="O1505" t="s">
        <v>27</v>
      </c>
      <c r="S1505" s="3">
        <v>19500</v>
      </c>
      <c r="T1505" s="2">
        <v>21722.26171875</v>
      </c>
      <c r="U1505" s="2">
        <v>19646.36445207402</v>
      </c>
      <c r="V1505" s="2">
        <v>23453.428901744981</v>
      </c>
      <c r="W1505" s="2">
        <v>20388.125</v>
      </c>
      <c r="X1505" s="4">
        <f t="shared" si="92"/>
        <v>0.89769657747785025</v>
      </c>
      <c r="Y1505" s="4">
        <f t="shared" si="93"/>
        <v>0.99255004902148358</v>
      </c>
      <c r="Z1505" s="4">
        <f t="shared" si="94"/>
        <v>0.83143492926738582</v>
      </c>
      <c r="AA1505" s="4">
        <f t="shared" si="95"/>
        <v>0.95643910364489138</v>
      </c>
    </row>
    <row r="1506" spans="1:27" x14ac:dyDescent="0.3">
      <c r="A1506" t="s">
        <v>461</v>
      </c>
      <c r="B1506">
        <v>158589</v>
      </c>
      <c r="C1506">
        <v>2015</v>
      </c>
      <c r="D1506" t="s">
        <v>44</v>
      </c>
      <c r="E1506" t="s">
        <v>68</v>
      </c>
      <c r="F1506">
        <v>6</v>
      </c>
      <c r="G1506" t="s">
        <v>30</v>
      </c>
      <c r="H1506">
        <v>4</v>
      </c>
      <c r="I1506" t="s">
        <v>23</v>
      </c>
      <c r="J1506" t="s">
        <v>62</v>
      </c>
      <c r="K1506" t="s">
        <v>27</v>
      </c>
      <c r="L1506" t="s">
        <v>38</v>
      </c>
      <c r="M1506">
        <v>4</v>
      </c>
      <c r="N1506">
        <v>0</v>
      </c>
      <c r="O1506" t="s">
        <v>27</v>
      </c>
      <c r="S1506" s="3">
        <v>3750</v>
      </c>
      <c r="T1506" s="2">
        <v>6042.95556640625</v>
      </c>
      <c r="U1506" s="2">
        <v>6320.8327331608734</v>
      </c>
      <c r="V1506" s="2">
        <v>7858.5011866446084</v>
      </c>
      <c r="W1506" s="2">
        <v>6121.2255859375</v>
      </c>
      <c r="X1506" s="4">
        <f t="shared" si="92"/>
        <v>0.62055726850729231</v>
      </c>
      <c r="Y1506" s="4">
        <f t="shared" si="93"/>
        <v>0.59327625936475759</v>
      </c>
      <c r="Z1506" s="4">
        <f t="shared" si="94"/>
        <v>0.47719023143663353</v>
      </c>
      <c r="AA1506" s="4">
        <f t="shared" si="95"/>
        <v>0.61262241480121282</v>
      </c>
    </row>
    <row r="1507" spans="1:27" x14ac:dyDescent="0.3">
      <c r="A1507" t="s">
        <v>461</v>
      </c>
      <c r="B1507">
        <v>24988</v>
      </c>
      <c r="C1507">
        <v>2023</v>
      </c>
      <c r="D1507" t="s">
        <v>40</v>
      </c>
      <c r="E1507" t="s">
        <v>146</v>
      </c>
      <c r="F1507">
        <v>8</v>
      </c>
      <c r="G1507" t="s">
        <v>66</v>
      </c>
      <c r="H1507">
        <v>4</v>
      </c>
      <c r="I1507" t="s">
        <v>23</v>
      </c>
      <c r="J1507" t="s">
        <v>24</v>
      </c>
      <c r="K1507" t="s">
        <v>27</v>
      </c>
      <c r="L1507" t="s">
        <v>166</v>
      </c>
      <c r="M1507" t="s">
        <v>78</v>
      </c>
      <c r="N1507">
        <v>0</v>
      </c>
      <c r="O1507" t="s">
        <v>27</v>
      </c>
      <c r="S1507" s="3">
        <v>59000</v>
      </c>
      <c r="T1507" s="2">
        <v>60000.62890625</v>
      </c>
      <c r="U1507" s="2">
        <v>85533.815268638951</v>
      </c>
      <c r="V1507" s="2">
        <v>46942.254892753517</v>
      </c>
      <c r="W1507" s="2">
        <v>93241.7734375</v>
      </c>
      <c r="X1507" s="4">
        <f t="shared" si="92"/>
        <v>0.98332302636671587</v>
      </c>
      <c r="Y1507" s="4">
        <f t="shared" si="93"/>
        <v>0.68978566914964212</v>
      </c>
      <c r="Z1507" s="4">
        <f t="shared" si="94"/>
        <v>1.2568633555161373</v>
      </c>
      <c r="AA1507" s="4">
        <f t="shared" si="95"/>
        <v>0.63276359752582056</v>
      </c>
    </row>
    <row r="1508" spans="1:27" x14ac:dyDescent="0.3">
      <c r="A1508" t="s">
        <v>461</v>
      </c>
      <c r="B1508">
        <v>140254</v>
      </c>
      <c r="C1508">
        <v>2012</v>
      </c>
      <c r="D1508" t="s">
        <v>239</v>
      </c>
      <c r="E1508" t="s">
        <v>560</v>
      </c>
      <c r="F1508">
        <v>8</v>
      </c>
      <c r="G1508" t="s">
        <v>30</v>
      </c>
      <c r="H1508">
        <v>4</v>
      </c>
      <c r="I1508" t="s">
        <v>23</v>
      </c>
      <c r="J1508" t="s">
        <v>31</v>
      </c>
      <c r="K1508" t="s">
        <v>27</v>
      </c>
      <c r="L1508" t="s">
        <v>522</v>
      </c>
      <c r="M1508" t="s">
        <v>78</v>
      </c>
      <c r="N1508">
        <v>0</v>
      </c>
      <c r="O1508" t="s">
        <v>27</v>
      </c>
      <c r="S1508" s="3">
        <v>2800</v>
      </c>
      <c r="T1508" s="2">
        <v>2114.29541015625</v>
      </c>
      <c r="U1508" s="2">
        <v>12976.577860321921</v>
      </c>
      <c r="V1508" s="2">
        <v>4671.9153953933146</v>
      </c>
      <c r="W1508" s="2">
        <v>6974.18603515625</v>
      </c>
      <c r="X1508" s="4">
        <f t="shared" si="92"/>
        <v>1.3243182511535014</v>
      </c>
      <c r="Y1508" s="4">
        <f t="shared" si="93"/>
        <v>0.21577337493280668</v>
      </c>
      <c r="Z1508" s="4">
        <f t="shared" si="94"/>
        <v>0.59932592160399689</v>
      </c>
      <c r="AA1508" s="4">
        <f t="shared" si="95"/>
        <v>0.40148054351940854</v>
      </c>
    </row>
    <row r="1509" spans="1:27" x14ac:dyDescent="0.3">
      <c r="A1509" t="s">
        <v>557</v>
      </c>
      <c r="B1509">
        <v>23826</v>
      </c>
      <c r="C1509">
        <v>2024</v>
      </c>
      <c r="D1509" t="s">
        <v>222</v>
      </c>
      <c r="E1509" t="s">
        <v>223</v>
      </c>
      <c r="F1509">
        <v>8</v>
      </c>
      <c r="G1509" t="s">
        <v>22</v>
      </c>
      <c r="H1509">
        <v>4</v>
      </c>
      <c r="I1509" t="s">
        <v>23</v>
      </c>
      <c r="J1509" t="s">
        <v>24</v>
      </c>
      <c r="K1509" t="s">
        <v>25</v>
      </c>
      <c r="L1509" t="s">
        <v>348</v>
      </c>
      <c r="M1509" t="s">
        <v>23</v>
      </c>
      <c r="N1509">
        <v>0</v>
      </c>
      <c r="O1509" t="s">
        <v>27</v>
      </c>
      <c r="S1509" s="3">
        <v>96000</v>
      </c>
      <c r="T1509" s="2">
        <v>105609.75</v>
      </c>
      <c r="U1509" s="2">
        <v>83728.088970419674</v>
      </c>
      <c r="V1509" s="2">
        <v>99845.90644246625</v>
      </c>
      <c r="W1509" s="2">
        <v>93241.7734375</v>
      </c>
      <c r="X1509" s="4">
        <f t="shared" si="92"/>
        <v>0.90900698088954857</v>
      </c>
      <c r="Y1509" s="4">
        <f t="shared" si="93"/>
        <v>1.1465686268549122</v>
      </c>
      <c r="Z1509" s="4">
        <f t="shared" si="94"/>
        <v>0.96148158117346194</v>
      </c>
      <c r="AA1509" s="4">
        <f t="shared" si="95"/>
        <v>1.0295814468216742</v>
      </c>
    </row>
    <row r="1510" spans="1:27" x14ac:dyDescent="0.3">
      <c r="A1510" t="s">
        <v>557</v>
      </c>
      <c r="B1510">
        <v>27547</v>
      </c>
      <c r="C1510">
        <v>2023</v>
      </c>
      <c r="D1510" t="s">
        <v>321</v>
      </c>
      <c r="E1510" t="s">
        <v>566</v>
      </c>
      <c r="F1510">
        <v>8</v>
      </c>
      <c r="G1510" t="s">
        <v>22</v>
      </c>
      <c r="H1510">
        <v>4</v>
      </c>
      <c r="I1510" t="s">
        <v>23</v>
      </c>
      <c r="J1510" t="s">
        <v>24</v>
      </c>
      <c r="K1510" t="s">
        <v>25</v>
      </c>
      <c r="L1510" t="s">
        <v>134</v>
      </c>
      <c r="M1510" t="s">
        <v>23</v>
      </c>
      <c r="N1510">
        <v>0</v>
      </c>
      <c r="O1510" t="s">
        <v>27</v>
      </c>
      <c r="S1510" s="3">
        <v>79800</v>
      </c>
      <c r="T1510" s="2">
        <v>77912.109375</v>
      </c>
      <c r="U1510" s="2">
        <v>95760.675576889524</v>
      </c>
      <c r="V1510" s="2">
        <v>83006.379240051741</v>
      </c>
      <c r="W1510" s="2">
        <v>93241.7734375</v>
      </c>
      <c r="X1510" s="4">
        <f t="shared" si="92"/>
        <v>1.0242310295555388</v>
      </c>
      <c r="Y1510" s="4">
        <f t="shared" si="93"/>
        <v>0.8333274542943867</v>
      </c>
      <c r="Z1510" s="4">
        <f t="shared" si="94"/>
        <v>0.96137189370977139</v>
      </c>
      <c r="AA1510" s="4">
        <f t="shared" si="95"/>
        <v>0.85583957767051666</v>
      </c>
    </row>
    <row r="1511" spans="1:27" x14ac:dyDescent="0.3">
      <c r="A1511" t="s">
        <v>557</v>
      </c>
      <c r="B1511">
        <v>30869</v>
      </c>
      <c r="C1511">
        <v>2024</v>
      </c>
      <c r="D1511" t="s">
        <v>321</v>
      </c>
      <c r="E1511" t="s">
        <v>566</v>
      </c>
      <c r="F1511">
        <v>6</v>
      </c>
      <c r="G1511" t="s">
        <v>22</v>
      </c>
      <c r="H1511">
        <v>4</v>
      </c>
      <c r="I1511" t="s">
        <v>23</v>
      </c>
      <c r="J1511" t="s">
        <v>24</v>
      </c>
      <c r="K1511" t="s">
        <v>25</v>
      </c>
      <c r="L1511" t="s">
        <v>218</v>
      </c>
      <c r="M1511" t="s">
        <v>23</v>
      </c>
      <c r="N1511">
        <v>0</v>
      </c>
      <c r="O1511" t="s">
        <v>27</v>
      </c>
      <c r="S1511" s="3">
        <v>66500</v>
      </c>
      <c r="T1511" s="2">
        <v>59496.359375</v>
      </c>
      <c r="U1511" s="2">
        <v>61868.98066039016</v>
      </c>
      <c r="V1511" s="2">
        <v>57894.620826860577</v>
      </c>
      <c r="W1511" s="2">
        <v>93241.7734375</v>
      </c>
      <c r="X1511" s="4">
        <f t="shared" si="92"/>
        <v>1.1177154484504961</v>
      </c>
      <c r="Y1511" s="4">
        <f t="shared" si="93"/>
        <v>1.0748520387790179</v>
      </c>
      <c r="Z1511" s="4">
        <f t="shared" si="94"/>
        <v>1.1486386653930187</v>
      </c>
      <c r="AA1511" s="4">
        <f t="shared" si="95"/>
        <v>0.7131996480587639</v>
      </c>
    </row>
    <row r="1512" spans="1:27" x14ac:dyDescent="0.3">
      <c r="A1512" t="s">
        <v>556</v>
      </c>
      <c r="B1512">
        <v>59793</v>
      </c>
      <c r="C1512">
        <v>2013</v>
      </c>
      <c r="D1512" t="s">
        <v>40</v>
      </c>
      <c r="E1512" t="s">
        <v>211</v>
      </c>
      <c r="F1512">
        <v>4</v>
      </c>
      <c r="G1512" t="s">
        <v>56</v>
      </c>
      <c r="H1512">
        <v>4</v>
      </c>
      <c r="I1512" t="s">
        <v>23</v>
      </c>
      <c r="J1512" t="s">
        <v>31</v>
      </c>
      <c r="L1512" t="s">
        <v>121</v>
      </c>
      <c r="M1512" t="s">
        <v>33</v>
      </c>
      <c r="N1512">
        <v>0</v>
      </c>
      <c r="O1512" t="s">
        <v>27</v>
      </c>
      <c r="S1512" s="3">
        <v>2100</v>
      </c>
      <c r="T1512" s="2">
        <v>8322.2265625</v>
      </c>
      <c r="U1512" s="2">
        <v>6394.0446557386604</v>
      </c>
      <c r="V1512" s="2">
        <v>4956.1591774235194</v>
      </c>
      <c r="W1512" s="2">
        <v>5717.7451171875</v>
      </c>
      <c r="X1512" s="4">
        <f t="shared" si="92"/>
        <v>0.25233631699749826</v>
      </c>
      <c r="Y1512" s="4">
        <f t="shared" si="93"/>
        <v>0.32843061208764757</v>
      </c>
      <c r="Z1512" s="4">
        <f t="shared" si="94"/>
        <v>0.42371520462175594</v>
      </c>
      <c r="AA1512" s="4">
        <f t="shared" si="95"/>
        <v>0.36727765175950489</v>
      </c>
    </row>
    <row r="1513" spans="1:27" x14ac:dyDescent="0.3">
      <c r="A1513" t="s">
        <v>556</v>
      </c>
      <c r="B1513">
        <v>80452</v>
      </c>
      <c r="C1513">
        <v>2021</v>
      </c>
      <c r="D1513" t="s">
        <v>28</v>
      </c>
      <c r="E1513" t="s">
        <v>289</v>
      </c>
      <c r="F1513">
        <v>4</v>
      </c>
      <c r="G1513" t="s">
        <v>47</v>
      </c>
      <c r="H1513">
        <v>4</v>
      </c>
      <c r="I1513" t="s">
        <v>23</v>
      </c>
      <c r="J1513" t="s">
        <v>31</v>
      </c>
      <c r="K1513" t="s">
        <v>27</v>
      </c>
      <c r="L1513" t="s">
        <v>127</v>
      </c>
      <c r="M1513" t="s">
        <v>33</v>
      </c>
      <c r="N1513">
        <v>0</v>
      </c>
      <c r="O1513" t="s">
        <v>123</v>
      </c>
      <c r="S1513" s="3">
        <v>3000</v>
      </c>
      <c r="T1513" s="2">
        <v>12884.8544921875</v>
      </c>
      <c r="U1513" s="2">
        <v>11469.160069579009</v>
      </c>
      <c r="V1513" s="2">
        <v>11325.503954466711</v>
      </c>
      <c r="W1513" s="2">
        <v>10443.7841796875</v>
      </c>
      <c r="X1513" s="4">
        <f t="shared" si="92"/>
        <v>0.23283150010106798</v>
      </c>
      <c r="Y1513" s="4">
        <f t="shared" si="93"/>
        <v>0.26157102889838024</v>
      </c>
      <c r="Z1513" s="4">
        <f t="shared" si="94"/>
        <v>0.26488887488461987</v>
      </c>
      <c r="AA1513" s="4">
        <f t="shared" si="95"/>
        <v>0.28725220172921712</v>
      </c>
    </row>
    <row r="1514" spans="1:27" x14ac:dyDescent="0.3">
      <c r="A1514" t="s">
        <v>556</v>
      </c>
      <c r="B1514">
        <v>175292</v>
      </c>
      <c r="C1514">
        <v>2017</v>
      </c>
      <c r="D1514" t="s">
        <v>44</v>
      </c>
      <c r="E1514" t="s">
        <v>244</v>
      </c>
      <c r="F1514">
        <v>4</v>
      </c>
      <c r="G1514" t="s">
        <v>36</v>
      </c>
      <c r="H1514">
        <v>4</v>
      </c>
      <c r="I1514" t="s">
        <v>23</v>
      </c>
      <c r="J1514" t="s">
        <v>37</v>
      </c>
      <c r="K1514" t="s">
        <v>27</v>
      </c>
      <c r="L1514" t="s">
        <v>96</v>
      </c>
      <c r="M1514" t="s">
        <v>33</v>
      </c>
      <c r="N1514">
        <v>0</v>
      </c>
      <c r="S1514" s="3">
        <v>2200</v>
      </c>
      <c r="T1514" s="2">
        <v>3810.762939453125</v>
      </c>
      <c r="U1514" s="2">
        <v>3602.793076776723</v>
      </c>
      <c r="V1514" s="2">
        <v>3038.459721462872</v>
      </c>
      <c r="W1514" s="2">
        <v>3483.772216796875</v>
      </c>
      <c r="X1514" s="4">
        <f t="shared" si="92"/>
        <v>0.57731221672784439</v>
      </c>
      <c r="Y1514" s="4">
        <f t="shared" si="93"/>
        <v>0.61063734528108216</v>
      </c>
      <c r="Z1514" s="4">
        <f t="shared" si="94"/>
        <v>0.72405106589361201</v>
      </c>
      <c r="AA1514" s="4">
        <f t="shared" si="95"/>
        <v>0.63149938144428153</v>
      </c>
    </row>
    <row r="1515" spans="1:27" x14ac:dyDescent="0.3">
      <c r="A1515" t="s">
        <v>556</v>
      </c>
      <c r="B1515">
        <v>190917</v>
      </c>
      <c r="C1515">
        <v>2016</v>
      </c>
      <c r="D1515" t="s">
        <v>44</v>
      </c>
      <c r="E1515" t="s">
        <v>210</v>
      </c>
      <c r="F1515">
        <v>4</v>
      </c>
      <c r="G1515" t="s">
        <v>22</v>
      </c>
      <c r="H1515">
        <v>4</v>
      </c>
      <c r="I1515" t="s">
        <v>23</v>
      </c>
      <c r="J1515" t="s">
        <v>37</v>
      </c>
      <c r="K1515" t="s">
        <v>27</v>
      </c>
      <c r="L1515" t="s">
        <v>128</v>
      </c>
      <c r="M1515" t="s">
        <v>33</v>
      </c>
      <c r="N1515">
        <v>2.4</v>
      </c>
      <c r="O1515" t="s">
        <v>27</v>
      </c>
      <c r="S1515" s="3">
        <v>1600</v>
      </c>
      <c r="T1515" s="2">
        <v>2357.752685546875</v>
      </c>
      <c r="U1515" s="2">
        <v>2388.111656773377</v>
      </c>
      <c r="V1515" s="2">
        <v>2824.4393411066972</v>
      </c>
      <c r="W1515" s="2">
        <v>2129.244140625</v>
      </c>
      <c r="X1515" s="4">
        <f t="shared" si="92"/>
        <v>0.6786123115490732</v>
      </c>
      <c r="Y1515" s="4">
        <f t="shared" si="93"/>
        <v>0.66998542361364721</v>
      </c>
      <c r="Z1515" s="4">
        <f t="shared" si="94"/>
        <v>0.56648410773554569</v>
      </c>
      <c r="AA1515" s="4">
        <f t="shared" si="95"/>
        <v>0.75144036772145339</v>
      </c>
    </row>
    <row r="1516" spans="1:27" x14ac:dyDescent="0.3">
      <c r="A1516" t="s">
        <v>556</v>
      </c>
      <c r="B1516">
        <v>114550</v>
      </c>
      <c r="C1516">
        <v>2013</v>
      </c>
      <c r="D1516" t="s">
        <v>125</v>
      </c>
      <c r="E1516" t="s">
        <v>126</v>
      </c>
      <c r="F1516">
        <v>4</v>
      </c>
      <c r="G1516" t="s">
        <v>59</v>
      </c>
      <c r="H1516">
        <v>4</v>
      </c>
      <c r="I1516" t="s">
        <v>23</v>
      </c>
      <c r="J1516" t="s">
        <v>31</v>
      </c>
      <c r="K1516" t="s">
        <v>27</v>
      </c>
      <c r="L1516" t="s">
        <v>32</v>
      </c>
      <c r="M1516" t="s">
        <v>33</v>
      </c>
      <c r="N1516">
        <v>0</v>
      </c>
      <c r="S1516" s="3">
        <v>1800</v>
      </c>
      <c r="T1516" s="2">
        <v>4257.12939453125</v>
      </c>
      <c r="U1516" s="2">
        <v>4288.827003378743</v>
      </c>
      <c r="V1516" s="2">
        <v>3213.146610868655</v>
      </c>
      <c r="W1516" s="2">
        <v>5457.14208984375</v>
      </c>
      <c r="X1516" s="4">
        <f t="shared" si="92"/>
        <v>0.42282012905510874</v>
      </c>
      <c r="Y1516" s="4">
        <f t="shared" si="93"/>
        <v>0.41969517506347492</v>
      </c>
      <c r="Z1516" s="4">
        <f t="shared" si="94"/>
        <v>0.56019852748436549</v>
      </c>
      <c r="AA1516" s="4">
        <f t="shared" si="95"/>
        <v>0.3298429783145958</v>
      </c>
    </row>
    <row r="1517" spans="1:27" x14ac:dyDescent="0.3">
      <c r="A1517" t="s">
        <v>556</v>
      </c>
      <c r="B1517">
        <v>67825</v>
      </c>
      <c r="C1517">
        <v>2017</v>
      </c>
      <c r="D1517" t="s">
        <v>44</v>
      </c>
      <c r="E1517" t="s">
        <v>280</v>
      </c>
      <c r="F1517">
        <v>6</v>
      </c>
      <c r="G1517" t="s">
        <v>47</v>
      </c>
      <c r="H1517">
        <v>3</v>
      </c>
      <c r="I1517" t="s">
        <v>23</v>
      </c>
      <c r="J1517" t="s">
        <v>281</v>
      </c>
      <c r="L1517" t="s">
        <v>198</v>
      </c>
      <c r="M1517" t="s">
        <v>78</v>
      </c>
      <c r="N1517">
        <v>2.7</v>
      </c>
      <c r="O1517" t="s">
        <v>27</v>
      </c>
      <c r="S1517" s="3">
        <v>16750</v>
      </c>
      <c r="T1517" s="2">
        <v>14466.29296875</v>
      </c>
      <c r="U1517" s="2">
        <v>18861.248765949549</v>
      </c>
      <c r="V1517" s="2">
        <v>18703.431663014999</v>
      </c>
      <c r="W1517" s="2">
        <v>17699.9765625</v>
      </c>
      <c r="X1517" s="4">
        <f t="shared" si="92"/>
        <v>1.1578640109241014</v>
      </c>
      <c r="Y1517" s="4">
        <f t="shared" si="93"/>
        <v>0.88806421079811992</v>
      </c>
      <c r="Z1517" s="4">
        <f t="shared" si="94"/>
        <v>0.89555758011628417</v>
      </c>
      <c r="AA1517" s="4">
        <f t="shared" si="95"/>
        <v>0.94632893669968665</v>
      </c>
    </row>
    <row r="1518" spans="1:27" x14ac:dyDescent="0.3">
      <c r="A1518" t="s">
        <v>556</v>
      </c>
      <c r="B1518">
        <v>157671</v>
      </c>
      <c r="C1518">
        <v>2014</v>
      </c>
      <c r="D1518" t="s">
        <v>44</v>
      </c>
      <c r="E1518" t="s">
        <v>117</v>
      </c>
      <c r="F1518">
        <v>4</v>
      </c>
      <c r="G1518" t="s">
        <v>22</v>
      </c>
      <c r="H1518">
        <v>4</v>
      </c>
      <c r="I1518" t="s">
        <v>23</v>
      </c>
      <c r="J1518" t="s">
        <v>62</v>
      </c>
      <c r="L1518" t="s">
        <v>128</v>
      </c>
      <c r="M1518" t="s">
        <v>33</v>
      </c>
      <c r="N1518">
        <v>0</v>
      </c>
      <c r="O1518" t="s">
        <v>199</v>
      </c>
      <c r="S1518" s="3">
        <v>1000</v>
      </c>
      <c r="T1518" s="2">
        <v>2247.09521484375</v>
      </c>
      <c r="U1518" s="2">
        <v>926.47251382513605</v>
      </c>
      <c r="V1518" s="2">
        <v>634.53967950189872</v>
      </c>
      <c r="W1518" s="2">
        <v>1339.325073242188</v>
      </c>
      <c r="X1518" s="4">
        <f t="shared" si="92"/>
        <v>0.44501897088928394</v>
      </c>
      <c r="Y1518" s="4">
        <f t="shared" si="93"/>
        <v>1.0793628360017831</v>
      </c>
      <c r="Z1518" s="4">
        <f t="shared" si="94"/>
        <v>1.5759455748850577</v>
      </c>
      <c r="AA1518" s="4">
        <f t="shared" si="95"/>
        <v>0.74664472425595485</v>
      </c>
    </row>
    <row r="1519" spans="1:27" x14ac:dyDescent="0.3">
      <c r="A1519" t="s">
        <v>556</v>
      </c>
      <c r="B1519">
        <v>172984</v>
      </c>
      <c r="C1519">
        <v>2013</v>
      </c>
      <c r="D1519" t="s">
        <v>44</v>
      </c>
      <c r="E1519" t="s">
        <v>45</v>
      </c>
      <c r="F1519">
        <v>8</v>
      </c>
      <c r="G1519" t="s">
        <v>99</v>
      </c>
      <c r="H1519">
        <v>4</v>
      </c>
      <c r="I1519" t="s">
        <v>23</v>
      </c>
      <c r="J1519" t="s">
        <v>46</v>
      </c>
      <c r="K1519" t="s">
        <v>27</v>
      </c>
      <c r="L1519" t="s">
        <v>48</v>
      </c>
      <c r="M1519">
        <v>4</v>
      </c>
      <c r="N1519">
        <v>0</v>
      </c>
      <c r="S1519" s="3">
        <v>7000</v>
      </c>
      <c r="T1519" s="2">
        <v>5823.41015625</v>
      </c>
      <c r="U1519" s="2">
        <v>14503.96740713209</v>
      </c>
      <c r="V1519" s="2">
        <v>3753.17356118833</v>
      </c>
      <c r="W1519" s="2">
        <v>7676.02880859375</v>
      </c>
      <c r="X1519" s="4">
        <f t="shared" si="92"/>
        <v>1.2020448177580656</v>
      </c>
      <c r="Y1519" s="4">
        <f t="shared" si="93"/>
        <v>0.48262656716657154</v>
      </c>
      <c r="Z1519" s="4">
        <f t="shared" si="94"/>
        <v>1.865088274197386</v>
      </c>
      <c r="AA1519" s="4">
        <f t="shared" si="95"/>
        <v>0.9119298760529797</v>
      </c>
    </row>
    <row r="1520" spans="1:27" x14ac:dyDescent="0.3">
      <c r="A1520" t="s">
        <v>556</v>
      </c>
      <c r="B1520">
        <v>163107</v>
      </c>
      <c r="C1520">
        <v>2017</v>
      </c>
      <c r="D1520" t="s">
        <v>44</v>
      </c>
      <c r="E1520" t="s">
        <v>68</v>
      </c>
      <c r="F1520">
        <v>6</v>
      </c>
      <c r="G1520" t="s">
        <v>30</v>
      </c>
      <c r="H1520">
        <v>4</v>
      </c>
      <c r="I1520" t="s">
        <v>23</v>
      </c>
      <c r="J1520" t="s">
        <v>62</v>
      </c>
      <c r="K1520" t="s">
        <v>27</v>
      </c>
      <c r="L1520" t="s">
        <v>38</v>
      </c>
      <c r="M1520" t="s">
        <v>33</v>
      </c>
      <c r="N1520">
        <v>2</v>
      </c>
      <c r="O1520" t="s">
        <v>27</v>
      </c>
      <c r="S1520" s="3">
        <v>3800</v>
      </c>
      <c r="T1520" s="2">
        <v>4514.81396484375</v>
      </c>
      <c r="U1520" s="2">
        <v>5212.4013161787016</v>
      </c>
      <c r="V1520" s="2">
        <v>4091.5202828313691</v>
      </c>
      <c r="W1520" s="2">
        <v>5307.09423828125</v>
      </c>
      <c r="X1520" s="4">
        <f t="shared" si="92"/>
        <v>0.84167366132693167</v>
      </c>
      <c r="Y1520" s="4">
        <f t="shared" si="93"/>
        <v>0.72903058868572368</v>
      </c>
      <c r="Z1520" s="4">
        <f t="shared" si="94"/>
        <v>0.928750131325358</v>
      </c>
      <c r="AA1520" s="4">
        <f t="shared" si="95"/>
        <v>0.71602271024127584</v>
      </c>
    </row>
    <row r="1521" spans="1:27" x14ac:dyDescent="0.3">
      <c r="A1521" t="s">
        <v>556</v>
      </c>
      <c r="B1521">
        <v>32978</v>
      </c>
      <c r="C1521">
        <v>2021</v>
      </c>
      <c r="D1521" t="s">
        <v>340</v>
      </c>
      <c r="E1521" t="s">
        <v>341</v>
      </c>
      <c r="F1521">
        <v>4</v>
      </c>
      <c r="G1521" t="s">
        <v>47</v>
      </c>
      <c r="H1521">
        <v>4</v>
      </c>
      <c r="I1521" t="s">
        <v>23</v>
      </c>
      <c r="J1521" t="s">
        <v>24</v>
      </c>
      <c r="L1521" t="s">
        <v>102</v>
      </c>
      <c r="M1521" t="s">
        <v>33</v>
      </c>
      <c r="N1521">
        <v>3.4</v>
      </c>
      <c r="O1521" t="s">
        <v>27</v>
      </c>
      <c r="S1521" s="3">
        <v>21750</v>
      </c>
      <c r="T1521" s="2">
        <v>24946.994140625</v>
      </c>
      <c r="U1521" s="2">
        <v>20842.176377000898</v>
      </c>
      <c r="V1521" s="2">
        <v>21393.807156960171</v>
      </c>
      <c r="W1521" s="2">
        <v>23849.37890625</v>
      </c>
      <c r="X1521" s="4">
        <f t="shared" si="92"/>
        <v>0.8718485232087001</v>
      </c>
      <c r="Y1521" s="4">
        <f t="shared" si="93"/>
        <v>1.0435570454149343</v>
      </c>
      <c r="Z1521" s="4">
        <f t="shared" si="94"/>
        <v>1.01664934344909</v>
      </c>
      <c r="AA1521" s="4">
        <f t="shared" si="95"/>
        <v>0.91197343484279025</v>
      </c>
    </row>
    <row r="1522" spans="1:27" x14ac:dyDescent="0.3">
      <c r="A1522" t="s">
        <v>556</v>
      </c>
      <c r="B1522">
        <v>82028</v>
      </c>
      <c r="C1522">
        <v>2015</v>
      </c>
      <c r="D1522" t="s">
        <v>90</v>
      </c>
      <c r="E1522" t="s">
        <v>195</v>
      </c>
      <c r="F1522">
        <v>4</v>
      </c>
      <c r="G1522" t="s">
        <v>22</v>
      </c>
      <c r="H1522">
        <v>4</v>
      </c>
      <c r="I1522" t="s">
        <v>23</v>
      </c>
      <c r="J1522" t="s">
        <v>24</v>
      </c>
      <c r="K1522" t="s">
        <v>27</v>
      </c>
      <c r="L1522" t="s">
        <v>127</v>
      </c>
      <c r="M1522" t="s">
        <v>33</v>
      </c>
      <c r="N1522">
        <v>2.5</v>
      </c>
      <c r="O1522" t="s">
        <v>27</v>
      </c>
      <c r="S1522" s="3">
        <v>3750</v>
      </c>
      <c r="T1522" s="2">
        <v>4227.080078125</v>
      </c>
      <c r="U1522" s="2">
        <v>3553.4249782994912</v>
      </c>
      <c r="V1522" s="2">
        <v>4311.2395488631728</v>
      </c>
      <c r="W1522" s="2">
        <v>4021.22119140625</v>
      </c>
      <c r="X1522" s="4">
        <f t="shared" si="92"/>
        <v>0.88713720362340098</v>
      </c>
      <c r="Y1522" s="4">
        <f t="shared" si="93"/>
        <v>1.0553198738965865</v>
      </c>
      <c r="Z1522" s="4">
        <f t="shared" si="94"/>
        <v>0.86981944693582025</v>
      </c>
      <c r="AA1522" s="4">
        <f t="shared" si="95"/>
        <v>0.93255253106049563</v>
      </c>
    </row>
    <row r="1523" spans="1:27" x14ac:dyDescent="0.3">
      <c r="A1523" t="s">
        <v>556</v>
      </c>
      <c r="B1523">
        <v>135103</v>
      </c>
      <c r="C1523">
        <v>2018</v>
      </c>
      <c r="D1523" t="s">
        <v>40</v>
      </c>
      <c r="E1523" t="s">
        <v>229</v>
      </c>
      <c r="F1523">
        <v>4</v>
      </c>
      <c r="G1523" t="s">
        <v>36</v>
      </c>
      <c r="H1523">
        <v>4</v>
      </c>
      <c r="I1523" t="s">
        <v>23</v>
      </c>
      <c r="J1523" t="s">
        <v>31</v>
      </c>
      <c r="K1523" t="s">
        <v>27</v>
      </c>
      <c r="L1523" t="s">
        <v>107</v>
      </c>
      <c r="M1523" t="s">
        <v>33</v>
      </c>
      <c r="N1523">
        <v>0</v>
      </c>
      <c r="S1523" s="3">
        <v>3800</v>
      </c>
      <c r="T1523" s="2">
        <v>6929.0068359375</v>
      </c>
      <c r="U1523" s="2">
        <v>6601.2458387357383</v>
      </c>
      <c r="V1523" s="2">
        <v>5818.6990554446384</v>
      </c>
      <c r="W1523" s="2">
        <v>6473.64013671875</v>
      </c>
      <c r="X1523" s="4">
        <f t="shared" si="92"/>
        <v>0.54841914432688776</v>
      </c>
      <c r="Y1523" s="4">
        <f t="shared" si="93"/>
        <v>0.57564891428551479</v>
      </c>
      <c r="Z1523" s="4">
        <f t="shared" si="94"/>
        <v>0.65306694224790451</v>
      </c>
      <c r="AA1523" s="4">
        <f t="shared" si="95"/>
        <v>0.58699586627409905</v>
      </c>
    </row>
    <row r="1524" spans="1:27" x14ac:dyDescent="0.3">
      <c r="A1524" t="s">
        <v>557</v>
      </c>
      <c r="B1524">
        <v>25856</v>
      </c>
      <c r="C1524">
        <v>2021</v>
      </c>
      <c r="D1524" t="s">
        <v>463</v>
      </c>
      <c r="E1524" t="s">
        <v>464</v>
      </c>
      <c r="F1524">
        <v>0</v>
      </c>
      <c r="G1524" t="s">
        <v>47</v>
      </c>
      <c r="H1524">
        <v>4</v>
      </c>
      <c r="I1524" t="s">
        <v>23</v>
      </c>
      <c r="J1524" t="s">
        <v>31</v>
      </c>
      <c r="K1524" t="s">
        <v>25</v>
      </c>
      <c r="L1524" t="s">
        <v>465</v>
      </c>
      <c r="M1524" t="s">
        <v>23</v>
      </c>
      <c r="N1524">
        <v>0</v>
      </c>
      <c r="O1524" t="s">
        <v>27</v>
      </c>
      <c r="S1524" s="3">
        <v>38400</v>
      </c>
      <c r="T1524" s="2">
        <v>43130.7109375</v>
      </c>
      <c r="U1524" s="2">
        <v>44926.027431478338</v>
      </c>
      <c r="V1524" s="2">
        <v>35961.950370595747</v>
      </c>
      <c r="W1524" s="2">
        <v>44322.65625</v>
      </c>
      <c r="X1524" s="4">
        <f t="shared" si="92"/>
        <v>0.89031688013779331</v>
      </c>
      <c r="Y1524" s="4">
        <f t="shared" si="93"/>
        <v>0.85473838207858677</v>
      </c>
      <c r="Z1524" s="4">
        <f t="shared" si="94"/>
        <v>1.0677952559380017</v>
      </c>
      <c r="AA1524" s="4">
        <f t="shared" si="95"/>
        <v>0.86637406800274974</v>
      </c>
    </row>
    <row r="1525" spans="1:27" x14ac:dyDescent="0.3">
      <c r="A1525" t="s">
        <v>557</v>
      </c>
      <c r="B1525">
        <v>39167</v>
      </c>
      <c r="C1525">
        <v>2021</v>
      </c>
      <c r="D1525" t="s">
        <v>81</v>
      </c>
      <c r="E1525" t="s">
        <v>82</v>
      </c>
      <c r="F1525">
        <v>8</v>
      </c>
      <c r="G1525" t="s">
        <v>59</v>
      </c>
      <c r="H1525">
        <v>2</v>
      </c>
      <c r="I1525" t="s">
        <v>23</v>
      </c>
      <c r="J1525" t="s">
        <v>83</v>
      </c>
      <c r="K1525" t="s">
        <v>25</v>
      </c>
      <c r="L1525" t="s">
        <v>288</v>
      </c>
      <c r="M1525" t="s">
        <v>78</v>
      </c>
      <c r="N1525">
        <v>0</v>
      </c>
      <c r="O1525" t="s">
        <v>27</v>
      </c>
      <c r="S1525" s="3">
        <v>37900</v>
      </c>
      <c r="T1525" s="2">
        <v>59106</v>
      </c>
      <c r="U1525" s="2">
        <v>62815.576986613691</v>
      </c>
      <c r="V1525" s="2">
        <v>33835.15374043498</v>
      </c>
      <c r="W1525" s="2">
        <v>58443.43359375</v>
      </c>
      <c r="X1525" s="4">
        <f t="shared" si="92"/>
        <v>0.64122085744256085</v>
      </c>
      <c r="Y1525" s="4">
        <f t="shared" si="93"/>
        <v>0.60335352818739019</v>
      </c>
      <c r="Z1525" s="4">
        <f t="shared" si="94"/>
        <v>1.1201367752234355</v>
      </c>
      <c r="AA1525" s="4">
        <f t="shared" si="95"/>
        <v>0.64849030369175753</v>
      </c>
    </row>
    <row r="1526" spans="1:27" x14ac:dyDescent="0.3">
      <c r="A1526" t="s">
        <v>394</v>
      </c>
      <c r="B1526">
        <v>128430</v>
      </c>
      <c r="C1526">
        <v>2019</v>
      </c>
      <c r="D1526" t="s">
        <v>44</v>
      </c>
      <c r="E1526" t="s">
        <v>45</v>
      </c>
      <c r="F1526">
        <v>6</v>
      </c>
      <c r="G1526" t="s">
        <v>47</v>
      </c>
      <c r="H1526">
        <v>4</v>
      </c>
      <c r="I1526" t="s">
        <v>23</v>
      </c>
      <c r="J1526" t="s">
        <v>156</v>
      </c>
      <c r="K1526" t="s">
        <v>27</v>
      </c>
      <c r="L1526" t="s">
        <v>38</v>
      </c>
      <c r="M1526" t="s">
        <v>78</v>
      </c>
      <c r="N1526">
        <v>2.7</v>
      </c>
      <c r="O1526" t="s">
        <v>27</v>
      </c>
      <c r="S1526" s="3">
        <v>7900</v>
      </c>
      <c r="T1526" s="2">
        <v>9895.51171875</v>
      </c>
      <c r="U1526" s="2">
        <v>10905.31226369996</v>
      </c>
      <c r="V1526" s="2">
        <v>7752.7641432352048</v>
      </c>
      <c r="W1526" s="2">
        <v>11330.99609375</v>
      </c>
      <c r="X1526" s="4">
        <f t="shared" si="92"/>
        <v>0.79834173558009058</v>
      </c>
      <c r="Y1526" s="4">
        <f t="shared" si="93"/>
        <v>0.72441758740796336</v>
      </c>
      <c r="Z1526" s="4">
        <f t="shared" si="94"/>
        <v>1.0189914015239672</v>
      </c>
      <c r="AA1526" s="4">
        <f t="shared" si="95"/>
        <v>0.69720260554652524</v>
      </c>
    </row>
    <row r="1527" spans="1:27" x14ac:dyDescent="0.3">
      <c r="A1527" t="s">
        <v>556</v>
      </c>
      <c r="B1527">
        <v>154830</v>
      </c>
      <c r="C1527">
        <v>2018</v>
      </c>
      <c r="D1527" t="s">
        <v>44</v>
      </c>
      <c r="E1527" t="s">
        <v>352</v>
      </c>
      <c r="F1527">
        <v>6</v>
      </c>
      <c r="G1527" t="s">
        <v>36</v>
      </c>
      <c r="H1527">
        <v>4</v>
      </c>
      <c r="I1527" t="s">
        <v>23</v>
      </c>
      <c r="J1527" t="s">
        <v>62</v>
      </c>
      <c r="K1527" t="s">
        <v>27</v>
      </c>
      <c r="L1527" t="s">
        <v>38</v>
      </c>
      <c r="M1527" t="s">
        <v>78</v>
      </c>
      <c r="N1527">
        <v>2.4</v>
      </c>
      <c r="O1527" t="s">
        <v>27</v>
      </c>
      <c r="S1527" s="3">
        <v>10000</v>
      </c>
      <c r="T1527" s="2">
        <v>9475.314453125</v>
      </c>
      <c r="U1527" s="2">
        <v>7329.6139404555906</v>
      </c>
      <c r="V1527" s="2">
        <v>4142.9331389825984</v>
      </c>
      <c r="W1527" s="2">
        <v>8324.8046875</v>
      </c>
      <c r="X1527" s="4">
        <f t="shared" si="92"/>
        <v>1.0553739455793951</v>
      </c>
      <c r="Y1527" s="4">
        <f t="shared" si="93"/>
        <v>1.3643283372409687</v>
      </c>
      <c r="Z1527" s="4">
        <f t="shared" si="94"/>
        <v>2.4137488258996505</v>
      </c>
      <c r="AA1527" s="4">
        <f t="shared" si="95"/>
        <v>1.2012293831968655</v>
      </c>
    </row>
    <row r="1528" spans="1:27" x14ac:dyDescent="0.3">
      <c r="A1528" t="s">
        <v>556</v>
      </c>
      <c r="B1528">
        <v>70340</v>
      </c>
      <c r="C1528">
        <v>2021</v>
      </c>
      <c r="D1528" t="s">
        <v>34</v>
      </c>
      <c r="E1528" t="s">
        <v>562</v>
      </c>
      <c r="F1528">
        <v>4</v>
      </c>
      <c r="G1528" t="s">
        <v>30</v>
      </c>
      <c r="H1528">
        <v>4</v>
      </c>
      <c r="I1528" t="s">
        <v>23</v>
      </c>
      <c r="J1528" t="s">
        <v>62</v>
      </c>
      <c r="L1528" t="s">
        <v>128</v>
      </c>
      <c r="M1528" t="s">
        <v>23</v>
      </c>
      <c r="N1528">
        <v>3.2</v>
      </c>
      <c r="O1528" t="s">
        <v>27</v>
      </c>
      <c r="S1528" s="3">
        <v>20750</v>
      </c>
      <c r="T1528" s="2">
        <v>20862.62109375</v>
      </c>
      <c r="U1528" s="2">
        <v>18569.444472795702</v>
      </c>
      <c r="V1528" s="2">
        <v>19249.534923049428</v>
      </c>
      <c r="W1528" s="2">
        <v>21421.017578125</v>
      </c>
      <c r="X1528" s="4">
        <f t="shared" si="92"/>
        <v>0.9946017763902284</v>
      </c>
      <c r="Y1528" s="4">
        <f t="shared" si="93"/>
        <v>1.1174270738362055</v>
      </c>
      <c r="Z1528" s="4">
        <f t="shared" si="94"/>
        <v>1.0779481209779209</v>
      </c>
      <c r="AA1528" s="4">
        <f t="shared" si="95"/>
        <v>0.96867480381463111</v>
      </c>
    </row>
    <row r="1529" spans="1:27" x14ac:dyDescent="0.3">
      <c r="A1529" t="s">
        <v>556</v>
      </c>
      <c r="B1529">
        <v>23056</v>
      </c>
      <c r="C1529">
        <v>2023</v>
      </c>
      <c r="D1529" t="s">
        <v>74</v>
      </c>
      <c r="E1529" t="s">
        <v>112</v>
      </c>
      <c r="F1529">
        <v>6</v>
      </c>
      <c r="G1529" t="s">
        <v>47</v>
      </c>
      <c r="H1529">
        <v>3</v>
      </c>
      <c r="I1529" t="s">
        <v>23</v>
      </c>
      <c r="J1529" t="s">
        <v>113</v>
      </c>
      <c r="L1529" t="s">
        <v>26</v>
      </c>
      <c r="M1529" t="s">
        <v>33</v>
      </c>
      <c r="N1529">
        <v>4.3</v>
      </c>
      <c r="O1529" t="s">
        <v>27</v>
      </c>
      <c r="S1529" s="3">
        <v>24800</v>
      </c>
      <c r="T1529" s="2">
        <v>31383.123046875</v>
      </c>
      <c r="U1529" s="2">
        <v>29152.776602419272</v>
      </c>
      <c r="V1529" s="2">
        <v>34535.938285032898</v>
      </c>
      <c r="W1529" s="2">
        <v>31230.654296875</v>
      </c>
      <c r="X1529" s="4">
        <f t="shared" si="92"/>
        <v>0.79023365402346346</v>
      </c>
      <c r="Y1529" s="4">
        <f t="shared" si="93"/>
        <v>0.8506908394427839</v>
      </c>
      <c r="Z1529" s="4">
        <f t="shared" si="94"/>
        <v>0.71809255029702679</v>
      </c>
      <c r="AA1529" s="4">
        <f t="shared" si="95"/>
        <v>0.7940915923263745</v>
      </c>
    </row>
    <row r="1530" spans="1:27" x14ac:dyDescent="0.3">
      <c r="A1530" t="s">
        <v>556</v>
      </c>
      <c r="B1530">
        <v>86907</v>
      </c>
      <c r="C1530">
        <v>2019</v>
      </c>
      <c r="D1530" t="s">
        <v>125</v>
      </c>
      <c r="E1530" t="s">
        <v>167</v>
      </c>
      <c r="F1530">
        <v>4</v>
      </c>
      <c r="G1530" t="s">
        <v>66</v>
      </c>
      <c r="H1530">
        <v>4</v>
      </c>
      <c r="I1530" t="s">
        <v>23</v>
      </c>
      <c r="J1530" t="s">
        <v>31</v>
      </c>
      <c r="K1530" t="s">
        <v>27</v>
      </c>
      <c r="L1530" t="s">
        <v>87</v>
      </c>
      <c r="M1530" t="s">
        <v>33</v>
      </c>
      <c r="N1530">
        <v>0</v>
      </c>
      <c r="O1530" t="s">
        <v>39</v>
      </c>
      <c r="S1530" s="3">
        <v>2600</v>
      </c>
      <c r="T1530" s="2">
        <v>3820.931396484375</v>
      </c>
      <c r="U1530" s="2">
        <v>5019.0318295164361</v>
      </c>
      <c r="V1530" s="2">
        <v>4848.9361065882076</v>
      </c>
      <c r="W1530" s="2">
        <v>5863.02734375</v>
      </c>
      <c r="X1530" s="4">
        <f t="shared" si="92"/>
        <v>0.68046236119084746</v>
      </c>
      <c r="Y1530" s="4">
        <f t="shared" si="93"/>
        <v>0.51802819514107357</v>
      </c>
      <c r="Z1530" s="4">
        <f t="shared" si="94"/>
        <v>0.53620009479345432</v>
      </c>
      <c r="AA1530" s="4">
        <f t="shared" si="95"/>
        <v>0.44345691185827502</v>
      </c>
    </row>
    <row r="1531" spans="1:27" x14ac:dyDescent="0.3">
      <c r="A1531" t="s">
        <v>556</v>
      </c>
      <c r="B1531">
        <v>153779</v>
      </c>
      <c r="C1531">
        <v>2017</v>
      </c>
      <c r="D1531" t="s">
        <v>119</v>
      </c>
      <c r="E1531" t="s">
        <v>370</v>
      </c>
      <c r="F1531">
        <v>4</v>
      </c>
      <c r="G1531" t="s">
        <v>30</v>
      </c>
      <c r="H1531">
        <v>4</v>
      </c>
      <c r="I1531" t="s">
        <v>23</v>
      </c>
      <c r="J1531" t="s">
        <v>31</v>
      </c>
      <c r="K1531" t="s">
        <v>27</v>
      </c>
      <c r="L1531" t="s">
        <v>127</v>
      </c>
      <c r="M1531" t="s">
        <v>33</v>
      </c>
      <c r="N1531">
        <v>0</v>
      </c>
      <c r="S1531" s="3">
        <v>1000</v>
      </c>
      <c r="T1531" s="2">
        <v>3125.17333984375</v>
      </c>
      <c r="U1531" s="2">
        <v>3190.6151148080371</v>
      </c>
      <c r="V1531" s="2">
        <v>3274.9493624779088</v>
      </c>
      <c r="W1531" s="2">
        <v>3269.333740234375</v>
      </c>
      <c r="X1531" s="4">
        <f t="shared" si="92"/>
        <v>0.31998225098451571</v>
      </c>
      <c r="Y1531" s="4">
        <f t="shared" si="93"/>
        <v>0.31341918846898109</v>
      </c>
      <c r="Z1531" s="4">
        <f t="shared" si="94"/>
        <v>0.30534823269553546</v>
      </c>
      <c r="AA1531" s="4">
        <f t="shared" si="95"/>
        <v>0.30587271886421452</v>
      </c>
    </row>
    <row r="1532" spans="1:27" x14ac:dyDescent="0.3">
      <c r="A1532" t="s">
        <v>556</v>
      </c>
      <c r="B1532">
        <v>147412</v>
      </c>
      <c r="C1532">
        <v>2018</v>
      </c>
      <c r="D1532" t="s">
        <v>54</v>
      </c>
      <c r="E1532" t="s">
        <v>275</v>
      </c>
      <c r="F1532">
        <v>4</v>
      </c>
      <c r="G1532" t="s">
        <v>47</v>
      </c>
      <c r="H1532">
        <v>4</v>
      </c>
      <c r="I1532" t="s">
        <v>23</v>
      </c>
      <c r="J1532" t="s">
        <v>24</v>
      </c>
      <c r="L1532" t="s">
        <v>60</v>
      </c>
      <c r="M1532" t="s">
        <v>33</v>
      </c>
      <c r="N1532">
        <v>0</v>
      </c>
      <c r="S1532" s="3">
        <v>4200</v>
      </c>
      <c r="T1532" s="2">
        <v>6771.873046875</v>
      </c>
      <c r="U1532" s="2">
        <v>7163.1760479701788</v>
      </c>
      <c r="V1532" s="2">
        <v>4273.6247592607479</v>
      </c>
      <c r="W1532" s="2">
        <v>7972.3876953125</v>
      </c>
      <c r="X1532" s="4">
        <f t="shared" si="92"/>
        <v>0.62021245391452873</v>
      </c>
      <c r="Y1532" s="4">
        <f t="shared" si="93"/>
        <v>0.58633209233914463</v>
      </c>
      <c r="Z1532" s="4">
        <f t="shared" si="94"/>
        <v>0.98277229204524652</v>
      </c>
      <c r="AA1532" s="4">
        <f t="shared" si="95"/>
        <v>0.52681833354259233</v>
      </c>
    </row>
    <row r="1533" spans="1:27" x14ac:dyDescent="0.3">
      <c r="A1533" t="s">
        <v>556</v>
      </c>
      <c r="B1533">
        <v>139547</v>
      </c>
      <c r="C1533">
        <v>2020</v>
      </c>
      <c r="D1533" t="s">
        <v>125</v>
      </c>
      <c r="E1533" t="s">
        <v>297</v>
      </c>
      <c r="F1533">
        <v>4</v>
      </c>
      <c r="G1533" t="s">
        <v>36</v>
      </c>
      <c r="H1533">
        <v>4</v>
      </c>
      <c r="I1533" t="s">
        <v>23</v>
      </c>
      <c r="J1533" t="s">
        <v>24</v>
      </c>
      <c r="K1533" t="s">
        <v>27</v>
      </c>
      <c r="L1533" t="s">
        <v>127</v>
      </c>
      <c r="M1533" t="s">
        <v>23</v>
      </c>
      <c r="N1533">
        <v>0</v>
      </c>
      <c r="O1533" t="s">
        <v>39</v>
      </c>
      <c r="S1533" s="3">
        <v>4400</v>
      </c>
      <c r="T1533" s="2">
        <v>5793.91552734375</v>
      </c>
      <c r="U1533" s="2">
        <v>4956.7593525319899</v>
      </c>
      <c r="V1533" s="2">
        <v>3698.603523148056</v>
      </c>
      <c r="W1533" s="2">
        <v>5549.7724609375</v>
      </c>
      <c r="X1533" s="4">
        <f t="shared" si="92"/>
        <v>0.7594173541596666</v>
      </c>
      <c r="Y1533" s="4">
        <f t="shared" si="93"/>
        <v>0.88767674342560354</v>
      </c>
      <c r="Z1533" s="4">
        <f t="shared" si="94"/>
        <v>1.1896381897822215</v>
      </c>
      <c r="AA1533" s="4">
        <f t="shared" si="95"/>
        <v>0.79282529706753535</v>
      </c>
    </row>
    <row r="1534" spans="1:27" x14ac:dyDescent="0.3">
      <c r="A1534" t="s">
        <v>556</v>
      </c>
      <c r="B1534">
        <v>143737</v>
      </c>
      <c r="C1534">
        <v>2012</v>
      </c>
      <c r="D1534" t="s">
        <v>100</v>
      </c>
      <c r="E1534" t="s">
        <v>363</v>
      </c>
      <c r="F1534">
        <v>4</v>
      </c>
      <c r="G1534" t="s">
        <v>36</v>
      </c>
      <c r="H1534">
        <v>4</v>
      </c>
      <c r="I1534" t="s">
        <v>23</v>
      </c>
      <c r="J1534" t="s">
        <v>52</v>
      </c>
      <c r="K1534" t="s">
        <v>27</v>
      </c>
      <c r="L1534" t="s">
        <v>87</v>
      </c>
      <c r="M1534" t="s">
        <v>33</v>
      </c>
      <c r="N1534">
        <v>0</v>
      </c>
      <c r="S1534" s="3">
        <v>800</v>
      </c>
      <c r="T1534" s="2">
        <v>1732.2978515625</v>
      </c>
      <c r="U1534" s="2">
        <v>2183.3628030206041</v>
      </c>
      <c r="V1534" s="2">
        <v>3480.9006782093479</v>
      </c>
      <c r="W1534" s="2">
        <v>2475.327880859375</v>
      </c>
      <c r="X1534" s="4">
        <f t="shared" si="92"/>
        <v>0.4618143463483575</v>
      </c>
      <c r="Y1534" s="4">
        <f t="shared" si="93"/>
        <v>0.36640726813392105</v>
      </c>
      <c r="Z1534" s="4">
        <f t="shared" si="94"/>
        <v>0.22982557503236134</v>
      </c>
      <c r="AA1534" s="4">
        <f t="shared" si="95"/>
        <v>0.32318950801873531</v>
      </c>
    </row>
    <row r="1535" spans="1:27" x14ac:dyDescent="0.3">
      <c r="A1535" t="s">
        <v>556</v>
      </c>
      <c r="B1535">
        <v>229961</v>
      </c>
      <c r="C1535">
        <v>2009</v>
      </c>
      <c r="D1535" t="s">
        <v>100</v>
      </c>
      <c r="E1535" t="s">
        <v>358</v>
      </c>
      <c r="F1535">
        <v>6</v>
      </c>
      <c r="G1535" t="s">
        <v>59</v>
      </c>
      <c r="H1535">
        <v>4</v>
      </c>
      <c r="I1535" t="s">
        <v>23</v>
      </c>
      <c r="J1535" t="s">
        <v>24</v>
      </c>
      <c r="K1535" t="s">
        <v>27</v>
      </c>
      <c r="L1535" t="s">
        <v>53</v>
      </c>
      <c r="M1535" t="s">
        <v>23</v>
      </c>
      <c r="N1535">
        <v>0</v>
      </c>
      <c r="S1535" s="3">
        <v>1000</v>
      </c>
      <c r="T1535" s="2">
        <v>755.8685302734375</v>
      </c>
      <c r="U1535" s="2">
        <v>855.41735712175614</v>
      </c>
      <c r="V1535" s="2">
        <v>906.77223152958322</v>
      </c>
      <c r="W1535" s="2">
        <v>1321.967163085938</v>
      </c>
      <c r="X1535" s="4">
        <f t="shared" si="92"/>
        <v>1.3229813915367628</v>
      </c>
      <c r="Y1535" s="4">
        <f t="shared" si="93"/>
        <v>1.1690200013765499</v>
      </c>
      <c r="Z1535" s="4">
        <f t="shared" si="94"/>
        <v>1.1028127739566485</v>
      </c>
      <c r="AA1535" s="4">
        <f t="shared" si="95"/>
        <v>0.75644844132561284</v>
      </c>
    </row>
    <row r="1536" spans="1:27" x14ac:dyDescent="0.3">
      <c r="A1536" t="s">
        <v>556</v>
      </c>
      <c r="B1536">
        <v>188309</v>
      </c>
      <c r="C1536">
        <v>2015</v>
      </c>
      <c r="D1536" t="s">
        <v>20</v>
      </c>
      <c r="E1536" t="s">
        <v>21</v>
      </c>
      <c r="F1536">
        <v>4</v>
      </c>
      <c r="G1536" t="s">
        <v>47</v>
      </c>
      <c r="H1536">
        <v>4</v>
      </c>
      <c r="I1536" t="s">
        <v>23</v>
      </c>
      <c r="J1536" t="s">
        <v>24</v>
      </c>
      <c r="L1536" t="s">
        <v>60</v>
      </c>
      <c r="M1536" t="s">
        <v>33</v>
      </c>
      <c r="N1536">
        <v>0</v>
      </c>
      <c r="S1536" s="3">
        <v>2100</v>
      </c>
      <c r="T1536" s="2">
        <v>4000.757080078125</v>
      </c>
      <c r="U1536" s="2">
        <v>4757.434401875038</v>
      </c>
      <c r="V1536" s="2">
        <v>3105.8388433695241</v>
      </c>
      <c r="W1536" s="2">
        <v>4247.259765625</v>
      </c>
      <c r="X1536" s="4">
        <f t="shared" si="92"/>
        <v>0.5249006520433358</v>
      </c>
      <c r="Y1536" s="4">
        <f t="shared" si="93"/>
        <v>0.44141438906069441</v>
      </c>
      <c r="Z1536" s="4">
        <f t="shared" si="94"/>
        <v>0.67614583560353392</v>
      </c>
      <c r="AA1536" s="4">
        <f t="shared" si="95"/>
        <v>0.49443644040711909</v>
      </c>
    </row>
    <row r="1537" spans="1:27" x14ac:dyDescent="0.3">
      <c r="A1537" t="s">
        <v>556</v>
      </c>
      <c r="B1537">
        <v>114815</v>
      </c>
      <c r="C1537">
        <v>2016</v>
      </c>
      <c r="D1537" t="s">
        <v>44</v>
      </c>
      <c r="E1537" t="s">
        <v>280</v>
      </c>
      <c r="F1537">
        <v>3</v>
      </c>
      <c r="G1537" t="s">
        <v>47</v>
      </c>
      <c r="H1537">
        <v>3</v>
      </c>
      <c r="I1537" t="s">
        <v>23</v>
      </c>
      <c r="J1537" t="s">
        <v>197</v>
      </c>
      <c r="L1537" t="s">
        <v>198</v>
      </c>
      <c r="M1537" t="s">
        <v>78</v>
      </c>
      <c r="N1537">
        <v>0</v>
      </c>
      <c r="O1537" t="s">
        <v>123</v>
      </c>
      <c r="S1537" s="3">
        <v>1800</v>
      </c>
      <c r="T1537" s="2">
        <v>7580.4052734375</v>
      </c>
      <c r="U1537" s="2">
        <v>4336.0566150379</v>
      </c>
      <c r="V1537" s="2">
        <v>3713.4213635163601</v>
      </c>
      <c r="W1537" s="2">
        <v>5664.9404296875</v>
      </c>
      <c r="X1537" s="4">
        <f t="shared" si="92"/>
        <v>0.23745432270057915</v>
      </c>
      <c r="Y1537" s="4">
        <f t="shared" si="93"/>
        <v>0.41512373103188066</v>
      </c>
      <c r="Z1537" s="4">
        <f t="shared" si="94"/>
        <v>0.48472818562543118</v>
      </c>
      <c r="AA1537" s="4">
        <f t="shared" si="95"/>
        <v>0.31774385315103743</v>
      </c>
    </row>
    <row r="1538" spans="1:27" x14ac:dyDescent="0.3">
      <c r="A1538" t="s">
        <v>556</v>
      </c>
      <c r="B1538">
        <v>108241</v>
      </c>
      <c r="C1538">
        <v>2020</v>
      </c>
      <c r="D1538" t="s">
        <v>100</v>
      </c>
      <c r="E1538" t="s">
        <v>358</v>
      </c>
      <c r="F1538">
        <v>6</v>
      </c>
      <c r="G1538" t="s">
        <v>36</v>
      </c>
      <c r="H1538">
        <v>4</v>
      </c>
      <c r="I1538" t="s">
        <v>23</v>
      </c>
      <c r="J1538" t="s">
        <v>24</v>
      </c>
      <c r="K1538" t="s">
        <v>27</v>
      </c>
      <c r="L1538" t="s">
        <v>53</v>
      </c>
      <c r="M1538" t="s">
        <v>33</v>
      </c>
      <c r="N1538">
        <v>0</v>
      </c>
      <c r="S1538" s="3">
        <v>9000</v>
      </c>
      <c r="T1538" s="2">
        <v>12412.1220703125</v>
      </c>
      <c r="U1538" s="2">
        <v>11827.252215870631</v>
      </c>
      <c r="V1538" s="2">
        <v>10773.29349684417</v>
      </c>
      <c r="W1538" s="2">
        <v>13624.08984375</v>
      </c>
      <c r="X1538" s="4">
        <f t="shared" ref="X1538:X1601" si="96">S1538/T1538</f>
        <v>0.72509760611574514</v>
      </c>
      <c r="Y1538" s="4">
        <f t="shared" ref="Y1538:Y1601" si="97">S1538/U1538</f>
        <v>0.76095443267229668</v>
      </c>
      <c r="Z1538" s="4">
        <f t="shared" ref="Z1538:Z1601" si="98">S1538/V1538</f>
        <v>0.83539912865423915</v>
      </c>
      <c r="AA1538" s="4">
        <f t="shared" ref="AA1538:AA1601" si="99">S1538/W1538</f>
        <v>0.66059458673701543</v>
      </c>
    </row>
    <row r="1539" spans="1:27" x14ac:dyDescent="0.3">
      <c r="A1539" t="s">
        <v>556</v>
      </c>
      <c r="B1539">
        <v>85047</v>
      </c>
      <c r="C1539">
        <v>2018</v>
      </c>
      <c r="D1539" t="s">
        <v>40</v>
      </c>
      <c r="E1539" t="s">
        <v>136</v>
      </c>
      <c r="F1539">
        <v>4</v>
      </c>
      <c r="G1539" t="s">
        <v>99</v>
      </c>
      <c r="H1539">
        <v>4</v>
      </c>
      <c r="I1539" t="s">
        <v>23</v>
      </c>
      <c r="J1539" t="s">
        <v>31</v>
      </c>
      <c r="K1539" t="s">
        <v>27</v>
      </c>
      <c r="L1539" t="s">
        <v>73</v>
      </c>
      <c r="M1539" t="s">
        <v>33</v>
      </c>
      <c r="N1539">
        <v>2</v>
      </c>
      <c r="O1539" t="s">
        <v>27</v>
      </c>
      <c r="S1539" s="3">
        <v>6200</v>
      </c>
      <c r="T1539" s="2">
        <v>8373.822265625</v>
      </c>
      <c r="U1539" s="2">
        <v>7746.0788131179688</v>
      </c>
      <c r="V1539" s="2">
        <v>6665.9237902409632</v>
      </c>
      <c r="W1539" s="2">
        <v>7765.31982421875</v>
      </c>
      <c r="X1539" s="4">
        <f t="shared" si="96"/>
        <v>0.74040262658204969</v>
      </c>
      <c r="Y1539" s="4">
        <f t="shared" si="97"/>
        <v>0.80040497257790777</v>
      </c>
      <c r="Z1539" s="4">
        <f t="shared" si="98"/>
        <v>0.93010364281045577</v>
      </c>
      <c r="AA1539" s="4">
        <f t="shared" si="99"/>
        <v>0.79842171866034728</v>
      </c>
    </row>
    <row r="1540" spans="1:27" x14ac:dyDescent="0.3">
      <c r="A1540" t="s">
        <v>556</v>
      </c>
      <c r="B1540">
        <v>129781</v>
      </c>
      <c r="C1540">
        <v>2018</v>
      </c>
      <c r="D1540" t="s">
        <v>74</v>
      </c>
      <c r="E1540" t="s">
        <v>75</v>
      </c>
      <c r="F1540">
        <v>8</v>
      </c>
      <c r="G1540" t="s">
        <v>59</v>
      </c>
      <c r="H1540">
        <v>4</v>
      </c>
      <c r="I1540" t="s">
        <v>23</v>
      </c>
      <c r="J1540" t="s">
        <v>94</v>
      </c>
      <c r="L1540" t="s">
        <v>84</v>
      </c>
      <c r="M1540">
        <v>4</v>
      </c>
      <c r="N1540">
        <v>2.6</v>
      </c>
      <c r="O1540" t="s">
        <v>27</v>
      </c>
      <c r="S1540" s="3">
        <v>8000</v>
      </c>
      <c r="T1540" s="2">
        <v>10158.3916015625</v>
      </c>
      <c r="U1540" s="2">
        <v>13216.538200475121</v>
      </c>
      <c r="V1540" s="2">
        <v>17018.931622701999</v>
      </c>
      <c r="W1540" s="2">
        <v>12247.2353515625</v>
      </c>
      <c r="X1540" s="4">
        <f t="shared" si="96"/>
        <v>0.78752624566762031</v>
      </c>
      <c r="Y1540" s="4">
        <f t="shared" si="97"/>
        <v>0.60530222654767551</v>
      </c>
      <c r="Z1540" s="4">
        <f t="shared" si="98"/>
        <v>0.47006475948987247</v>
      </c>
      <c r="AA1540" s="4">
        <f t="shared" si="99"/>
        <v>0.65320864426593728</v>
      </c>
    </row>
    <row r="1541" spans="1:27" x14ac:dyDescent="0.3">
      <c r="A1541" t="s">
        <v>556</v>
      </c>
      <c r="B1541">
        <v>171557</v>
      </c>
      <c r="C1541">
        <v>2014</v>
      </c>
      <c r="D1541" t="s">
        <v>44</v>
      </c>
      <c r="E1541" t="s">
        <v>424</v>
      </c>
      <c r="F1541">
        <v>6</v>
      </c>
      <c r="G1541" t="s">
        <v>22</v>
      </c>
      <c r="H1541">
        <v>4</v>
      </c>
      <c r="I1541" t="s">
        <v>23</v>
      </c>
      <c r="J1541" t="s">
        <v>37</v>
      </c>
      <c r="K1541" t="s">
        <v>27</v>
      </c>
      <c r="L1541" t="s">
        <v>38</v>
      </c>
      <c r="M1541" t="s">
        <v>33</v>
      </c>
      <c r="N1541">
        <v>2.4</v>
      </c>
      <c r="O1541" t="s">
        <v>27</v>
      </c>
      <c r="S1541" s="3">
        <v>1500</v>
      </c>
      <c r="T1541" s="2">
        <v>2747.8203125</v>
      </c>
      <c r="U1541" s="2">
        <v>2867.0524129648538</v>
      </c>
      <c r="V1541" s="2">
        <v>2294.995493021886</v>
      </c>
      <c r="W1541" s="2">
        <v>3060.322998046875</v>
      </c>
      <c r="X1541" s="4">
        <f t="shared" si="96"/>
        <v>0.54588722311150029</v>
      </c>
      <c r="Y1541" s="4">
        <f t="shared" si="97"/>
        <v>0.52318541273154884</v>
      </c>
      <c r="Z1541" s="4">
        <f t="shared" si="98"/>
        <v>0.65359605479002802</v>
      </c>
      <c r="AA1541" s="4">
        <f t="shared" si="99"/>
        <v>0.49014434128597312</v>
      </c>
    </row>
    <row r="1542" spans="1:27" x14ac:dyDescent="0.3">
      <c r="A1542" t="s">
        <v>556</v>
      </c>
      <c r="B1542">
        <v>106812</v>
      </c>
      <c r="C1542">
        <v>2019</v>
      </c>
      <c r="D1542" t="s">
        <v>85</v>
      </c>
      <c r="E1542" t="s">
        <v>228</v>
      </c>
      <c r="F1542">
        <v>4</v>
      </c>
      <c r="G1542" t="s">
        <v>22</v>
      </c>
      <c r="H1542">
        <v>4</v>
      </c>
      <c r="I1542" t="s">
        <v>23</v>
      </c>
      <c r="J1542" t="s">
        <v>31</v>
      </c>
      <c r="K1542" t="s">
        <v>27</v>
      </c>
      <c r="L1542" t="s">
        <v>87</v>
      </c>
      <c r="M1542" t="s">
        <v>33</v>
      </c>
      <c r="N1542">
        <v>0</v>
      </c>
      <c r="O1542" t="s">
        <v>199</v>
      </c>
      <c r="S1542" s="3">
        <v>6200</v>
      </c>
      <c r="T1542" s="2">
        <v>6291.962890625</v>
      </c>
      <c r="U1542" s="2">
        <v>5021.4844088010686</v>
      </c>
      <c r="V1542" s="2">
        <v>4424.0107763869737</v>
      </c>
      <c r="W1542" s="2">
        <v>5779.814453125</v>
      </c>
      <c r="X1542" s="4">
        <f t="shared" si="96"/>
        <v>0.98538406976906612</v>
      </c>
      <c r="Y1542" s="4">
        <f t="shared" si="97"/>
        <v>1.2346946630230231</v>
      </c>
      <c r="Z1542" s="4">
        <f t="shared" si="98"/>
        <v>1.4014432408465902</v>
      </c>
      <c r="AA1542" s="4">
        <f t="shared" si="99"/>
        <v>1.0726987951400093</v>
      </c>
    </row>
    <row r="1543" spans="1:27" x14ac:dyDescent="0.3">
      <c r="A1543" t="s">
        <v>556</v>
      </c>
      <c r="B1543">
        <v>140743</v>
      </c>
      <c r="C1543">
        <v>2020</v>
      </c>
      <c r="D1543" t="s">
        <v>40</v>
      </c>
      <c r="E1543" t="s">
        <v>41</v>
      </c>
      <c r="F1543">
        <v>6</v>
      </c>
      <c r="G1543" t="s">
        <v>47</v>
      </c>
      <c r="H1543">
        <v>4</v>
      </c>
      <c r="I1543" t="s">
        <v>23</v>
      </c>
      <c r="J1543" t="s">
        <v>42</v>
      </c>
      <c r="K1543" t="s">
        <v>27</v>
      </c>
      <c r="L1543" t="s">
        <v>308</v>
      </c>
      <c r="M1543" t="s">
        <v>78</v>
      </c>
      <c r="N1543">
        <v>0</v>
      </c>
      <c r="S1543" s="3">
        <v>16200</v>
      </c>
      <c r="T1543" s="2">
        <v>16810.904296875</v>
      </c>
      <c r="U1543" s="2">
        <v>15234.12065831445</v>
      </c>
      <c r="V1543" s="2">
        <v>18227.113957390229</v>
      </c>
      <c r="W1543" s="2">
        <v>15865.2373046875</v>
      </c>
      <c r="X1543" s="4">
        <f t="shared" si="96"/>
        <v>0.96366023587508243</v>
      </c>
      <c r="Y1543" s="4">
        <f t="shared" si="97"/>
        <v>1.0634023691520649</v>
      </c>
      <c r="Z1543" s="4">
        <f t="shared" si="98"/>
        <v>0.88878579669117996</v>
      </c>
      <c r="AA1543" s="4">
        <f t="shared" si="99"/>
        <v>1.0211003900467088</v>
      </c>
    </row>
    <row r="1544" spans="1:27" x14ac:dyDescent="0.3">
      <c r="A1544" t="s">
        <v>556</v>
      </c>
      <c r="B1544">
        <v>60874</v>
      </c>
      <c r="C1544">
        <v>2023</v>
      </c>
      <c r="D1544" t="s">
        <v>54</v>
      </c>
      <c r="E1544" t="s">
        <v>279</v>
      </c>
      <c r="F1544">
        <v>6</v>
      </c>
      <c r="G1544" t="s">
        <v>47</v>
      </c>
      <c r="H1544">
        <v>4</v>
      </c>
      <c r="I1544" t="s">
        <v>23</v>
      </c>
      <c r="J1544" t="s">
        <v>42</v>
      </c>
      <c r="K1544" t="s">
        <v>27</v>
      </c>
      <c r="L1544" t="s">
        <v>26</v>
      </c>
      <c r="M1544">
        <v>4</v>
      </c>
      <c r="N1544">
        <v>2.8</v>
      </c>
      <c r="O1544" t="s">
        <v>27</v>
      </c>
      <c r="S1544" s="3">
        <v>27250</v>
      </c>
      <c r="T1544" s="2">
        <v>34022.9453125</v>
      </c>
      <c r="U1544" s="2">
        <v>30694.81083034386</v>
      </c>
      <c r="V1544" s="2">
        <v>38767.245836605252</v>
      </c>
      <c r="W1544" s="2">
        <v>28734.638671875</v>
      </c>
      <c r="X1544" s="4">
        <f t="shared" si="96"/>
        <v>0.80093007085980805</v>
      </c>
      <c r="Y1544" s="4">
        <f t="shared" si="97"/>
        <v>0.88777220848879002</v>
      </c>
      <c r="Z1544" s="4">
        <f t="shared" si="98"/>
        <v>0.7029129723285551</v>
      </c>
      <c r="AA1544" s="4">
        <f t="shared" si="99"/>
        <v>0.94833278786525543</v>
      </c>
    </row>
    <row r="1545" spans="1:27" x14ac:dyDescent="0.3">
      <c r="A1545" t="s">
        <v>556</v>
      </c>
      <c r="B1545">
        <v>246848</v>
      </c>
      <c r="C1545">
        <v>2006</v>
      </c>
      <c r="D1545" t="s">
        <v>40</v>
      </c>
      <c r="E1545" t="s">
        <v>567</v>
      </c>
      <c r="F1545">
        <v>4</v>
      </c>
      <c r="G1545" t="s">
        <v>246</v>
      </c>
      <c r="H1545">
        <v>4</v>
      </c>
      <c r="I1545" t="s">
        <v>23</v>
      </c>
      <c r="J1545" t="s">
        <v>24</v>
      </c>
      <c r="L1545" t="s">
        <v>60</v>
      </c>
      <c r="M1545" t="s">
        <v>33</v>
      </c>
      <c r="N1545">
        <v>0</v>
      </c>
      <c r="O1545" t="s">
        <v>27</v>
      </c>
      <c r="S1545" s="3">
        <v>400</v>
      </c>
      <c r="T1545" s="2">
        <v>1798.732666015625</v>
      </c>
      <c r="U1545" s="2">
        <v>1465.678100653204</v>
      </c>
      <c r="V1545" s="2">
        <v>1241.405425841489</v>
      </c>
      <c r="W1545" s="2">
        <v>1560.936889648438</v>
      </c>
      <c r="X1545" s="4">
        <f t="shared" si="96"/>
        <v>0.22237879344574338</v>
      </c>
      <c r="Y1545" s="4">
        <f t="shared" si="97"/>
        <v>0.27291122097118958</v>
      </c>
      <c r="Z1545" s="4">
        <f t="shared" si="98"/>
        <v>0.32221544362016885</v>
      </c>
      <c r="AA1545" s="4">
        <f t="shared" si="99"/>
        <v>0.25625635645659578</v>
      </c>
    </row>
    <row r="1546" spans="1:27" x14ac:dyDescent="0.3">
      <c r="A1546" t="s">
        <v>556</v>
      </c>
      <c r="B1546">
        <v>84692</v>
      </c>
      <c r="C1546">
        <v>2019</v>
      </c>
      <c r="D1546" t="s">
        <v>141</v>
      </c>
      <c r="E1546" t="s">
        <v>215</v>
      </c>
      <c r="F1546">
        <v>6</v>
      </c>
      <c r="G1546" t="s">
        <v>36</v>
      </c>
      <c r="H1546">
        <v>4</v>
      </c>
      <c r="I1546" t="s">
        <v>23</v>
      </c>
      <c r="J1546" t="s">
        <v>31</v>
      </c>
      <c r="K1546" t="s">
        <v>27</v>
      </c>
      <c r="L1546" t="s">
        <v>26</v>
      </c>
      <c r="M1546" t="s">
        <v>78</v>
      </c>
      <c r="N1546">
        <v>0</v>
      </c>
      <c r="O1546" t="s">
        <v>27</v>
      </c>
      <c r="S1546" s="3">
        <v>12500</v>
      </c>
      <c r="T1546" s="2">
        <v>18122.34765625</v>
      </c>
      <c r="U1546" s="2">
        <v>15787.26262327511</v>
      </c>
      <c r="V1546" s="2">
        <v>14687.99343237866</v>
      </c>
      <c r="W1546" s="2">
        <v>16210.166015625</v>
      </c>
      <c r="X1546" s="4">
        <f t="shared" si="96"/>
        <v>0.6897561087064249</v>
      </c>
      <c r="Y1546" s="4">
        <f t="shared" si="97"/>
        <v>0.79177754233158137</v>
      </c>
      <c r="Z1546" s="4">
        <f t="shared" si="98"/>
        <v>0.85103523892137778</v>
      </c>
      <c r="AA1546" s="4">
        <f t="shared" si="99"/>
        <v>0.77112103527818487</v>
      </c>
    </row>
    <row r="1547" spans="1:27" x14ac:dyDescent="0.3">
      <c r="A1547" t="s">
        <v>556</v>
      </c>
      <c r="B1547">
        <v>111862</v>
      </c>
      <c r="C1547">
        <v>2017</v>
      </c>
      <c r="D1547" t="s">
        <v>54</v>
      </c>
      <c r="E1547" t="s">
        <v>277</v>
      </c>
      <c r="F1547">
        <v>6</v>
      </c>
      <c r="G1547" t="s">
        <v>66</v>
      </c>
      <c r="H1547">
        <v>4</v>
      </c>
      <c r="I1547" t="s">
        <v>23</v>
      </c>
      <c r="J1547" t="s">
        <v>24</v>
      </c>
      <c r="K1547" t="s">
        <v>27</v>
      </c>
      <c r="L1547" t="s">
        <v>26</v>
      </c>
      <c r="M1547">
        <v>4</v>
      </c>
      <c r="N1547">
        <v>2.9</v>
      </c>
      <c r="O1547" t="s">
        <v>27</v>
      </c>
      <c r="S1547" s="3">
        <v>17250</v>
      </c>
      <c r="T1547" s="2">
        <v>10489.2998046875</v>
      </c>
      <c r="U1547" s="2">
        <v>15985.515315076131</v>
      </c>
      <c r="V1547" s="2">
        <v>15345.627865022059</v>
      </c>
      <c r="W1547" s="2">
        <v>11327.205078125</v>
      </c>
      <c r="X1547" s="4">
        <f t="shared" si="96"/>
        <v>1.6445330309170161</v>
      </c>
      <c r="Y1547" s="4">
        <f t="shared" si="97"/>
        <v>1.0791019031917801</v>
      </c>
      <c r="Z1547" s="4">
        <f t="shared" si="98"/>
        <v>1.1240986782508038</v>
      </c>
      <c r="AA1547" s="4">
        <f t="shared" si="99"/>
        <v>1.5228822892341776</v>
      </c>
    </row>
    <row r="1548" spans="1:27" x14ac:dyDescent="0.3">
      <c r="A1548" t="s">
        <v>556</v>
      </c>
      <c r="B1548">
        <v>84321</v>
      </c>
      <c r="C1548">
        <v>2019</v>
      </c>
      <c r="D1548" t="s">
        <v>44</v>
      </c>
      <c r="E1548" t="s">
        <v>45</v>
      </c>
      <c r="F1548">
        <v>8</v>
      </c>
      <c r="G1548" t="s">
        <v>47</v>
      </c>
      <c r="H1548">
        <v>4</v>
      </c>
      <c r="I1548" t="s">
        <v>23</v>
      </c>
      <c r="J1548" t="s">
        <v>46</v>
      </c>
      <c r="K1548" t="s">
        <v>27</v>
      </c>
      <c r="L1548" t="s">
        <v>48</v>
      </c>
      <c r="M1548">
        <v>4</v>
      </c>
      <c r="N1548">
        <v>0</v>
      </c>
      <c r="S1548" s="3">
        <v>23000</v>
      </c>
      <c r="T1548" s="2">
        <v>36185.90625</v>
      </c>
      <c r="U1548" s="2">
        <v>33944.865721587397</v>
      </c>
      <c r="V1548" s="2">
        <v>23052.44777879984</v>
      </c>
      <c r="W1548" s="2">
        <v>25762.888671875</v>
      </c>
      <c r="X1548" s="4">
        <f t="shared" si="96"/>
        <v>0.63560657680087806</v>
      </c>
      <c r="Y1548" s="4">
        <f t="shared" si="97"/>
        <v>0.67756933224140115</v>
      </c>
      <c r="Z1548" s="4">
        <f t="shared" si="98"/>
        <v>0.99772484990300792</v>
      </c>
      <c r="AA1548" s="4">
        <f t="shared" si="99"/>
        <v>0.89275703097334702</v>
      </c>
    </row>
    <row r="1549" spans="1:27" x14ac:dyDescent="0.3">
      <c r="A1549" t="s">
        <v>461</v>
      </c>
      <c r="B1549">
        <v>151881</v>
      </c>
      <c r="C1549">
        <v>2012</v>
      </c>
      <c r="D1549" t="s">
        <v>44</v>
      </c>
      <c r="E1549" t="s">
        <v>210</v>
      </c>
      <c r="F1549">
        <v>4</v>
      </c>
      <c r="G1549" t="s">
        <v>47</v>
      </c>
      <c r="H1549">
        <v>4</v>
      </c>
      <c r="I1549" t="s">
        <v>23</v>
      </c>
      <c r="J1549" t="s">
        <v>37</v>
      </c>
      <c r="K1549" t="s">
        <v>27</v>
      </c>
      <c r="L1549" t="s">
        <v>128</v>
      </c>
      <c r="M1549" t="s">
        <v>33</v>
      </c>
      <c r="N1549">
        <v>0</v>
      </c>
      <c r="O1549" t="s">
        <v>27</v>
      </c>
      <c r="S1549" s="3">
        <v>1600</v>
      </c>
      <c r="T1549" s="2">
        <v>3552.466796875</v>
      </c>
      <c r="U1549" s="2">
        <v>3254.2981216734361</v>
      </c>
      <c r="V1549" s="2">
        <v>3415.207097997803</v>
      </c>
      <c r="W1549" s="2">
        <v>3297.8369140625</v>
      </c>
      <c r="X1549" s="4">
        <f t="shared" si="96"/>
        <v>0.45039126091409853</v>
      </c>
      <c r="Y1549" s="4">
        <f t="shared" si="97"/>
        <v>0.49165747579918789</v>
      </c>
      <c r="Z1549" s="4">
        <f t="shared" si="98"/>
        <v>0.46849281876288407</v>
      </c>
      <c r="AA1549" s="4">
        <f t="shared" si="99"/>
        <v>0.48516650207211465</v>
      </c>
    </row>
    <row r="1550" spans="1:27" x14ac:dyDescent="0.3">
      <c r="A1550" t="s">
        <v>461</v>
      </c>
      <c r="B1550">
        <v>117952</v>
      </c>
      <c r="C1550">
        <v>2021</v>
      </c>
      <c r="D1550" t="s">
        <v>40</v>
      </c>
      <c r="E1550" t="s">
        <v>79</v>
      </c>
      <c r="F1550">
        <v>8</v>
      </c>
      <c r="G1550" t="s">
        <v>47</v>
      </c>
      <c r="H1550">
        <v>4</v>
      </c>
      <c r="I1550" t="s">
        <v>23</v>
      </c>
      <c r="J1550" t="s">
        <v>42</v>
      </c>
      <c r="K1550" t="s">
        <v>27</v>
      </c>
      <c r="L1550" t="s">
        <v>130</v>
      </c>
      <c r="M1550">
        <v>4</v>
      </c>
      <c r="N1550">
        <v>0</v>
      </c>
      <c r="O1550" t="s">
        <v>27</v>
      </c>
      <c r="S1550" s="3">
        <v>40750</v>
      </c>
      <c r="T1550" s="2">
        <v>47419.04296875</v>
      </c>
      <c r="U1550" s="2">
        <v>44785.735909259689</v>
      </c>
      <c r="V1550" s="2">
        <v>36790.793659215778</v>
      </c>
      <c r="W1550" s="2">
        <v>35068.22265625</v>
      </c>
      <c r="X1550" s="4">
        <f t="shared" si="96"/>
        <v>0.85935939337398648</v>
      </c>
      <c r="Y1550" s="4">
        <f t="shared" si="97"/>
        <v>0.90988791794252333</v>
      </c>
      <c r="Z1550" s="4">
        <f t="shared" si="98"/>
        <v>1.1076140508807011</v>
      </c>
      <c r="AA1550" s="4">
        <f t="shared" si="99"/>
        <v>1.1620206817848915</v>
      </c>
    </row>
    <row r="1551" spans="1:27" x14ac:dyDescent="0.3">
      <c r="A1551" t="s">
        <v>461</v>
      </c>
      <c r="B1551">
        <v>31962</v>
      </c>
      <c r="C1551">
        <v>2017</v>
      </c>
      <c r="D1551" t="s">
        <v>125</v>
      </c>
      <c r="E1551" t="s">
        <v>306</v>
      </c>
      <c r="F1551">
        <v>4</v>
      </c>
      <c r="G1551" t="s">
        <v>59</v>
      </c>
      <c r="H1551">
        <v>4</v>
      </c>
      <c r="I1551" t="s">
        <v>23</v>
      </c>
      <c r="J1551" t="s">
        <v>24</v>
      </c>
      <c r="K1551" t="s">
        <v>27</v>
      </c>
      <c r="L1551" t="s">
        <v>60</v>
      </c>
      <c r="M1551" t="s">
        <v>33</v>
      </c>
      <c r="N1551">
        <v>0</v>
      </c>
      <c r="O1551" t="s">
        <v>27</v>
      </c>
      <c r="S1551" s="3">
        <v>10750</v>
      </c>
      <c r="T1551" s="2">
        <v>18339.767578125</v>
      </c>
      <c r="U1551" s="2">
        <v>15209.898704828651</v>
      </c>
      <c r="V1551" s="2">
        <v>12893.404943514381</v>
      </c>
      <c r="W1551" s="2">
        <v>15104.97265625</v>
      </c>
      <c r="X1551" s="4">
        <f t="shared" si="96"/>
        <v>0.58615791907974912</v>
      </c>
      <c r="Y1551" s="4">
        <f t="shared" si="97"/>
        <v>0.70677656759063245</v>
      </c>
      <c r="Z1551" s="4">
        <f t="shared" si="98"/>
        <v>0.83375958849469378</v>
      </c>
      <c r="AA1551" s="4">
        <f t="shared" si="99"/>
        <v>0.71168616088503556</v>
      </c>
    </row>
    <row r="1552" spans="1:27" x14ac:dyDescent="0.3">
      <c r="A1552" t="s">
        <v>461</v>
      </c>
      <c r="B1552">
        <v>110577</v>
      </c>
      <c r="C1552">
        <v>2021</v>
      </c>
      <c r="D1552" t="s">
        <v>40</v>
      </c>
      <c r="E1552" t="s">
        <v>41</v>
      </c>
      <c r="F1552">
        <v>8</v>
      </c>
      <c r="G1552" t="s">
        <v>22</v>
      </c>
      <c r="H1552">
        <v>4</v>
      </c>
      <c r="I1552" t="s">
        <v>23</v>
      </c>
      <c r="J1552" t="s">
        <v>42</v>
      </c>
      <c r="K1552" t="s">
        <v>27</v>
      </c>
      <c r="L1552" t="s">
        <v>43</v>
      </c>
      <c r="M1552" t="s">
        <v>78</v>
      </c>
      <c r="N1552">
        <v>0</v>
      </c>
      <c r="O1552" t="s">
        <v>27</v>
      </c>
      <c r="S1552" s="3">
        <v>24000</v>
      </c>
      <c r="T1552" s="2">
        <v>38169.98046875</v>
      </c>
      <c r="U1552" s="2">
        <v>33348.699953938092</v>
      </c>
      <c r="V1552" s="2">
        <v>23453.07112695563</v>
      </c>
      <c r="W1552" s="2">
        <v>32448.59765625</v>
      </c>
      <c r="X1552" s="4">
        <f t="shared" si="96"/>
        <v>0.62876636836764821</v>
      </c>
      <c r="Y1552" s="4">
        <f t="shared" si="97"/>
        <v>0.719668233938633</v>
      </c>
      <c r="Z1552" s="4">
        <f t="shared" si="98"/>
        <v>1.0233201387606659</v>
      </c>
      <c r="AA1552" s="4">
        <f t="shared" si="99"/>
        <v>0.73963134722333079</v>
      </c>
    </row>
    <row r="1553" spans="1:27" x14ac:dyDescent="0.3">
      <c r="A1553" t="s">
        <v>461</v>
      </c>
      <c r="B1553">
        <v>116109</v>
      </c>
      <c r="C1553">
        <v>2014</v>
      </c>
      <c r="D1553" t="s">
        <v>54</v>
      </c>
      <c r="E1553" t="s">
        <v>275</v>
      </c>
      <c r="F1553">
        <v>4</v>
      </c>
      <c r="G1553" t="s">
        <v>22</v>
      </c>
      <c r="H1553">
        <v>4</v>
      </c>
      <c r="I1553" t="s">
        <v>23</v>
      </c>
      <c r="J1553" t="s">
        <v>24</v>
      </c>
      <c r="L1553" t="s">
        <v>60</v>
      </c>
      <c r="M1553">
        <v>4</v>
      </c>
      <c r="N1553">
        <v>0</v>
      </c>
      <c r="O1553" t="s">
        <v>27</v>
      </c>
      <c r="S1553" s="3">
        <v>4250</v>
      </c>
      <c r="T1553" s="2">
        <v>7334.7490234375</v>
      </c>
      <c r="U1553" s="2">
        <v>7829.7762367989853</v>
      </c>
      <c r="V1553" s="2">
        <v>8249.8665228096397</v>
      </c>
      <c r="W1553" s="2">
        <v>8014.87158203125</v>
      </c>
      <c r="X1553" s="4">
        <f t="shared" si="96"/>
        <v>0.57943359567171626</v>
      </c>
      <c r="Y1553" s="4">
        <f t="shared" si="97"/>
        <v>0.54279967542693275</v>
      </c>
      <c r="Z1553" s="4">
        <f t="shared" si="98"/>
        <v>0.51515984995022523</v>
      </c>
      <c r="AA1553" s="4">
        <f t="shared" si="99"/>
        <v>0.53026426643293778</v>
      </c>
    </row>
    <row r="1554" spans="1:27" x14ac:dyDescent="0.3">
      <c r="A1554" t="s">
        <v>461</v>
      </c>
      <c r="B1554">
        <v>120428</v>
      </c>
      <c r="C1554">
        <v>2015</v>
      </c>
      <c r="D1554" t="s">
        <v>100</v>
      </c>
      <c r="E1554" t="s">
        <v>138</v>
      </c>
      <c r="F1554">
        <v>4</v>
      </c>
      <c r="G1554" t="s">
        <v>36</v>
      </c>
      <c r="H1554">
        <v>4</v>
      </c>
      <c r="I1554" t="s">
        <v>23</v>
      </c>
      <c r="J1554" t="s">
        <v>24</v>
      </c>
      <c r="K1554" t="s">
        <v>27</v>
      </c>
      <c r="L1554" t="s">
        <v>102</v>
      </c>
      <c r="M1554" t="s">
        <v>33</v>
      </c>
      <c r="N1554">
        <v>0</v>
      </c>
      <c r="O1554" t="s">
        <v>27</v>
      </c>
      <c r="S1554" s="3">
        <v>5500</v>
      </c>
      <c r="T1554" s="2">
        <v>5329.67578125</v>
      </c>
      <c r="U1554" s="2">
        <v>4993.0123194656844</v>
      </c>
      <c r="V1554" s="2">
        <v>6730.1646731806641</v>
      </c>
      <c r="W1554" s="2">
        <v>5433.21337890625</v>
      </c>
      <c r="X1554" s="4">
        <f t="shared" si="96"/>
        <v>1.0319577073241879</v>
      </c>
      <c r="Y1554" s="4">
        <f t="shared" si="97"/>
        <v>1.10153944114213</v>
      </c>
      <c r="Z1554" s="4">
        <f t="shared" si="98"/>
        <v>0.81721625949468923</v>
      </c>
      <c r="AA1554" s="4">
        <f t="shared" si="99"/>
        <v>1.0122922875352256</v>
      </c>
    </row>
    <row r="1555" spans="1:27" x14ac:dyDescent="0.3">
      <c r="A1555" t="s">
        <v>461</v>
      </c>
      <c r="B1555">
        <v>66950</v>
      </c>
      <c r="C1555">
        <v>2015</v>
      </c>
      <c r="D1555" t="s">
        <v>54</v>
      </c>
      <c r="E1555" t="s">
        <v>277</v>
      </c>
      <c r="F1555">
        <v>6</v>
      </c>
      <c r="G1555" t="s">
        <v>246</v>
      </c>
      <c r="H1555">
        <v>4</v>
      </c>
      <c r="I1555" t="s">
        <v>23</v>
      </c>
      <c r="J1555" t="s">
        <v>24</v>
      </c>
      <c r="K1555" t="s">
        <v>27</v>
      </c>
      <c r="L1555" t="s">
        <v>26</v>
      </c>
      <c r="M1555">
        <v>4</v>
      </c>
      <c r="N1555">
        <v>0</v>
      </c>
      <c r="O1555" t="s">
        <v>27</v>
      </c>
      <c r="S1555" s="3">
        <v>17500</v>
      </c>
      <c r="T1555" s="2">
        <v>16833.2890625</v>
      </c>
      <c r="U1555" s="2">
        <v>19301.467709348031</v>
      </c>
      <c r="V1555" s="2">
        <v>21135.5220028644</v>
      </c>
      <c r="W1555" s="2">
        <v>15915.7841796875</v>
      </c>
      <c r="X1555" s="4">
        <f t="shared" si="96"/>
        <v>1.0396066945101805</v>
      </c>
      <c r="Y1555" s="4">
        <f t="shared" si="97"/>
        <v>0.90666680189944571</v>
      </c>
      <c r="Z1555" s="4">
        <f t="shared" si="98"/>
        <v>0.82798995916108931</v>
      </c>
      <c r="AA1555" s="4">
        <f t="shared" si="99"/>
        <v>1.0995374027711655</v>
      </c>
    </row>
    <row r="1556" spans="1:27" x14ac:dyDescent="0.3">
      <c r="A1556" t="s">
        <v>461</v>
      </c>
      <c r="B1556">
        <v>90876</v>
      </c>
      <c r="C1556">
        <v>2021</v>
      </c>
      <c r="D1556" t="s">
        <v>40</v>
      </c>
      <c r="E1556" t="s">
        <v>41</v>
      </c>
      <c r="F1556">
        <v>4</v>
      </c>
      <c r="G1556" t="s">
        <v>30</v>
      </c>
      <c r="H1556">
        <v>4</v>
      </c>
      <c r="I1556" t="s">
        <v>23</v>
      </c>
      <c r="J1556" t="s">
        <v>42</v>
      </c>
      <c r="K1556" t="s">
        <v>27</v>
      </c>
      <c r="L1556" t="s">
        <v>271</v>
      </c>
      <c r="M1556" t="s">
        <v>78</v>
      </c>
      <c r="N1556">
        <v>0</v>
      </c>
      <c r="O1556" t="s">
        <v>27</v>
      </c>
      <c r="S1556" s="3">
        <v>19750</v>
      </c>
      <c r="T1556" s="2">
        <v>21791.275390625</v>
      </c>
      <c r="U1556" s="2">
        <v>20173.15271517988</v>
      </c>
      <c r="V1556" s="2">
        <v>21421.540029319171</v>
      </c>
      <c r="W1556" s="2">
        <v>20857.041015625</v>
      </c>
      <c r="X1556" s="4">
        <f t="shared" si="96"/>
        <v>0.90632602479507951</v>
      </c>
      <c r="Y1556" s="4">
        <f t="shared" si="97"/>
        <v>0.97902396709357842</v>
      </c>
      <c r="Z1556" s="4">
        <f t="shared" si="98"/>
        <v>0.92196919423013601</v>
      </c>
      <c r="AA1556" s="4">
        <f t="shared" si="99"/>
        <v>0.94692243186386493</v>
      </c>
    </row>
    <row r="1557" spans="1:27" x14ac:dyDescent="0.3">
      <c r="A1557" t="s">
        <v>461</v>
      </c>
      <c r="B1557">
        <v>160508</v>
      </c>
      <c r="C1557">
        <v>2014</v>
      </c>
      <c r="D1557" t="s">
        <v>396</v>
      </c>
      <c r="E1557" t="s">
        <v>397</v>
      </c>
      <c r="F1557">
        <v>6</v>
      </c>
      <c r="G1557" t="s">
        <v>47</v>
      </c>
      <c r="H1557">
        <v>4</v>
      </c>
      <c r="I1557" t="s">
        <v>23</v>
      </c>
      <c r="J1557" t="s">
        <v>24</v>
      </c>
      <c r="K1557" t="s">
        <v>27</v>
      </c>
      <c r="L1557" t="s">
        <v>53</v>
      </c>
      <c r="M1557" t="s">
        <v>33</v>
      </c>
      <c r="N1557">
        <v>0</v>
      </c>
      <c r="O1557" t="s">
        <v>27</v>
      </c>
      <c r="S1557" s="3">
        <v>6900</v>
      </c>
      <c r="T1557" s="2">
        <v>881.93719482421875</v>
      </c>
      <c r="U1557" s="2">
        <v>6437.7632381511248</v>
      </c>
      <c r="V1557" s="2">
        <v>6662.5796654219148</v>
      </c>
      <c r="W1557" s="2">
        <v>5649.736328125</v>
      </c>
      <c r="X1557" s="4">
        <f t="shared" si="96"/>
        <v>7.8236863582732301</v>
      </c>
      <c r="Y1557" s="4">
        <f t="shared" si="97"/>
        <v>1.0718008327969555</v>
      </c>
      <c r="Z1557" s="4">
        <f t="shared" si="98"/>
        <v>1.0356348961664612</v>
      </c>
      <c r="AA1557" s="4">
        <f t="shared" si="99"/>
        <v>1.2212959329891293</v>
      </c>
    </row>
    <row r="1558" spans="1:27" x14ac:dyDescent="0.3">
      <c r="A1558" t="s">
        <v>461</v>
      </c>
      <c r="B1558">
        <v>105217</v>
      </c>
      <c r="C1558">
        <v>2006</v>
      </c>
      <c r="D1558" t="s">
        <v>28</v>
      </c>
      <c r="E1558" t="s">
        <v>310</v>
      </c>
      <c r="F1558">
        <v>4</v>
      </c>
      <c r="G1558" t="s">
        <v>47</v>
      </c>
      <c r="H1558">
        <v>4</v>
      </c>
      <c r="I1558" t="s">
        <v>23</v>
      </c>
      <c r="J1558" t="s">
        <v>31</v>
      </c>
      <c r="L1558" t="s">
        <v>60</v>
      </c>
      <c r="M1558" t="s">
        <v>33</v>
      </c>
      <c r="N1558">
        <v>0</v>
      </c>
      <c r="O1558" t="s">
        <v>27</v>
      </c>
      <c r="S1558" s="3">
        <v>3250</v>
      </c>
      <c r="T1558" s="2">
        <v>4555.0673828125</v>
      </c>
      <c r="U1558" s="2">
        <v>3990.6950112275381</v>
      </c>
      <c r="V1558" s="2">
        <v>3954.0569900338869</v>
      </c>
      <c r="W1558" s="2">
        <v>4947.564453125</v>
      </c>
      <c r="X1558" s="4">
        <f t="shared" si="96"/>
        <v>0.71349109175928505</v>
      </c>
      <c r="Y1558" s="4">
        <f t="shared" si="97"/>
        <v>0.81439448287988803</v>
      </c>
      <c r="Z1558" s="4">
        <f t="shared" si="98"/>
        <v>0.82194060636747346</v>
      </c>
      <c r="AA1558" s="4">
        <f t="shared" si="99"/>
        <v>0.65688886537844338</v>
      </c>
    </row>
    <row r="1559" spans="1:27" x14ac:dyDescent="0.3">
      <c r="A1559" t="s">
        <v>461</v>
      </c>
      <c r="B1559">
        <v>121992</v>
      </c>
      <c r="C1559">
        <v>2019</v>
      </c>
      <c r="D1559" t="s">
        <v>20</v>
      </c>
      <c r="E1559" t="s">
        <v>21</v>
      </c>
      <c r="F1559">
        <v>4</v>
      </c>
      <c r="G1559" t="s">
        <v>47</v>
      </c>
      <c r="H1559">
        <v>4</v>
      </c>
      <c r="I1559" t="s">
        <v>23</v>
      </c>
      <c r="J1559" t="s">
        <v>24</v>
      </c>
      <c r="K1559" t="s">
        <v>27</v>
      </c>
      <c r="L1559" t="s">
        <v>107</v>
      </c>
      <c r="M1559" t="s">
        <v>33</v>
      </c>
      <c r="N1559">
        <v>0</v>
      </c>
      <c r="O1559" t="s">
        <v>27</v>
      </c>
      <c r="S1559" s="3">
        <v>8000</v>
      </c>
      <c r="T1559" s="2">
        <v>9779.6064453125</v>
      </c>
      <c r="U1559" s="2">
        <v>10437.69265632978</v>
      </c>
      <c r="V1559" s="2">
        <v>10607.012526798209</v>
      </c>
      <c r="W1559" s="2">
        <v>10694.0107421875</v>
      </c>
      <c r="X1559" s="4">
        <f t="shared" si="96"/>
        <v>0.81802882812677091</v>
      </c>
      <c r="Y1559" s="4">
        <f t="shared" si="97"/>
        <v>0.76645291861017972</v>
      </c>
      <c r="Z1559" s="4">
        <f t="shared" si="98"/>
        <v>0.75421802131262761</v>
      </c>
      <c r="AA1559" s="4">
        <f t="shared" si="99"/>
        <v>0.74808228576396307</v>
      </c>
    </row>
    <row r="1560" spans="1:27" x14ac:dyDescent="0.3">
      <c r="A1560" t="s">
        <v>461</v>
      </c>
      <c r="B1560">
        <v>62712</v>
      </c>
      <c r="C1560">
        <v>2022</v>
      </c>
      <c r="D1560" t="s">
        <v>74</v>
      </c>
      <c r="E1560" t="s">
        <v>75</v>
      </c>
      <c r="F1560">
        <v>8</v>
      </c>
      <c r="G1560" t="s">
        <v>59</v>
      </c>
      <c r="H1560">
        <v>4</v>
      </c>
      <c r="I1560" t="s">
        <v>23</v>
      </c>
      <c r="J1560" t="s">
        <v>42</v>
      </c>
      <c r="L1560" t="s">
        <v>84</v>
      </c>
      <c r="M1560">
        <v>4</v>
      </c>
      <c r="N1560">
        <v>0</v>
      </c>
      <c r="S1560" s="3">
        <v>28250</v>
      </c>
      <c r="T1560" s="2">
        <v>45001.9140625</v>
      </c>
      <c r="U1560" s="2">
        <v>45989.355604044416</v>
      </c>
      <c r="V1560" s="2">
        <v>36031.785609415092</v>
      </c>
      <c r="W1560" s="2">
        <v>45403.20703125</v>
      </c>
      <c r="X1560" s="4">
        <f t="shared" si="96"/>
        <v>0.62775107656011164</v>
      </c>
      <c r="Y1560" s="4">
        <f t="shared" si="97"/>
        <v>0.61427257740301167</v>
      </c>
      <c r="Z1560" s="4">
        <f t="shared" si="98"/>
        <v>0.78402997581719303</v>
      </c>
      <c r="AA1560" s="4">
        <f t="shared" si="99"/>
        <v>0.62220274397260444</v>
      </c>
    </row>
    <row r="1561" spans="1:27" x14ac:dyDescent="0.3">
      <c r="A1561" t="s">
        <v>461</v>
      </c>
      <c r="B1561">
        <v>96173</v>
      </c>
      <c r="C1561">
        <v>2017</v>
      </c>
      <c r="D1561" t="s">
        <v>40</v>
      </c>
      <c r="E1561" t="s">
        <v>122</v>
      </c>
      <c r="F1561">
        <v>4</v>
      </c>
      <c r="G1561" t="s">
        <v>30</v>
      </c>
      <c r="H1561">
        <v>4</v>
      </c>
      <c r="I1561" t="s">
        <v>23</v>
      </c>
      <c r="J1561" t="s">
        <v>24</v>
      </c>
      <c r="K1561" t="s">
        <v>27</v>
      </c>
      <c r="L1561" t="s">
        <v>73</v>
      </c>
      <c r="M1561" t="s">
        <v>33</v>
      </c>
      <c r="N1561">
        <v>0</v>
      </c>
      <c r="O1561" t="s">
        <v>27</v>
      </c>
      <c r="S1561" s="3">
        <v>3700</v>
      </c>
      <c r="T1561" s="2">
        <v>8171.69921875</v>
      </c>
      <c r="U1561" s="2">
        <v>7131.0825673027011</v>
      </c>
      <c r="V1561" s="2">
        <v>6152.4698194608154</v>
      </c>
      <c r="W1561" s="2">
        <v>6957.82666015625</v>
      </c>
      <c r="X1561" s="4">
        <f t="shared" si="96"/>
        <v>0.45278220611820041</v>
      </c>
      <c r="Y1561" s="4">
        <f t="shared" si="97"/>
        <v>0.51885530213395181</v>
      </c>
      <c r="Z1561" s="4">
        <f t="shared" si="98"/>
        <v>0.60138450225250473</v>
      </c>
      <c r="AA1561" s="4">
        <f t="shared" si="99"/>
        <v>0.53177524832400902</v>
      </c>
    </row>
    <row r="1562" spans="1:27" x14ac:dyDescent="0.3">
      <c r="A1562" t="s">
        <v>461</v>
      </c>
      <c r="B1562">
        <v>90171</v>
      </c>
      <c r="C1562">
        <v>2021</v>
      </c>
      <c r="D1562" t="s">
        <v>81</v>
      </c>
      <c r="E1562" t="s">
        <v>278</v>
      </c>
      <c r="F1562">
        <v>6</v>
      </c>
      <c r="G1562" t="s">
        <v>66</v>
      </c>
      <c r="H1562">
        <v>4</v>
      </c>
      <c r="I1562" t="s">
        <v>23</v>
      </c>
      <c r="J1562" t="s">
        <v>24</v>
      </c>
      <c r="K1562" t="s">
        <v>27</v>
      </c>
      <c r="L1562" t="s">
        <v>26</v>
      </c>
      <c r="M1562" t="s">
        <v>23</v>
      </c>
      <c r="N1562">
        <v>0</v>
      </c>
      <c r="O1562" t="s">
        <v>27</v>
      </c>
      <c r="S1562" s="3">
        <v>19000</v>
      </c>
      <c r="T1562" s="2">
        <v>23297.21484375</v>
      </c>
      <c r="U1562" s="2">
        <v>23891.025473527709</v>
      </c>
      <c r="V1562" s="2">
        <v>22211.442354341569</v>
      </c>
      <c r="W1562" s="2">
        <v>25065.3125</v>
      </c>
      <c r="X1562" s="4">
        <f t="shared" si="96"/>
        <v>0.81554812999877435</v>
      </c>
      <c r="Y1562" s="4">
        <f t="shared" si="97"/>
        <v>0.79527770882220283</v>
      </c>
      <c r="Z1562" s="4">
        <f t="shared" si="98"/>
        <v>0.85541495670974099</v>
      </c>
      <c r="AA1562" s="4">
        <f t="shared" si="99"/>
        <v>0.75801967360271294</v>
      </c>
    </row>
    <row r="1563" spans="1:27" x14ac:dyDescent="0.3">
      <c r="A1563" t="s">
        <v>461</v>
      </c>
      <c r="B1563">
        <v>30232</v>
      </c>
      <c r="C1563">
        <v>2023</v>
      </c>
      <c r="D1563" t="s">
        <v>85</v>
      </c>
      <c r="E1563" t="s">
        <v>292</v>
      </c>
      <c r="F1563">
        <v>4</v>
      </c>
      <c r="G1563" t="s">
        <v>22</v>
      </c>
      <c r="H1563">
        <v>4</v>
      </c>
      <c r="I1563" t="s">
        <v>23</v>
      </c>
      <c r="J1563" t="s">
        <v>24</v>
      </c>
      <c r="K1563" t="s">
        <v>27</v>
      </c>
      <c r="L1563" t="s">
        <v>102</v>
      </c>
      <c r="M1563" t="s">
        <v>23</v>
      </c>
      <c r="N1563">
        <v>4.8</v>
      </c>
      <c r="O1563" t="s">
        <v>27</v>
      </c>
      <c r="S1563" s="3">
        <v>24000</v>
      </c>
      <c r="T1563" s="2">
        <v>29732.552734375</v>
      </c>
      <c r="U1563" s="2">
        <v>29854.037300293348</v>
      </c>
      <c r="V1563" s="2">
        <v>21800.089365764481</v>
      </c>
      <c r="W1563" s="2">
        <v>29937.814453125</v>
      </c>
      <c r="X1563" s="4">
        <f t="shared" si="96"/>
        <v>0.80719607947596894</v>
      </c>
      <c r="Y1563" s="4">
        <f t="shared" si="97"/>
        <v>0.80391136912541383</v>
      </c>
      <c r="Z1563" s="4">
        <f t="shared" si="98"/>
        <v>1.1009129181685982</v>
      </c>
      <c r="AA1563" s="4">
        <f t="shared" si="99"/>
        <v>0.80166172576083983</v>
      </c>
    </row>
    <row r="1564" spans="1:27" x14ac:dyDescent="0.3">
      <c r="A1564" t="s">
        <v>461</v>
      </c>
      <c r="B1564">
        <v>84287</v>
      </c>
      <c r="C1564">
        <v>2018</v>
      </c>
      <c r="D1564" t="s">
        <v>100</v>
      </c>
      <c r="E1564" t="s">
        <v>192</v>
      </c>
      <c r="F1564">
        <v>4</v>
      </c>
      <c r="G1564" t="s">
        <v>22</v>
      </c>
      <c r="H1564">
        <v>4</v>
      </c>
      <c r="I1564" t="s">
        <v>23</v>
      </c>
      <c r="J1564" t="s">
        <v>31</v>
      </c>
      <c r="K1564" t="s">
        <v>27</v>
      </c>
      <c r="L1564" t="s">
        <v>32</v>
      </c>
      <c r="M1564" t="s">
        <v>33</v>
      </c>
      <c r="N1564">
        <v>0</v>
      </c>
      <c r="O1564" t="s">
        <v>27</v>
      </c>
      <c r="S1564" s="3">
        <v>5000</v>
      </c>
      <c r="T1564" s="2">
        <v>7211.3095703125</v>
      </c>
      <c r="U1564" s="2">
        <v>8034.7266401897814</v>
      </c>
      <c r="V1564" s="2">
        <v>9431.3276907772542</v>
      </c>
      <c r="W1564" s="2">
        <v>8133.90185546875</v>
      </c>
      <c r="X1564" s="4">
        <f t="shared" si="96"/>
        <v>0.69335534014293143</v>
      </c>
      <c r="Y1564" s="4">
        <f t="shared" si="97"/>
        <v>0.62229870708854629</v>
      </c>
      <c r="Z1564" s="4">
        <f t="shared" si="98"/>
        <v>0.5301480516777527</v>
      </c>
      <c r="AA1564" s="4">
        <f t="shared" si="99"/>
        <v>0.61471112989128318</v>
      </c>
    </row>
    <row r="1565" spans="1:27" x14ac:dyDescent="0.3">
      <c r="A1565" t="s">
        <v>461</v>
      </c>
      <c r="B1565">
        <v>123038</v>
      </c>
      <c r="C1565">
        <v>2007</v>
      </c>
      <c r="D1565" t="s">
        <v>34</v>
      </c>
      <c r="E1565" t="s">
        <v>88</v>
      </c>
      <c r="F1565">
        <v>4</v>
      </c>
      <c r="G1565" t="s">
        <v>568</v>
      </c>
      <c r="H1565">
        <v>4</v>
      </c>
      <c r="I1565" t="s">
        <v>23</v>
      </c>
      <c r="J1565" t="s">
        <v>37</v>
      </c>
      <c r="L1565" t="s">
        <v>89</v>
      </c>
      <c r="M1565" t="s">
        <v>33</v>
      </c>
      <c r="N1565">
        <v>0</v>
      </c>
      <c r="O1565" t="s">
        <v>27</v>
      </c>
      <c r="S1565" s="3">
        <v>4000</v>
      </c>
      <c r="T1565" s="2">
        <v>3623.03466796875</v>
      </c>
      <c r="U1565" s="2">
        <v>2693.242387232171</v>
      </c>
      <c r="V1565" s="2">
        <v>2588.090676869841</v>
      </c>
      <c r="W1565" s="2">
        <v>2908.870361328125</v>
      </c>
      <c r="X1565" s="4">
        <f t="shared" si="96"/>
        <v>1.1040468465190247</v>
      </c>
      <c r="Y1565" s="4">
        <f t="shared" si="97"/>
        <v>1.4851986657282548</v>
      </c>
      <c r="Z1565" s="4">
        <f t="shared" si="98"/>
        <v>1.5455409023140521</v>
      </c>
      <c r="AA1565" s="4">
        <f t="shared" si="99"/>
        <v>1.375104251182129</v>
      </c>
    </row>
    <row r="1566" spans="1:27" x14ac:dyDescent="0.3">
      <c r="A1566" t="s">
        <v>461</v>
      </c>
      <c r="B1566">
        <v>233446</v>
      </c>
      <c r="C1566">
        <v>2006</v>
      </c>
      <c r="D1566" t="s">
        <v>103</v>
      </c>
      <c r="E1566" t="s">
        <v>569</v>
      </c>
      <c r="F1566">
        <v>8</v>
      </c>
      <c r="G1566" t="s">
        <v>30</v>
      </c>
      <c r="H1566">
        <v>4</v>
      </c>
      <c r="I1566" t="s">
        <v>23</v>
      </c>
      <c r="J1566" t="s">
        <v>24</v>
      </c>
      <c r="K1566" t="s">
        <v>27</v>
      </c>
      <c r="L1566" t="s">
        <v>115</v>
      </c>
      <c r="M1566" t="s">
        <v>78</v>
      </c>
      <c r="N1566">
        <v>0</v>
      </c>
      <c r="O1566" t="s">
        <v>27</v>
      </c>
      <c r="S1566" s="3">
        <v>700</v>
      </c>
      <c r="T1566" s="2">
        <v>2390.470947265625</v>
      </c>
      <c r="U1566" s="2">
        <v>4214.9504673826532</v>
      </c>
      <c r="V1566" s="2">
        <v>-378.29139147151358</v>
      </c>
      <c r="W1566" s="2">
        <v>3731.403076171875</v>
      </c>
      <c r="X1566" s="4">
        <f t="shared" si="96"/>
        <v>0.29282932754347224</v>
      </c>
      <c r="Y1566" s="4">
        <f t="shared" si="97"/>
        <v>0.16607549849445258</v>
      </c>
      <c r="Z1566" s="4">
        <f t="shared" si="98"/>
        <v>-1.8504254016383346</v>
      </c>
      <c r="AA1566" s="4">
        <f t="shared" si="99"/>
        <v>0.18759699386809336</v>
      </c>
    </row>
    <row r="1567" spans="1:27" x14ac:dyDescent="0.3">
      <c r="A1567" t="s">
        <v>461</v>
      </c>
      <c r="B1567">
        <v>50067</v>
      </c>
      <c r="C1567">
        <v>2022</v>
      </c>
      <c r="D1567" t="s">
        <v>141</v>
      </c>
      <c r="E1567" t="s">
        <v>215</v>
      </c>
      <c r="F1567">
        <v>6</v>
      </c>
      <c r="G1567" t="s">
        <v>36</v>
      </c>
      <c r="H1567">
        <v>4</v>
      </c>
      <c r="I1567" t="s">
        <v>23</v>
      </c>
      <c r="J1567" t="s">
        <v>31</v>
      </c>
      <c r="K1567" t="s">
        <v>27</v>
      </c>
      <c r="L1567" t="s">
        <v>26</v>
      </c>
      <c r="M1567" t="s">
        <v>78</v>
      </c>
      <c r="N1567">
        <v>4.7</v>
      </c>
      <c r="O1567" t="s">
        <v>27</v>
      </c>
      <c r="S1567" s="3">
        <v>21500</v>
      </c>
      <c r="T1567" s="2">
        <v>29701.50390625</v>
      </c>
      <c r="U1567" s="2">
        <v>31936.504893058311</v>
      </c>
      <c r="V1567" s="2">
        <v>27213.795565998469</v>
      </c>
      <c r="W1567" s="2">
        <v>31356.875</v>
      </c>
      <c r="X1567" s="4">
        <f t="shared" si="96"/>
        <v>0.72386906965595832</v>
      </c>
      <c r="Y1567" s="4">
        <f t="shared" si="97"/>
        <v>0.67321079974137121</v>
      </c>
      <c r="Z1567" s="4">
        <f t="shared" si="98"/>
        <v>0.79004047589975235</v>
      </c>
      <c r="AA1567" s="4">
        <f t="shared" si="99"/>
        <v>0.68565505969584017</v>
      </c>
    </row>
    <row r="1568" spans="1:27" x14ac:dyDescent="0.3">
      <c r="A1568" t="s">
        <v>461</v>
      </c>
      <c r="B1568">
        <v>163735</v>
      </c>
      <c r="C1568">
        <v>2013</v>
      </c>
      <c r="D1568" t="s">
        <v>100</v>
      </c>
      <c r="E1568" t="s">
        <v>101</v>
      </c>
      <c r="F1568">
        <v>4</v>
      </c>
      <c r="G1568" t="s">
        <v>47</v>
      </c>
      <c r="H1568">
        <v>4</v>
      </c>
      <c r="I1568" t="s">
        <v>23</v>
      </c>
      <c r="J1568" t="s">
        <v>31</v>
      </c>
      <c r="K1568" t="s">
        <v>27</v>
      </c>
      <c r="L1568" t="s">
        <v>102</v>
      </c>
      <c r="M1568" t="s">
        <v>33</v>
      </c>
      <c r="N1568">
        <v>0</v>
      </c>
      <c r="O1568" t="s">
        <v>27</v>
      </c>
      <c r="S1568" s="3">
        <v>1200</v>
      </c>
      <c r="T1568" s="2">
        <v>2518.0869140625</v>
      </c>
      <c r="U1568" s="2">
        <v>2952.0449815807228</v>
      </c>
      <c r="V1568" s="2">
        <v>4386.3764850564448</v>
      </c>
      <c r="W1568" s="2">
        <v>2835.891357421875</v>
      </c>
      <c r="X1568" s="4">
        <f t="shared" si="96"/>
        <v>0.47655225611891466</v>
      </c>
      <c r="Y1568" s="4">
        <f t="shared" si="97"/>
        <v>0.40649787096314488</v>
      </c>
      <c r="Z1568" s="4">
        <f t="shared" si="98"/>
        <v>0.27357432816999933</v>
      </c>
      <c r="AA1568" s="4">
        <f t="shared" si="99"/>
        <v>0.42314738075542035</v>
      </c>
    </row>
    <row r="1569" spans="1:27" x14ac:dyDescent="0.3">
      <c r="A1569" t="s">
        <v>461</v>
      </c>
      <c r="B1569">
        <v>165173</v>
      </c>
      <c r="C1569">
        <v>2012</v>
      </c>
      <c r="D1569" t="s">
        <v>44</v>
      </c>
      <c r="E1569" t="s">
        <v>210</v>
      </c>
      <c r="F1569">
        <v>6</v>
      </c>
      <c r="G1569" t="s">
        <v>36</v>
      </c>
      <c r="H1569">
        <v>4</v>
      </c>
      <c r="I1569" t="s">
        <v>23</v>
      </c>
      <c r="J1569" t="s">
        <v>37</v>
      </c>
      <c r="K1569" t="s">
        <v>27</v>
      </c>
      <c r="L1569" t="s">
        <v>168</v>
      </c>
      <c r="M1569" t="s">
        <v>33</v>
      </c>
      <c r="N1569">
        <v>0</v>
      </c>
      <c r="O1569" t="s">
        <v>27</v>
      </c>
      <c r="S1569" s="3">
        <v>1200</v>
      </c>
      <c r="T1569" s="2">
        <v>3424.616943359375</v>
      </c>
      <c r="U1569" s="2">
        <v>3909.2215263196672</v>
      </c>
      <c r="V1569" s="2">
        <v>3187.042434631895</v>
      </c>
      <c r="W1569" s="2">
        <v>3669.280029296875</v>
      </c>
      <c r="X1569" s="4">
        <f t="shared" si="96"/>
        <v>0.35040415317891321</v>
      </c>
      <c r="Y1569" s="4">
        <f t="shared" si="97"/>
        <v>0.3069664872969578</v>
      </c>
      <c r="Z1569" s="4">
        <f t="shared" si="98"/>
        <v>0.37652463831677868</v>
      </c>
      <c r="AA1569" s="4">
        <f t="shared" si="99"/>
        <v>0.32703963459282492</v>
      </c>
    </row>
    <row r="1570" spans="1:27" x14ac:dyDescent="0.3">
      <c r="A1570" t="s">
        <v>461</v>
      </c>
      <c r="B1570">
        <v>136110</v>
      </c>
      <c r="C1570">
        <v>2019</v>
      </c>
      <c r="D1570" t="s">
        <v>74</v>
      </c>
      <c r="E1570" t="s">
        <v>75</v>
      </c>
      <c r="F1570">
        <v>8</v>
      </c>
      <c r="G1570" t="s">
        <v>47</v>
      </c>
      <c r="H1570">
        <v>4</v>
      </c>
      <c r="I1570" t="s">
        <v>23</v>
      </c>
      <c r="J1570" t="s">
        <v>42</v>
      </c>
      <c r="K1570" t="s">
        <v>27</v>
      </c>
      <c r="L1570" t="s">
        <v>84</v>
      </c>
      <c r="M1570">
        <v>4</v>
      </c>
      <c r="N1570">
        <v>0</v>
      </c>
      <c r="O1570" t="s">
        <v>27</v>
      </c>
      <c r="S1570" s="3">
        <v>15000</v>
      </c>
      <c r="T1570" s="2">
        <v>18611.267578125</v>
      </c>
      <c r="U1570" s="2">
        <v>19109.291151566849</v>
      </c>
      <c r="V1570" s="2">
        <v>23649.108258094231</v>
      </c>
      <c r="W1570" s="2">
        <v>18889.677734375</v>
      </c>
      <c r="X1570" s="4">
        <f t="shared" si="96"/>
        <v>0.8059633733722924</v>
      </c>
      <c r="Y1570" s="4">
        <f t="shared" si="97"/>
        <v>0.78495847287198239</v>
      </c>
      <c r="Z1570" s="4">
        <f t="shared" si="98"/>
        <v>0.63427338723717186</v>
      </c>
      <c r="AA1570" s="4">
        <f t="shared" si="99"/>
        <v>0.79408448417853872</v>
      </c>
    </row>
    <row r="1571" spans="1:27" x14ac:dyDescent="0.3">
      <c r="A1571" t="s">
        <v>461</v>
      </c>
      <c r="B1571">
        <v>149087</v>
      </c>
      <c r="C1571">
        <v>2019</v>
      </c>
      <c r="D1571" t="s">
        <v>44</v>
      </c>
      <c r="E1571" t="s">
        <v>45</v>
      </c>
      <c r="F1571">
        <v>6</v>
      </c>
      <c r="G1571" t="s">
        <v>36</v>
      </c>
      <c r="H1571">
        <v>4</v>
      </c>
      <c r="I1571" t="s">
        <v>23</v>
      </c>
      <c r="J1571" t="s">
        <v>46</v>
      </c>
      <c r="K1571" t="s">
        <v>27</v>
      </c>
      <c r="L1571" t="s">
        <v>38</v>
      </c>
      <c r="M1571">
        <v>4</v>
      </c>
      <c r="N1571">
        <v>0</v>
      </c>
      <c r="O1571" t="s">
        <v>27</v>
      </c>
      <c r="S1571" s="3">
        <v>15000</v>
      </c>
      <c r="T1571" s="2">
        <v>13464.96484375</v>
      </c>
      <c r="U1571" s="2">
        <v>14112.4172193087</v>
      </c>
      <c r="V1571" s="2">
        <v>17621.668269615511</v>
      </c>
      <c r="W1571" s="2">
        <v>13378.7744140625</v>
      </c>
      <c r="X1571" s="4">
        <f t="shared" si="96"/>
        <v>1.1140021659219195</v>
      </c>
      <c r="Y1571" s="4">
        <f t="shared" si="97"/>
        <v>1.0628937457629091</v>
      </c>
      <c r="Z1571" s="4">
        <f t="shared" si="98"/>
        <v>0.85122474050110386</v>
      </c>
      <c r="AA1571" s="4">
        <f t="shared" si="99"/>
        <v>1.1211789313252356</v>
      </c>
    </row>
    <row r="1572" spans="1:27" x14ac:dyDescent="0.3">
      <c r="A1572" t="s">
        <v>461</v>
      </c>
      <c r="B1572">
        <v>76636</v>
      </c>
      <c r="C1572">
        <v>2015</v>
      </c>
      <c r="D1572" t="s">
        <v>54</v>
      </c>
      <c r="E1572" t="s">
        <v>219</v>
      </c>
      <c r="F1572">
        <v>6</v>
      </c>
      <c r="G1572" t="s">
        <v>22</v>
      </c>
      <c r="H1572">
        <v>4</v>
      </c>
      <c r="I1572" t="s">
        <v>23</v>
      </c>
      <c r="J1572" t="s">
        <v>24</v>
      </c>
      <c r="L1572" t="s">
        <v>26</v>
      </c>
      <c r="M1572" t="s">
        <v>78</v>
      </c>
      <c r="N1572">
        <v>0</v>
      </c>
      <c r="O1572" t="s">
        <v>27</v>
      </c>
      <c r="S1572" s="3">
        <v>9500</v>
      </c>
      <c r="T1572" s="2">
        <v>16042.4833984375</v>
      </c>
      <c r="U1572" s="2">
        <v>15195.55520001096</v>
      </c>
      <c r="V1572" s="2">
        <v>12529.77287886474</v>
      </c>
      <c r="W1572" s="2">
        <v>14730.5751953125</v>
      </c>
      <c r="X1572" s="4">
        <f t="shared" si="96"/>
        <v>0.59217764257903349</v>
      </c>
      <c r="Y1572" s="4">
        <f t="shared" si="97"/>
        <v>0.62518281661687147</v>
      </c>
      <c r="Z1572" s="4">
        <f t="shared" si="98"/>
        <v>0.7581941102878752</v>
      </c>
      <c r="AA1572" s="4">
        <f t="shared" si="99"/>
        <v>0.64491711111342409</v>
      </c>
    </row>
    <row r="1573" spans="1:27" x14ac:dyDescent="0.3">
      <c r="A1573" t="s">
        <v>461</v>
      </c>
      <c r="B1573">
        <v>132712</v>
      </c>
      <c r="C1573">
        <v>2013</v>
      </c>
      <c r="D1573" t="s">
        <v>34</v>
      </c>
      <c r="E1573" t="s">
        <v>262</v>
      </c>
      <c r="F1573">
        <v>8</v>
      </c>
      <c r="G1573" t="s">
        <v>66</v>
      </c>
      <c r="H1573">
        <v>4</v>
      </c>
      <c r="I1573" t="s">
        <v>23</v>
      </c>
      <c r="J1573" t="s">
        <v>152</v>
      </c>
      <c r="L1573" t="s">
        <v>354</v>
      </c>
      <c r="M1573">
        <v>4</v>
      </c>
      <c r="N1573">
        <v>0</v>
      </c>
      <c r="O1573" t="s">
        <v>27</v>
      </c>
      <c r="S1573" s="3">
        <v>12500</v>
      </c>
      <c r="T1573" s="2">
        <v>9085.65234375</v>
      </c>
      <c r="U1573" s="2">
        <v>10742.273057342731</v>
      </c>
      <c r="V1573" s="2">
        <v>11473.768485488659</v>
      </c>
      <c r="W1573" s="2">
        <v>10730.625</v>
      </c>
      <c r="X1573" s="4">
        <f t="shared" si="96"/>
        <v>1.3757955430243511</v>
      </c>
      <c r="Y1573" s="4">
        <f t="shared" si="97"/>
        <v>1.1636270957994128</v>
      </c>
      <c r="Z1573" s="4">
        <f t="shared" si="98"/>
        <v>1.0894415392649117</v>
      </c>
      <c r="AA1573" s="4">
        <f t="shared" si="99"/>
        <v>1.1648902090977926</v>
      </c>
    </row>
    <row r="1574" spans="1:27" x14ac:dyDescent="0.3">
      <c r="A1574" t="s">
        <v>461</v>
      </c>
      <c r="B1574">
        <v>274068</v>
      </c>
      <c r="C1574">
        <v>2016</v>
      </c>
      <c r="D1574" t="s">
        <v>34</v>
      </c>
      <c r="E1574" t="s">
        <v>88</v>
      </c>
      <c r="F1574">
        <v>4</v>
      </c>
      <c r="G1574" t="s">
        <v>47</v>
      </c>
      <c r="H1574">
        <v>4</v>
      </c>
      <c r="I1574" t="s">
        <v>23</v>
      </c>
      <c r="J1574" t="s">
        <v>37</v>
      </c>
      <c r="L1574" t="s">
        <v>89</v>
      </c>
      <c r="M1574" t="s">
        <v>33</v>
      </c>
      <c r="N1574">
        <v>0</v>
      </c>
      <c r="O1574" t="s">
        <v>27</v>
      </c>
      <c r="S1574" s="3">
        <v>3000</v>
      </c>
      <c r="T1574" s="2">
        <v>2745.582763671875</v>
      </c>
      <c r="U1574" s="2">
        <v>2645.8485498421178</v>
      </c>
      <c r="V1574" s="2">
        <v>2824.9445847359179</v>
      </c>
      <c r="W1574" s="2">
        <v>3361.467529296875</v>
      </c>
      <c r="X1574" s="4">
        <f t="shared" si="96"/>
        <v>1.0926642021848483</v>
      </c>
      <c r="Y1574" s="4">
        <f t="shared" si="97"/>
        <v>1.1338517467974556</v>
      </c>
      <c r="Z1574" s="4">
        <f t="shared" si="98"/>
        <v>1.0619677342380316</v>
      </c>
      <c r="AA1574" s="4">
        <f t="shared" si="99"/>
        <v>0.89246734465036348</v>
      </c>
    </row>
    <row r="1575" spans="1:27" x14ac:dyDescent="0.3">
      <c r="A1575" t="s">
        <v>461</v>
      </c>
      <c r="B1575">
        <v>141839</v>
      </c>
      <c r="C1575">
        <v>2018</v>
      </c>
      <c r="D1575" t="s">
        <v>125</v>
      </c>
      <c r="E1575" t="s">
        <v>306</v>
      </c>
      <c r="F1575">
        <v>4</v>
      </c>
      <c r="G1575" t="s">
        <v>22</v>
      </c>
      <c r="H1575">
        <v>4</v>
      </c>
      <c r="I1575" t="s">
        <v>23</v>
      </c>
      <c r="J1575" t="s">
        <v>24</v>
      </c>
      <c r="K1575" t="s">
        <v>27</v>
      </c>
      <c r="L1575" t="s">
        <v>60</v>
      </c>
      <c r="M1575" t="s">
        <v>33</v>
      </c>
      <c r="N1575">
        <v>0</v>
      </c>
      <c r="O1575" t="s">
        <v>27</v>
      </c>
      <c r="S1575" s="3">
        <v>6000</v>
      </c>
      <c r="T1575" s="2">
        <v>6978.04736328125</v>
      </c>
      <c r="U1575" s="2">
        <v>6942.4239478998943</v>
      </c>
      <c r="V1575" s="2">
        <v>5136.324646649512</v>
      </c>
      <c r="W1575" s="2">
        <v>6261.88916015625</v>
      </c>
      <c r="X1575" s="4">
        <f t="shared" si="96"/>
        <v>0.85983939168602208</v>
      </c>
      <c r="Y1575" s="4">
        <f t="shared" si="97"/>
        <v>0.8642514552593723</v>
      </c>
      <c r="Z1575" s="4">
        <f t="shared" si="98"/>
        <v>1.168150460254469</v>
      </c>
      <c r="AA1575" s="4">
        <f t="shared" si="99"/>
        <v>0.95817729227425108</v>
      </c>
    </row>
    <row r="1576" spans="1:27" x14ac:dyDescent="0.3">
      <c r="A1576" t="s">
        <v>461</v>
      </c>
      <c r="B1576">
        <v>276891</v>
      </c>
      <c r="C1576">
        <v>2015</v>
      </c>
      <c r="D1576" t="s">
        <v>44</v>
      </c>
      <c r="E1576" t="s">
        <v>267</v>
      </c>
      <c r="F1576">
        <v>8</v>
      </c>
      <c r="G1576" t="s">
        <v>36</v>
      </c>
      <c r="H1576">
        <v>4</v>
      </c>
      <c r="I1576" t="s">
        <v>23</v>
      </c>
      <c r="J1576" t="s">
        <v>46</v>
      </c>
      <c r="K1576" t="s">
        <v>27</v>
      </c>
      <c r="L1576" t="s">
        <v>140</v>
      </c>
      <c r="M1576">
        <v>4</v>
      </c>
      <c r="N1576">
        <v>0</v>
      </c>
      <c r="O1576" t="s">
        <v>27</v>
      </c>
      <c r="S1576" s="3">
        <v>9500</v>
      </c>
      <c r="T1576" s="2">
        <v>7355.892578125</v>
      </c>
      <c r="U1576" s="2">
        <v>18467.040211065221</v>
      </c>
      <c r="V1576" s="2">
        <v>11442.766300027641</v>
      </c>
      <c r="W1576" s="2">
        <v>11680.93359375</v>
      </c>
      <c r="X1576" s="4">
        <f t="shared" si="96"/>
        <v>1.2914816113888286</v>
      </c>
      <c r="Y1576" s="4">
        <f t="shared" si="97"/>
        <v>0.51443002730387288</v>
      </c>
      <c r="Z1576" s="4">
        <f t="shared" si="98"/>
        <v>0.83021882566779781</v>
      </c>
      <c r="AA1576" s="4">
        <f t="shared" si="99"/>
        <v>0.81329115723105128</v>
      </c>
    </row>
    <row r="1577" spans="1:27" x14ac:dyDescent="0.3">
      <c r="A1577" t="s">
        <v>461</v>
      </c>
      <c r="B1577">
        <v>154675</v>
      </c>
      <c r="C1577">
        <v>2015</v>
      </c>
      <c r="D1577" t="s">
        <v>28</v>
      </c>
      <c r="E1577" t="s">
        <v>216</v>
      </c>
      <c r="F1577">
        <v>6</v>
      </c>
      <c r="G1577" t="s">
        <v>22</v>
      </c>
      <c r="H1577">
        <v>4</v>
      </c>
      <c r="I1577" t="s">
        <v>23</v>
      </c>
      <c r="J1577" t="s">
        <v>106</v>
      </c>
      <c r="K1577" t="s">
        <v>27</v>
      </c>
      <c r="L1577" t="s">
        <v>53</v>
      </c>
      <c r="M1577" t="s">
        <v>33</v>
      </c>
      <c r="N1577">
        <v>0</v>
      </c>
      <c r="O1577" t="s">
        <v>27</v>
      </c>
      <c r="S1577" s="3">
        <v>5500</v>
      </c>
      <c r="T1577" s="2">
        <v>7328.50830078125</v>
      </c>
      <c r="U1577" s="2">
        <v>7437.1192065749656</v>
      </c>
      <c r="V1577" s="2">
        <v>6695.5266244759714</v>
      </c>
      <c r="W1577" s="2">
        <v>7775.82470703125</v>
      </c>
      <c r="X1577" s="4">
        <f t="shared" si="96"/>
        <v>0.75049379413456851</v>
      </c>
      <c r="Y1577" s="4">
        <f t="shared" si="97"/>
        <v>0.73953366178904212</v>
      </c>
      <c r="Z1577" s="4">
        <f t="shared" si="98"/>
        <v>0.82144397423413429</v>
      </c>
      <c r="AA1577" s="4">
        <f t="shared" si="99"/>
        <v>0.70732047174708723</v>
      </c>
    </row>
    <row r="1578" spans="1:27" x14ac:dyDescent="0.3">
      <c r="A1578" t="s">
        <v>461</v>
      </c>
      <c r="B1578">
        <v>157589</v>
      </c>
      <c r="C1578">
        <v>2017</v>
      </c>
      <c r="D1578" t="s">
        <v>85</v>
      </c>
      <c r="E1578" t="s">
        <v>372</v>
      </c>
      <c r="F1578">
        <v>4</v>
      </c>
      <c r="G1578" t="s">
        <v>47</v>
      </c>
      <c r="H1578">
        <v>4</v>
      </c>
      <c r="I1578" t="s">
        <v>337</v>
      </c>
      <c r="J1578" t="s">
        <v>31</v>
      </c>
      <c r="K1578" t="s">
        <v>27</v>
      </c>
      <c r="L1578" t="s">
        <v>127</v>
      </c>
      <c r="M1578" t="s">
        <v>33</v>
      </c>
      <c r="N1578">
        <v>0</v>
      </c>
      <c r="O1578" t="s">
        <v>27</v>
      </c>
      <c r="S1578" s="3">
        <v>2000</v>
      </c>
      <c r="T1578" s="2">
        <v>4361.60400390625</v>
      </c>
      <c r="U1578" s="2">
        <v>3566.8803052574199</v>
      </c>
      <c r="V1578" s="2">
        <v>3974.8710860575939</v>
      </c>
      <c r="W1578" s="2">
        <v>5611.74609375</v>
      </c>
      <c r="X1578" s="4">
        <f t="shared" si="96"/>
        <v>0.45854690114205721</v>
      </c>
      <c r="Y1578" s="4">
        <f t="shared" si="97"/>
        <v>0.56071407752373714</v>
      </c>
      <c r="Z1578" s="4">
        <f t="shared" si="98"/>
        <v>0.50316097219234979</v>
      </c>
      <c r="AA1578" s="4">
        <f t="shared" si="99"/>
        <v>0.35639531200947788</v>
      </c>
    </row>
    <row r="1579" spans="1:27" x14ac:dyDescent="0.3">
      <c r="A1579" t="s">
        <v>557</v>
      </c>
      <c r="B1579">
        <v>56263</v>
      </c>
      <c r="C1579">
        <v>2022</v>
      </c>
      <c r="D1579" t="s">
        <v>40</v>
      </c>
      <c r="E1579" t="s">
        <v>502</v>
      </c>
      <c r="F1579">
        <v>6</v>
      </c>
      <c r="G1579" t="s">
        <v>47</v>
      </c>
      <c r="H1579">
        <v>3</v>
      </c>
      <c r="I1579" t="s">
        <v>23</v>
      </c>
      <c r="J1579" t="s">
        <v>448</v>
      </c>
      <c r="K1579" t="s">
        <v>25</v>
      </c>
      <c r="L1579" t="s">
        <v>308</v>
      </c>
      <c r="M1579" t="s">
        <v>78</v>
      </c>
      <c r="N1579">
        <v>0</v>
      </c>
      <c r="O1579" t="s">
        <v>27</v>
      </c>
      <c r="S1579" s="3">
        <v>30000</v>
      </c>
      <c r="T1579" s="2">
        <v>34020.8515625</v>
      </c>
      <c r="U1579" s="2">
        <v>38310.244751523787</v>
      </c>
      <c r="V1579" s="2">
        <v>31628.588953890448</v>
      </c>
      <c r="W1579" s="2">
        <v>36416.9296875</v>
      </c>
      <c r="X1579" s="4">
        <f t="shared" si="96"/>
        <v>0.8818121423235612</v>
      </c>
      <c r="Y1579" s="4">
        <f t="shared" si="97"/>
        <v>0.78308035342965931</v>
      </c>
      <c r="Z1579" s="4">
        <f t="shared" si="98"/>
        <v>0.94850895952820791</v>
      </c>
      <c r="AA1579" s="4">
        <f t="shared" si="99"/>
        <v>0.82379267712668836</v>
      </c>
    </row>
    <row r="1580" spans="1:27" x14ac:dyDescent="0.3">
      <c r="A1580" t="s">
        <v>557</v>
      </c>
      <c r="B1580">
        <v>41009</v>
      </c>
      <c r="C1580">
        <v>2022</v>
      </c>
      <c r="D1580" t="s">
        <v>54</v>
      </c>
      <c r="E1580" t="s">
        <v>206</v>
      </c>
      <c r="F1580">
        <v>4</v>
      </c>
      <c r="G1580" t="s">
        <v>36</v>
      </c>
      <c r="H1580">
        <v>4</v>
      </c>
      <c r="I1580" t="s">
        <v>23</v>
      </c>
      <c r="J1580" t="s">
        <v>24</v>
      </c>
      <c r="K1580" t="s">
        <v>25</v>
      </c>
      <c r="L1580" t="s">
        <v>127</v>
      </c>
      <c r="M1580">
        <v>4</v>
      </c>
      <c r="N1580">
        <v>0</v>
      </c>
      <c r="O1580" t="s">
        <v>27</v>
      </c>
      <c r="S1580" s="3">
        <v>34600</v>
      </c>
      <c r="T1580" s="2">
        <v>31372.150390625</v>
      </c>
      <c r="U1580" s="2">
        <v>32416.61720766651</v>
      </c>
      <c r="V1580" s="2">
        <v>29400.639307524329</v>
      </c>
      <c r="W1580" s="2">
        <v>31821.623046875</v>
      </c>
      <c r="X1580" s="4">
        <f t="shared" si="96"/>
        <v>1.1028890136373815</v>
      </c>
      <c r="Y1580" s="4">
        <f t="shared" si="97"/>
        <v>1.0673538135810519</v>
      </c>
      <c r="Z1580" s="4">
        <f t="shared" si="98"/>
        <v>1.1768451576202641</v>
      </c>
      <c r="AA1580" s="4">
        <f t="shared" si="99"/>
        <v>1.0873109755914176</v>
      </c>
    </row>
    <row r="1581" spans="1:27" x14ac:dyDescent="0.3">
      <c r="A1581" t="s">
        <v>557</v>
      </c>
      <c r="B1581">
        <v>29764</v>
      </c>
      <c r="C1581">
        <v>2022</v>
      </c>
      <c r="D1581" t="s">
        <v>54</v>
      </c>
      <c r="E1581" t="s">
        <v>124</v>
      </c>
      <c r="F1581">
        <v>4</v>
      </c>
      <c r="G1581" t="s">
        <v>59</v>
      </c>
      <c r="H1581">
        <v>4</v>
      </c>
      <c r="I1581" t="s">
        <v>23</v>
      </c>
      <c r="J1581" t="s">
        <v>24</v>
      </c>
      <c r="K1581" t="s">
        <v>25</v>
      </c>
      <c r="L1581" t="s">
        <v>60</v>
      </c>
      <c r="M1581">
        <v>4</v>
      </c>
      <c r="N1581">
        <v>0</v>
      </c>
      <c r="O1581" t="s">
        <v>27</v>
      </c>
      <c r="S1581" s="3">
        <v>22800</v>
      </c>
      <c r="T1581" s="2">
        <v>27273.373046875</v>
      </c>
      <c r="U1581" s="2">
        <v>27651.483054960448</v>
      </c>
      <c r="V1581" s="2">
        <v>21325.42044107135</v>
      </c>
      <c r="W1581" s="2">
        <v>28310.076171875</v>
      </c>
      <c r="X1581" s="4">
        <f t="shared" si="96"/>
        <v>0.83598020533849726</v>
      </c>
      <c r="Y1581" s="4">
        <f t="shared" si="97"/>
        <v>0.824548902302362</v>
      </c>
      <c r="Z1581" s="4">
        <f t="shared" si="98"/>
        <v>1.0691465644489104</v>
      </c>
      <c r="AA1581" s="4">
        <f t="shared" si="99"/>
        <v>0.80536696056829915</v>
      </c>
    </row>
    <row r="1582" spans="1:27" x14ac:dyDescent="0.3">
      <c r="A1582" t="s">
        <v>557</v>
      </c>
      <c r="B1582">
        <v>62042</v>
      </c>
      <c r="C1582">
        <v>2023</v>
      </c>
      <c r="D1582" t="s">
        <v>54</v>
      </c>
      <c r="E1582" t="s">
        <v>206</v>
      </c>
      <c r="F1582">
        <v>4</v>
      </c>
      <c r="G1582" t="s">
        <v>22</v>
      </c>
      <c r="H1582">
        <v>4</v>
      </c>
      <c r="I1582" t="s">
        <v>23</v>
      </c>
      <c r="J1582" t="s">
        <v>24</v>
      </c>
      <c r="K1582" t="s">
        <v>25</v>
      </c>
      <c r="L1582" t="s">
        <v>127</v>
      </c>
      <c r="M1582">
        <v>4</v>
      </c>
      <c r="N1582">
        <v>0</v>
      </c>
      <c r="O1582" t="s">
        <v>27</v>
      </c>
      <c r="S1582" s="3">
        <v>25999</v>
      </c>
      <c r="T1582" s="2">
        <v>33475.69921875</v>
      </c>
      <c r="U1582" s="2">
        <v>30459.20880262139</v>
      </c>
      <c r="V1582" s="2">
        <v>28233.02111787568</v>
      </c>
      <c r="W1582" s="2">
        <v>30399.802734375</v>
      </c>
      <c r="X1582" s="4">
        <f t="shared" si="96"/>
        <v>0.77665293352372333</v>
      </c>
      <c r="Y1582" s="4">
        <f t="shared" si="97"/>
        <v>0.85356780501017038</v>
      </c>
      <c r="Z1582" s="4">
        <f t="shared" si="98"/>
        <v>0.92087204877762041</v>
      </c>
      <c r="AA1582" s="4">
        <f t="shared" si="99"/>
        <v>0.85523581278378724</v>
      </c>
    </row>
    <row r="1583" spans="1:27" x14ac:dyDescent="0.3">
      <c r="A1583" t="s">
        <v>557</v>
      </c>
      <c r="B1583">
        <v>66214</v>
      </c>
      <c r="C1583">
        <v>2023</v>
      </c>
      <c r="D1583" t="s">
        <v>100</v>
      </c>
      <c r="E1583" t="s">
        <v>358</v>
      </c>
      <c r="F1583">
        <v>6</v>
      </c>
      <c r="G1583" t="s">
        <v>47</v>
      </c>
      <c r="H1583">
        <v>4</v>
      </c>
      <c r="I1583" t="s">
        <v>23</v>
      </c>
      <c r="J1583" t="s">
        <v>24</v>
      </c>
      <c r="K1583" t="s">
        <v>25</v>
      </c>
      <c r="L1583" t="s">
        <v>53</v>
      </c>
      <c r="M1583" t="s">
        <v>23</v>
      </c>
      <c r="N1583">
        <v>0</v>
      </c>
      <c r="O1583" t="s">
        <v>27</v>
      </c>
      <c r="S1583" s="3">
        <v>21400</v>
      </c>
      <c r="T1583" s="2">
        <v>24121.796875</v>
      </c>
      <c r="U1583" s="2">
        <v>25784.30186981957</v>
      </c>
      <c r="V1583" s="2">
        <v>26172.648209747789</v>
      </c>
      <c r="W1583" s="2">
        <v>26371.806640625</v>
      </c>
      <c r="X1583" s="4">
        <f t="shared" si="96"/>
        <v>0.88716442273747487</v>
      </c>
      <c r="Y1583" s="4">
        <f t="shared" si="97"/>
        <v>0.82996235880439406</v>
      </c>
      <c r="Z1583" s="4">
        <f t="shared" si="98"/>
        <v>0.81764748559260214</v>
      </c>
      <c r="AA1583" s="4">
        <f t="shared" si="99"/>
        <v>0.81147265682715586</v>
      </c>
    </row>
    <row r="1584" spans="1:27" x14ac:dyDescent="0.3">
      <c r="A1584" t="s">
        <v>557</v>
      </c>
      <c r="B1584">
        <v>23047</v>
      </c>
      <c r="C1584">
        <v>2022</v>
      </c>
      <c r="D1584" t="s">
        <v>34</v>
      </c>
      <c r="E1584" t="s">
        <v>570</v>
      </c>
      <c r="F1584">
        <v>6</v>
      </c>
      <c r="G1584" t="s">
        <v>30</v>
      </c>
      <c r="H1584">
        <v>4</v>
      </c>
      <c r="I1584" t="s">
        <v>23</v>
      </c>
      <c r="J1584" t="s">
        <v>152</v>
      </c>
      <c r="K1584" t="s">
        <v>25</v>
      </c>
      <c r="L1584" t="s">
        <v>53</v>
      </c>
      <c r="M1584" t="s">
        <v>78</v>
      </c>
      <c r="N1584">
        <v>0</v>
      </c>
      <c r="S1584" s="3">
        <v>30800</v>
      </c>
      <c r="T1584" s="2">
        <v>35147.12109375</v>
      </c>
      <c r="U1584" s="2">
        <v>30714.784471738069</v>
      </c>
      <c r="V1584" s="2">
        <v>35320.516253001479</v>
      </c>
      <c r="W1584" s="2">
        <v>34706.24609375</v>
      </c>
      <c r="X1584" s="4">
        <f t="shared" si="96"/>
        <v>0.87631643905756418</v>
      </c>
      <c r="Y1584" s="4">
        <f t="shared" si="97"/>
        <v>1.0027744140070507</v>
      </c>
      <c r="Z1584" s="4">
        <f t="shared" si="98"/>
        <v>0.87201443431288095</v>
      </c>
      <c r="AA1584" s="4">
        <f t="shared" si="99"/>
        <v>0.8874483260679279</v>
      </c>
    </row>
    <row r="1585" spans="1:27" x14ac:dyDescent="0.3">
      <c r="A1585" t="s">
        <v>557</v>
      </c>
      <c r="B1585">
        <v>39495</v>
      </c>
      <c r="C1585">
        <v>2022</v>
      </c>
      <c r="D1585" t="s">
        <v>321</v>
      </c>
      <c r="E1585" t="s">
        <v>571</v>
      </c>
      <c r="F1585">
        <v>6</v>
      </c>
      <c r="G1585" t="s">
        <v>36</v>
      </c>
      <c r="H1585">
        <v>4</v>
      </c>
      <c r="I1585" t="s">
        <v>23</v>
      </c>
      <c r="J1585" t="s">
        <v>24</v>
      </c>
      <c r="K1585" t="s">
        <v>25</v>
      </c>
      <c r="L1585" t="s">
        <v>218</v>
      </c>
      <c r="M1585" t="s">
        <v>23</v>
      </c>
      <c r="N1585">
        <v>0</v>
      </c>
      <c r="O1585" t="s">
        <v>27</v>
      </c>
      <c r="S1585" s="3">
        <v>47500</v>
      </c>
      <c r="T1585" s="2">
        <v>49728.890625</v>
      </c>
      <c r="U1585" s="2">
        <v>49738.853586441233</v>
      </c>
      <c r="V1585" s="2">
        <v>43284.012246093291</v>
      </c>
      <c r="W1585" s="2">
        <v>47189.6796875</v>
      </c>
      <c r="X1585" s="4">
        <f t="shared" si="96"/>
        <v>0.95517916050434715</v>
      </c>
      <c r="Y1585" s="4">
        <f t="shared" si="97"/>
        <v>0.95498783295135004</v>
      </c>
      <c r="Z1585" s="4">
        <f t="shared" si="98"/>
        <v>1.097402887004479</v>
      </c>
      <c r="AA1585" s="4">
        <f t="shared" si="99"/>
        <v>1.0065760207434127</v>
      </c>
    </row>
    <row r="1586" spans="1:27" x14ac:dyDescent="0.3">
      <c r="A1586" t="s">
        <v>556</v>
      </c>
      <c r="B1586">
        <v>90556</v>
      </c>
      <c r="C1586">
        <v>2022</v>
      </c>
      <c r="D1586" t="s">
        <v>34</v>
      </c>
      <c r="E1586" t="s">
        <v>562</v>
      </c>
      <c r="F1586">
        <v>4</v>
      </c>
      <c r="G1586" t="s">
        <v>36</v>
      </c>
      <c r="H1586">
        <v>4</v>
      </c>
      <c r="I1586" t="s">
        <v>23</v>
      </c>
      <c r="J1586" t="s">
        <v>62</v>
      </c>
      <c r="L1586" t="s">
        <v>128</v>
      </c>
      <c r="M1586" t="s">
        <v>23</v>
      </c>
      <c r="N1586">
        <v>2.4</v>
      </c>
      <c r="O1586" t="s">
        <v>27</v>
      </c>
      <c r="S1586" s="3">
        <v>18750</v>
      </c>
      <c r="T1586" s="2">
        <v>16833.62890625</v>
      </c>
      <c r="U1586" s="2">
        <v>14331.30043197634</v>
      </c>
      <c r="V1586" s="2">
        <v>16124.26362386348</v>
      </c>
      <c r="W1586" s="2">
        <v>16508.25390625</v>
      </c>
      <c r="X1586" s="4">
        <f t="shared" si="96"/>
        <v>1.1138418284270535</v>
      </c>
      <c r="Y1586" s="4">
        <f t="shared" si="97"/>
        <v>1.3083250950600793</v>
      </c>
      <c r="Z1586" s="4">
        <f t="shared" si="98"/>
        <v>1.1628438009566215</v>
      </c>
      <c r="AA1586" s="4">
        <f t="shared" si="99"/>
        <v>1.1357954697377945</v>
      </c>
    </row>
    <row r="1587" spans="1:27" x14ac:dyDescent="0.3">
      <c r="A1587" t="s">
        <v>556</v>
      </c>
      <c r="B1587">
        <v>16480</v>
      </c>
      <c r="C1587">
        <v>2022</v>
      </c>
      <c r="D1587" t="s">
        <v>44</v>
      </c>
      <c r="E1587" t="s">
        <v>485</v>
      </c>
      <c r="F1587">
        <v>3</v>
      </c>
      <c r="G1587" t="s">
        <v>99</v>
      </c>
      <c r="H1587">
        <v>4</v>
      </c>
      <c r="I1587" t="s">
        <v>23</v>
      </c>
      <c r="J1587" t="s">
        <v>62</v>
      </c>
      <c r="K1587" t="s">
        <v>27</v>
      </c>
      <c r="L1587" t="s">
        <v>200</v>
      </c>
      <c r="M1587">
        <v>4</v>
      </c>
      <c r="N1587">
        <v>2.8</v>
      </c>
      <c r="O1587" t="s">
        <v>27</v>
      </c>
      <c r="S1587" s="3">
        <v>27750</v>
      </c>
      <c r="T1587" s="2">
        <v>23172.333984375</v>
      </c>
      <c r="U1587" s="2">
        <v>28505.95614700537</v>
      </c>
      <c r="V1587" s="2">
        <v>26919.46254260455</v>
      </c>
      <c r="W1587" s="2">
        <v>26809.013671875</v>
      </c>
      <c r="X1587" s="4">
        <f t="shared" si="96"/>
        <v>1.1975487673667962</v>
      </c>
      <c r="Y1587" s="4">
        <f t="shared" si="97"/>
        <v>0.97348076510372428</v>
      </c>
      <c r="Z1587" s="4">
        <f t="shared" si="98"/>
        <v>1.0308526760547685</v>
      </c>
      <c r="AA1587" s="4">
        <f t="shared" si="99"/>
        <v>1.0350996250605138</v>
      </c>
    </row>
    <row r="1588" spans="1:27" x14ac:dyDescent="0.3">
      <c r="A1588" t="s">
        <v>556</v>
      </c>
      <c r="B1588">
        <v>204997</v>
      </c>
      <c r="C1588">
        <v>2015</v>
      </c>
      <c r="D1588" t="s">
        <v>85</v>
      </c>
      <c r="E1588" t="s">
        <v>228</v>
      </c>
      <c r="F1588">
        <v>4</v>
      </c>
      <c r="G1588" t="s">
        <v>30</v>
      </c>
      <c r="H1588">
        <v>4</v>
      </c>
      <c r="I1588" t="s">
        <v>23</v>
      </c>
      <c r="J1588" t="s">
        <v>31</v>
      </c>
      <c r="K1588" t="s">
        <v>27</v>
      </c>
      <c r="L1588" t="s">
        <v>60</v>
      </c>
      <c r="M1588" t="s">
        <v>33</v>
      </c>
      <c r="N1588">
        <v>0</v>
      </c>
      <c r="S1588" s="3">
        <v>600</v>
      </c>
      <c r="T1588" s="2">
        <v>2990.418701171875</v>
      </c>
      <c r="U1588" s="2">
        <v>2685.315944680754</v>
      </c>
      <c r="V1588" s="2">
        <v>1816.421954976518</v>
      </c>
      <c r="W1588" s="2">
        <v>2638.728759765625</v>
      </c>
      <c r="X1588" s="4">
        <f t="shared" si="96"/>
        <v>0.20064079982006333</v>
      </c>
      <c r="Y1588" s="4">
        <f t="shared" si="97"/>
        <v>0.22343739521173234</v>
      </c>
      <c r="Z1588" s="4">
        <f t="shared" si="98"/>
        <v>0.3303197246411595</v>
      </c>
      <c r="AA1588" s="4">
        <f t="shared" si="99"/>
        <v>0.22738221872159861</v>
      </c>
    </row>
    <row r="1589" spans="1:27" x14ac:dyDescent="0.3">
      <c r="A1589" t="s">
        <v>556</v>
      </c>
      <c r="B1589">
        <v>1</v>
      </c>
      <c r="C1589">
        <v>2017</v>
      </c>
      <c r="D1589" t="s">
        <v>54</v>
      </c>
      <c r="E1589" t="s">
        <v>180</v>
      </c>
      <c r="F1589">
        <v>4</v>
      </c>
      <c r="G1589" t="s">
        <v>22</v>
      </c>
      <c r="H1589">
        <v>4</v>
      </c>
      <c r="I1589" t="s">
        <v>23</v>
      </c>
      <c r="J1589" t="s">
        <v>24</v>
      </c>
      <c r="L1589" t="s">
        <v>60</v>
      </c>
      <c r="M1589" t="s">
        <v>33</v>
      </c>
      <c r="N1589">
        <v>0</v>
      </c>
      <c r="S1589" s="3">
        <v>2200</v>
      </c>
      <c r="T1589" s="2">
        <v>23847.19921875</v>
      </c>
      <c r="U1589" s="2">
        <v>21243.484847750929</v>
      </c>
      <c r="V1589" s="2">
        <v>16502.71914197685</v>
      </c>
      <c r="W1589" s="2">
        <v>13034.2578125</v>
      </c>
      <c r="X1589" s="4">
        <f t="shared" si="96"/>
        <v>9.2254020265417042E-2</v>
      </c>
      <c r="Y1589" s="4">
        <f t="shared" si="97"/>
        <v>0.10356116314093901</v>
      </c>
      <c r="Z1589" s="4">
        <f t="shared" si="98"/>
        <v>0.13331136408932809</v>
      </c>
      <c r="AA1589" s="4">
        <f t="shared" si="99"/>
        <v>0.16878598165291583</v>
      </c>
    </row>
    <row r="1590" spans="1:27" x14ac:dyDescent="0.3">
      <c r="A1590" t="s">
        <v>556</v>
      </c>
      <c r="B1590">
        <v>77037</v>
      </c>
      <c r="C1590">
        <v>2017</v>
      </c>
      <c r="D1590" t="s">
        <v>44</v>
      </c>
      <c r="E1590" t="s">
        <v>117</v>
      </c>
      <c r="F1590">
        <v>4</v>
      </c>
      <c r="G1590" t="s">
        <v>47</v>
      </c>
      <c r="H1590">
        <v>4</v>
      </c>
      <c r="I1590" t="s">
        <v>23</v>
      </c>
      <c r="J1590" t="s">
        <v>62</v>
      </c>
      <c r="L1590" t="s">
        <v>200</v>
      </c>
      <c r="M1590" t="s">
        <v>33</v>
      </c>
      <c r="N1590">
        <v>2.8</v>
      </c>
      <c r="O1590" t="s">
        <v>27</v>
      </c>
      <c r="S1590" s="3">
        <v>4900</v>
      </c>
      <c r="T1590" s="2">
        <v>9160.8525390625</v>
      </c>
      <c r="U1590" s="2">
        <v>9606.3903301605769</v>
      </c>
      <c r="V1590" s="2">
        <v>7182.3671302334924</v>
      </c>
      <c r="W1590" s="2">
        <v>8197.4453125</v>
      </c>
      <c r="X1590" s="4">
        <f t="shared" si="96"/>
        <v>0.53488471505310953</v>
      </c>
      <c r="Y1590" s="4">
        <f t="shared" si="97"/>
        <v>0.5100771290352194</v>
      </c>
      <c r="Z1590" s="4">
        <f t="shared" si="98"/>
        <v>0.68222633445927805</v>
      </c>
      <c r="AA1590" s="4">
        <f t="shared" si="99"/>
        <v>0.59774720211041354</v>
      </c>
    </row>
    <row r="1591" spans="1:27" x14ac:dyDescent="0.3">
      <c r="A1591" t="s">
        <v>556</v>
      </c>
      <c r="B1591">
        <v>93802</v>
      </c>
      <c r="C1591">
        <v>2019</v>
      </c>
      <c r="D1591" t="s">
        <v>100</v>
      </c>
      <c r="E1591" t="s">
        <v>101</v>
      </c>
      <c r="F1591">
        <v>4</v>
      </c>
      <c r="G1591" t="s">
        <v>36</v>
      </c>
      <c r="H1591">
        <v>4</v>
      </c>
      <c r="I1591" t="s">
        <v>23</v>
      </c>
      <c r="J1591" t="s">
        <v>31</v>
      </c>
      <c r="K1591" t="s">
        <v>27</v>
      </c>
      <c r="L1591" t="s">
        <v>102</v>
      </c>
      <c r="M1591" t="s">
        <v>33</v>
      </c>
      <c r="N1591">
        <v>2.5</v>
      </c>
      <c r="O1591" t="s">
        <v>27</v>
      </c>
      <c r="S1591" s="3">
        <v>5750</v>
      </c>
      <c r="T1591" s="2">
        <v>7389.35986328125</v>
      </c>
      <c r="U1591" s="2">
        <v>8020.0267013436696</v>
      </c>
      <c r="V1591" s="2">
        <v>9489.8247917262979</v>
      </c>
      <c r="W1591" s="2">
        <v>8220.6337890625</v>
      </c>
      <c r="X1591" s="4">
        <f t="shared" si="96"/>
        <v>0.77814588900623782</v>
      </c>
      <c r="Y1591" s="4">
        <f t="shared" si="97"/>
        <v>0.71695521899405257</v>
      </c>
      <c r="Z1591" s="4">
        <f t="shared" si="98"/>
        <v>0.6059121349651404</v>
      </c>
      <c r="AA1591" s="4">
        <f t="shared" si="99"/>
        <v>0.69945945136862042</v>
      </c>
    </row>
    <row r="1592" spans="1:27" x14ac:dyDescent="0.3">
      <c r="A1592" t="s">
        <v>556</v>
      </c>
      <c r="B1592">
        <v>127150</v>
      </c>
      <c r="C1592">
        <v>2019</v>
      </c>
      <c r="D1592" t="s">
        <v>100</v>
      </c>
      <c r="E1592" t="s">
        <v>192</v>
      </c>
      <c r="F1592">
        <v>4</v>
      </c>
      <c r="G1592" t="s">
        <v>59</v>
      </c>
      <c r="H1592">
        <v>4</v>
      </c>
      <c r="I1592" t="s">
        <v>23</v>
      </c>
      <c r="J1592" t="s">
        <v>31</v>
      </c>
      <c r="L1592" t="s">
        <v>32</v>
      </c>
      <c r="M1592" t="s">
        <v>33</v>
      </c>
      <c r="N1592">
        <v>2.6</v>
      </c>
      <c r="O1592" t="s">
        <v>27</v>
      </c>
      <c r="S1592" s="3">
        <v>3200</v>
      </c>
      <c r="T1592" s="2">
        <v>3262.67041015625</v>
      </c>
      <c r="U1592" s="2">
        <v>6665.7235375749669</v>
      </c>
      <c r="V1592" s="2">
        <v>6551.806592061851</v>
      </c>
      <c r="W1592" s="2">
        <v>5239.08203125</v>
      </c>
      <c r="X1592" s="4">
        <f t="shared" si="96"/>
        <v>0.98079168218733781</v>
      </c>
      <c r="Y1592" s="4">
        <f t="shared" si="97"/>
        <v>0.48006791490248041</v>
      </c>
      <c r="Z1592" s="4">
        <f t="shared" si="98"/>
        <v>0.48841490587910674</v>
      </c>
      <c r="AA1592" s="4">
        <f t="shared" si="99"/>
        <v>0.61079402477622735</v>
      </c>
    </row>
    <row r="1593" spans="1:27" x14ac:dyDescent="0.3">
      <c r="A1593" t="s">
        <v>556</v>
      </c>
      <c r="B1593">
        <v>171593</v>
      </c>
      <c r="C1593">
        <v>2017</v>
      </c>
      <c r="D1593" t="s">
        <v>125</v>
      </c>
      <c r="E1593" t="s">
        <v>126</v>
      </c>
      <c r="F1593">
        <v>4</v>
      </c>
      <c r="G1593" t="s">
        <v>22</v>
      </c>
      <c r="H1593">
        <v>4</v>
      </c>
      <c r="I1593" t="s">
        <v>23</v>
      </c>
      <c r="J1593" t="s">
        <v>31</v>
      </c>
      <c r="K1593" t="s">
        <v>27</v>
      </c>
      <c r="L1593" t="s">
        <v>127</v>
      </c>
      <c r="M1593" t="s">
        <v>33</v>
      </c>
      <c r="N1593">
        <v>0</v>
      </c>
      <c r="S1593" s="3">
        <v>2000</v>
      </c>
      <c r="T1593" s="2">
        <v>3624.065185546875</v>
      </c>
      <c r="U1593" s="2">
        <v>3882.374331313993</v>
      </c>
      <c r="V1593" s="2">
        <v>2484.0606107452481</v>
      </c>
      <c r="W1593" s="2">
        <v>5191.26416015625</v>
      </c>
      <c r="X1593" s="4">
        <f t="shared" si="96"/>
        <v>0.55186645316872196</v>
      </c>
      <c r="Y1593" s="4">
        <f t="shared" si="97"/>
        <v>0.51514867689821608</v>
      </c>
      <c r="Z1593" s="4">
        <f t="shared" si="98"/>
        <v>0.80513333344147986</v>
      </c>
      <c r="AA1593" s="4">
        <f t="shared" si="99"/>
        <v>0.38526261394099481</v>
      </c>
    </row>
    <row r="1594" spans="1:27" x14ac:dyDescent="0.3">
      <c r="A1594" t="s">
        <v>556</v>
      </c>
      <c r="B1594">
        <v>122661</v>
      </c>
      <c r="C1594">
        <v>2012</v>
      </c>
      <c r="D1594" t="s">
        <v>74</v>
      </c>
      <c r="E1594" t="s">
        <v>75</v>
      </c>
      <c r="F1594">
        <v>8</v>
      </c>
      <c r="G1594" t="s">
        <v>22</v>
      </c>
      <c r="H1594">
        <v>4</v>
      </c>
      <c r="I1594" t="s">
        <v>23</v>
      </c>
      <c r="J1594" t="s">
        <v>94</v>
      </c>
      <c r="K1594" t="s">
        <v>27</v>
      </c>
      <c r="L1594" t="s">
        <v>84</v>
      </c>
      <c r="M1594">
        <v>4</v>
      </c>
      <c r="N1594">
        <v>2</v>
      </c>
      <c r="O1594" t="s">
        <v>27</v>
      </c>
      <c r="S1594" s="3">
        <v>6000</v>
      </c>
      <c r="T1594" s="2">
        <v>5209.7998046875</v>
      </c>
      <c r="U1594" s="2">
        <v>5303.3531715131603</v>
      </c>
      <c r="V1594" s="2">
        <v>8221.3970056034486</v>
      </c>
      <c r="W1594" s="2">
        <v>5640.599609375</v>
      </c>
      <c r="X1594" s="4">
        <f t="shared" si="96"/>
        <v>1.1516757313019053</v>
      </c>
      <c r="Y1594" s="4">
        <f t="shared" si="97"/>
        <v>1.1313596899842278</v>
      </c>
      <c r="Z1594" s="4">
        <f t="shared" si="98"/>
        <v>0.72980297580941367</v>
      </c>
      <c r="AA1594" s="4">
        <f t="shared" si="99"/>
        <v>1.0637166995557805</v>
      </c>
    </row>
    <row r="1595" spans="1:27" x14ac:dyDescent="0.3">
      <c r="A1595" t="s">
        <v>556</v>
      </c>
      <c r="B1595">
        <v>189814</v>
      </c>
      <c r="C1595">
        <v>2014</v>
      </c>
      <c r="D1595" t="s">
        <v>226</v>
      </c>
      <c r="E1595" t="s">
        <v>421</v>
      </c>
      <c r="F1595">
        <v>6</v>
      </c>
      <c r="G1595" t="s">
        <v>36</v>
      </c>
      <c r="H1595">
        <v>4</v>
      </c>
      <c r="I1595" t="s">
        <v>23</v>
      </c>
      <c r="J1595" t="s">
        <v>24</v>
      </c>
      <c r="K1595" t="s">
        <v>27</v>
      </c>
      <c r="L1595" t="s">
        <v>218</v>
      </c>
      <c r="M1595" t="s">
        <v>23</v>
      </c>
      <c r="N1595">
        <v>0</v>
      </c>
      <c r="S1595" s="3">
        <v>2600</v>
      </c>
      <c r="T1595" s="2">
        <v>-1189.544921875</v>
      </c>
      <c r="U1595" s="2">
        <v>4183.8835116740329</v>
      </c>
      <c r="V1595" s="2">
        <v>3955.4175383310881</v>
      </c>
      <c r="W1595" s="2">
        <v>4573.9248046875</v>
      </c>
      <c r="X1595" s="4">
        <f t="shared" si="96"/>
        <v>-2.1857098056471833</v>
      </c>
      <c r="Y1595" s="4">
        <f t="shared" si="97"/>
        <v>0.62143221548720939</v>
      </c>
      <c r="Z1595" s="4">
        <f t="shared" si="98"/>
        <v>0.65732630621267352</v>
      </c>
      <c r="AA1595" s="4">
        <f t="shared" si="99"/>
        <v>0.56843960297192453</v>
      </c>
    </row>
    <row r="1596" spans="1:27" x14ac:dyDescent="0.3">
      <c r="A1596" t="s">
        <v>556</v>
      </c>
      <c r="B1596">
        <v>71973</v>
      </c>
      <c r="C1596">
        <v>2018</v>
      </c>
      <c r="D1596" t="s">
        <v>85</v>
      </c>
      <c r="E1596" t="s">
        <v>228</v>
      </c>
      <c r="F1596">
        <v>4</v>
      </c>
      <c r="G1596" t="s">
        <v>99</v>
      </c>
      <c r="H1596">
        <v>4</v>
      </c>
      <c r="I1596" t="s">
        <v>23</v>
      </c>
      <c r="J1596" t="s">
        <v>31</v>
      </c>
      <c r="K1596" t="s">
        <v>27</v>
      </c>
      <c r="L1596" t="s">
        <v>60</v>
      </c>
      <c r="M1596" t="s">
        <v>33</v>
      </c>
      <c r="N1596">
        <v>2.8</v>
      </c>
      <c r="O1596" t="s">
        <v>27</v>
      </c>
      <c r="S1596" s="3">
        <v>6250</v>
      </c>
      <c r="T1596" s="2">
        <v>8660.607421875</v>
      </c>
      <c r="U1596" s="2">
        <v>10075.66858293214</v>
      </c>
      <c r="V1596" s="2">
        <v>9182.1004044061592</v>
      </c>
      <c r="W1596" s="2">
        <v>9656.9833984375</v>
      </c>
      <c r="X1596" s="4">
        <f t="shared" si="96"/>
        <v>0.72165838901942636</v>
      </c>
      <c r="Y1596" s="4">
        <f t="shared" si="97"/>
        <v>0.62030623065424162</v>
      </c>
      <c r="Z1596" s="4">
        <f t="shared" si="98"/>
        <v>0.68067214740985083</v>
      </c>
      <c r="AA1596" s="4">
        <f t="shared" si="99"/>
        <v>0.64720003567690199</v>
      </c>
    </row>
    <row r="1597" spans="1:27" x14ac:dyDescent="0.3">
      <c r="A1597" t="s">
        <v>556</v>
      </c>
      <c r="B1597">
        <v>108358</v>
      </c>
      <c r="C1597">
        <v>2019</v>
      </c>
      <c r="D1597" t="s">
        <v>71</v>
      </c>
      <c r="E1597" t="s">
        <v>72</v>
      </c>
      <c r="F1597">
        <v>4</v>
      </c>
      <c r="G1597" t="s">
        <v>47</v>
      </c>
      <c r="H1597">
        <v>4</v>
      </c>
      <c r="I1597" t="s">
        <v>23</v>
      </c>
      <c r="J1597" t="s">
        <v>24</v>
      </c>
      <c r="K1597" t="s">
        <v>27</v>
      </c>
      <c r="L1597" t="s">
        <v>73</v>
      </c>
      <c r="M1597" t="s">
        <v>33</v>
      </c>
      <c r="N1597">
        <v>0</v>
      </c>
      <c r="O1597" t="s">
        <v>199</v>
      </c>
      <c r="S1597" s="3">
        <v>3400</v>
      </c>
      <c r="T1597" s="2">
        <v>8655.3583984375</v>
      </c>
      <c r="U1597" s="2">
        <v>3542.5460267350882</v>
      </c>
      <c r="V1597" s="2">
        <v>5470.2241066914248</v>
      </c>
      <c r="W1597" s="2">
        <v>5379.07373046875</v>
      </c>
      <c r="X1597" s="4">
        <f t="shared" si="96"/>
        <v>0.39282024423318873</v>
      </c>
      <c r="Y1597" s="4">
        <f t="shared" si="97"/>
        <v>0.95976170086166457</v>
      </c>
      <c r="Z1597" s="4">
        <f t="shared" si="98"/>
        <v>0.62154674720565228</v>
      </c>
      <c r="AA1597" s="4">
        <f t="shared" si="99"/>
        <v>0.63207908468354701</v>
      </c>
    </row>
    <row r="1598" spans="1:27" x14ac:dyDescent="0.3">
      <c r="A1598" t="s">
        <v>556</v>
      </c>
      <c r="B1598">
        <v>81442</v>
      </c>
      <c r="C1598">
        <v>2021</v>
      </c>
      <c r="D1598" t="s">
        <v>239</v>
      </c>
      <c r="E1598" t="s">
        <v>438</v>
      </c>
      <c r="F1598">
        <v>6</v>
      </c>
      <c r="G1598" t="s">
        <v>36</v>
      </c>
      <c r="H1598">
        <v>4</v>
      </c>
      <c r="I1598" t="s">
        <v>23</v>
      </c>
      <c r="J1598" t="s">
        <v>31</v>
      </c>
      <c r="K1598" t="s">
        <v>27</v>
      </c>
      <c r="L1598" t="s">
        <v>218</v>
      </c>
      <c r="M1598" t="s">
        <v>23</v>
      </c>
      <c r="N1598">
        <v>0</v>
      </c>
      <c r="S1598" s="3">
        <v>27800</v>
      </c>
      <c r="T1598" s="2">
        <v>25134.419921875</v>
      </c>
      <c r="U1598" s="2">
        <v>24965.60104800983</v>
      </c>
      <c r="V1598" s="2">
        <v>27571.733928631958</v>
      </c>
      <c r="W1598" s="2">
        <v>28092.443359375</v>
      </c>
      <c r="X1598" s="4">
        <f t="shared" si="96"/>
        <v>1.1060529778053518</v>
      </c>
      <c r="Y1598" s="4">
        <f t="shared" si="97"/>
        <v>1.1135321735911548</v>
      </c>
      <c r="Z1598" s="4">
        <f t="shared" si="98"/>
        <v>1.0082789886177959</v>
      </c>
      <c r="AA1598" s="4">
        <f t="shared" si="99"/>
        <v>0.98958996354877737</v>
      </c>
    </row>
    <row r="1599" spans="1:27" x14ac:dyDescent="0.3">
      <c r="A1599" t="s">
        <v>556</v>
      </c>
      <c r="B1599">
        <v>167539</v>
      </c>
      <c r="C1599">
        <v>2008</v>
      </c>
      <c r="D1599" t="s">
        <v>54</v>
      </c>
      <c r="E1599" t="s">
        <v>219</v>
      </c>
      <c r="F1599">
        <v>6</v>
      </c>
      <c r="G1599" t="s">
        <v>22</v>
      </c>
      <c r="H1599">
        <v>4</v>
      </c>
      <c r="I1599" t="s">
        <v>23</v>
      </c>
      <c r="J1599" t="s">
        <v>24</v>
      </c>
      <c r="L1599" t="s">
        <v>57</v>
      </c>
      <c r="M1599">
        <v>4</v>
      </c>
      <c r="N1599">
        <v>0</v>
      </c>
      <c r="S1599" s="3">
        <v>900</v>
      </c>
      <c r="T1599" s="2">
        <v>3052.823974609375</v>
      </c>
      <c r="U1599" s="2">
        <v>3148.8190922347289</v>
      </c>
      <c r="V1599" s="2">
        <v>1430.866017030881</v>
      </c>
      <c r="W1599" s="2">
        <v>2553.344482421875</v>
      </c>
      <c r="X1599" s="4">
        <f t="shared" si="96"/>
        <v>0.2948090055258295</v>
      </c>
      <c r="Y1599" s="4">
        <f t="shared" si="97"/>
        <v>0.28582143770008284</v>
      </c>
      <c r="Z1599" s="4">
        <f t="shared" si="98"/>
        <v>0.62898970923045983</v>
      </c>
      <c r="AA1599" s="4">
        <f t="shared" si="99"/>
        <v>0.3524788786612687</v>
      </c>
    </row>
    <row r="1600" spans="1:27" x14ac:dyDescent="0.3">
      <c r="A1600" t="s">
        <v>556</v>
      </c>
      <c r="B1600">
        <v>151293</v>
      </c>
      <c r="C1600">
        <v>2015</v>
      </c>
      <c r="D1600" t="s">
        <v>40</v>
      </c>
      <c r="E1600" t="s">
        <v>63</v>
      </c>
      <c r="F1600">
        <v>4</v>
      </c>
      <c r="G1600" t="s">
        <v>47</v>
      </c>
      <c r="H1600">
        <v>4</v>
      </c>
      <c r="I1600" t="s">
        <v>23</v>
      </c>
      <c r="J1600" t="s">
        <v>24</v>
      </c>
      <c r="K1600" t="s">
        <v>27</v>
      </c>
      <c r="L1600" t="s">
        <v>60</v>
      </c>
      <c r="M1600" t="s">
        <v>33</v>
      </c>
      <c r="N1600">
        <v>0</v>
      </c>
      <c r="S1600" s="3">
        <v>2000</v>
      </c>
      <c r="T1600" s="2">
        <v>4327.74267578125</v>
      </c>
      <c r="U1600" s="2">
        <v>4359.0999268505038</v>
      </c>
      <c r="V1600" s="2">
        <v>3827.7954995921518</v>
      </c>
      <c r="W1600" s="2">
        <v>3896.450439453125</v>
      </c>
      <c r="X1600" s="4">
        <f t="shared" si="96"/>
        <v>0.46213468540824398</v>
      </c>
      <c r="Y1600" s="4">
        <f t="shared" si="97"/>
        <v>0.45881031257868443</v>
      </c>
      <c r="Z1600" s="4">
        <f t="shared" si="98"/>
        <v>0.5224939525147303</v>
      </c>
      <c r="AA1600" s="4">
        <f t="shared" si="99"/>
        <v>0.51328767838266265</v>
      </c>
    </row>
    <row r="1601" spans="1:27" x14ac:dyDescent="0.3">
      <c r="A1601" t="s">
        <v>556</v>
      </c>
      <c r="B1601">
        <v>137149</v>
      </c>
      <c r="C1601">
        <v>2013</v>
      </c>
      <c r="D1601" t="s">
        <v>81</v>
      </c>
      <c r="E1601" t="s">
        <v>207</v>
      </c>
      <c r="F1601">
        <v>6</v>
      </c>
      <c r="G1601" t="s">
        <v>30</v>
      </c>
      <c r="H1601">
        <v>4</v>
      </c>
      <c r="I1601" t="s">
        <v>23</v>
      </c>
      <c r="J1601" t="s">
        <v>31</v>
      </c>
      <c r="L1601" t="s">
        <v>26</v>
      </c>
      <c r="M1601" t="s">
        <v>78</v>
      </c>
      <c r="N1601">
        <v>0</v>
      </c>
      <c r="S1601" s="3">
        <v>2700</v>
      </c>
      <c r="T1601" s="2">
        <v>7155.42919921875</v>
      </c>
      <c r="U1601" s="2">
        <v>8750.9962715987294</v>
      </c>
      <c r="V1601" s="2">
        <v>3562.0485696182991</v>
      </c>
      <c r="W1601" s="2">
        <v>5732.94921875</v>
      </c>
      <c r="X1601" s="4">
        <f t="shared" si="96"/>
        <v>0.37733585572963163</v>
      </c>
      <c r="Y1601" s="4">
        <f t="shared" si="97"/>
        <v>0.30853629874838628</v>
      </c>
      <c r="Z1601" s="4">
        <f t="shared" si="98"/>
        <v>0.75799078738820391</v>
      </c>
      <c r="AA1601" s="4">
        <f t="shared" si="99"/>
        <v>0.47096178545755585</v>
      </c>
    </row>
    <row r="1602" spans="1:27" x14ac:dyDescent="0.3">
      <c r="A1602" t="s">
        <v>556</v>
      </c>
      <c r="B1602">
        <v>114841</v>
      </c>
      <c r="C1602">
        <v>2017</v>
      </c>
      <c r="D1602" t="s">
        <v>40</v>
      </c>
      <c r="E1602" t="s">
        <v>229</v>
      </c>
      <c r="F1602">
        <v>4</v>
      </c>
      <c r="G1602" t="s">
        <v>59</v>
      </c>
      <c r="H1602">
        <v>4</v>
      </c>
      <c r="I1602" t="s">
        <v>23</v>
      </c>
      <c r="J1602" t="s">
        <v>31</v>
      </c>
      <c r="K1602" t="s">
        <v>27</v>
      </c>
      <c r="L1602" t="s">
        <v>107</v>
      </c>
      <c r="M1602" t="s">
        <v>33</v>
      </c>
      <c r="N1602">
        <v>0</v>
      </c>
      <c r="S1602" s="3">
        <v>4600</v>
      </c>
      <c r="T1602" s="2">
        <v>7282.3310546875</v>
      </c>
      <c r="U1602" s="2">
        <v>7058.1989937241178</v>
      </c>
      <c r="V1602" s="2">
        <v>6354.7627843491291</v>
      </c>
      <c r="W1602" s="2">
        <v>6705.37451171875</v>
      </c>
      <c r="X1602" s="4">
        <f t="shared" ref="X1602:X1665" si="100">S1602/T1602</f>
        <v>0.63166587256961715</v>
      </c>
      <c r="Y1602" s="4">
        <f t="shared" ref="Y1602:Y1665" si="101">S1602/U1602</f>
        <v>0.65172432855607287</v>
      </c>
      <c r="Z1602" s="4">
        <f t="shared" ref="Z1602:Z1665" si="102">S1602/V1602</f>
        <v>0.72386651651720835</v>
      </c>
      <c r="AA1602" s="4">
        <f t="shared" ref="AA1602:AA1665" si="103">S1602/W1602</f>
        <v>0.68601686482399149</v>
      </c>
    </row>
    <row r="1603" spans="1:27" x14ac:dyDescent="0.3">
      <c r="A1603" t="s">
        <v>556</v>
      </c>
      <c r="B1603">
        <v>95090</v>
      </c>
      <c r="C1603">
        <v>2007</v>
      </c>
      <c r="D1603" t="s">
        <v>236</v>
      </c>
      <c r="E1603" t="s">
        <v>493</v>
      </c>
      <c r="F1603">
        <v>6</v>
      </c>
      <c r="G1603" t="s">
        <v>298</v>
      </c>
      <c r="H1603">
        <v>4</v>
      </c>
      <c r="I1603" t="s">
        <v>23</v>
      </c>
      <c r="J1603" t="s">
        <v>31</v>
      </c>
      <c r="L1603" t="s">
        <v>53</v>
      </c>
      <c r="M1603" t="s">
        <v>33</v>
      </c>
      <c r="N1603">
        <v>0</v>
      </c>
      <c r="S1603" s="3">
        <v>1800</v>
      </c>
      <c r="T1603" s="2">
        <v>3239.79736328125</v>
      </c>
      <c r="U1603" s="2">
        <v>2324.2874476506308</v>
      </c>
      <c r="V1603" s="2">
        <v>1641.738173034757</v>
      </c>
      <c r="W1603" s="2">
        <v>2606.098388671875</v>
      </c>
      <c r="X1603" s="4">
        <f t="shared" si="100"/>
        <v>0.5555903033938423</v>
      </c>
      <c r="Y1603" s="4">
        <f t="shared" si="101"/>
        <v>0.77443089141983024</v>
      </c>
      <c r="Z1603" s="4">
        <f t="shared" si="102"/>
        <v>1.0963989444630478</v>
      </c>
      <c r="AA1603" s="4">
        <f t="shared" si="103"/>
        <v>0.69068766084357991</v>
      </c>
    </row>
    <row r="1604" spans="1:27" x14ac:dyDescent="0.3">
      <c r="A1604" t="s">
        <v>556</v>
      </c>
      <c r="B1604">
        <v>168470</v>
      </c>
      <c r="C1604">
        <v>2015</v>
      </c>
      <c r="D1604" t="s">
        <v>239</v>
      </c>
      <c r="E1604" t="s">
        <v>365</v>
      </c>
      <c r="F1604">
        <v>4</v>
      </c>
      <c r="G1604" t="s">
        <v>59</v>
      </c>
      <c r="H1604">
        <v>4</v>
      </c>
      <c r="I1604" t="s">
        <v>23</v>
      </c>
      <c r="J1604" t="s">
        <v>31</v>
      </c>
      <c r="L1604" t="s">
        <v>127</v>
      </c>
      <c r="M1604" t="s">
        <v>78</v>
      </c>
      <c r="N1604">
        <v>0</v>
      </c>
      <c r="S1604" s="3">
        <v>3250</v>
      </c>
      <c r="T1604" s="2">
        <v>3546.814697265625</v>
      </c>
      <c r="U1604" s="2">
        <v>3663.001278789849</v>
      </c>
      <c r="V1604" s="2">
        <v>3956.1722528497939</v>
      </c>
      <c r="W1604" s="2">
        <v>4538.275390625</v>
      </c>
      <c r="X1604" s="4">
        <f t="shared" si="100"/>
        <v>0.91631513834245393</v>
      </c>
      <c r="Y1604" s="4">
        <f t="shared" si="101"/>
        <v>0.88725057750285774</v>
      </c>
      <c r="Z1604" s="4">
        <f t="shared" si="102"/>
        <v>0.82150113601825381</v>
      </c>
      <c r="AA1604" s="4">
        <f t="shared" si="103"/>
        <v>0.71613106747856881</v>
      </c>
    </row>
    <row r="1605" spans="1:27" x14ac:dyDescent="0.3">
      <c r="A1605" t="s">
        <v>556</v>
      </c>
      <c r="B1605">
        <v>83984</v>
      </c>
      <c r="C1605">
        <v>2012</v>
      </c>
      <c r="D1605" t="s">
        <v>40</v>
      </c>
      <c r="E1605" t="s">
        <v>150</v>
      </c>
      <c r="F1605">
        <v>6</v>
      </c>
      <c r="G1605" t="s">
        <v>47</v>
      </c>
      <c r="H1605">
        <v>4</v>
      </c>
      <c r="I1605" t="s">
        <v>23</v>
      </c>
      <c r="J1605" t="s">
        <v>24</v>
      </c>
      <c r="L1605" t="s">
        <v>26</v>
      </c>
      <c r="M1605" t="s">
        <v>33</v>
      </c>
      <c r="N1605">
        <v>0</v>
      </c>
      <c r="S1605" s="3">
        <v>6200</v>
      </c>
      <c r="T1605" s="2">
        <v>8190.798828125</v>
      </c>
      <c r="U1605" s="2">
        <v>6759.1173244686706</v>
      </c>
      <c r="V1605" s="2">
        <v>6224.3858617222186</v>
      </c>
      <c r="W1605" s="2">
        <v>7424.18603515625</v>
      </c>
      <c r="X1605" s="4">
        <f t="shared" si="100"/>
        <v>0.75694692667958929</v>
      </c>
      <c r="Y1605" s="4">
        <f t="shared" si="101"/>
        <v>0.9172795355327521</v>
      </c>
      <c r="Z1605" s="4">
        <f t="shared" si="102"/>
        <v>0.99608220597759156</v>
      </c>
      <c r="AA1605" s="4">
        <f t="shared" si="103"/>
        <v>0.83510838368552742</v>
      </c>
    </row>
    <row r="1606" spans="1:27" x14ac:dyDescent="0.3">
      <c r="A1606" t="s">
        <v>556</v>
      </c>
      <c r="B1606">
        <v>168615</v>
      </c>
      <c r="C1606">
        <v>2012</v>
      </c>
      <c r="D1606" t="s">
        <v>40</v>
      </c>
      <c r="E1606" t="s">
        <v>150</v>
      </c>
      <c r="F1606">
        <v>6</v>
      </c>
      <c r="G1606" t="s">
        <v>30</v>
      </c>
      <c r="H1606">
        <v>4</v>
      </c>
      <c r="I1606" t="s">
        <v>23</v>
      </c>
      <c r="J1606" t="s">
        <v>24</v>
      </c>
      <c r="L1606" t="s">
        <v>26</v>
      </c>
      <c r="M1606" t="s">
        <v>33</v>
      </c>
      <c r="N1606">
        <v>0</v>
      </c>
      <c r="S1606" s="3">
        <v>1700</v>
      </c>
      <c r="T1606" s="2">
        <v>3575.451416015625</v>
      </c>
      <c r="U1606" s="2">
        <v>3788.2272314086872</v>
      </c>
      <c r="V1606" s="2">
        <v>2511.7948048454891</v>
      </c>
      <c r="W1606" s="2">
        <v>3000.733642578125</v>
      </c>
      <c r="X1606" s="4">
        <f t="shared" si="100"/>
        <v>0.47546443852799675</v>
      </c>
      <c r="Y1606" s="4">
        <f t="shared" si="101"/>
        <v>0.4487587190929514</v>
      </c>
      <c r="Z1606" s="4">
        <f t="shared" si="102"/>
        <v>0.67680687798244488</v>
      </c>
      <c r="AA1606" s="4">
        <f t="shared" si="103"/>
        <v>0.56652812361560345</v>
      </c>
    </row>
    <row r="1607" spans="1:27" x14ac:dyDescent="0.3">
      <c r="A1607" t="s">
        <v>556</v>
      </c>
      <c r="B1607">
        <v>96810</v>
      </c>
      <c r="C1607">
        <v>2018</v>
      </c>
      <c r="D1607" t="s">
        <v>100</v>
      </c>
      <c r="E1607" t="s">
        <v>192</v>
      </c>
      <c r="F1607">
        <v>4</v>
      </c>
      <c r="G1607" t="s">
        <v>47</v>
      </c>
      <c r="H1607">
        <v>4</v>
      </c>
      <c r="I1607" t="s">
        <v>23</v>
      </c>
      <c r="J1607" t="s">
        <v>31</v>
      </c>
      <c r="K1607" t="s">
        <v>27</v>
      </c>
      <c r="L1607" t="s">
        <v>32</v>
      </c>
      <c r="M1607" t="s">
        <v>33</v>
      </c>
      <c r="N1607">
        <v>0</v>
      </c>
      <c r="S1607" s="3">
        <v>4000</v>
      </c>
      <c r="T1607" s="2">
        <v>5269.51123046875</v>
      </c>
      <c r="U1607" s="2">
        <v>6356.2401949956447</v>
      </c>
      <c r="V1607" s="2">
        <v>7891.007872236165</v>
      </c>
      <c r="W1607" s="2">
        <v>5602.162109375</v>
      </c>
      <c r="X1607" s="4">
        <f t="shared" si="100"/>
        <v>0.75908368443579155</v>
      </c>
      <c r="Y1607" s="4">
        <f t="shared" si="101"/>
        <v>0.62930283898793737</v>
      </c>
      <c r="Z1607" s="4">
        <f t="shared" si="102"/>
        <v>0.5069060967577611</v>
      </c>
      <c r="AA1607" s="4">
        <f t="shared" si="103"/>
        <v>0.71401004146348346</v>
      </c>
    </row>
    <row r="1608" spans="1:27" x14ac:dyDescent="0.3">
      <c r="A1608" t="s">
        <v>556</v>
      </c>
      <c r="B1608">
        <v>107950</v>
      </c>
      <c r="C1608">
        <v>2016</v>
      </c>
      <c r="D1608" t="s">
        <v>125</v>
      </c>
      <c r="E1608" t="s">
        <v>306</v>
      </c>
      <c r="F1608">
        <v>4</v>
      </c>
      <c r="G1608" t="s">
        <v>59</v>
      </c>
      <c r="H1608">
        <v>4</v>
      </c>
      <c r="I1608" t="s">
        <v>23</v>
      </c>
      <c r="J1608" t="s">
        <v>24</v>
      </c>
      <c r="K1608" t="s">
        <v>27</v>
      </c>
      <c r="L1608" t="s">
        <v>60</v>
      </c>
      <c r="M1608" t="s">
        <v>33</v>
      </c>
      <c r="N1608">
        <v>0</v>
      </c>
      <c r="S1608" s="3">
        <v>5000</v>
      </c>
      <c r="T1608" s="2">
        <v>6431.017578125</v>
      </c>
      <c r="U1608" s="2">
        <v>6839.3235967210894</v>
      </c>
      <c r="V1608" s="2">
        <v>4642.7111982714496</v>
      </c>
      <c r="W1608" s="2">
        <v>6785.35986328125</v>
      </c>
      <c r="X1608" s="4">
        <f t="shared" si="100"/>
        <v>0.7774819364523925</v>
      </c>
      <c r="Y1608" s="4">
        <f t="shared" si="101"/>
        <v>0.73106644674585974</v>
      </c>
      <c r="Z1608" s="4">
        <f t="shared" si="102"/>
        <v>1.0769569302224904</v>
      </c>
      <c r="AA1608" s="4">
        <f t="shared" si="103"/>
        <v>0.73688059303344167</v>
      </c>
    </row>
    <row r="1609" spans="1:27" x14ac:dyDescent="0.3">
      <c r="A1609" t="s">
        <v>556</v>
      </c>
      <c r="B1609">
        <v>163057</v>
      </c>
      <c r="C1609">
        <v>2020</v>
      </c>
      <c r="D1609" t="s">
        <v>40</v>
      </c>
      <c r="E1609" t="s">
        <v>79</v>
      </c>
      <c r="F1609">
        <v>8</v>
      </c>
      <c r="G1609" t="s">
        <v>47</v>
      </c>
      <c r="H1609">
        <v>4</v>
      </c>
      <c r="I1609" t="s">
        <v>23</v>
      </c>
      <c r="J1609" t="s">
        <v>42</v>
      </c>
      <c r="K1609" t="s">
        <v>27</v>
      </c>
      <c r="L1609" t="s">
        <v>130</v>
      </c>
      <c r="M1609">
        <v>4</v>
      </c>
      <c r="N1609">
        <v>0</v>
      </c>
      <c r="S1609" s="3">
        <v>34500</v>
      </c>
      <c r="T1609" s="2">
        <v>24491.0546875</v>
      </c>
      <c r="U1609" s="2">
        <v>30234.240064441288</v>
      </c>
      <c r="V1609" s="2">
        <v>27819.932319737909</v>
      </c>
      <c r="W1609" s="2">
        <v>31168.24609375</v>
      </c>
      <c r="X1609" s="4">
        <f t="shared" si="100"/>
        <v>1.4086775943384942</v>
      </c>
      <c r="Y1609" s="4">
        <f t="shared" si="101"/>
        <v>1.1410903639868792</v>
      </c>
      <c r="Z1609" s="4">
        <f t="shared" si="102"/>
        <v>1.2401180421105</v>
      </c>
      <c r="AA1609" s="4">
        <f t="shared" si="103"/>
        <v>1.1068957777164785</v>
      </c>
    </row>
    <row r="1610" spans="1:27" x14ac:dyDescent="0.3">
      <c r="A1610" t="s">
        <v>556</v>
      </c>
      <c r="B1610">
        <v>156087</v>
      </c>
      <c r="C1610">
        <v>2017</v>
      </c>
      <c r="D1610" t="s">
        <v>125</v>
      </c>
      <c r="E1610" t="s">
        <v>297</v>
      </c>
      <c r="F1610">
        <v>4</v>
      </c>
      <c r="G1610" t="s">
        <v>22</v>
      </c>
      <c r="H1610">
        <v>4</v>
      </c>
      <c r="I1610" t="s">
        <v>23</v>
      </c>
      <c r="J1610" t="s">
        <v>24</v>
      </c>
      <c r="K1610" t="s">
        <v>27</v>
      </c>
      <c r="L1610" t="s">
        <v>127</v>
      </c>
      <c r="M1610" t="s">
        <v>33</v>
      </c>
      <c r="N1610">
        <v>0</v>
      </c>
      <c r="S1610" s="3">
        <v>4200</v>
      </c>
      <c r="T1610" s="2">
        <v>4479.7705078125</v>
      </c>
      <c r="U1610" s="2">
        <v>4892.8250824733695</v>
      </c>
      <c r="V1610" s="2">
        <v>3785.9355039252432</v>
      </c>
      <c r="W1610" s="2">
        <v>4621.482421875</v>
      </c>
      <c r="X1610" s="4">
        <f t="shared" si="100"/>
        <v>0.93754802677400684</v>
      </c>
      <c r="Y1610" s="4">
        <f t="shared" si="101"/>
        <v>0.85839978523754212</v>
      </c>
      <c r="Z1610" s="4">
        <f t="shared" si="102"/>
        <v>1.1093691362796478</v>
      </c>
      <c r="AA1610" s="4">
        <f t="shared" si="103"/>
        <v>0.90879930217196436</v>
      </c>
    </row>
    <row r="1611" spans="1:27" x14ac:dyDescent="0.3">
      <c r="A1611" t="s">
        <v>556</v>
      </c>
      <c r="B1611">
        <v>127811</v>
      </c>
      <c r="C1611">
        <v>2016</v>
      </c>
      <c r="D1611" t="s">
        <v>187</v>
      </c>
      <c r="E1611" t="s">
        <v>552</v>
      </c>
      <c r="F1611">
        <v>4</v>
      </c>
      <c r="G1611" t="s">
        <v>36</v>
      </c>
      <c r="H1611">
        <v>4</v>
      </c>
      <c r="I1611" t="s">
        <v>337</v>
      </c>
      <c r="J1611" t="s">
        <v>31</v>
      </c>
      <c r="K1611" t="s">
        <v>27</v>
      </c>
      <c r="L1611" t="s">
        <v>127</v>
      </c>
      <c r="M1611" t="s">
        <v>23</v>
      </c>
      <c r="N1611">
        <v>0</v>
      </c>
      <c r="S1611" s="3">
        <v>9250</v>
      </c>
      <c r="T1611" s="2">
        <v>6660.78173828125</v>
      </c>
      <c r="U1611" s="2">
        <v>6543.8709916470989</v>
      </c>
      <c r="V1611" s="2">
        <v>7738.6256831404153</v>
      </c>
      <c r="W1611" s="2">
        <v>6490.072265625</v>
      </c>
      <c r="X1611" s="4">
        <f t="shared" si="100"/>
        <v>1.3887258828551365</v>
      </c>
      <c r="Y1611" s="4">
        <f t="shared" si="101"/>
        <v>1.4135364239006438</v>
      </c>
      <c r="Z1611" s="4">
        <f t="shared" si="102"/>
        <v>1.1953026775997586</v>
      </c>
      <c r="AA1611" s="4">
        <f t="shared" si="103"/>
        <v>1.4252537755231323</v>
      </c>
    </row>
    <row r="1612" spans="1:27" x14ac:dyDescent="0.3">
      <c r="A1612" t="s">
        <v>556</v>
      </c>
      <c r="B1612">
        <v>187192</v>
      </c>
      <c r="C1612">
        <v>2014</v>
      </c>
      <c r="D1612" t="s">
        <v>44</v>
      </c>
      <c r="E1612" t="s">
        <v>45</v>
      </c>
      <c r="F1612">
        <v>6</v>
      </c>
      <c r="G1612" t="s">
        <v>66</v>
      </c>
      <c r="H1612">
        <v>4</v>
      </c>
      <c r="I1612" t="s">
        <v>23</v>
      </c>
      <c r="J1612" t="s">
        <v>46</v>
      </c>
      <c r="K1612" t="s">
        <v>27</v>
      </c>
      <c r="L1612" t="s">
        <v>38</v>
      </c>
      <c r="M1612" t="s">
        <v>78</v>
      </c>
      <c r="N1612">
        <v>0</v>
      </c>
      <c r="S1612" s="3">
        <v>9200</v>
      </c>
      <c r="T1612" s="2">
        <v>7100.73779296875</v>
      </c>
      <c r="U1612" s="2">
        <v>6663.1533104126675</v>
      </c>
      <c r="V1612" s="2">
        <v>7957.5301208033034</v>
      </c>
      <c r="W1612" s="2">
        <v>6887.84326171875</v>
      </c>
      <c r="X1612" s="4">
        <f t="shared" si="100"/>
        <v>1.295640012099865</v>
      </c>
      <c r="Y1612" s="4">
        <f t="shared" si="101"/>
        <v>1.3807276482176902</v>
      </c>
      <c r="Z1612" s="4">
        <f t="shared" si="102"/>
        <v>1.1561376281754208</v>
      </c>
      <c r="AA1612" s="4">
        <f t="shared" si="103"/>
        <v>1.3356866076107965</v>
      </c>
    </row>
    <row r="1613" spans="1:27" x14ac:dyDescent="0.3">
      <c r="A1613" t="s">
        <v>556</v>
      </c>
      <c r="B1613">
        <v>103054</v>
      </c>
      <c r="C1613">
        <v>2021</v>
      </c>
      <c r="D1613" t="s">
        <v>40</v>
      </c>
      <c r="E1613" t="s">
        <v>146</v>
      </c>
      <c r="F1613">
        <v>8</v>
      </c>
      <c r="G1613" t="s">
        <v>36</v>
      </c>
      <c r="H1613">
        <v>4</v>
      </c>
      <c r="I1613" t="s">
        <v>23</v>
      </c>
      <c r="J1613" t="s">
        <v>24</v>
      </c>
      <c r="K1613" t="s">
        <v>27</v>
      </c>
      <c r="L1613" t="s">
        <v>43</v>
      </c>
      <c r="M1613" t="s">
        <v>78</v>
      </c>
      <c r="N1613">
        <v>0</v>
      </c>
      <c r="S1613" s="3">
        <v>27500</v>
      </c>
      <c r="T1613" s="2">
        <v>40975.6171875</v>
      </c>
      <c r="U1613" s="2">
        <v>53473.055105015679</v>
      </c>
      <c r="V1613" s="2">
        <v>29222.033767901648</v>
      </c>
      <c r="W1613" s="2">
        <v>59254.98046875</v>
      </c>
      <c r="X1613" s="4">
        <f t="shared" si="100"/>
        <v>0.67113083066358636</v>
      </c>
      <c r="Y1613" s="4">
        <f t="shared" si="101"/>
        <v>0.51427770390139071</v>
      </c>
      <c r="Z1613" s="4">
        <f t="shared" si="102"/>
        <v>0.94107070775500978</v>
      </c>
      <c r="AA1613" s="4">
        <f t="shared" si="103"/>
        <v>0.46409600986204019</v>
      </c>
    </row>
    <row r="1614" spans="1:27" x14ac:dyDescent="0.3">
      <c r="A1614" t="s">
        <v>556</v>
      </c>
      <c r="B1614">
        <v>101116</v>
      </c>
      <c r="C1614">
        <v>2023</v>
      </c>
      <c r="D1614" t="s">
        <v>396</v>
      </c>
      <c r="E1614" t="s">
        <v>449</v>
      </c>
      <c r="F1614">
        <v>4</v>
      </c>
      <c r="G1614" t="s">
        <v>47</v>
      </c>
      <c r="H1614">
        <v>4</v>
      </c>
      <c r="I1614" t="s">
        <v>23</v>
      </c>
      <c r="J1614" t="s">
        <v>24</v>
      </c>
      <c r="K1614" t="s">
        <v>27</v>
      </c>
      <c r="L1614" t="s">
        <v>127</v>
      </c>
      <c r="M1614" t="s">
        <v>23</v>
      </c>
      <c r="N1614">
        <v>0</v>
      </c>
      <c r="S1614" s="3">
        <v>23500</v>
      </c>
      <c r="T1614" s="2">
        <v>17248.796875</v>
      </c>
      <c r="U1614" s="2">
        <v>24507.663200322651</v>
      </c>
      <c r="V1614" s="2">
        <v>25987.250785879882</v>
      </c>
      <c r="W1614" s="2">
        <v>20704.9765625</v>
      </c>
      <c r="X1614" s="4">
        <f t="shared" si="100"/>
        <v>1.3624138640104428</v>
      </c>
      <c r="Y1614" s="4">
        <f t="shared" si="101"/>
        <v>0.95888375027491868</v>
      </c>
      <c r="Z1614" s="4">
        <f t="shared" si="102"/>
        <v>0.90428957620898764</v>
      </c>
      <c r="AA1614" s="4">
        <f t="shared" si="103"/>
        <v>1.1349928327164702</v>
      </c>
    </row>
    <row r="1615" spans="1:27" x14ac:dyDescent="0.3">
      <c r="A1615" t="s">
        <v>556</v>
      </c>
      <c r="B1615">
        <v>178797</v>
      </c>
      <c r="C1615">
        <v>2012</v>
      </c>
      <c r="D1615" t="s">
        <v>100</v>
      </c>
      <c r="E1615" t="s">
        <v>367</v>
      </c>
      <c r="F1615">
        <v>6</v>
      </c>
      <c r="G1615" t="s">
        <v>272</v>
      </c>
      <c r="H1615">
        <v>4</v>
      </c>
      <c r="I1615" t="s">
        <v>23</v>
      </c>
      <c r="J1615" t="s">
        <v>31</v>
      </c>
      <c r="K1615" t="s">
        <v>27</v>
      </c>
      <c r="L1615" t="s">
        <v>53</v>
      </c>
      <c r="M1615" t="s">
        <v>33</v>
      </c>
      <c r="N1615">
        <v>0</v>
      </c>
      <c r="S1615" s="3">
        <v>1600</v>
      </c>
      <c r="T1615" s="2">
        <v>1249.000854492188</v>
      </c>
      <c r="U1615" s="2">
        <v>1763.6013708888329</v>
      </c>
      <c r="V1615" s="2">
        <v>2087.107231907919</v>
      </c>
      <c r="W1615" s="2">
        <v>2033.588623046875</v>
      </c>
      <c r="X1615" s="4">
        <f t="shared" si="100"/>
        <v>1.2810239434548021</v>
      </c>
      <c r="Y1615" s="4">
        <f t="shared" si="101"/>
        <v>0.90723449551052471</v>
      </c>
      <c r="Z1615" s="4">
        <f t="shared" si="102"/>
        <v>0.76661130560951951</v>
      </c>
      <c r="AA1615" s="4">
        <f t="shared" si="103"/>
        <v>0.78678646303732758</v>
      </c>
    </row>
    <row r="1616" spans="1:27" x14ac:dyDescent="0.3">
      <c r="A1616" t="s">
        <v>556</v>
      </c>
      <c r="B1616">
        <v>150786</v>
      </c>
      <c r="C1616">
        <v>2012</v>
      </c>
      <c r="D1616" t="s">
        <v>40</v>
      </c>
      <c r="E1616" t="s">
        <v>136</v>
      </c>
      <c r="F1616">
        <v>4</v>
      </c>
      <c r="G1616" t="s">
        <v>59</v>
      </c>
      <c r="H1616">
        <v>4</v>
      </c>
      <c r="I1616" t="s">
        <v>23</v>
      </c>
      <c r="J1616" t="s">
        <v>31</v>
      </c>
      <c r="K1616" t="s">
        <v>27</v>
      </c>
      <c r="L1616" t="s">
        <v>32</v>
      </c>
      <c r="M1616" t="s">
        <v>33</v>
      </c>
      <c r="N1616">
        <v>0</v>
      </c>
      <c r="S1616" s="3">
        <v>2400</v>
      </c>
      <c r="T1616" s="2">
        <v>3359.699951171875</v>
      </c>
      <c r="U1616" s="2">
        <v>2546.6011984513038</v>
      </c>
      <c r="V1616" s="2">
        <v>2060.0815519300982</v>
      </c>
      <c r="W1616" s="2">
        <v>2885.472900390625</v>
      </c>
      <c r="X1616" s="4">
        <f t="shared" si="100"/>
        <v>0.71434950587265145</v>
      </c>
      <c r="Y1616" s="4">
        <f t="shared" si="101"/>
        <v>0.9424326044688669</v>
      </c>
      <c r="Z1616" s="4">
        <f t="shared" si="102"/>
        <v>1.1650024232057372</v>
      </c>
      <c r="AA1616" s="4">
        <f t="shared" si="103"/>
        <v>0.83175274308592417</v>
      </c>
    </row>
    <row r="1617" spans="1:27" x14ac:dyDescent="0.3">
      <c r="A1617" t="s">
        <v>556</v>
      </c>
      <c r="B1617">
        <v>263506</v>
      </c>
      <c r="C1617">
        <v>2004</v>
      </c>
      <c r="D1617" t="s">
        <v>40</v>
      </c>
      <c r="E1617" t="s">
        <v>146</v>
      </c>
      <c r="F1617">
        <v>8</v>
      </c>
      <c r="G1617" t="s">
        <v>59</v>
      </c>
      <c r="H1617">
        <v>4</v>
      </c>
      <c r="I1617" t="s">
        <v>23</v>
      </c>
      <c r="J1617" t="s">
        <v>24</v>
      </c>
      <c r="K1617" t="s">
        <v>27</v>
      </c>
      <c r="L1617" t="s">
        <v>43</v>
      </c>
      <c r="M1617" t="s">
        <v>78</v>
      </c>
      <c r="N1617">
        <v>0</v>
      </c>
      <c r="S1617" s="3">
        <v>2200</v>
      </c>
      <c r="T1617" s="2">
        <v>2172.9736328125</v>
      </c>
      <c r="U1617" s="2">
        <v>10585.28756930957</v>
      </c>
      <c r="V1617" s="2">
        <v>1352.3687989294069</v>
      </c>
      <c r="W1617" s="2">
        <v>3669.213134765625</v>
      </c>
      <c r="X1617" s="4">
        <f t="shared" si="100"/>
        <v>1.0124375035110387</v>
      </c>
      <c r="Y1617" s="4">
        <f t="shared" si="101"/>
        <v>0.20783563843636757</v>
      </c>
      <c r="Z1617" s="4">
        <f t="shared" si="102"/>
        <v>1.6267751827324131</v>
      </c>
      <c r="AA1617" s="4">
        <f t="shared" si="103"/>
        <v>0.59958359441022968</v>
      </c>
    </row>
    <row r="1618" spans="1:27" x14ac:dyDescent="0.3">
      <c r="A1618" t="s">
        <v>556</v>
      </c>
      <c r="B1618">
        <v>113131</v>
      </c>
      <c r="C1618">
        <v>2019</v>
      </c>
      <c r="D1618" t="s">
        <v>20</v>
      </c>
      <c r="E1618" t="s">
        <v>151</v>
      </c>
      <c r="F1618">
        <v>8</v>
      </c>
      <c r="G1618" t="s">
        <v>47</v>
      </c>
      <c r="H1618">
        <v>4</v>
      </c>
      <c r="I1618" t="s">
        <v>23</v>
      </c>
      <c r="J1618" t="s">
        <v>42</v>
      </c>
      <c r="K1618" t="s">
        <v>27</v>
      </c>
      <c r="L1618" t="s">
        <v>43</v>
      </c>
      <c r="M1618" t="s">
        <v>78</v>
      </c>
      <c r="N1618">
        <v>0</v>
      </c>
      <c r="S1618" s="3">
        <v>25200</v>
      </c>
      <c r="T1618" s="2">
        <v>21172.392578125</v>
      </c>
      <c r="U1618" s="2">
        <v>23811.978910528669</v>
      </c>
      <c r="V1618" s="2">
        <v>22877.40606876025</v>
      </c>
      <c r="W1618" s="2">
        <v>29707.494140625</v>
      </c>
      <c r="X1618" s="4">
        <f t="shared" si="100"/>
        <v>1.1902292056513379</v>
      </c>
      <c r="Y1618" s="4">
        <f t="shared" si="101"/>
        <v>1.0582908751383786</v>
      </c>
      <c r="Z1618" s="4">
        <f t="shared" si="102"/>
        <v>1.1015234823501829</v>
      </c>
      <c r="AA1618" s="4">
        <f t="shared" si="103"/>
        <v>0.84827080603675009</v>
      </c>
    </row>
    <row r="1619" spans="1:27" x14ac:dyDescent="0.3">
      <c r="A1619" t="s">
        <v>556</v>
      </c>
      <c r="B1619">
        <v>141801</v>
      </c>
      <c r="C1619">
        <v>2014</v>
      </c>
      <c r="D1619" t="s">
        <v>54</v>
      </c>
      <c r="E1619" t="s">
        <v>219</v>
      </c>
      <c r="F1619">
        <v>6</v>
      </c>
      <c r="G1619" t="s">
        <v>36</v>
      </c>
      <c r="H1619">
        <v>4</v>
      </c>
      <c r="I1619" t="s">
        <v>23</v>
      </c>
      <c r="J1619" t="s">
        <v>24</v>
      </c>
      <c r="K1619" t="s">
        <v>27</v>
      </c>
      <c r="L1619" t="s">
        <v>26</v>
      </c>
      <c r="M1619" t="s">
        <v>78</v>
      </c>
      <c r="N1619">
        <v>0</v>
      </c>
      <c r="S1619" s="3">
        <v>4000</v>
      </c>
      <c r="T1619" s="2">
        <v>7038.00634765625</v>
      </c>
      <c r="U1619" s="2">
        <v>10057.828599151489</v>
      </c>
      <c r="V1619" s="2">
        <v>5424.4792006198122</v>
      </c>
      <c r="W1619" s="2">
        <v>5876.28125</v>
      </c>
      <c r="X1619" s="4">
        <f t="shared" si="100"/>
        <v>0.56834276674559314</v>
      </c>
      <c r="Y1619" s="4">
        <f t="shared" si="101"/>
        <v>0.39770015571128869</v>
      </c>
      <c r="Z1619" s="4">
        <f t="shared" si="102"/>
        <v>0.73739797906183358</v>
      </c>
      <c r="AA1619" s="4">
        <f t="shared" si="103"/>
        <v>0.68070261272807531</v>
      </c>
    </row>
    <row r="1620" spans="1:27" x14ac:dyDescent="0.3">
      <c r="A1620" t="s">
        <v>556</v>
      </c>
      <c r="B1620">
        <v>99020</v>
      </c>
      <c r="C1620">
        <v>2017</v>
      </c>
      <c r="D1620" t="s">
        <v>103</v>
      </c>
      <c r="E1620" t="s">
        <v>356</v>
      </c>
      <c r="F1620">
        <v>6</v>
      </c>
      <c r="G1620" t="s">
        <v>59</v>
      </c>
      <c r="H1620">
        <v>4</v>
      </c>
      <c r="I1620" t="s">
        <v>23</v>
      </c>
      <c r="J1620" t="s">
        <v>24</v>
      </c>
      <c r="K1620" t="s">
        <v>27</v>
      </c>
      <c r="L1620" t="s">
        <v>53</v>
      </c>
      <c r="M1620" t="s">
        <v>23</v>
      </c>
      <c r="N1620">
        <v>0</v>
      </c>
      <c r="S1620" s="3">
        <v>8000</v>
      </c>
      <c r="T1620" s="2">
        <v>13042.001953125</v>
      </c>
      <c r="U1620" s="2">
        <v>12256.901239815899</v>
      </c>
      <c r="V1620" s="2">
        <v>9756.7320297313454</v>
      </c>
      <c r="W1620" s="2">
        <v>12137.130859375</v>
      </c>
      <c r="X1620" s="4">
        <f t="shared" si="100"/>
        <v>0.61340276046217856</v>
      </c>
      <c r="Y1620" s="4">
        <f t="shared" si="101"/>
        <v>0.65269351881635629</v>
      </c>
      <c r="Z1620" s="4">
        <f t="shared" si="102"/>
        <v>0.81994667636887864</v>
      </c>
      <c r="AA1620" s="4">
        <f t="shared" si="103"/>
        <v>0.65913436154646177</v>
      </c>
    </row>
    <row r="1621" spans="1:27" x14ac:dyDescent="0.3">
      <c r="A1621" t="s">
        <v>556</v>
      </c>
      <c r="B1621">
        <v>121702</v>
      </c>
      <c r="C1621">
        <v>2018</v>
      </c>
      <c r="D1621" t="s">
        <v>54</v>
      </c>
      <c r="E1621" t="s">
        <v>219</v>
      </c>
      <c r="F1621">
        <v>6</v>
      </c>
      <c r="G1621" t="s">
        <v>47</v>
      </c>
      <c r="H1621">
        <v>4</v>
      </c>
      <c r="I1621" t="s">
        <v>23</v>
      </c>
      <c r="J1621" t="s">
        <v>24</v>
      </c>
      <c r="K1621" t="s">
        <v>27</v>
      </c>
      <c r="L1621" t="s">
        <v>26</v>
      </c>
      <c r="M1621" t="s">
        <v>78</v>
      </c>
      <c r="N1621">
        <v>0</v>
      </c>
      <c r="S1621" s="3">
        <v>11400</v>
      </c>
      <c r="T1621" s="2">
        <v>13034.2265625</v>
      </c>
      <c r="U1621" s="2">
        <v>11251.55430850306</v>
      </c>
      <c r="V1621" s="2">
        <v>10941.09111957869</v>
      </c>
      <c r="W1621" s="2">
        <v>12291.2861328125</v>
      </c>
      <c r="X1621" s="4">
        <f t="shared" si="100"/>
        <v>0.87462036549205491</v>
      </c>
      <c r="Y1621" s="4">
        <f t="shared" si="101"/>
        <v>1.0131933497743291</v>
      </c>
      <c r="Z1621" s="4">
        <f t="shared" si="102"/>
        <v>1.0419436119675587</v>
      </c>
      <c r="AA1621" s="4">
        <f t="shared" si="103"/>
        <v>0.9274863408774493</v>
      </c>
    </row>
    <row r="1622" spans="1:27" x14ac:dyDescent="0.3">
      <c r="A1622" t="s">
        <v>556</v>
      </c>
      <c r="B1622">
        <v>159955</v>
      </c>
      <c r="C1622">
        <v>2006</v>
      </c>
      <c r="D1622" t="s">
        <v>572</v>
      </c>
      <c r="E1622" t="s">
        <v>573</v>
      </c>
      <c r="F1622">
        <v>8</v>
      </c>
      <c r="G1622" t="s">
        <v>364</v>
      </c>
      <c r="H1622">
        <v>4</v>
      </c>
      <c r="I1622" t="s">
        <v>23</v>
      </c>
      <c r="J1622" t="s">
        <v>24</v>
      </c>
      <c r="L1622" t="s">
        <v>80</v>
      </c>
      <c r="M1622">
        <v>4</v>
      </c>
      <c r="N1622">
        <v>0</v>
      </c>
      <c r="S1622" s="3">
        <v>5400</v>
      </c>
      <c r="T1622" s="2">
        <v>6777.6767578125</v>
      </c>
      <c r="U1622" s="2">
        <v>8620.6514035012315</v>
      </c>
      <c r="V1622" s="2">
        <v>5932.286341088402</v>
      </c>
      <c r="W1622" s="2">
        <v>7723.10302734375</v>
      </c>
      <c r="X1622" s="4">
        <f t="shared" si="100"/>
        <v>0.79673318645294233</v>
      </c>
      <c r="Y1622" s="4">
        <f t="shared" si="101"/>
        <v>0.62640277947056522</v>
      </c>
      <c r="Z1622" s="4">
        <f t="shared" si="102"/>
        <v>0.91027298574553583</v>
      </c>
      <c r="AA1622" s="4">
        <f t="shared" si="103"/>
        <v>0.69920082392805427</v>
      </c>
    </row>
    <row r="1623" spans="1:27" x14ac:dyDescent="0.3">
      <c r="A1623" t="s">
        <v>556</v>
      </c>
      <c r="B1623">
        <v>164808</v>
      </c>
      <c r="C1623">
        <v>2018</v>
      </c>
      <c r="D1623" t="s">
        <v>44</v>
      </c>
      <c r="E1623" t="s">
        <v>280</v>
      </c>
      <c r="F1623">
        <v>6</v>
      </c>
      <c r="G1623" t="s">
        <v>47</v>
      </c>
      <c r="H1623">
        <v>3</v>
      </c>
      <c r="I1623" t="s">
        <v>23</v>
      </c>
      <c r="J1623" t="s">
        <v>197</v>
      </c>
      <c r="L1623" t="s">
        <v>198</v>
      </c>
      <c r="M1623" t="s">
        <v>78</v>
      </c>
      <c r="N1623">
        <v>0</v>
      </c>
      <c r="O1623" t="s">
        <v>123</v>
      </c>
      <c r="S1623" s="3">
        <v>1600</v>
      </c>
      <c r="T1623" s="2">
        <v>8326.57421875</v>
      </c>
      <c r="U1623" s="2">
        <v>6779.4990014494051</v>
      </c>
      <c r="V1623" s="2">
        <v>3329.1477531413079</v>
      </c>
      <c r="W1623" s="2">
        <v>7014.34033203125</v>
      </c>
      <c r="X1623" s="4">
        <f t="shared" si="100"/>
        <v>0.19215585641416341</v>
      </c>
      <c r="Y1623" s="4">
        <f t="shared" si="101"/>
        <v>0.23600563989432438</v>
      </c>
      <c r="Z1623" s="4">
        <f t="shared" si="102"/>
        <v>0.48060348132349384</v>
      </c>
      <c r="AA1623" s="4">
        <f t="shared" si="103"/>
        <v>0.22810413014799688</v>
      </c>
    </row>
    <row r="1624" spans="1:27" x14ac:dyDescent="0.3">
      <c r="A1624" t="s">
        <v>556</v>
      </c>
      <c r="B1624">
        <v>135061</v>
      </c>
      <c r="C1624">
        <v>2012</v>
      </c>
      <c r="D1624" t="s">
        <v>141</v>
      </c>
      <c r="E1624" t="s">
        <v>215</v>
      </c>
      <c r="F1624">
        <v>6</v>
      </c>
      <c r="G1624" t="s">
        <v>47</v>
      </c>
      <c r="H1624">
        <v>4</v>
      </c>
      <c r="I1624" t="s">
        <v>23</v>
      </c>
      <c r="J1624" t="s">
        <v>31</v>
      </c>
      <c r="L1624" t="s">
        <v>26</v>
      </c>
      <c r="M1624" t="s">
        <v>78</v>
      </c>
      <c r="N1624">
        <v>2.6</v>
      </c>
      <c r="O1624" t="s">
        <v>27</v>
      </c>
      <c r="S1624" s="3">
        <v>2000</v>
      </c>
      <c r="T1624" s="2">
        <v>3676.001708984375</v>
      </c>
      <c r="U1624" s="2">
        <v>8073.9009694332708</v>
      </c>
      <c r="V1624" s="2">
        <v>4324.113408610724</v>
      </c>
      <c r="W1624" s="2">
        <v>4247.259765625</v>
      </c>
      <c r="X1624" s="4">
        <f t="shared" si="100"/>
        <v>0.54406938797440618</v>
      </c>
      <c r="Y1624" s="4">
        <f t="shared" si="101"/>
        <v>0.24771173285029596</v>
      </c>
      <c r="Z1624" s="4">
        <f t="shared" si="102"/>
        <v>0.46252255919498919</v>
      </c>
      <c r="AA1624" s="4">
        <f t="shared" si="103"/>
        <v>0.47089184800678013</v>
      </c>
    </row>
    <row r="1625" spans="1:27" x14ac:dyDescent="0.3">
      <c r="A1625" t="s">
        <v>556</v>
      </c>
      <c r="B1625">
        <v>60208</v>
      </c>
      <c r="C1625">
        <v>2020</v>
      </c>
      <c r="D1625" t="s">
        <v>28</v>
      </c>
      <c r="E1625" t="s">
        <v>58</v>
      </c>
      <c r="F1625">
        <v>4</v>
      </c>
      <c r="G1625" t="s">
        <v>36</v>
      </c>
      <c r="H1625">
        <v>4</v>
      </c>
      <c r="I1625" t="s">
        <v>23</v>
      </c>
      <c r="J1625" t="s">
        <v>24</v>
      </c>
      <c r="K1625" t="s">
        <v>27</v>
      </c>
      <c r="L1625" t="s">
        <v>107</v>
      </c>
      <c r="M1625" t="s">
        <v>23</v>
      </c>
      <c r="N1625">
        <v>2.5</v>
      </c>
      <c r="O1625" t="s">
        <v>27</v>
      </c>
      <c r="S1625" s="3">
        <v>12500</v>
      </c>
      <c r="T1625" s="2">
        <v>18851.19140625</v>
      </c>
      <c r="U1625" s="2">
        <v>18778.409083588231</v>
      </c>
      <c r="V1625" s="2">
        <v>16217.7112001437</v>
      </c>
      <c r="W1625" s="2">
        <v>18231.560546875</v>
      </c>
      <c r="X1625" s="4">
        <f t="shared" si="100"/>
        <v>0.66308806327517844</v>
      </c>
      <c r="Y1625" s="4">
        <f t="shared" si="101"/>
        <v>0.66565809405678711</v>
      </c>
      <c r="Z1625" s="4">
        <f t="shared" si="102"/>
        <v>0.77076227623841531</v>
      </c>
      <c r="AA1625" s="4">
        <f t="shared" si="103"/>
        <v>0.68562424855850179</v>
      </c>
    </row>
    <row r="1626" spans="1:27" x14ac:dyDescent="0.3">
      <c r="A1626" t="s">
        <v>556</v>
      </c>
      <c r="B1626">
        <v>79598</v>
      </c>
      <c r="C1626">
        <v>2020</v>
      </c>
      <c r="D1626" t="s">
        <v>44</v>
      </c>
      <c r="E1626" t="s">
        <v>117</v>
      </c>
      <c r="F1626">
        <v>3</v>
      </c>
      <c r="G1626" t="s">
        <v>47</v>
      </c>
      <c r="H1626">
        <v>4</v>
      </c>
      <c r="I1626" t="s">
        <v>23</v>
      </c>
      <c r="J1626" t="s">
        <v>62</v>
      </c>
      <c r="L1626" t="s">
        <v>200</v>
      </c>
      <c r="M1626" t="s">
        <v>33</v>
      </c>
      <c r="N1626">
        <v>2.4</v>
      </c>
      <c r="O1626" t="s">
        <v>27</v>
      </c>
      <c r="S1626" s="3">
        <v>5250</v>
      </c>
      <c r="T1626" s="2">
        <v>9879.3935546875</v>
      </c>
      <c r="U1626" s="2">
        <v>9576.4173339126319</v>
      </c>
      <c r="V1626" s="2">
        <v>8249.6150403357497</v>
      </c>
      <c r="W1626" s="2">
        <v>10434.1865234375</v>
      </c>
      <c r="X1626" s="4">
        <f t="shared" si="100"/>
        <v>0.53140913669837753</v>
      </c>
      <c r="Y1626" s="4">
        <f t="shared" si="101"/>
        <v>0.54822172185503637</v>
      </c>
      <c r="Z1626" s="4">
        <f t="shared" si="102"/>
        <v>0.63639333160766876</v>
      </c>
      <c r="AA1626" s="4">
        <f t="shared" si="103"/>
        <v>0.50315374257565115</v>
      </c>
    </row>
    <row r="1627" spans="1:27" x14ac:dyDescent="0.3">
      <c r="A1627" t="s">
        <v>556</v>
      </c>
      <c r="B1627">
        <v>80754</v>
      </c>
      <c r="C1627">
        <v>2013</v>
      </c>
      <c r="D1627" t="s">
        <v>28</v>
      </c>
      <c r="E1627" t="s">
        <v>58</v>
      </c>
      <c r="F1627">
        <v>4</v>
      </c>
      <c r="G1627" t="s">
        <v>30</v>
      </c>
      <c r="H1627">
        <v>4</v>
      </c>
      <c r="I1627" t="s">
        <v>23</v>
      </c>
      <c r="J1627" t="s">
        <v>24</v>
      </c>
      <c r="L1627" t="s">
        <v>60</v>
      </c>
      <c r="M1627" t="s">
        <v>23</v>
      </c>
      <c r="N1627">
        <v>0</v>
      </c>
      <c r="S1627" s="3">
        <v>8000</v>
      </c>
      <c r="T1627" s="2">
        <v>13590.3876953125</v>
      </c>
      <c r="U1627" s="2">
        <v>11917.48437844269</v>
      </c>
      <c r="V1627" s="2">
        <v>10061.081888338609</v>
      </c>
      <c r="W1627" s="2">
        <v>12344.1572265625</v>
      </c>
      <c r="X1627" s="4">
        <f t="shared" si="100"/>
        <v>0.58865134530042162</v>
      </c>
      <c r="Y1627" s="4">
        <f t="shared" si="101"/>
        <v>0.67128260847323173</v>
      </c>
      <c r="Z1627" s="4">
        <f t="shared" si="102"/>
        <v>0.7951431156993638</v>
      </c>
      <c r="AA1627" s="4">
        <f t="shared" si="103"/>
        <v>0.64807988533922578</v>
      </c>
    </row>
    <row r="1628" spans="1:27" x14ac:dyDescent="0.3">
      <c r="A1628" t="s">
        <v>556</v>
      </c>
      <c r="B1628">
        <v>119835</v>
      </c>
      <c r="C1628">
        <v>2012</v>
      </c>
      <c r="D1628" t="s">
        <v>28</v>
      </c>
      <c r="E1628" t="s">
        <v>310</v>
      </c>
      <c r="F1628">
        <v>4</v>
      </c>
      <c r="G1628" t="s">
        <v>22</v>
      </c>
      <c r="H1628">
        <v>4</v>
      </c>
      <c r="I1628" t="s">
        <v>23</v>
      </c>
      <c r="J1628" t="s">
        <v>31</v>
      </c>
      <c r="L1628" t="s">
        <v>60</v>
      </c>
      <c r="M1628" t="s">
        <v>33</v>
      </c>
      <c r="N1628">
        <v>2.6</v>
      </c>
      <c r="O1628" t="s">
        <v>27</v>
      </c>
      <c r="S1628" s="3">
        <v>5500</v>
      </c>
      <c r="T1628" s="2">
        <v>6294.6103515625</v>
      </c>
      <c r="U1628" s="2">
        <v>5766.7601804399719</v>
      </c>
      <c r="V1628" s="2">
        <v>5716.7587875172976</v>
      </c>
      <c r="W1628" s="2">
        <v>7974.52978515625</v>
      </c>
      <c r="X1628" s="4">
        <f t="shared" si="100"/>
        <v>0.87376337736850462</v>
      </c>
      <c r="Y1628" s="4">
        <f t="shared" si="101"/>
        <v>0.953741759307976</v>
      </c>
      <c r="Z1628" s="4">
        <f t="shared" si="102"/>
        <v>0.96208362193091013</v>
      </c>
      <c r="AA1628" s="4">
        <f t="shared" si="103"/>
        <v>0.68969583764520792</v>
      </c>
    </row>
    <row r="1629" spans="1:27" x14ac:dyDescent="0.3">
      <c r="A1629" t="s">
        <v>556</v>
      </c>
      <c r="B1629">
        <v>95650</v>
      </c>
      <c r="C1629">
        <v>2018</v>
      </c>
      <c r="D1629" t="s">
        <v>44</v>
      </c>
      <c r="E1629" t="s">
        <v>280</v>
      </c>
      <c r="F1629">
        <v>6</v>
      </c>
      <c r="G1629" t="s">
        <v>47</v>
      </c>
      <c r="H1629">
        <v>3</v>
      </c>
      <c r="I1629" t="s">
        <v>23</v>
      </c>
      <c r="J1629" t="s">
        <v>281</v>
      </c>
      <c r="L1629" t="s">
        <v>198</v>
      </c>
      <c r="M1629" t="s">
        <v>78</v>
      </c>
      <c r="N1629">
        <v>2.7</v>
      </c>
      <c r="O1629" t="s">
        <v>27</v>
      </c>
      <c r="S1629" s="3">
        <v>16500</v>
      </c>
      <c r="T1629" s="2">
        <v>13912.4833984375</v>
      </c>
      <c r="U1629" s="2">
        <v>16910.293283320731</v>
      </c>
      <c r="V1629" s="2">
        <v>16077.404823024081</v>
      </c>
      <c r="W1629" s="2">
        <v>15585.5078125</v>
      </c>
      <c r="X1629" s="4">
        <f t="shared" si="100"/>
        <v>1.1859852427103779</v>
      </c>
      <c r="Y1629" s="4">
        <f t="shared" si="101"/>
        <v>0.97573706875176325</v>
      </c>
      <c r="Z1629" s="4">
        <f t="shared" si="102"/>
        <v>1.0262850367722738</v>
      </c>
      <c r="AA1629" s="4">
        <f t="shared" si="103"/>
        <v>1.0586758030923158</v>
      </c>
    </row>
    <row r="1630" spans="1:27" x14ac:dyDescent="0.3">
      <c r="A1630" t="s">
        <v>556</v>
      </c>
      <c r="B1630">
        <v>97792</v>
      </c>
      <c r="C1630">
        <v>2015</v>
      </c>
      <c r="D1630" t="s">
        <v>100</v>
      </c>
      <c r="E1630" t="s">
        <v>101</v>
      </c>
      <c r="F1630">
        <v>4</v>
      </c>
      <c r="G1630" t="s">
        <v>298</v>
      </c>
      <c r="H1630">
        <v>4</v>
      </c>
      <c r="I1630" t="s">
        <v>23</v>
      </c>
      <c r="J1630" t="s">
        <v>31</v>
      </c>
      <c r="K1630" t="s">
        <v>27</v>
      </c>
      <c r="L1630" t="s">
        <v>102</v>
      </c>
      <c r="M1630" t="s">
        <v>33</v>
      </c>
      <c r="N1630">
        <v>2.8</v>
      </c>
      <c r="O1630" t="s">
        <v>27</v>
      </c>
      <c r="S1630" s="3">
        <v>3100</v>
      </c>
      <c r="T1630" s="2">
        <v>4039.736572265625</v>
      </c>
      <c r="U1630" s="2">
        <v>5619.6778711873967</v>
      </c>
      <c r="V1630" s="2">
        <v>8118.6856838224121</v>
      </c>
      <c r="W1630" s="2">
        <v>4428.54931640625</v>
      </c>
      <c r="X1630" s="4">
        <f t="shared" si="100"/>
        <v>0.76737676938707222</v>
      </c>
      <c r="Y1630" s="4">
        <f t="shared" si="101"/>
        <v>0.55163304215246645</v>
      </c>
      <c r="Z1630" s="4">
        <f t="shared" si="102"/>
        <v>0.38183520347107075</v>
      </c>
      <c r="AA1630" s="4">
        <f t="shared" si="103"/>
        <v>0.70000349516614113</v>
      </c>
    </row>
    <row r="1631" spans="1:27" x14ac:dyDescent="0.3">
      <c r="A1631" t="s">
        <v>556</v>
      </c>
      <c r="B1631">
        <v>196554</v>
      </c>
      <c r="C1631">
        <v>2012</v>
      </c>
      <c r="D1631" t="s">
        <v>40</v>
      </c>
      <c r="E1631" t="s">
        <v>208</v>
      </c>
      <c r="F1631">
        <v>6</v>
      </c>
      <c r="G1631" t="s">
        <v>47</v>
      </c>
      <c r="H1631">
        <v>2</v>
      </c>
      <c r="I1631" t="s">
        <v>23</v>
      </c>
      <c r="J1631" t="s">
        <v>83</v>
      </c>
      <c r="L1631" t="s">
        <v>26</v>
      </c>
      <c r="M1631" t="s">
        <v>78</v>
      </c>
      <c r="N1631">
        <v>1.5</v>
      </c>
      <c r="O1631" t="s">
        <v>27</v>
      </c>
      <c r="S1631" s="3">
        <v>2000</v>
      </c>
      <c r="T1631" s="2">
        <v>2913.9521484375</v>
      </c>
      <c r="U1631" s="2">
        <v>6348.3310477283903</v>
      </c>
      <c r="V1631" s="2">
        <v>2275.345611706658</v>
      </c>
      <c r="W1631" s="2">
        <v>2540.79541015625</v>
      </c>
      <c r="X1631" s="4">
        <f t="shared" si="100"/>
        <v>0.68635306900026705</v>
      </c>
      <c r="Y1631" s="4">
        <f t="shared" si="101"/>
        <v>0.31504343188209377</v>
      </c>
      <c r="Z1631" s="4">
        <f t="shared" si="102"/>
        <v>0.87898734579485227</v>
      </c>
      <c r="AA1631" s="4">
        <f t="shared" si="103"/>
        <v>0.78715507435406107</v>
      </c>
    </row>
    <row r="1632" spans="1:27" x14ac:dyDescent="0.3">
      <c r="A1632" t="s">
        <v>556</v>
      </c>
      <c r="B1632">
        <v>120879</v>
      </c>
      <c r="C1632">
        <v>2017</v>
      </c>
      <c r="D1632" t="s">
        <v>125</v>
      </c>
      <c r="E1632" t="s">
        <v>126</v>
      </c>
      <c r="F1632">
        <v>4</v>
      </c>
      <c r="G1632" t="s">
        <v>36</v>
      </c>
      <c r="H1632">
        <v>4</v>
      </c>
      <c r="I1632" t="s">
        <v>23</v>
      </c>
      <c r="J1632" t="s">
        <v>31</v>
      </c>
      <c r="K1632" t="s">
        <v>27</v>
      </c>
      <c r="L1632" t="s">
        <v>127</v>
      </c>
      <c r="M1632" t="s">
        <v>33</v>
      </c>
      <c r="N1632">
        <v>2.7</v>
      </c>
      <c r="O1632" t="s">
        <v>27</v>
      </c>
      <c r="S1632" s="3">
        <v>4250</v>
      </c>
      <c r="T1632" s="2">
        <v>4175.42919921875</v>
      </c>
      <c r="U1632" s="2">
        <v>5723.6017232941585</v>
      </c>
      <c r="V1632" s="2">
        <v>4650.440317756269</v>
      </c>
      <c r="W1632" s="2">
        <v>6531.10888671875</v>
      </c>
      <c r="X1632" s="4">
        <f t="shared" si="100"/>
        <v>1.0178594336589883</v>
      </c>
      <c r="Y1632" s="4">
        <f t="shared" si="101"/>
        <v>0.74253943678561152</v>
      </c>
      <c r="Z1632" s="4">
        <f t="shared" si="102"/>
        <v>0.91389195637511755</v>
      </c>
      <c r="AA1632" s="4">
        <f t="shared" si="103"/>
        <v>0.65073176296946011</v>
      </c>
    </row>
    <row r="1633" spans="1:27" x14ac:dyDescent="0.3">
      <c r="A1633" t="s">
        <v>556</v>
      </c>
      <c r="B1633">
        <v>131908</v>
      </c>
      <c r="C1633">
        <v>2015</v>
      </c>
      <c r="D1633" t="s">
        <v>28</v>
      </c>
      <c r="E1633" t="s">
        <v>137</v>
      </c>
      <c r="F1633">
        <v>4</v>
      </c>
      <c r="G1633" t="s">
        <v>22</v>
      </c>
      <c r="H1633">
        <v>4</v>
      </c>
      <c r="I1633" t="s">
        <v>23</v>
      </c>
      <c r="J1633" t="s">
        <v>31</v>
      </c>
      <c r="K1633" t="s">
        <v>27</v>
      </c>
      <c r="L1633" t="s">
        <v>60</v>
      </c>
      <c r="M1633" t="s">
        <v>33</v>
      </c>
      <c r="N1633">
        <v>2.8</v>
      </c>
      <c r="O1633" t="s">
        <v>27</v>
      </c>
      <c r="S1633" s="3">
        <v>7300</v>
      </c>
      <c r="T1633" s="2">
        <v>6546.06103515625</v>
      </c>
      <c r="U1633" s="2">
        <v>7241.7525161092017</v>
      </c>
      <c r="V1633" s="2">
        <v>7687.5286849651739</v>
      </c>
      <c r="W1633" s="2">
        <v>8916.869140625</v>
      </c>
      <c r="X1633" s="4">
        <f t="shared" si="100"/>
        <v>1.1151744477777779</v>
      </c>
      <c r="Y1633" s="4">
        <f t="shared" si="101"/>
        <v>1.0080432856219854</v>
      </c>
      <c r="Z1633" s="4">
        <f t="shared" si="102"/>
        <v>0.94958995265629642</v>
      </c>
      <c r="AA1633" s="4">
        <f t="shared" si="103"/>
        <v>0.81867299888269185</v>
      </c>
    </row>
    <row r="1634" spans="1:27" x14ac:dyDescent="0.3">
      <c r="A1634" t="s">
        <v>556</v>
      </c>
      <c r="B1634">
        <v>149144</v>
      </c>
      <c r="C1634">
        <v>2010</v>
      </c>
      <c r="D1634" t="s">
        <v>81</v>
      </c>
      <c r="E1634" t="s">
        <v>202</v>
      </c>
      <c r="F1634">
        <v>4</v>
      </c>
      <c r="G1634" t="s">
        <v>47</v>
      </c>
      <c r="H1634">
        <v>4</v>
      </c>
      <c r="I1634" t="s">
        <v>23</v>
      </c>
      <c r="J1634" t="s">
        <v>31</v>
      </c>
      <c r="L1634" t="s">
        <v>127</v>
      </c>
      <c r="M1634" t="s">
        <v>33</v>
      </c>
      <c r="N1634">
        <v>0</v>
      </c>
      <c r="O1634" t="s">
        <v>27</v>
      </c>
      <c r="S1634" s="3">
        <v>800</v>
      </c>
      <c r="T1634" s="2">
        <v>2863.645751953125</v>
      </c>
      <c r="U1634" s="2">
        <v>2303.7161319205038</v>
      </c>
      <c r="V1634" s="2">
        <v>2122.865899213537</v>
      </c>
      <c r="W1634" s="2">
        <v>2405.427978515625</v>
      </c>
      <c r="X1634" s="4">
        <f t="shared" si="100"/>
        <v>0.27936416348089382</v>
      </c>
      <c r="Y1634" s="4">
        <f t="shared" si="101"/>
        <v>0.34726500757412165</v>
      </c>
      <c r="Z1634" s="4">
        <f t="shared" si="102"/>
        <v>0.37684905122663559</v>
      </c>
      <c r="AA1634" s="4">
        <f t="shared" si="103"/>
        <v>0.33258114861276167</v>
      </c>
    </row>
    <row r="1635" spans="1:27" x14ac:dyDescent="0.3">
      <c r="A1635" t="s">
        <v>556</v>
      </c>
      <c r="B1635">
        <v>223447</v>
      </c>
      <c r="C1635">
        <v>2018</v>
      </c>
      <c r="D1635" t="s">
        <v>100</v>
      </c>
      <c r="E1635" t="s">
        <v>138</v>
      </c>
      <c r="F1635">
        <v>4</v>
      </c>
      <c r="G1635" t="s">
        <v>30</v>
      </c>
      <c r="H1635">
        <v>4</v>
      </c>
      <c r="I1635" t="s">
        <v>23</v>
      </c>
      <c r="J1635" t="s">
        <v>24</v>
      </c>
      <c r="K1635" t="s">
        <v>27</v>
      </c>
      <c r="L1635" t="s">
        <v>102</v>
      </c>
      <c r="M1635" t="s">
        <v>33</v>
      </c>
      <c r="N1635">
        <v>0</v>
      </c>
      <c r="O1635" t="s">
        <v>27</v>
      </c>
      <c r="S1635" s="3">
        <v>2000</v>
      </c>
      <c r="T1635" s="2">
        <v>3167.249755859375</v>
      </c>
      <c r="U1635" s="2">
        <v>2631.385367165914</v>
      </c>
      <c r="V1635" s="2">
        <v>4532.5522677915496</v>
      </c>
      <c r="W1635" s="2">
        <v>3196.41259765625</v>
      </c>
      <c r="X1635" s="4">
        <f t="shared" si="100"/>
        <v>0.63146267398080103</v>
      </c>
      <c r="Y1635" s="4">
        <f t="shared" si="101"/>
        <v>0.76005591007525586</v>
      </c>
      <c r="Z1635" s="4">
        <f t="shared" si="102"/>
        <v>0.44125249568814884</v>
      </c>
      <c r="AA1635" s="4">
        <f t="shared" si="103"/>
        <v>0.62570145089106699</v>
      </c>
    </row>
    <row r="1636" spans="1:27" x14ac:dyDescent="0.3">
      <c r="A1636" t="s">
        <v>556</v>
      </c>
      <c r="B1636">
        <v>138991</v>
      </c>
      <c r="C1636">
        <v>2017</v>
      </c>
      <c r="D1636" t="s">
        <v>85</v>
      </c>
      <c r="E1636" t="s">
        <v>372</v>
      </c>
      <c r="F1636">
        <v>4</v>
      </c>
      <c r="G1636" t="s">
        <v>47</v>
      </c>
      <c r="H1636">
        <v>4</v>
      </c>
      <c r="I1636" t="s">
        <v>23</v>
      </c>
      <c r="J1636" t="s">
        <v>31</v>
      </c>
      <c r="K1636" t="s">
        <v>27</v>
      </c>
      <c r="L1636" t="s">
        <v>127</v>
      </c>
      <c r="M1636" t="s">
        <v>33</v>
      </c>
      <c r="N1636">
        <v>0</v>
      </c>
      <c r="S1636" s="3">
        <v>1800</v>
      </c>
      <c r="T1636" s="2">
        <v>4284.99169921875</v>
      </c>
      <c r="U1636" s="2">
        <v>4179.9483283138125</v>
      </c>
      <c r="V1636" s="2">
        <v>3471.765102705494</v>
      </c>
      <c r="W1636" s="2">
        <v>5610.146484375</v>
      </c>
      <c r="X1636" s="4">
        <f t="shared" si="100"/>
        <v>0.42007082541797697</v>
      </c>
      <c r="Y1636" s="4">
        <f t="shared" si="101"/>
        <v>0.43062733283263299</v>
      </c>
      <c r="Z1636" s="4">
        <f t="shared" si="102"/>
        <v>0.51846825656415729</v>
      </c>
      <c r="AA1636" s="4">
        <f t="shared" si="103"/>
        <v>0.32084723723582587</v>
      </c>
    </row>
    <row r="1637" spans="1:27" x14ac:dyDescent="0.3">
      <c r="A1637" t="s">
        <v>556</v>
      </c>
      <c r="B1637">
        <v>185172</v>
      </c>
      <c r="C1637">
        <v>2015</v>
      </c>
      <c r="D1637" t="s">
        <v>90</v>
      </c>
      <c r="E1637" t="s">
        <v>91</v>
      </c>
      <c r="F1637">
        <v>4</v>
      </c>
      <c r="G1637" t="s">
        <v>22</v>
      </c>
      <c r="H1637">
        <v>4</v>
      </c>
      <c r="I1637" t="s">
        <v>23</v>
      </c>
      <c r="J1637" t="s">
        <v>31</v>
      </c>
      <c r="L1637" t="s">
        <v>32</v>
      </c>
      <c r="M1637" t="s">
        <v>33</v>
      </c>
      <c r="N1637">
        <v>0</v>
      </c>
      <c r="S1637" s="3">
        <v>2250</v>
      </c>
      <c r="T1637" s="2">
        <v>2471.09912109375</v>
      </c>
      <c r="U1637" s="2">
        <v>1603.1206674983459</v>
      </c>
      <c r="V1637" s="2">
        <v>2243.5659895150202</v>
      </c>
      <c r="W1637" s="2">
        <v>2546.94677734375</v>
      </c>
      <c r="X1637" s="4">
        <f t="shared" si="100"/>
        <v>0.91052600067459544</v>
      </c>
      <c r="Y1637" s="4">
        <f t="shared" si="101"/>
        <v>1.4035125649718576</v>
      </c>
      <c r="Z1637" s="4">
        <f t="shared" si="102"/>
        <v>1.0028677607500953</v>
      </c>
      <c r="AA1637" s="4">
        <f t="shared" si="103"/>
        <v>0.88341068608687601</v>
      </c>
    </row>
    <row r="1638" spans="1:27" x14ac:dyDescent="0.3">
      <c r="A1638" t="s">
        <v>556</v>
      </c>
      <c r="B1638">
        <v>86457</v>
      </c>
      <c r="C1638">
        <v>2019</v>
      </c>
      <c r="D1638" t="s">
        <v>489</v>
      </c>
      <c r="E1638" t="s">
        <v>490</v>
      </c>
      <c r="F1638">
        <v>4</v>
      </c>
      <c r="G1638" t="s">
        <v>36</v>
      </c>
      <c r="H1638">
        <v>4</v>
      </c>
      <c r="I1638" t="s">
        <v>23</v>
      </c>
      <c r="J1638" t="s">
        <v>24</v>
      </c>
      <c r="K1638" t="s">
        <v>27</v>
      </c>
      <c r="L1638" t="s">
        <v>127</v>
      </c>
      <c r="M1638" t="s">
        <v>23</v>
      </c>
      <c r="N1638">
        <v>0</v>
      </c>
      <c r="S1638" s="3">
        <v>11000</v>
      </c>
      <c r="T1638" s="2">
        <v>15368.7158203125</v>
      </c>
      <c r="U1638" s="2">
        <v>17358.257135052569</v>
      </c>
      <c r="V1638" s="2">
        <v>14692.3889993307</v>
      </c>
      <c r="W1638" s="2">
        <v>17282.91796875</v>
      </c>
      <c r="X1638" s="4">
        <f t="shared" si="100"/>
        <v>0.71573969670657434</v>
      </c>
      <c r="Y1638" s="4">
        <f t="shared" si="101"/>
        <v>0.63370417400875123</v>
      </c>
      <c r="Z1638" s="4">
        <f t="shared" si="102"/>
        <v>0.74868695625341097</v>
      </c>
      <c r="AA1638" s="4">
        <f t="shared" si="103"/>
        <v>0.63646659782159365</v>
      </c>
    </row>
    <row r="1639" spans="1:27" x14ac:dyDescent="0.3">
      <c r="A1639" t="s">
        <v>556</v>
      </c>
      <c r="B1639">
        <v>131386</v>
      </c>
      <c r="C1639">
        <v>2017</v>
      </c>
      <c r="D1639" t="s">
        <v>71</v>
      </c>
      <c r="E1639" t="s">
        <v>72</v>
      </c>
      <c r="F1639">
        <v>4</v>
      </c>
      <c r="G1639" t="s">
        <v>30</v>
      </c>
      <c r="H1639">
        <v>4</v>
      </c>
      <c r="I1639" t="s">
        <v>23</v>
      </c>
      <c r="J1639" t="s">
        <v>24</v>
      </c>
      <c r="K1639" t="s">
        <v>27</v>
      </c>
      <c r="L1639" t="s">
        <v>73</v>
      </c>
      <c r="M1639" t="s">
        <v>33</v>
      </c>
      <c r="N1639">
        <v>2.8</v>
      </c>
      <c r="O1639" t="s">
        <v>27</v>
      </c>
      <c r="S1639" s="3">
        <v>4100</v>
      </c>
      <c r="T1639" s="2">
        <v>5090.4072265625</v>
      </c>
      <c r="U1639" s="2">
        <v>5159.2569211247937</v>
      </c>
      <c r="V1639" s="2">
        <v>4659.603885307567</v>
      </c>
      <c r="W1639" s="2">
        <v>5199.79541015625</v>
      </c>
      <c r="X1639" s="4">
        <f t="shared" si="100"/>
        <v>0.80543654319159219</v>
      </c>
      <c r="Y1639" s="4">
        <f t="shared" si="101"/>
        <v>0.79468808448216222</v>
      </c>
      <c r="Z1639" s="4">
        <f t="shared" si="102"/>
        <v>0.87990312071974996</v>
      </c>
      <c r="AA1639" s="4">
        <f t="shared" si="103"/>
        <v>0.78849256107112842</v>
      </c>
    </row>
    <row r="1640" spans="1:27" x14ac:dyDescent="0.3">
      <c r="A1640" t="s">
        <v>556</v>
      </c>
      <c r="B1640">
        <v>145425</v>
      </c>
      <c r="C1640">
        <v>2018</v>
      </c>
      <c r="D1640" t="s">
        <v>81</v>
      </c>
      <c r="E1640" t="s">
        <v>201</v>
      </c>
      <c r="F1640">
        <v>6</v>
      </c>
      <c r="G1640" t="s">
        <v>30</v>
      </c>
      <c r="H1640">
        <v>4</v>
      </c>
      <c r="I1640" t="s">
        <v>23</v>
      </c>
      <c r="J1640" t="s">
        <v>24</v>
      </c>
      <c r="L1640" t="s">
        <v>26</v>
      </c>
      <c r="M1640" t="s">
        <v>33</v>
      </c>
      <c r="N1640">
        <v>0</v>
      </c>
      <c r="O1640" t="s">
        <v>199</v>
      </c>
      <c r="S1640" s="3">
        <v>800</v>
      </c>
      <c r="T1640" s="2">
        <v>5541.4521484375</v>
      </c>
      <c r="U1640" s="2">
        <v>2125.7054810619629</v>
      </c>
      <c r="V1640" s="2">
        <v>1435.9903318434431</v>
      </c>
      <c r="W1640" s="2">
        <v>3832.185546875</v>
      </c>
      <c r="X1640" s="4">
        <f t="shared" si="100"/>
        <v>0.1443664906906347</v>
      </c>
      <c r="Y1640" s="4">
        <f t="shared" si="101"/>
        <v>0.37634564483520777</v>
      </c>
      <c r="Z1640" s="4">
        <f t="shared" si="102"/>
        <v>0.55710681489965552</v>
      </c>
      <c r="AA1640" s="4">
        <f t="shared" si="103"/>
        <v>0.20875815907514428</v>
      </c>
    </row>
    <row r="1641" spans="1:27" x14ac:dyDescent="0.3">
      <c r="A1641" t="s">
        <v>556</v>
      </c>
      <c r="B1641">
        <v>150225</v>
      </c>
      <c r="C1641">
        <v>2010</v>
      </c>
      <c r="D1641" t="s">
        <v>85</v>
      </c>
      <c r="E1641" t="s">
        <v>228</v>
      </c>
      <c r="F1641">
        <v>4</v>
      </c>
      <c r="G1641" t="s">
        <v>30</v>
      </c>
      <c r="H1641">
        <v>4</v>
      </c>
      <c r="I1641" t="s">
        <v>23</v>
      </c>
      <c r="J1641" t="s">
        <v>31</v>
      </c>
      <c r="K1641" t="s">
        <v>27</v>
      </c>
      <c r="L1641" t="s">
        <v>60</v>
      </c>
      <c r="M1641" t="s">
        <v>33</v>
      </c>
      <c r="N1641">
        <v>0</v>
      </c>
      <c r="O1641" t="s">
        <v>27</v>
      </c>
      <c r="S1641" s="3">
        <v>1800</v>
      </c>
      <c r="T1641" s="2">
        <v>2355.390625</v>
      </c>
      <c r="U1641" s="2">
        <v>1949.649919548652</v>
      </c>
      <c r="V1641" s="2">
        <v>2093.097365924064</v>
      </c>
      <c r="W1641" s="2">
        <v>2142.2998046875</v>
      </c>
      <c r="X1641" s="4">
        <f t="shared" si="100"/>
        <v>0.76420445122557967</v>
      </c>
      <c r="Y1641" s="4">
        <f t="shared" si="101"/>
        <v>0.9232426713903098</v>
      </c>
      <c r="Z1641" s="4">
        <f t="shared" si="102"/>
        <v>0.85996955005737785</v>
      </c>
      <c r="AA1641" s="4">
        <f t="shared" si="103"/>
        <v>0.84021853340110264</v>
      </c>
    </row>
    <row r="1642" spans="1:27" x14ac:dyDescent="0.3">
      <c r="A1642" t="s">
        <v>556</v>
      </c>
      <c r="B1642">
        <v>103304</v>
      </c>
      <c r="C1642">
        <v>2019</v>
      </c>
      <c r="D1642" t="s">
        <v>74</v>
      </c>
      <c r="E1642" t="s">
        <v>75</v>
      </c>
      <c r="F1642">
        <v>8</v>
      </c>
      <c r="G1642" t="s">
        <v>66</v>
      </c>
      <c r="H1642">
        <v>4</v>
      </c>
      <c r="I1642" t="s">
        <v>23</v>
      </c>
      <c r="J1642" t="s">
        <v>42</v>
      </c>
      <c r="K1642" t="s">
        <v>27</v>
      </c>
      <c r="L1642" t="s">
        <v>84</v>
      </c>
      <c r="M1642">
        <v>4</v>
      </c>
      <c r="N1642">
        <v>0</v>
      </c>
      <c r="S1642" s="3">
        <v>19750</v>
      </c>
      <c r="T1642" s="2">
        <v>21831.64453125</v>
      </c>
      <c r="U1642" s="2">
        <v>25475.295061725119</v>
      </c>
      <c r="V1642" s="2">
        <v>28579.38966081617</v>
      </c>
      <c r="W1642" s="2">
        <v>26152.17578125</v>
      </c>
      <c r="X1642" s="4">
        <f t="shared" si="100"/>
        <v>0.90465012710012216</v>
      </c>
      <c r="Y1642" s="4">
        <f t="shared" si="101"/>
        <v>0.77526089303958712</v>
      </c>
      <c r="Z1642" s="4">
        <f t="shared" si="102"/>
        <v>0.69105744504678057</v>
      </c>
      <c r="AA1642" s="4">
        <f t="shared" si="103"/>
        <v>0.75519529102278027</v>
      </c>
    </row>
    <row r="1643" spans="1:27" x14ac:dyDescent="0.3">
      <c r="A1643" t="s">
        <v>556</v>
      </c>
      <c r="B1643">
        <v>134113</v>
      </c>
      <c r="C1643">
        <v>2013</v>
      </c>
      <c r="D1643" t="s">
        <v>34</v>
      </c>
      <c r="E1643" t="s">
        <v>157</v>
      </c>
      <c r="F1643">
        <v>4</v>
      </c>
      <c r="G1643" t="s">
        <v>66</v>
      </c>
      <c r="H1643">
        <v>4</v>
      </c>
      <c r="I1643" t="s">
        <v>23</v>
      </c>
      <c r="J1643" t="s">
        <v>145</v>
      </c>
      <c r="L1643" t="s">
        <v>89</v>
      </c>
      <c r="M1643" t="s">
        <v>33</v>
      </c>
      <c r="N1643">
        <v>0</v>
      </c>
      <c r="S1643" s="3">
        <v>5000</v>
      </c>
      <c r="T1643" s="2">
        <v>5500.31640625</v>
      </c>
      <c r="U1643" s="2">
        <v>4547.3117673168808</v>
      </c>
      <c r="V1643" s="2">
        <v>3102.0994084671238</v>
      </c>
      <c r="W1643" s="2">
        <v>5006.3857421875</v>
      </c>
      <c r="X1643" s="4">
        <f t="shared" si="100"/>
        <v>0.90903861354566962</v>
      </c>
      <c r="Y1643" s="4">
        <f t="shared" si="101"/>
        <v>1.0995507358736094</v>
      </c>
      <c r="Z1643" s="4">
        <f t="shared" si="102"/>
        <v>1.6118116609521251</v>
      </c>
      <c r="AA1643" s="4">
        <f t="shared" si="103"/>
        <v>0.99872448059012131</v>
      </c>
    </row>
    <row r="1644" spans="1:27" x14ac:dyDescent="0.3">
      <c r="A1644" t="s">
        <v>556</v>
      </c>
      <c r="B1644">
        <v>147877</v>
      </c>
      <c r="C1644">
        <v>2015</v>
      </c>
      <c r="D1644" t="s">
        <v>81</v>
      </c>
      <c r="E1644" t="s">
        <v>201</v>
      </c>
      <c r="F1644">
        <v>6</v>
      </c>
      <c r="G1644" t="s">
        <v>66</v>
      </c>
      <c r="H1644">
        <v>4</v>
      </c>
      <c r="I1644" t="s">
        <v>23</v>
      </c>
      <c r="J1644" t="s">
        <v>24</v>
      </c>
      <c r="K1644" t="s">
        <v>27</v>
      </c>
      <c r="L1644" t="s">
        <v>26</v>
      </c>
      <c r="M1644" t="s">
        <v>33</v>
      </c>
      <c r="N1644">
        <v>0</v>
      </c>
      <c r="S1644" s="3">
        <v>2000</v>
      </c>
      <c r="T1644" s="2">
        <v>4110.73876953125</v>
      </c>
      <c r="U1644" s="2">
        <v>4104.7434753059379</v>
      </c>
      <c r="V1644" s="2">
        <v>3361.0299338296131</v>
      </c>
      <c r="W1644" s="2">
        <v>3834.59228515625</v>
      </c>
      <c r="X1644" s="4">
        <f t="shared" si="100"/>
        <v>0.4865305513510072</v>
      </c>
      <c r="Y1644" s="4">
        <f t="shared" si="101"/>
        <v>0.48724116672137091</v>
      </c>
      <c r="Z1644" s="4">
        <f t="shared" si="102"/>
        <v>0.59505569405065273</v>
      </c>
      <c r="AA1644" s="4">
        <f t="shared" si="103"/>
        <v>0.52156783597099032</v>
      </c>
    </row>
    <row r="1645" spans="1:27" x14ac:dyDescent="0.3">
      <c r="A1645" t="s">
        <v>556</v>
      </c>
      <c r="B1645">
        <v>120905</v>
      </c>
      <c r="C1645">
        <v>2017</v>
      </c>
      <c r="D1645" t="s">
        <v>85</v>
      </c>
      <c r="E1645" t="s">
        <v>270</v>
      </c>
      <c r="F1645">
        <v>6</v>
      </c>
      <c r="G1645" t="s">
        <v>22</v>
      </c>
      <c r="H1645">
        <v>4</v>
      </c>
      <c r="I1645" t="s">
        <v>23</v>
      </c>
      <c r="J1645" t="s">
        <v>24</v>
      </c>
      <c r="K1645" t="s">
        <v>27</v>
      </c>
      <c r="L1645" t="s">
        <v>194</v>
      </c>
      <c r="M1645" t="s">
        <v>33</v>
      </c>
      <c r="N1645">
        <v>0</v>
      </c>
      <c r="S1645" s="3">
        <v>6400</v>
      </c>
      <c r="T1645" s="2">
        <v>6785.1552734375</v>
      </c>
      <c r="U1645" s="2">
        <v>6910.4573061112969</v>
      </c>
      <c r="V1645" s="2">
        <v>5934.4276331126002</v>
      </c>
      <c r="W1645" s="2">
        <v>7521.3994140625</v>
      </c>
      <c r="X1645" s="4">
        <f t="shared" si="100"/>
        <v>0.94323559919913635</v>
      </c>
      <c r="Y1645" s="4">
        <f t="shared" si="101"/>
        <v>0.92613263008515057</v>
      </c>
      <c r="Z1645" s="4">
        <f t="shared" si="102"/>
        <v>1.0784527835994873</v>
      </c>
      <c r="AA1645" s="4">
        <f t="shared" si="103"/>
        <v>0.85090548283264167</v>
      </c>
    </row>
    <row r="1646" spans="1:27" x14ac:dyDescent="0.3">
      <c r="A1646" t="s">
        <v>556</v>
      </c>
      <c r="B1646">
        <v>149399</v>
      </c>
      <c r="C1646">
        <v>2017</v>
      </c>
      <c r="D1646" t="s">
        <v>28</v>
      </c>
      <c r="E1646" t="s">
        <v>220</v>
      </c>
      <c r="F1646">
        <v>6</v>
      </c>
      <c r="G1646" t="s">
        <v>59</v>
      </c>
      <c r="H1646">
        <v>4</v>
      </c>
      <c r="I1646" t="s">
        <v>23</v>
      </c>
      <c r="J1646" t="s">
        <v>24</v>
      </c>
      <c r="K1646" t="s">
        <v>27</v>
      </c>
      <c r="L1646" t="s">
        <v>53</v>
      </c>
      <c r="M1646" t="s">
        <v>23</v>
      </c>
      <c r="N1646">
        <v>0</v>
      </c>
      <c r="S1646" s="3">
        <v>9500</v>
      </c>
      <c r="T1646" s="2">
        <v>11486.423828125</v>
      </c>
      <c r="U1646" s="2">
        <v>10845.794416684799</v>
      </c>
      <c r="V1646" s="2">
        <v>8414.7879421923681</v>
      </c>
      <c r="W1646" s="2">
        <v>10771.05078125</v>
      </c>
      <c r="X1646" s="4">
        <f t="shared" si="100"/>
        <v>0.82706333512949815</v>
      </c>
      <c r="Y1646" s="4">
        <f t="shared" si="101"/>
        <v>0.87591555168937418</v>
      </c>
      <c r="Z1646" s="4">
        <f t="shared" si="102"/>
        <v>1.1289648729430599</v>
      </c>
      <c r="AA1646" s="4">
        <f t="shared" si="103"/>
        <v>0.88199379920642318</v>
      </c>
    </row>
    <row r="1647" spans="1:27" x14ac:dyDescent="0.3">
      <c r="A1647" t="s">
        <v>556</v>
      </c>
      <c r="B1647">
        <v>154049</v>
      </c>
      <c r="C1647">
        <v>2015</v>
      </c>
      <c r="D1647" t="s">
        <v>324</v>
      </c>
      <c r="E1647" t="s">
        <v>574</v>
      </c>
      <c r="F1647">
        <v>8</v>
      </c>
      <c r="G1647" t="s">
        <v>47</v>
      </c>
      <c r="H1647">
        <v>4</v>
      </c>
      <c r="I1647" t="s">
        <v>23</v>
      </c>
      <c r="J1647" t="s">
        <v>24</v>
      </c>
      <c r="K1647" t="s">
        <v>27</v>
      </c>
      <c r="L1647" t="s">
        <v>166</v>
      </c>
      <c r="M1647" t="s">
        <v>78</v>
      </c>
      <c r="N1647">
        <v>0</v>
      </c>
      <c r="S1647" s="3">
        <v>6250</v>
      </c>
      <c r="T1647" s="2">
        <v>9063.3994140625</v>
      </c>
      <c r="U1647" s="2">
        <v>19099.786846896819</v>
      </c>
      <c r="V1647" s="2">
        <v>11464.166324192831</v>
      </c>
      <c r="W1647" s="2">
        <v>14186.9755859375</v>
      </c>
      <c r="X1647" s="4">
        <f t="shared" si="100"/>
        <v>0.68958673390280989</v>
      </c>
      <c r="Y1647" s="4">
        <f t="shared" si="101"/>
        <v>0.32722878271363798</v>
      </c>
      <c r="Z1647" s="4">
        <f t="shared" si="102"/>
        <v>0.5451770170858935</v>
      </c>
      <c r="AA1647" s="4">
        <f t="shared" si="103"/>
        <v>0.44054491826962494</v>
      </c>
    </row>
    <row r="1648" spans="1:27" x14ac:dyDescent="0.3">
      <c r="A1648" t="s">
        <v>556</v>
      </c>
      <c r="B1648">
        <v>103933</v>
      </c>
      <c r="C1648">
        <v>2012</v>
      </c>
      <c r="D1648" t="s">
        <v>34</v>
      </c>
      <c r="E1648" t="s">
        <v>61</v>
      </c>
      <c r="F1648">
        <v>6</v>
      </c>
      <c r="G1648" t="s">
        <v>36</v>
      </c>
      <c r="H1648">
        <v>4</v>
      </c>
      <c r="I1648" t="s">
        <v>23</v>
      </c>
      <c r="J1648" t="s">
        <v>62</v>
      </c>
      <c r="K1648" t="s">
        <v>27</v>
      </c>
      <c r="L1648" t="s">
        <v>38</v>
      </c>
      <c r="M1648" t="s">
        <v>23</v>
      </c>
      <c r="N1648">
        <v>0</v>
      </c>
      <c r="S1648" s="3">
        <v>6000</v>
      </c>
      <c r="T1648" s="2">
        <v>9766.255859375</v>
      </c>
      <c r="U1648" s="2">
        <v>8296.2172077493633</v>
      </c>
      <c r="V1648" s="2">
        <v>6935.2142304866666</v>
      </c>
      <c r="W1648" s="2">
        <v>8621.775390625</v>
      </c>
      <c r="X1648" s="4">
        <f t="shared" si="100"/>
        <v>0.61436031232382393</v>
      </c>
      <c r="Y1648" s="4">
        <f t="shared" si="101"/>
        <v>0.723221180177816</v>
      </c>
      <c r="Z1648" s="4">
        <f t="shared" si="102"/>
        <v>0.86514991470983882</v>
      </c>
      <c r="AA1648" s="4">
        <f t="shared" si="103"/>
        <v>0.69591235310121602</v>
      </c>
    </row>
    <row r="1649" spans="1:27" x14ac:dyDescent="0.3">
      <c r="A1649" t="s">
        <v>556</v>
      </c>
      <c r="B1649">
        <v>121960</v>
      </c>
      <c r="C1649">
        <v>2016</v>
      </c>
      <c r="D1649" t="s">
        <v>85</v>
      </c>
      <c r="E1649" t="s">
        <v>292</v>
      </c>
      <c r="F1649">
        <v>4</v>
      </c>
      <c r="G1649" t="s">
        <v>47</v>
      </c>
      <c r="H1649">
        <v>4</v>
      </c>
      <c r="I1649" t="s">
        <v>23</v>
      </c>
      <c r="J1649" t="s">
        <v>24</v>
      </c>
      <c r="K1649" t="s">
        <v>27</v>
      </c>
      <c r="L1649" t="s">
        <v>60</v>
      </c>
      <c r="M1649" t="s">
        <v>33</v>
      </c>
      <c r="N1649">
        <v>0</v>
      </c>
      <c r="S1649" s="3">
        <v>2800</v>
      </c>
      <c r="T1649" s="2">
        <v>5266.89990234375</v>
      </c>
      <c r="U1649" s="2">
        <v>5573.5179223357472</v>
      </c>
      <c r="V1649" s="2">
        <v>4570.0715860008431</v>
      </c>
      <c r="W1649" s="2">
        <v>5433.21337890625</v>
      </c>
      <c r="X1649" s="4">
        <f t="shared" si="100"/>
        <v>0.53162202660316571</v>
      </c>
      <c r="Y1649" s="4">
        <f t="shared" si="101"/>
        <v>0.50237570579598623</v>
      </c>
      <c r="Z1649" s="4">
        <f t="shared" si="102"/>
        <v>0.61268186883046416</v>
      </c>
      <c r="AA1649" s="4">
        <f t="shared" si="103"/>
        <v>0.51534880092702395</v>
      </c>
    </row>
    <row r="1650" spans="1:27" x14ac:dyDescent="0.3">
      <c r="A1650" t="s">
        <v>556</v>
      </c>
      <c r="B1650">
        <v>114636</v>
      </c>
      <c r="C1650">
        <v>2017</v>
      </c>
      <c r="D1650" t="s">
        <v>85</v>
      </c>
      <c r="E1650" t="s">
        <v>575</v>
      </c>
      <c r="F1650">
        <v>4</v>
      </c>
      <c r="G1650" t="s">
        <v>22</v>
      </c>
      <c r="H1650">
        <v>4</v>
      </c>
      <c r="I1650" t="s">
        <v>23</v>
      </c>
      <c r="J1650" t="s">
        <v>24</v>
      </c>
      <c r="K1650" t="s">
        <v>27</v>
      </c>
      <c r="L1650" t="s">
        <v>87</v>
      </c>
      <c r="M1650" t="s">
        <v>33</v>
      </c>
      <c r="N1650">
        <v>0</v>
      </c>
      <c r="S1650" s="3">
        <v>4000</v>
      </c>
      <c r="T1650" s="2">
        <v>6135.9462890625</v>
      </c>
      <c r="U1650" s="2">
        <v>6441.9456154684576</v>
      </c>
      <c r="V1650" s="2">
        <v>6025.119612067364</v>
      </c>
      <c r="W1650" s="2">
        <v>6546.78076171875</v>
      </c>
      <c r="X1650" s="4">
        <f t="shared" si="100"/>
        <v>0.65189618871503396</v>
      </c>
      <c r="Y1650" s="4">
        <f t="shared" si="101"/>
        <v>0.62093042052313574</v>
      </c>
      <c r="Z1650" s="4">
        <f t="shared" si="102"/>
        <v>0.66388723503324831</v>
      </c>
      <c r="AA1650" s="4">
        <f t="shared" si="103"/>
        <v>0.61098731507695481</v>
      </c>
    </row>
    <row r="1651" spans="1:27" x14ac:dyDescent="0.3">
      <c r="A1651" t="s">
        <v>556</v>
      </c>
      <c r="B1651">
        <v>163415</v>
      </c>
      <c r="C1651">
        <v>2016</v>
      </c>
      <c r="D1651" t="s">
        <v>44</v>
      </c>
      <c r="E1651" t="s">
        <v>117</v>
      </c>
      <c r="F1651">
        <v>4</v>
      </c>
      <c r="G1651" t="s">
        <v>36</v>
      </c>
      <c r="H1651">
        <v>4</v>
      </c>
      <c r="I1651" t="s">
        <v>23</v>
      </c>
      <c r="J1651" t="s">
        <v>62</v>
      </c>
      <c r="K1651" t="s">
        <v>27</v>
      </c>
      <c r="L1651" t="s">
        <v>96</v>
      </c>
      <c r="M1651">
        <v>4</v>
      </c>
      <c r="N1651">
        <v>0</v>
      </c>
      <c r="S1651" s="3">
        <v>2900</v>
      </c>
      <c r="T1651" s="2">
        <v>3469.012939453125</v>
      </c>
      <c r="U1651" s="2">
        <v>3831.3703096278318</v>
      </c>
      <c r="V1651" s="2">
        <v>3365.4398138569982</v>
      </c>
      <c r="W1651" s="2">
        <v>3107.09326171875</v>
      </c>
      <c r="X1651" s="4">
        <f t="shared" si="100"/>
        <v>0.83597266733088993</v>
      </c>
      <c r="Y1651" s="4">
        <f t="shared" si="101"/>
        <v>0.75690934721517367</v>
      </c>
      <c r="Z1651" s="4">
        <f t="shared" si="102"/>
        <v>0.86170015225333185</v>
      </c>
      <c r="AA1651" s="4">
        <f t="shared" si="103"/>
        <v>0.93334823120043964</v>
      </c>
    </row>
    <row r="1652" spans="1:27" x14ac:dyDescent="0.3">
      <c r="A1652" t="s">
        <v>556</v>
      </c>
      <c r="B1652">
        <v>68747</v>
      </c>
      <c r="C1652">
        <v>2020</v>
      </c>
      <c r="D1652" t="s">
        <v>28</v>
      </c>
      <c r="E1652" t="s">
        <v>329</v>
      </c>
      <c r="F1652">
        <v>4</v>
      </c>
      <c r="G1652" t="s">
        <v>36</v>
      </c>
      <c r="H1652">
        <v>4</v>
      </c>
      <c r="I1652" t="s">
        <v>23</v>
      </c>
      <c r="J1652" t="s">
        <v>24</v>
      </c>
      <c r="K1652" t="s">
        <v>27</v>
      </c>
      <c r="L1652" t="s">
        <v>32</v>
      </c>
      <c r="M1652" t="s">
        <v>33</v>
      </c>
      <c r="N1652">
        <v>0</v>
      </c>
      <c r="S1652" s="3">
        <v>13500</v>
      </c>
      <c r="T1652" s="2">
        <v>17646.220703125</v>
      </c>
      <c r="U1652" s="2">
        <v>15274.909798560881</v>
      </c>
      <c r="V1652" s="2">
        <v>16910.7594405891</v>
      </c>
      <c r="W1652" s="2">
        <v>17256.998046875</v>
      </c>
      <c r="X1652" s="4">
        <f t="shared" si="100"/>
        <v>0.76503633424517137</v>
      </c>
      <c r="Y1652" s="4">
        <f t="shared" si="101"/>
        <v>0.88380227301060055</v>
      </c>
      <c r="Z1652" s="4">
        <f t="shared" si="102"/>
        <v>0.79830832242799121</v>
      </c>
      <c r="AA1652" s="4">
        <f t="shared" si="103"/>
        <v>0.78229133267153961</v>
      </c>
    </row>
    <row r="1653" spans="1:27" x14ac:dyDescent="0.3">
      <c r="A1653" t="s">
        <v>556</v>
      </c>
      <c r="B1653">
        <v>148179</v>
      </c>
      <c r="C1653">
        <v>2013</v>
      </c>
      <c r="D1653" t="s">
        <v>340</v>
      </c>
      <c r="E1653" t="s">
        <v>341</v>
      </c>
      <c r="F1653">
        <v>4</v>
      </c>
      <c r="G1653" t="s">
        <v>59</v>
      </c>
      <c r="H1653">
        <v>4</v>
      </c>
      <c r="I1653" t="s">
        <v>23</v>
      </c>
      <c r="J1653" t="s">
        <v>24</v>
      </c>
      <c r="L1653" t="s">
        <v>127</v>
      </c>
      <c r="M1653" t="s">
        <v>33</v>
      </c>
      <c r="N1653">
        <v>0</v>
      </c>
      <c r="S1653" s="3">
        <v>4250</v>
      </c>
      <c r="T1653" s="2">
        <v>3866.584716796875</v>
      </c>
      <c r="U1653" s="2">
        <v>3907.5240408590312</v>
      </c>
      <c r="V1653" s="2">
        <v>4207.108441909545</v>
      </c>
      <c r="W1653" s="2">
        <v>3862.246826171875</v>
      </c>
      <c r="X1653" s="4">
        <f t="shared" si="100"/>
        <v>1.099161226582603</v>
      </c>
      <c r="Y1653" s="4">
        <f t="shared" si="101"/>
        <v>1.0876452596477637</v>
      </c>
      <c r="Z1653" s="4">
        <f t="shared" si="102"/>
        <v>1.0101950208041195</v>
      </c>
      <c r="AA1653" s="4">
        <f t="shared" si="103"/>
        <v>1.1003957518200493</v>
      </c>
    </row>
    <row r="1654" spans="1:27" x14ac:dyDescent="0.3">
      <c r="A1654" t="s">
        <v>556</v>
      </c>
      <c r="B1654">
        <v>149416</v>
      </c>
      <c r="C1654">
        <v>2016</v>
      </c>
      <c r="D1654" t="s">
        <v>40</v>
      </c>
      <c r="E1654" t="s">
        <v>63</v>
      </c>
      <c r="F1654">
        <v>4</v>
      </c>
      <c r="G1654" t="s">
        <v>47</v>
      </c>
      <c r="H1654">
        <v>4</v>
      </c>
      <c r="I1654" t="s">
        <v>23</v>
      </c>
      <c r="J1654" t="s">
        <v>24</v>
      </c>
      <c r="K1654" t="s">
        <v>27</v>
      </c>
      <c r="L1654" t="s">
        <v>60</v>
      </c>
      <c r="M1654" t="s">
        <v>33</v>
      </c>
      <c r="N1654">
        <v>0</v>
      </c>
      <c r="S1654" s="3">
        <v>1800</v>
      </c>
      <c r="T1654" s="2">
        <v>4855.4033203125</v>
      </c>
      <c r="U1654" s="2">
        <v>4793.6128946923864</v>
      </c>
      <c r="V1654" s="2">
        <v>3629.3860224718492</v>
      </c>
      <c r="W1654" s="2">
        <v>4340.1337890625</v>
      </c>
      <c r="X1654" s="4">
        <f t="shared" si="100"/>
        <v>0.37072100529110108</v>
      </c>
      <c r="Y1654" s="4">
        <f t="shared" si="101"/>
        <v>0.37549965746984015</v>
      </c>
      <c r="Z1654" s="4">
        <f t="shared" si="102"/>
        <v>0.49595165376596739</v>
      </c>
      <c r="AA1654" s="4">
        <f t="shared" si="103"/>
        <v>0.41473375879244795</v>
      </c>
    </row>
    <row r="1655" spans="1:27" x14ac:dyDescent="0.3">
      <c r="A1655" t="s">
        <v>556</v>
      </c>
      <c r="B1655">
        <v>131886</v>
      </c>
      <c r="C1655">
        <v>2015</v>
      </c>
      <c r="D1655" t="s">
        <v>28</v>
      </c>
      <c r="E1655" t="s">
        <v>137</v>
      </c>
      <c r="F1655">
        <v>4</v>
      </c>
      <c r="G1655" t="s">
        <v>36</v>
      </c>
      <c r="H1655">
        <v>4</v>
      </c>
      <c r="I1655" t="s">
        <v>23</v>
      </c>
      <c r="J1655" t="s">
        <v>31</v>
      </c>
      <c r="K1655" t="s">
        <v>27</v>
      </c>
      <c r="L1655" t="s">
        <v>60</v>
      </c>
      <c r="M1655" t="s">
        <v>33</v>
      </c>
      <c r="N1655">
        <v>0</v>
      </c>
      <c r="S1655" s="3">
        <v>4700</v>
      </c>
      <c r="T1655" s="2">
        <v>7577.1484375</v>
      </c>
      <c r="U1655" s="2">
        <v>7352.7652850548384</v>
      </c>
      <c r="V1655" s="2">
        <v>7638.9850804858361</v>
      </c>
      <c r="W1655" s="2">
        <v>9746.603515625</v>
      </c>
      <c r="X1655" s="4">
        <f t="shared" si="100"/>
        <v>0.62028611934527644</v>
      </c>
      <c r="Y1655" s="4">
        <f t="shared" si="101"/>
        <v>0.63921529081761608</v>
      </c>
      <c r="Z1655" s="4">
        <f t="shared" si="102"/>
        <v>0.61526497963798643</v>
      </c>
      <c r="AA1655" s="4">
        <f t="shared" si="103"/>
        <v>0.48221926668765419</v>
      </c>
    </row>
    <row r="1656" spans="1:27" x14ac:dyDescent="0.3">
      <c r="A1656" t="s">
        <v>556</v>
      </c>
      <c r="B1656">
        <v>368764</v>
      </c>
      <c r="C1656">
        <v>2009</v>
      </c>
      <c r="D1656" t="s">
        <v>125</v>
      </c>
      <c r="E1656" t="s">
        <v>230</v>
      </c>
      <c r="F1656">
        <v>4</v>
      </c>
      <c r="G1656" t="s">
        <v>59</v>
      </c>
      <c r="H1656">
        <v>4</v>
      </c>
      <c r="I1656" t="s">
        <v>23</v>
      </c>
      <c r="J1656" t="s">
        <v>31</v>
      </c>
      <c r="K1656" t="s">
        <v>27</v>
      </c>
      <c r="L1656" t="s">
        <v>60</v>
      </c>
      <c r="M1656" t="s">
        <v>33</v>
      </c>
      <c r="N1656">
        <v>0</v>
      </c>
      <c r="S1656" s="3">
        <v>600</v>
      </c>
      <c r="T1656" s="2">
        <v>1592.8291015625</v>
      </c>
      <c r="U1656" s="2">
        <v>1172.083667078829</v>
      </c>
      <c r="V1656" s="2">
        <v>254.20485039678351</v>
      </c>
      <c r="W1656" s="2">
        <v>1276.619018554688</v>
      </c>
      <c r="X1656" s="4">
        <f t="shared" si="100"/>
        <v>0.37668824572041321</v>
      </c>
      <c r="Y1656" s="4">
        <f t="shared" si="101"/>
        <v>0.51190884819287119</v>
      </c>
      <c r="Z1656" s="4">
        <f t="shared" si="102"/>
        <v>2.3603011471396846</v>
      </c>
      <c r="AA1656" s="4">
        <f t="shared" si="103"/>
        <v>0.46999143149166323</v>
      </c>
    </row>
    <row r="1657" spans="1:27" x14ac:dyDescent="0.3">
      <c r="A1657" t="s">
        <v>556</v>
      </c>
      <c r="B1657">
        <v>96464</v>
      </c>
      <c r="C1657">
        <v>2010</v>
      </c>
      <c r="D1657" t="s">
        <v>125</v>
      </c>
      <c r="E1657" t="s">
        <v>264</v>
      </c>
      <c r="F1657">
        <v>6</v>
      </c>
      <c r="G1657" t="s">
        <v>22</v>
      </c>
      <c r="H1657">
        <v>4</v>
      </c>
      <c r="I1657" t="s">
        <v>23</v>
      </c>
      <c r="J1657" t="s">
        <v>24</v>
      </c>
      <c r="K1657" t="s">
        <v>27</v>
      </c>
      <c r="L1657" t="s">
        <v>53</v>
      </c>
      <c r="M1657" t="s">
        <v>23</v>
      </c>
      <c r="N1657">
        <v>0</v>
      </c>
      <c r="S1657" s="3">
        <v>5000</v>
      </c>
      <c r="T1657" s="2">
        <v>5378.54150390625</v>
      </c>
      <c r="U1657" s="2">
        <v>4739.1995346224794</v>
      </c>
      <c r="V1657" s="2">
        <v>3510.6729028247069</v>
      </c>
      <c r="W1657" s="2">
        <v>4630.8115234375</v>
      </c>
      <c r="X1657" s="4">
        <f t="shared" si="100"/>
        <v>0.92962004594901271</v>
      </c>
      <c r="Y1657" s="4">
        <f t="shared" si="101"/>
        <v>1.055030488476425</v>
      </c>
      <c r="Z1657" s="4">
        <f t="shared" si="102"/>
        <v>1.4242283853836033</v>
      </c>
      <c r="AA1657" s="4">
        <f t="shared" si="103"/>
        <v>1.0797243581808416</v>
      </c>
    </row>
    <row r="1658" spans="1:27" x14ac:dyDescent="0.3">
      <c r="A1658" t="s">
        <v>556</v>
      </c>
      <c r="B1658">
        <v>165252</v>
      </c>
      <c r="C1658">
        <v>2016</v>
      </c>
      <c r="D1658" t="s">
        <v>54</v>
      </c>
      <c r="E1658" t="s">
        <v>174</v>
      </c>
      <c r="F1658">
        <v>4</v>
      </c>
      <c r="G1658" t="s">
        <v>22</v>
      </c>
      <c r="H1658">
        <v>4</v>
      </c>
      <c r="I1658" t="s">
        <v>23</v>
      </c>
      <c r="J1658" t="s">
        <v>24</v>
      </c>
      <c r="L1658" t="s">
        <v>127</v>
      </c>
      <c r="M1658" t="s">
        <v>33</v>
      </c>
      <c r="N1658">
        <v>0</v>
      </c>
      <c r="O1658" t="s">
        <v>27</v>
      </c>
      <c r="S1658" s="3">
        <v>1100</v>
      </c>
      <c r="T1658" s="2">
        <v>3903.473388671875</v>
      </c>
      <c r="U1658" s="2">
        <v>4107.9660396885702</v>
      </c>
      <c r="V1658" s="2">
        <v>2011.0754996356011</v>
      </c>
      <c r="W1658" s="2">
        <v>4102.4267578125</v>
      </c>
      <c r="X1658" s="4">
        <f t="shared" si="100"/>
        <v>0.28180030718084798</v>
      </c>
      <c r="Y1658" s="4">
        <f t="shared" si="101"/>
        <v>0.26777241811945268</v>
      </c>
      <c r="Z1658" s="4">
        <f t="shared" si="102"/>
        <v>0.5469710113813806</v>
      </c>
      <c r="AA1658" s="4">
        <f t="shared" si="103"/>
        <v>0.26813397653113569</v>
      </c>
    </row>
    <row r="1659" spans="1:27" x14ac:dyDescent="0.3">
      <c r="A1659" t="s">
        <v>556</v>
      </c>
      <c r="B1659">
        <v>91979</v>
      </c>
      <c r="C1659">
        <v>2010</v>
      </c>
      <c r="D1659" t="s">
        <v>125</v>
      </c>
      <c r="E1659" t="s">
        <v>126</v>
      </c>
      <c r="F1659">
        <v>4</v>
      </c>
      <c r="G1659" t="s">
        <v>59</v>
      </c>
      <c r="H1659">
        <v>4</v>
      </c>
      <c r="I1659" t="s">
        <v>233</v>
      </c>
      <c r="J1659" t="s">
        <v>31</v>
      </c>
      <c r="K1659" t="s">
        <v>27</v>
      </c>
      <c r="L1659" t="s">
        <v>127</v>
      </c>
      <c r="M1659" t="s">
        <v>33</v>
      </c>
      <c r="N1659">
        <v>0</v>
      </c>
      <c r="S1659" s="3">
        <v>1600</v>
      </c>
      <c r="T1659" s="2">
        <v>3656.044189453125</v>
      </c>
      <c r="U1659" s="2">
        <v>3596.2898000466498</v>
      </c>
      <c r="V1659" s="2">
        <v>2734.4985691536972</v>
      </c>
      <c r="W1659" s="2">
        <v>5075.09130859375</v>
      </c>
      <c r="X1659" s="4">
        <f t="shared" si="100"/>
        <v>0.43763147191044477</v>
      </c>
      <c r="Y1659" s="4">
        <f t="shared" si="101"/>
        <v>0.44490296637919596</v>
      </c>
      <c r="Z1659" s="4">
        <f t="shared" si="102"/>
        <v>0.58511641514414314</v>
      </c>
      <c r="AA1659" s="4">
        <f t="shared" si="103"/>
        <v>0.31526526375805086</v>
      </c>
    </row>
    <row r="1660" spans="1:27" x14ac:dyDescent="0.3">
      <c r="A1660" t="s">
        <v>556</v>
      </c>
      <c r="B1660">
        <v>1</v>
      </c>
      <c r="C1660">
        <v>2011</v>
      </c>
      <c r="D1660" t="s">
        <v>44</v>
      </c>
      <c r="E1660" t="s">
        <v>45</v>
      </c>
      <c r="F1660">
        <v>8</v>
      </c>
      <c r="G1660" t="s">
        <v>47</v>
      </c>
      <c r="H1660">
        <v>2</v>
      </c>
      <c r="I1660" t="s">
        <v>23</v>
      </c>
      <c r="J1660" t="s">
        <v>576</v>
      </c>
      <c r="K1660" t="s">
        <v>27</v>
      </c>
      <c r="L1660" t="s">
        <v>48</v>
      </c>
      <c r="M1660" t="s">
        <v>78</v>
      </c>
      <c r="N1660">
        <v>0</v>
      </c>
      <c r="S1660" s="3">
        <v>1400</v>
      </c>
      <c r="T1660" s="2">
        <v>91394.1796875</v>
      </c>
      <c r="U1660" s="2">
        <v>57671.563062725778</v>
      </c>
      <c r="V1660" s="2">
        <v>47716.187635570459</v>
      </c>
      <c r="W1660" s="2">
        <v>93241.7734375</v>
      </c>
      <c r="X1660" s="4">
        <f t="shared" si="100"/>
        <v>1.5318262112390055E-2</v>
      </c>
      <c r="Y1660" s="4">
        <f t="shared" si="101"/>
        <v>2.4275395457503155E-2</v>
      </c>
      <c r="Z1660" s="4">
        <f t="shared" si="102"/>
        <v>2.9340147848617257E-2</v>
      </c>
      <c r="AA1660" s="4">
        <f t="shared" si="103"/>
        <v>1.5014729432816083E-2</v>
      </c>
    </row>
    <row r="1661" spans="1:27" x14ac:dyDescent="0.3">
      <c r="A1661" t="s">
        <v>556</v>
      </c>
      <c r="B1661">
        <v>82270</v>
      </c>
      <c r="C1661">
        <v>2015</v>
      </c>
      <c r="D1661" t="s">
        <v>340</v>
      </c>
      <c r="E1661" t="s">
        <v>398</v>
      </c>
      <c r="F1661">
        <v>4</v>
      </c>
      <c r="G1661" t="s">
        <v>66</v>
      </c>
      <c r="H1661">
        <v>4</v>
      </c>
      <c r="I1661" t="s">
        <v>23</v>
      </c>
      <c r="J1661" t="s">
        <v>31</v>
      </c>
      <c r="L1661" t="s">
        <v>127</v>
      </c>
      <c r="M1661" t="s">
        <v>33</v>
      </c>
      <c r="N1661">
        <v>0</v>
      </c>
      <c r="S1661" s="3">
        <v>8000</v>
      </c>
      <c r="T1661" s="2">
        <v>7771.83984375</v>
      </c>
      <c r="U1661" s="2">
        <v>8085.8413004047243</v>
      </c>
      <c r="V1661" s="2">
        <v>8238.0100204502523</v>
      </c>
      <c r="W1661" s="2">
        <v>8076.1005859375</v>
      </c>
      <c r="X1661" s="4">
        <f t="shared" si="100"/>
        <v>1.0293572900158876</v>
      </c>
      <c r="Y1661" s="4">
        <f t="shared" si="101"/>
        <v>0.98938375152126379</v>
      </c>
      <c r="Z1661" s="4">
        <f t="shared" si="102"/>
        <v>0.97110831136895803</v>
      </c>
      <c r="AA1661" s="4">
        <f t="shared" si="103"/>
        <v>0.99057706313489824</v>
      </c>
    </row>
    <row r="1662" spans="1:27" x14ac:dyDescent="0.3">
      <c r="A1662" t="s">
        <v>556</v>
      </c>
      <c r="B1662">
        <v>117856</v>
      </c>
      <c r="C1662">
        <v>2016</v>
      </c>
      <c r="D1662" t="s">
        <v>340</v>
      </c>
      <c r="E1662" t="s">
        <v>341</v>
      </c>
      <c r="F1662">
        <v>4</v>
      </c>
      <c r="G1662" t="s">
        <v>66</v>
      </c>
      <c r="H1662">
        <v>4</v>
      </c>
      <c r="I1662" t="s">
        <v>23</v>
      </c>
      <c r="J1662" t="s">
        <v>24</v>
      </c>
      <c r="L1662" t="s">
        <v>102</v>
      </c>
      <c r="M1662" t="s">
        <v>23</v>
      </c>
      <c r="N1662">
        <v>0</v>
      </c>
      <c r="S1662" s="3">
        <v>9400</v>
      </c>
      <c r="T1662" s="2">
        <v>8938.71875</v>
      </c>
      <c r="U1662" s="2">
        <v>9232.2865589130852</v>
      </c>
      <c r="V1662" s="2">
        <v>8518.4136189655146</v>
      </c>
      <c r="W1662" s="2">
        <v>9591.3994140625</v>
      </c>
      <c r="X1662" s="4">
        <f t="shared" si="100"/>
        <v>1.05160485108674</v>
      </c>
      <c r="Y1662" s="4">
        <f t="shared" si="101"/>
        <v>1.0181659700461745</v>
      </c>
      <c r="Z1662" s="4">
        <f t="shared" si="102"/>
        <v>1.1034918495941204</v>
      </c>
      <c r="AA1662" s="4">
        <f t="shared" si="103"/>
        <v>0.98004468317919502</v>
      </c>
    </row>
    <row r="1663" spans="1:27" x14ac:dyDescent="0.3">
      <c r="A1663" t="s">
        <v>556</v>
      </c>
      <c r="B1663">
        <v>93198</v>
      </c>
      <c r="C1663">
        <v>2017</v>
      </c>
      <c r="D1663" t="s">
        <v>90</v>
      </c>
      <c r="E1663" t="s">
        <v>486</v>
      </c>
      <c r="F1663">
        <v>4</v>
      </c>
      <c r="G1663" t="s">
        <v>47</v>
      </c>
      <c r="H1663">
        <v>4</v>
      </c>
      <c r="I1663" t="s">
        <v>23</v>
      </c>
      <c r="J1663" t="s">
        <v>31</v>
      </c>
      <c r="L1663" t="s">
        <v>73</v>
      </c>
      <c r="M1663" t="s">
        <v>33</v>
      </c>
      <c r="N1663">
        <v>0</v>
      </c>
      <c r="S1663" s="3">
        <v>5500</v>
      </c>
      <c r="T1663" s="2">
        <v>7013.70556640625</v>
      </c>
      <c r="U1663" s="2">
        <v>6401.5748295597423</v>
      </c>
      <c r="V1663" s="2">
        <v>7463.9649759635067</v>
      </c>
      <c r="W1663" s="2">
        <v>6773.81005859375</v>
      </c>
      <c r="X1663" s="4">
        <f t="shared" si="100"/>
        <v>0.78417891197821454</v>
      </c>
      <c r="Y1663" s="4">
        <f t="shared" si="101"/>
        <v>0.85916358809137805</v>
      </c>
      <c r="Z1663" s="4">
        <f t="shared" si="102"/>
        <v>0.73687376852810282</v>
      </c>
      <c r="AA1663" s="4">
        <f t="shared" si="103"/>
        <v>0.81195072675861324</v>
      </c>
    </row>
    <row r="1664" spans="1:27" x14ac:dyDescent="0.3">
      <c r="A1664" t="s">
        <v>556</v>
      </c>
      <c r="B1664">
        <v>120220</v>
      </c>
      <c r="C1664">
        <v>2017</v>
      </c>
      <c r="D1664" t="s">
        <v>85</v>
      </c>
      <c r="E1664" t="s">
        <v>292</v>
      </c>
      <c r="F1664">
        <v>4</v>
      </c>
      <c r="G1664" t="s">
        <v>36</v>
      </c>
      <c r="H1664">
        <v>4</v>
      </c>
      <c r="I1664" t="s">
        <v>23</v>
      </c>
      <c r="J1664" t="s">
        <v>24</v>
      </c>
      <c r="K1664" t="s">
        <v>27</v>
      </c>
      <c r="L1664" t="s">
        <v>127</v>
      </c>
      <c r="M1664" t="s">
        <v>33</v>
      </c>
      <c r="N1664">
        <v>0</v>
      </c>
      <c r="S1664" s="3">
        <v>6000</v>
      </c>
      <c r="T1664" s="2">
        <v>5990.8984375</v>
      </c>
      <c r="U1664" s="2">
        <v>6098.5768106750866</v>
      </c>
      <c r="V1664" s="2">
        <v>5472.0599331796684</v>
      </c>
      <c r="W1664" s="2">
        <v>6367.07958984375</v>
      </c>
      <c r="X1664" s="4">
        <f t="shared" si="100"/>
        <v>1.0015192316469645</v>
      </c>
      <c r="Y1664" s="4">
        <f t="shared" si="101"/>
        <v>0.98383609590641941</v>
      </c>
      <c r="Z1664" s="4">
        <f t="shared" si="102"/>
        <v>1.0964792186611816</v>
      </c>
      <c r="AA1664" s="4">
        <f t="shared" si="103"/>
        <v>0.94234725910615513</v>
      </c>
    </row>
    <row r="1665" spans="1:27" x14ac:dyDescent="0.3">
      <c r="A1665" t="s">
        <v>556</v>
      </c>
      <c r="B1665">
        <v>154503</v>
      </c>
      <c r="C1665">
        <v>2011</v>
      </c>
      <c r="D1665" t="s">
        <v>54</v>
      </c>
      <c r="E1665" t="s">
        <v>55</v>
      </c>
      <c r="F1665">
        <v>6</v>
      </c>
      <c r="G1665" t="s">
        <v>22</v>
      </c>
      <c r="H1665">
        <v>4</v>
      </c>
      <c r="I1665" t="s">
        <v>23</v>
      </c>
      <c r="J1665" t="s">
        <v>24</v>
      </c>
      <c r="K1665" t="s">
        <v>27</v>
      </c>
      <c r="L1665" t="s">
        <v>57</v>
      </c>
      <c r="M1665">
        <v>4</v>
      </c>
      <c r="N1665">
        <v>0</v>
      </c>
      <c r="S1665" s="3">
        <v>1700</v>
      </c>
      <c r="T1665" s="2">
        <v>2769.577392578125</v>
      </c>
      <c r="U1665" s="2">
        <v>3777.6789881825589</v>
      </c>
      <c r="V1665" s="2">
        <v>1841.3703926338751</v>
      </c>
      <c r="W1665" s="2">
        <v>2855.909423828125</v>
      </c>
      <c r="X1665" s="4">
        <f t="shared" si="100"/>
        <v>0.61381205831461372</v>
      </c>
      <c r="Y1665" s="4">
        <f t="shared" si="101"/>
        <v>0.45001176789186892</v>
      </c>
      <c r="Z1665" s="4">
        <f t="shared" si="102"/>
        <v>0.92322544491895486</v>
      </c>
      <c r="AA1665" s="4">
        <f t="shared" si="103"/>
        <v>0.59525697342364658</v>
      </c>
    </row>
    <row r="1666" spans="1:27" x14ac:dyDescent="0.3">
      <c r="A1666" t="s">
        <v>556</v>
      </c>
      <c r="B1666">
        <v>54888</v>
      </c>
      <c r="C1666">
        <v>2022</v>
      </c>
      <c r="D1666" t="s">
        <v>187</v>
      </c>
      <c r="E1666" t="s">
        <v>411</v>
      </c>
      <c r="F1666">
        <v>4</v>
      </c>
      <c r="G1666" t="s">
        <v>47</v>
      </c>
      <c r="H1666">
        <v>4</v>
      </c>
      <c r="I1666" t="s">
        <v>23</v>
      </c>
      <c r="J1666" t="s">
        <v>24</v>
      </c>
      <c r="K1666" t="s">
        <v>27</v>
      </c>
      <c r="L1666" t="s">
        <v>102</v>
      </c>
      <c r="M1666" t="s">
        <v>23</v>
      </c>
      <c r="N1666">
        <v>0</v>
      </c>
      <c r="O1666" t="s">
        <v>27</v>
      </c>
      <c r="S1666" s="3">
        <v>19500</v>
      </c>
      <c r="T1666" s="2">
        <v>20881.728515625</v>
      </c>
      <c r="U1666" s="2">
        <v>18811.354417556038</v>
      </c>
      <c r="V1666" s="2">
        <v>21728.63138954293</v>
      </c>
      <c r="W1666" s="2">
        <v>20704.9765625</v>
      </c>
      <c r="X1666" s="4">
        <f t="shared" ref="X1666:X1729" si="104">S1666/T1666</f>
        <v>0.93383074037232572</v>
      </c>
      <c r="Y1666" s="4">
        <f t="shared" ref="Y1666:Y1729" si="105">S1666/U1666</f>
        <v>1.036607974479566</v>
      </c>
      <c r="Z1666" s="4">
        <f t="shared" ref="Z1666:Z1729" si="106">S1666/V1666</f>
        <v>0.89743342092795242</v>
      </c>
      <c r="AA1666" s="4">
        <f t="shared" ref="AA1666:AA1729" si="107">S1666/W1666</f>
        <v>0.94180256331792211</v>
      </c>
    </row>
    <row r="1667" spans="1:27" x14ac:dyDescent="0.3">
      <c r="A1667" t="s">
        <v>556</v>
      </c>
      <c r="B1667">
        <v>1</v>
      </c>
      <c r="C1667">
        <v>2019</v>
      </c>
      <c r="D1667" t="s">
        <v>100</v>
      </c>
      <c r="E1667" t="s">
        <v>192</v>
      </c>
      <c r="F1667">
        <v>4</v>
      </c>
      <c r="G1667" t="s">
        <v>47</v>
      </c>
      <c r="H1667">
        <v>4</v>
      </c>
      <c r="I1667" t="s">
        <v>23</v>
      </c>
      <c r="J1667" t="s">
        <v>31</v>
      </c>
      <c r="K1667" t="s">
        <v>27</v>
      </c>
      <c r="L1667" t="s">
        <v>32</v>
      </c>
      <c r="M1667" t="s">
        <v>33</v>
      </c>
      <c r="N1667">
        <v>0</v>
      </c>
      <c r="S1667" s="3">
        <v>1600</v>
      </c>
      <c r="T1667" s="2">
        <v>16145.0302734375</v>
      </c>
      <c r="U1667" s="2">
        <v>17742.049341186441</v>
      </c>
      <c r="V1667" s="2">
        <v>13851.09324243799</v>
      </c>
      <c r="W1667" s="2">
        <v>21810.501953125</v>
      </c>
      <c r="X1667" s="4">
        <f t="shared" si="104"/>
        <v>9.910170330447686E-2</v>
      </c>
      <c r="Y1667" s="4">
        <f t="shared" si="105"/>
        <v>9.0181239451620487E-2</v>
      </c>
      <c r="Z1667" s="4">
        <f t="shared" si="106"/>
        <v>0.11551434763992514</v>
      </c>
      <c r="AA1667" s="4">
        <f t="shared" si="107"/>
        <v>7.3359155302281001E-2</v>
      </c>
    </row>
    <row r="1668" spans="1:27" x14ac:dyDescent="0.3">
      <c r="A1668" t="s">
        <v>556</v>
      </c>
      <c r="B1668">
        <v>95937</v>
      </c>
      <c r="C1668">
        <v>2021</v>
      </c>
      <c r="D1668" t="s">
        <v>125</v>
      </c>
      <c r="E1668" t="s">
        <v>577</v>
      </c>
      <c r="F1668">
        <v>6</v>
      </c>
      <c r="G1668" t="s">
        <v>47</v>
      </c>
      <c r="H1668">
        <v>4</v>
      </c>
      <c r="I1668" t="s">
        <v>23</v>
      </c>
      <c r="J1668" t="s">
        <v>24</v>
      </c>
      <c r="K1668" t="s">
        <v>27</v>
      </c>
      <c r="L1668" t="s">
        <v>143</v>
      </c>
      <c r="M1668" t="s">
        <v>33</v>
      </c>
      <c r="N1668">
        <v>0</v>
      </c>
      <c r="S1668" s="3">
        <v>20000</v>
      </c>
      <c r="T1668" s="2">
        <v>22854.677734375</v>
      </c>
      <c r="U1668" s="2">
        <v>24015.751879027241</v>
      </c>
      <c r="V1668" s="2">
        <v>18533.047906210111</v>
      </c>
      <c r="W1668" s="2">
        <v>25207.619140625</v>
      </c>
      <c r="X1668" s="4">
        <f t="shared" si="104"/>
        <v>0.87509437815955859</v>
      </c>
      <c r="Y1668" s="4">
        <f t="shared" si="105"/>
        <v>0.8327867518262394</v>
      </c>
      <c r="Z1668" s="4">
        <f t="shared" si="106"/>
        <v>1.0791533104114157</v>
      </c>
      <c r="AA1668" s="4">
        <f t="shared" si="107"/>
        <v>0.79341090836173744</v>
      </c>
    </row>
    <row r="1669" spans="1:27" x14ac:dyDescent="0.3">
      <c r="A1669" t="s">
        <v>556</v>
      </c>
      <c r="B1669">
        <v>162685</v>
      </c>
      <c r="C1669">
        <v>2013</v>
      </c>
      <c r="D1669" t="s">
        <v>85</v>
      </c>
      <c r="E1669" t="s">
        <v>372</v>
      </c>
      <c r="F1669">
        <v>4</v>
      </c>
      <c r="G1669" t="s">
        <v>30</v>
      </c>
      <c r="H1669">
        <v>4</v>
      </c>
      <c r="I1669" t="s">
        <v>23</v>
      </c>
      <c r="J1669" t="s">
        <v>31</v>
      </c>
      <c r="L1669" t="s">
        <v>127</v>
      </c>
      <c r="M1669" t="s">
        <v>33</v>
      </c>
      <c r="N1669">
        <v>0</v>
      </c>
      <c r="S1669" s="3">
        <v>2000</v>
      </c>
      <c r="T1669" s="2">
        <v>4514.96875</v>
      </c>
      <c r="U1669" s="2">
        <v>2679.4224020561519</v>
      </c>
      <c r="V1669" s="2">
        <v>2532.2020378095972</v>
      </c>
      <c r="W1669" s="2">
        <v>3354.264892578125</v>
      </c>
      <c r="X1669" s="4">
        <f t="shared" si="104"/>
        <v>0.44297095079561738</v>
      </c>
      <c r="Y1669" s="4">
        <f t="shared" si="105"/>
        <v>0.74642952841822463</v>
      </c>
      <c r="Z1669" s="4">
        <f t="shared" si="106"/>
        <v>0.78982639226135287</v>
      </c>
      <c r="AA1669" s="4">
        <f t="shared" si="107"/>
        <v>0.59625583072623045</v>
      </c>
    </row>
    <row r="1670" spans="1:27" x14ac:dyDescent="0.3">
      <c r="A1670" t="s">
        <v>556</v>
      </c>
      <c r="B1670">
        <v>165831</v>
      </c>
      <c r="C1670">
        <v>2008</v>
      </c>
      <c r="D1670" t="s">
        <v>28</v>
      </c>
      <c r="E1670" t="s">
        <v>58</v>
      </c>
      <c r="F1670">
        <v>4</v>
      </c>
      <c r="G1670" t="s">
        <v>59</v>
      </c>
      <c r="H1670">
        <v>4</v>
      </c>
      <c r="I1670" t="s">
        <v>23</v>
      </c>
      <c r="J1670" t="s">
        <v>24</v>
      </c>
      <c r="L1670" t="s">
        <v>60</v>
      </c>
      <c r="M1670" t="s">
        <v>33</v>
      </c>
      <c r="N1670">
        <v>0</v>
      </c>
      <c r="S1670" s="3">
        <v>2400</v>
      </c>
      <c r="T1670" s="2">
        <v>4036.3544921875</v>
      </c>
      <c r="U1670" s="2">
        <v>4657.7605155011042</v>
      </c>
      <c r="V1670" s="2">
        <v>2541.9369056583728</v>
      </c>
      <c r="W1670" s="2">
        <v>3789.34423828125</v>
      </c>
      <c r="X1670" s="4">
        <f t="shared" si="104"/>
        <v>0.59459594162140139</v>
      </c>
      <c r="Y1670" s="4">
        <f t="shared" si="105"/>
        <v>0.51526908522083958</v>
      </c>
      <c r="Z1670" s="4">
        <f t="shared" si="106"/>
        <v>0.94416190844768022</v>
      </c>
      <c r="AA1670" s="4">
        <f t="shared" si="107"/>
        <v>0.63335496832258731</v>
      </c>
    </row>
    <row r="1671" spans="1:27" x14ac:dyDescent="0.3">
      <c r="A1671" t="s">
        <v>556</v>
      </c>
      <c r="B1671">
        <v>48339</v>
      </c>
      <c r="C1671">
        <v>2020</v>
      </c>
      <c r="D1671" t="s">
        <v>28</v>
      </c>
      <c r="E1671" t="s">
        <v>137</v>
      </c>
      <c r="F1671">
        <v>4</v>
      </c>
      <c r="G1671" t="s">
        <v>47</v>
      </c>
      <c r="H1671">
        <v>4</v>
      </c>
      <c r="I1671" t="s">
        <v>23</v>
      </c>
      <c r="J1671" t="s">
        <v>31</v>
      </c>
      <c r="K1671" t="s">
        <v>27</v>
      </c>
      <c r="L1671" t="s">
        <v>107</v>
      </c>
      <c r="M1671" t="s">
        <v>33</v>
      </c>
      <c r="N1671">
        <v>0</v>
      </c>
      <c r="O1671" t="s">
        <v>27</v>
      </c>
      <c r="S1671" s="3">
        <v>19500</v>
      </c>
      <c r="T1671" s="2">
        <v>23260.580078125</v>
      </c>
      <c r="U1671" s="2">
        <v>20584.730464049451</v>
      </c>
      <c r="V1671" s="2">
        <v>18955.17345630709</v>
      </c>
      <c r="W1671" s="2">
        <v>20052.2578125</v>
      </c>
      <c r="X1671" s="4">
        <f t="shared" si="104"/>
        <v>0.83832819020444072</v>
      </c>
      <c r="Y1671" s="4">
        <f t="shared" si="105"/>
        <v>0.94730412108412609</v>
      </c>
      <c r="Z1671" s="4">
        <f t="shared" si="106"/>
        <v>1.0287428941206354</v>
      </c>
      <c r="AA1671" s="4">
        <f t="shared" si="107"/>
        <v>0.9724590708106825</v>
      </c>
    </row>
    <row r="1672" spans="1:27" x14ac:dyDescent="0.3">
      <c r="A1672" t="s">
        <v>556</v>
      </c>
      <c r="B1672">
        <v>215311</v>
      </c>
      <c r="C1672">
        <v>2013</v>
      </c>
      <c r="D1672" t="s">
        <v>74</v>
      </c>
      <c r="E1672" t="s">
        <v>75</v>
      </c>
      <c r="F1672">
        <v>8</v>
      </c>
      <c r="G1672" t="s">
        <v>171</v>
      </c>
      <c r="H1672">
        <v>4</v>
      </c>
      <c r="I1672" t="s">
        <v>23</v>
      </c>
      <c r="J1672" t="s">
        <v>42</v>
      </c>
      <c r="L1672" t="s">
        <v>84</v>
      </c>
      <c r="M1672" t="s">
        <v>78</v>
      </c>
      <c r="N1672">
        <v>0</v>
      </c>
      <c r="S1672" s="3">
        <v>3800</v>
      </c>
      <c r="T1672" s="2">
        <v>5766.486328125</v>
      </c>
      <c r="U1672" s="2">
        <v>5077.7016385589577</v>
      </c>
      <c r="V1672" s="2">
        <v>7603.7146974222132</v>
      </c>
      <c r="W1672" s="2">
        <v>5995.03271484375</v>
      </c>
      <c r="X1672" s="4">
        <f t="shared" si="104"/>
        <v>0.65898014558123263</v>
      </c>
      <c r="Y1672" s="4">
        <f t="shared" si="105"/>
        <v>0.74837008365037239</v>
      </c>
      <c r="Z1672" s="4">
        <f t="shared" si="106"/>
        <v>0.49975573140431789</v>
      </c>
      <c r="AA1672" s="4">
        <f t="shared" si="107"/>
        <v>0.63385809231552126</v>
      </c>
    </row>
    <row r="1673" spans="1:27" x14ac:dyDescent="0.3">
      <c r="A1673" t="s">
        <v>394</v>
      </c>
      <c r="B1673">
        <v>23568</v>
      </c>
      <c r="C1673">
        <v>2021</v>
      </c>
      <c r="D1673" t="s">
        <v>185</v>
      </c>
      <c r="E1673" t="s">
        <v>578</v>
      </c>
      <c r="F1673">
        <v>4</v>
      </c>
      <c r="G1673" t="s">
        <v>59</v>
      </c>
      <c r="H1673">
        <v>4</v>
      </c>
      <c r="I1673" t="s">
        <v>23</v>
      </c>
      <c r="J1673" t="s">
        <v>31</v>
      </c>
      <c r="K1673" t="s">
        <v>27</v>
      </c>
      <c r="L1673" t="s">
        <v>102</v>
      </c>
      <c r="M1673" t="s">
        <v>78</v>
      </c>
      <c r="N1673">
        <v>4</v>
      </c>
      <c r="O1673" t="s">
        <v>27</v>
      </c>
      <c r="S1673" s="3">
        <v>29800</v>
      </c>
      <c r="T1673" s="2">
        <v>32978.33984375</v>
      </c>
      <c r="U1673" s="2">
        <v>31955.11691753698</v>
      </c>
      <c r="V1673" s="2">
        <v>27621.436089370702</v>
      </c>
      <c r="W1673" s="2">
        <v>32566.513671875</v>
      </c>
      <c r="X1673" s="4">
        <f t="shared" si="104"/>
        <v>0.90362341285798975</v>
      </c>
      <c r="Y1673" s="4">
        <f t="shared" si="105"/>
        <v>0.93255800242889264</v>
      </c>
      <c r="Z1673" s="4">
        <f t="shared" si="106"/>
        <v>1.0788722173452687</v>
      </c>
      <c r="AA1673" s="4">
        <f t="shared" si="107"/>
        <v>0.91505035817622049</v>
      </c>
    </row>
    <row r="1674" spans="1:27" x14ac:dyDescent="0.3">
      <c r="A1674" t="s">
        <v>556</v>
      </c>
      <c r="B1674">
        <v>1</v>
      </c>
      <c r="C1674">
        <v>2016</v>
      </c>
      <c r="D1674" t="s">
        <v>40</v>
      </c>
      <c r="E1674" t="s">
        <v>346</v>
      </c>
      <c r="F1674">
        <v>4</v>
      </c>
      <c r="G1674" t="s">
        <v>30</v>
      </c>
      <c r="H1674">
        <v>4</v>
      </c>
      <c r="I1674" t="s">
        <v>23</v>
      </c>
      <c r="J1674" t="s">
        <v>31</v>
      </c>
      <c r="K1674" t="s">
        <v>27</v>
      </c>
      <c r="L1674" t="s">
        <v>73</v>
      </c>
      <c r="M1674" t="s">
        <v>33</v>
      </c>
      <c r="N1674">
        <v>0</v>
      </c>
      <c r="S1674" s="3">
        <v>400</v>
      </c>
      <c r="T1674" s="2">
        <v>18711.537109375</v>
      </c>
      <c r="U1674" s="2">
        <v>11088.045521892511</v>
      </c>
      <c r="V1674" s="2">
        <v>-1515.0692521001019</v>
      </c>
      <c r="W1674" s="2">
        <v>7515.08740234375</v>
      </c>
      <c r="X1674" s="4">
        <f t="shared" si="104"/>
        <v>2.1377185511904786E-2</v>
      </c>
      <c r="Y1674" s="4">
        <f t="shared" si="105"/>
        <v>3.6074887969230474E-2</v>
      </c>
      <c r="Z1674" s="4">
        <f t="shared" si="106"/>
        <v>-0.26401433429233878</v>
      </c>
      <c r="AA1674" s="4">
        <f t="shared" si="107"/>
        <v>5.3226260532279496E-2</v>
      </c>
    </row>
    <row r="1675" spans="1:27" x14ac:dyDescent="0.3">
      <c r="A1675" t="s">
        <v>556</v>
      </c>
      <c r="B1675">
        <v>127717</v>
      </c>
      <c r="C1675">
        <v>2015</v>
      </c>
      <c r="D1675" t="s">
        <v>85</v>
      </c>
      <c r="E1675" t="s">
        <v>228</v>
      </c>
      <c r="F1675">
        <v>4</v>
      </c>
      <c r="G1675" t="s">
        <v>22</v>
      </c>
      <c r="H1675">
        <v>4</v>
      </c>
      <c r="I1675" t="s">
        <v>23</v>
      </c>
      <c r="J1675" t="s">
        <v>31</v>
      </c>
      <c r="K1675" t="s">
        <v>27</v>
      </c>
      <c r="L1675" t="s">
        <v>60</v>
      </c>
      <c r="M1675" t="s">
        <v>33</v>
      </c>
      <c r="N1675">
        <v>0</v>
      </c>
      <c r="S1675" s="3">
        <v>600</v>
      </c>
      <c r="T1675" s="2">
        <v>4690.69677734375</v>
      </c>
      <c r="U1675" s="2">
        <v>4619.2172854407663</v>
      </c>
      <c r="V1675" s="2">
        <v>3887.3801438908981</v>
      </c>
      <c r="W1675" s="2">
        <v>5811.2646484375</v>
      </c>
      <c r="X1675" s="4">
        <f t="shared" si="104"/>
        <v>0.12791276615832931</v>
      </c>
      <c r="Y1675" s="4">
        <f t="shared" si="105"/>
        <v>0.12989213603160213</v>
      </c>
      <c r="Z1675" s="4">
        <f t="shared" si="106"/>
        <v>0.15434559466557779</v>
      </c>
      <c r="AA1675" s="4">
        <f t="shared" si="107"/>
        <v>0.10324775006784877</v>
      </c>
    </row>
    <row r="1676" spans="1:27" x14ac:dyDescent="0.3">
      <c r="A1676" t="s">
        <v>556</v>
      </c>
      <c r="B1676">
        <v>60428</v>
      </c>
      <c r="C1676">
        <v>2019</v>
      </c>
      <c r="D1676" t="s">
        <v>473</v>
      </c>
      <c r="E1676" t="s">
        <v>579</v>
      </c>
      <c r="F1676">
        <v>3</v>
      </c>
      <c r="G1676" t="s">
        <v>47</v>
      </c>
      <c r="H1676">
        <v>4</v>
      </c>
      <c r="I1676" t="s">
        <v>23</v>
      </c>
      <c r="J1676" t="s">
        <v>31</v>
      </c>
      <c r="L1676" t="s">
        <v>107</v>
      </c>
      <c r="M1676" t="s">
        <v>33</v>
      </c>
      <c r="N1676">
        <v>2.5</v>
      </c>
      <c r="O1676" t="s">
        <v>27</v>
      </c>
      <c r="S1676" s="3">
        <v>6750</v>
      </c>
      <c r="T1676" s="2">
        <v>7811.39208984375</v>
      </c>
      <c r="U1676" s="2">
        <v>9755.500001122191</v>
      </c>
      <c r="V1676" s="2">
        <v>13108.95384719914</v>
      </c>
      <c r="W1676" s="2">
        <v>10513.2412109375</v>
      </c>
      <c r="X1676" s="4">
        <f t="shared" si="104"/>
        <v>0.86412254337818284</v>
      </c>
      <c r="Y1676" s="4">
        <f t="shared" si="105"/>
        <v>0.69191737985992896</v>
      </c>
      <c r="Z1676" s="4">
        <f t="shared" si="106"/>
        <v>0.51491523112213911</v>
      </c>
      <c r="AA1676" s="4">
        <f t="shared" si="107"/>
        <v>0.64204747751603053</v>
      </c>
    </row>
    <row r="1677" spans="1:27" x14ac:dyDescent="0.3">
      <c r="A1677" t="s">
        <v>556</v>
      </c>
      <c r="B1677">
        <v>107986</v>
      </c>
      <c r="C1677">
        <v>2017</v>
      </c>
      <c r="D1677" t="s">
        <v>28</v>
      </c>
      <c r="E1677" t="s">
        <v>137</v>
      </c>
      <c r="F1677">
        <v>4</v>
      </c>
      <c r="G1677" t="s">
        <v>36</v>
      </c>
      <c r="H1677">
        <v>4</v>
      </c>
      <c r="I1677" t="s">
        <v>23</v>
      </c>
      <c r="J1677" t="s">
        <v>31</v>
      </c>
      <c r="K1677" t="s">
        <v>27</v>
      </c>
      <c r="L1677" t="s">
        <v>60</v>
      </c>
      <c r="M1677" t="s">
        <v>33</v>
      </c>
      <c r="N1677">
        <v>2.5</v>
      </c>
      <c r="O1677" t="s">
        <v>27</v>
      </c>
      <c r="S1677" s="3">
        <v>11000</v>
      </c>
      <c r="T1677" s="2">
        <v>10180.4775390625</v>
      </c>
      <c r="U1677" s="2">
        <v>8879.0251222120805</v>
      </c>
      <c r="V1677" s="2">
        <v>9672.9057588871692</v>
      </c>
      <c r="W1677" s="2">
        <v>10136.671875</v>
      </c>
      <c r="X1677" s="4">
        <f t="shared" si="104"/>
        <v>1.080499412507222</v>
      </c>
      <c r="Y1677" s="4">
        <f t="shared" si="105"/>
        <v>1.2388747467874615</v>
      </c>
      <c r="Z1677" s="4">
        <f t="shared" si="106"/>
        <v>1.1371970609652158</v>
      </c>
      <c r="AA1677" s="4">
        <f t="shared" si="107"/>
        <v>1.0851687946148498</v>
      </c>
    </row>
    <row r="1678" spans="1:27" x14ac:dyDescent="0.3">
      <c r="A1678" t="s">
        <v>556</v>
      </c>
      <c r="B1678">
        <v>161047</v>
      </c>
      <c r="C1678">
        <v>2021</v>
      </c>
      <c r="D1678" t="s">
        <v>40</v>
      </c>
      <c r="E1678" t="s">
        <v>371</v>
      </c>
      <c r="F1678">
        <v>6</v>
      </c>
      <c r="G1678" t="s">
        <v>580</v>
      </c>
      <c r="H1678">
        <v>3</v>
      </c>
      <c r="I1678" t="s">
        <v>23</v>
      </c>
      <c r="J1678" t="s">
        <v>113</v>
      </c>
      <c r="L1678" t="s">
        <v>308</v>
      </c>
      <c r="M1678" t="s">
        <v>78</v>
      </c>
      <c r="N1678">
        <v>0</v>
      </c>
      <c r="S1678" s="3">
        <v>6200</v>
      </c>
      <c r="T1678" s="2">
        <v>16029.8095703125</v>
      </c>
      <c r="U1678" s="2">
        <v>15364.95717357273</v>
      </c>
      <c r="V1678" s="2">
        <v>11043.116329491109</v>
      </c>
      <c r="W1678" s="2">
        <v>15968.076171875</v>
      </c>
      <c r="X1678" s="4">
        <f t="shared" si="104"/>
        <v>0.38677939203236156</v>
      </c>
      <c r="Y1678" s="4">
        <f t="shared" si="105"/>
        <v>0.40351560567079325</v>
      </c>
      <c r="Z1678" s="4">
        <f t="shared" si="106"/>
        <v>0.56143572294377064</v>
      </c>
      <c r="AA1678" s="4">
        <f t="shared" si="107"/>
        <v>0.38827470092610317</v>
      </c>
    </row>
    <row r="1679" spans="1:27" x14ac:dyDescent="0.3">
      <c r="A1679" t="s">
        <v>556</v>
      </c>
      <c r="B1679">
        <v>163327</v>
      </c>
      <c r="C1679">
        <v>2013</v>
      </c>
      <c r="D1679" t="s">
        <v>85</v>
      </c>
      <c r="E1679" t="s">
        <v>92</v>
      </c>
      <c r="F1679">
        <v>4</v>
      </c>
      <c r="G1679" t="s">
        <v>30</v>
      </c>
      <c r="H1679">
        <v>4</v>
      </c>
      <c r="I1679" t="s">
        <v>23</v>
      </c>
      <c r="J1679" t="s">
        <v>31</v>
      </c>
      <c r="L1679" t="s">
        <v>87</v>
      </c>
      <c r="M1679" t="s">
        <v>33</v>
      </c>
      <c r="N1679">
        <v>1.5</v>
      </c>
      <c r="O1679" t="s">
        <v>27</v>
      </c>
      <c r="S1679" s="3">
        <v>1000</v>
      </c>
      <c r="T1679" s="2">
        <v>3594.173095703125</v>
      </c>
      <c r="U1679" s="2">
        <v>1926.528481454505</v>
      </c>
      <c r="V1679" s="2">
        <v>1413.71174231901</v>
      </c>
      <c r="W1679" s="2">
        <v>2089.985595703125</v>
      </c>
      <c r="X1679" s="4">
        <f t="shared" si="104"/>
        <v>0.2782281134972357</v>
      </c>
      <c r="Y1679" s="4">
        <f t="shared" si="105"/>
        <v>0.51906837071259515</v>
      </c>
      <c r="Z1679" s="4">
        <f t="shared" si="106"/>
        <v>0.70735778027819884</v>
      </c>
      <c r="AA1679" s="4">
        <f t="shared" si="107"/>
        <v>0.47847219715577716</v>
      </c>
    </row>
    <row r="1680" spans="1:27" x14ac:dyDescent="0.3">
      <c r="A1680" t="s">
        <v>556</v>
      </c>
      <c r="B1680">
        <v>84891</v>
      </c>
      <c r="C1680">
        <v>2019</v>
      </c>
      <c r="D1680" t="s">
        <v>100</v>
      </c>
      <c r="E1680" t="s">
        <v>114</v>
      </c>
      <c r="F1680">
        <v>8</v>
      </c>
      <c r="G1680" t="s">
        <v>36</v>
      </c>
      <c r="H1680">
        <v>4</v>
      </c>
      <c r="I1680" t="s">
        <v>23</v>
      </c>
      <c r="J1680" t="s">
        <v>42</v>
      </c>
      <c r="K1680" t="s">
        <v>27</v>
      </c>
      <c r="L1680" t="s">
        <v>115</v>
      </c>
      <c r="M1680" t="s">
        <v>78</v>
      </c>
      <c r="N1680">
        <v>2.8</v>
      </c>
      <c r="O1680" t="s">
        <v>27</v>
      </c>
      <c r="S1680" s="3">
        <v>17750</v>
      </c>
      <c r="T1680" s="2">
        <v>12679.126953125</v>
      </c>
      <c r="U1680" s="2">
        <v>25916.716788341411</v>
      </c>
      <c r="V1680" s="2">
        <v>21652.12848950284</v>
      </c>
      <c r="W1680" s="2">
        <v>20263.28515625</v>
      </c>
      <c r="X1680" s="4">
        <f t="shared" si="104"/>
        <v>1.3999386602580859</v>
      </c>
      <c r="Y1680" s="4">
        <f t="shared" si="105"/>
        <v>0.68488613526790576</v>
      </c>
      <c r="Z1680" s="4">
        <f t="shared" si="106"/>
        <v>0.8197808362630663</v>
      </c>
      <c r="AA1680" s="4">
        <f t="shared" si="107"/>
        <v>0.87596852450774487</v>
      </c>
    </row>
    <row r="1681" spans="1:27" x14ac:dyDescent="0.3">
      <c r="A1681" t="s">
        <v>556</v>
      </c>
      <c r="B1681">
        <v>58362</v>
      </c>
      <c r="C1681">
        <v>2022</v>
      </c>
      <c r="D1681" t="s">
        <v>81</v>
      </c>
      <c r="E1681" t="s">
        <v>82</v>
      </c>
      <c r="F1681">
        <v>6</v>
      </c>
      <c r="G1681" t="s">
        <v>246</v>
      </c>
      <c r="H1681">
        <v>2</v>
      </c>
      <c r="I1681" t="s">
        <v>23</v>
      </c>
      <c r="J1681" t="s">
        <v>83</v>
      </c>
      <c r="K1681" t="s">
        <v>27</v>
      </c>
      <c r="L1681" t="s">
        <v>26</v>
      </c>
      <c r="M1681" t="s">
        <v>78</v>
      </c>
      <c r="N1681">
        <v>3.1</v>
      </c>
      <c r="O1681" t="s">
        <v>27</v>
      </c>
      <c r="S1681" s="3">
        <v>21000</v>
      </c>
      <c r="T1681" s="2">
        <v>26209.931640625</v>
      </c>
      <c r="U1681" s="2">
        <v>25791.367814112531</v>
      </c>
      <c r="V1681" s="2">
        <v>21275.378447882609</v>
      </c>
      <c r="W1681" s="2">
        <v>26028.810546875</v>
      </c>
      <c r="X1681" s="4">
        <f t="shared" si="104"/>
        <v>0.80122299775289441</v>
      </c>
      <c r="Y1681" s="4">
        <f t="shared" si="105"/>
        <v>0.81422591276873701</v>
      </c>
      <c r="Z1681" s="4">
        <f t="shared" si="106"/>
        <v>0.98705647241212691</v>
      </c>
      <c r="AA1681" s="4">
        <f t="shared" si="107"/>
        <v>0.80679829614885124</v>
      </c>
    </row>
    <row r="1682" spans="1:27" x14ac:dyDescent="0.3">
      <c r="A1682" t="s">
        <v>556</v>
      </c>
      <c r="B1682">
        <v>108884</v>
      </c>
      <c r="C1682">
        <v>2017</v>
      </c>
      <c r="D1682" t="s">
        <v>54</v>
      </c>
      <c r="E1682" t="s">
        <v>219</v>
      </c>
      <c r="F1682">
        <v>6</v>
      </c>
      <c r="G1682" t="s">
        <v>30</v>
      </c>
      <c r="H1682">
        <v>4</v>
      </c>
      <c r="I1682" t="s">
        <v>23</v>
      </c>
      <c r="J1682" t="s">
        <v>24</v>
      </c>
      <c r="L1682" t="s">
        <v>26</v>
      </c>
      <c r="M1682" t="s">
        <v>78</v>
      </c>
      <c r="N1682">
        <v>1.5</v>
      </c>
      <c r="O1682" t="s">
        <v>27</v>
      </c>
      <c r="S1682" s="3">
        <v>6300</v>
      </c>
      <c r="T1682" s="2">
        <v>9023.482421875</v>
      </c>
      <c r="U1682" s="2">
        <v>10874.991908823769</v>
      </c>
      <c r="V1682" s="2">
        <v>8967.4414132027432</v>
      </c>
      <c r="W1682" s="2">
        <v>9719.6259765625</v>
      </c>
      <c r="X1682" s="4">
        <f t="shared" si="104"/>
        <v>0.69817834240219145</v>
      </c>
      <c r="Y1682" s="4">
        <f t="shared" si="105"/>
        <v>0.57931077584419122</v>
      </c>
      <c r="Z1682" s="4">
        <f t="shared" si="106"/>
        <v>0.70254152881607057</v>
      </c>
      <c r="AA1682" s="4">
        <f t="shared" si="107"/>
        <v>0.64817308970443477</v>
      </c>
    </row>
    <row r="1683" spans="1:27" x14ac:dyDescent="0.3">
      <c r="A1683" t="s">
        <v>556</v>
      </c>
      <c r="B1683">
        <v>190658</v>
      </c>
      <c r="C1683">
        <v>2014</v>
      </c>
      <c r="D1683" t="s">
        <v>44</v>
      </c>
      <c r="E1683" t="s">
        <v>68</v>
      </c>
      <c r="F1683">
        <v>6</v>
      </c>
      <c r="G1683" t="s">
        <v>36</v>
      </c>
      <c r="H1683">
        <v>4</v>
      </c>
      <c r="I1683" t="s">
        <v>23</v>
      </c>
      <c r="J1683" t="s">
        <v>62</v>
      </c>
      <c r="K1683" t="s">
        <v>27</v>
      </c>
      <c r="L1683" t="s">
        <v>38</v>
      </c>
      <c r="M1683" t="s">
        <v>33</v>
      </c>
      <c r="N1683">
        <v>0</v>
      </c>
      <c r="S1683" s="3">
        <v>3000</v>
      </c>
      <c r="T1683" s="2">
        <v>3604.690673828125</v>
      </c>
      <c r="U1683" s="2">
        <v>4111.5647332834551</v>
      </c>
      <c r="V1683" s="2">
        <v>3402.988178872105</v>
      </c>
      <c r="W1683" s="2">
        <v>4518.82568359375</v>
      </c>
      <c r="X1683" s="4">
        <f t="shared" si="104"/>
        <v>0.83224894213018474</v>
      </c>
      <c r="Y1683" s="4">
        <f t="shared" si="105"/>
        <v>0.72964921984925912</v>
      </c>
      <c r="Z1683" s="4">
        <f t="shared" si="106"/>
        <v>0.88157814318189243</v>
      </c>
      <c r="AA1683" s="4">
        <f t="shared" si="107"/>
        <v>0.66388929559552023</v>
      </c>
    </row>
    <row r="1684" spans="1:27" x14ac:dyDescent="0.3">
      <c r="A1684" t="s">
        <v>556</v>
      </c>
      <c r="B1684">
        <v>142820</v>
      </c>
      <c r="C1684">
        <v>2017</v>
      </c>
      <c r="D1684" t="s">
        <v>119</v>
      </c>
      <c r="E1684" t="s">
        <v>191</v>
      </c>
      <c r="F1684">
        <v>4</v>
      </c>
      <c r="G1684" t="s">
        <v>47</v>
      </c>
      <c r="H1684">
        <v>4</v>
      </c>
      <c r="I1684" t="s">
        <v>23</v>
      </c>
      <c r="J1684" t="s">
        <v>24</v>
      </c>
      <c r="K1684" t="s">
        <v>27</v>
      </c>
      <c r="L1684" t="s">
        <v>60</v>
      </c>
      <c r="M1684" t="s">
        <v>33</v>
      </c>
      <c r="N1684">
        <v>0</v>
      </c>
      <c r="S1684" s="3">
        <v>2500</v>
      </c>
      <c r="T1684" s="2">
        <v>4060.03076171875</v>
      </c>
      <c r="U1684" s="2">
        <v>4142.8309960504366</v>
      </c>
      <c r="V1684" s="2">
        <v>3384.0299838718961</v>
      </c>
      <c r="W1684" s="2">
        <v>4034.96484375</v>
      </c>
      <c r="X1684" s="4">
        <f t="shared" si="104"/>
        <v>0.6157588813296736</v>
      </c>
      <c r="Y1684" s="4">
        <f t="shared" si="105"/>
        <v>0.60345208442810538</v>
      </c>
      <c r="Z1684" s="4">
        <f t="shared" si="106"/>
        <v>0.73876413977265709</v>
      </c>
      <c r="AA1684" s="4">
        <f t="shared" si="107"/>
        <v>0.6195840848210612</v>
      </c>
    </row>
    <row r="1685" spans="1:27" x14ac:dyDescent="0.3">
      <c r="A1685" t="s">
        <v>556</v>
      </c>
      <c r="B1685">
        <v>51524</v>
      </c>
      <c r="C1685">
        <v>2021</v>
      </c>
      <c r="D1685" t="s">
        <v>40</v>
      </c>
      <c r="E1685" t="s">
        <v>41</v>
      </c>
      <c r="F1685">
        <v>8</v>
      </c>
      <c r="G1685" t="s">
        <v>36</v>
      </c>
      <c r="H1685">
        <v>4</v>
      </c>
      <c r="I1685" t="s">
        <v>23</v>
      </c>
      <c r="J1685" t="s">
        <v>42</v>
      </c>
      <c r="K1685" t="s">
        <v>27</v>
      </c>
      <c r="L1685" t="s">
        <v>43</v>
      </c>
      <c r="M1685" t="s">
        <v>78</v>
      </c>
      <c r="N1685">
        <v>2.9</v>
      </c>
      <c r="O1685" t="s">
        <v>27</v>
      </c>
      <c r="S1685" s="3">
        <v>31500</v>
      </c>
      <c r="T1685" s="2">
        <v>42881.51171875</v>
      </c>
      <c r="U1685" s="2">
        <v>40469.580265478951</v>
      </c>
      <c r="V1685" s="2">
        <v>28659.716020001371</v>
      </c>
      <c r="W1685" s="2">
        <v>58443.43359375</v>
      </c>
      <c r="X1685" s="4">
        <f t="shared" si="104"/>
        <v>0.73458231152393305</v>
      </c>
      <c r="Y1685" s="4">
        <f t="shared" si="105"/>
        <v>0.77836240932970302</v>
      </c>
      <c r="Z1685" s="4">
        <f t="shared" si="106"/>
        <v>1.099103702842569</v>
      </c>
      <c r="AA1685" s="4">
        <f t="shared" si="107"/>
        <v>0.53898270623457423</v>
      </c>
    </row>
    <row r="1686" spans="1:27" x14ac:dyDescent="0.3">
      <c r="A1686" t="s">
        <v>556</v>
      </c>
      <c r="B1686">
        <v>132908</v>
      </c>
      <c r="C1686">
        <v>2013</v>
      </c>
      <c r="D1686" t="s">
        <v>125</v>
      </c>
      <c r="E1686" t="s">
        <v>297</v>
      </c>
      <c r="F1686">
        <v>4</v>
      </c>
      <c r="G1686" t="s">
        <v>59</v>
      </c>
      <c r="H1686">
        <v>4</v>
      </c>
      <c r="I1686" t="s">
        <v>23</v>
      </c>
      <c r="J1686" t="s">
        <v>24</v>
      </c>
      <c r="K1686" t="s">
        <v>27</v>
      </c>
      <c r="L1686" t="s">
        <v>60</v>
      </c>
      <c r="M1686" t="s">
        <v>33</v>
      </c>
      <c r="N1686">
        <v>0</v>
      </c>
      <c r="S1686" s="3">
        <v>3200</v>
      </c>
      <c r="T1686" s="2">
        <v>3569.54736328125</v>
      </c>
      <c r="U1686" s="2">
        <v>4023.2478068670162</v>
      </c>
      <c r="V1686" s="2">
        <v>3493.3902720305268</v>
      </c>
      <c r="W1686" s="2">
        <v>3705.287353515625</v>
      </c>
      <c r="X1686" s="4">
        <f t="shared" si="104"/>
        <v>0.89647220622909751</v>
      </c>
      <c r="Y1686" s="4">
        <f t="shared" si="105"/>
        <v>0.79537730550380992</v>
      </c>
      <c r="Z1686" s="4">
        <f t="shared" si="106"/>
        <v>0.91601560398804394</v>
      </c>
      <c r="AA1686" s="4">
        <f t="shared" si="107"/>
        <v>0.86363072406888985</v>
      </c>
    </row>
    <row r="1687" spans="1:27" x14ac:dyDescent="0.3">
      <c r="A1687" t="s">
        <v>556</v>
      </c>
      <c r="B1687">
        <v>87341</v>
      </c>
      <c r="C1687">
        <v>2023</v>
      </c>
      <c r="D1687" t="s">
        <v>40</v>
      </c>
      <c r="E1687" t="s">
        <v>146</v>
      </c>
      <c r="F1687">
        <v>8</v>
      </c>
      <c r="G1687" t="s">
        <v>47</v>
      </c>
      <c r="H1687">
        <v>4</v>
      </c>
      <c r="I1687" t="s">
        <v>23</v>
      </c>
      <c r="J1687" t="s">
        <v>24</v>
      </c>
      <c r="K1687" t="s">
        <v>27</v>
      </c>
      <c r="L1687" t="s">
        <v>43</v>
      </c>
      <c r="M1687" t="s">
        <v>78</v>
      </c>
      <c r="N1687">
        <v>0</v>
      </c>
      <c r="S1687" s="3">
        <v>35400</v>
      </c>
      <c r="T1687" s="2">
        <v>56602.26171875</v>
      </c>
      <c r="U1687" s="2">
        <v>65298.943431148713</v>
      </c>
      <c r="V1687" s="2">
        <v>41186.556307921463</v>
      </c>
      <c r="W1687" s="2">
        <v>64722.8828125</v>
      </c>
      <c r="X1687" s="4">
        <f t="shared" si="104"/>
        <v>0.6254167046521647</v>
      </c>
      <c r="Y1687" s="4">
        <f t="shared" si="105"/>
        <v>0.54212209478283224</v>
      </c>
      <c r="Z1687" s="4">
        <f t="shared" si="106"/>
        <v>0.85950375980308591</v>
      </c>
      <c r="AA1687" s="4">
        <f t="shared" si="107"/>
        <v>0.54694720725825208</v>
      </c>
    </row>
    <row r="1688" spans="1:27" x14ac:dyDescent="0.3">
      <c r="A1688" t="s">
        <v>556</v>
      </c>
      <c r="B1688">
        <v>176444</v>
      </c>
      <c r="C1688">
        <v>2011</v>
      </c>
      <c r="D1688" t="s">
        <v>90</v>
      </c>
      <c r="E1688" t="s">
        <v>231</v>
      </c>
      <c r="F1688">
        <v>5</v>
      </c>
      <c r="G1688" t="s">
        <v>47</v>
      </c>
      <c r="H1688">
        <v>4</v>
      </c>
      <c r="I1688" t="s">
        <v>23</v>
      </c>
      <c r="J1688" t="s">
        <v>31</v>
      </c>
      <c r="L1688" t="s">
        <v>102</v>
      </c>
      <c r="M1688" t="s">
        <v>33</v>
      </c>
      <c r="N1688">
        <v>0</v>
      </c>
      <c r="S1688" s="3">
        <v>1600</v>
      </c>
      <c r="T1688" s="2">
        <v>2093.3486328125</v>
      </c>
      <c r="U1688" s="2">
        <v>1257.919708125901</v>
      </c>
      <c r="V1688" s="2">
        <v>1407.3816953787541</v>
      </c>
      <c r="W1688" s="2">
        <v>1824.370239257812</v>
      </c>
      <c r="X1688" s="4">
        <f t="shared" si="104"/>
        <v>0.76432562398855375</v>
      </c>
      <c r="Y1688" s="4">
        <f t="shared" si="105"/>
        <v>1.271941277065882</v>
      </c>
      <c r="Z1688" s="4">
        <f t="shared" si="106"/>
        <v>1.1368628746939959</v>
      </c>
      <c r="AA1688" s="4">
        <f t="shared" si="107"/>
        <v>0.87701496416150149</v>
      </c>
    </row>
    <row r="1689" spans="1:27" x14ac:dyDescent="0.3">
      <c r="A1689" t="s">
        <v>556</v>
      </c>
      <c r="B1689">
        <v>149656</v>
      </c>
      <c r="C1689">
        <v>2015</v>
      </c>
      <c r="D1689" t="s">
        <v>396</v>
      </c>
      <c r="E1689" t="s">
        <v>449</v>
      </c>
      <c r="F1689">
        <v>6</v>
      </c>
      <c r="G1689" t="s">
        <v>36</v>
      </c>
      <c r="H1689">
        <v>4</v>
      </c>
      <c r="I1689" t="s">
        <v>23</v>
      </c>
      <c r="J1689" t="s">
        <v>24</v>
      </c>
      <c r="K1689" t="s">
        <v>27</v>
      </c>
      <c r="L1689" t="s">
        <v>53</v>
      </c>
      <c r="M1689" t="s">
        <v>33</v>
      </c>
      <c r="N1689">
        <v>0</v>
      </c>
      <c r="S1689" s="3">
        <v>5000</v>
      </c>
      <c r="T1689" s="2">
        <v>904.24072265625</v>
      </c>
      <c r="U1689" s="2">
        <v>6526.7319596915913</v>
      </c>
      <c r="V1689" s="2">
        <v>6600.1765218919918</v>
      </c>
      <c r="W1689" s="2">
        <v>5679.068359375</v>
      </c>
      <c r="X1689" s="4">
        <f t="shared" si="104"/>
        <v>5.5295010219317078</v>
      </c>
      <c r="Y1689" s="4">
        <f t="shared" si="105"/>
        <v>0.76608018084386997</v>
      </c>
      <c r="Z1689" s="4">
        <f t="shared" si="106"/>
        <v>0.75755549619250351</v>
      </c>
      <c r="AA1689" s="4">
        <f t="shared" si="107"/>
        <v>0.88042609871846411</v>
      </c>
    </row>
    <row r="1690" spans="1:27" x14ac:dyDescent="0.3">
      <c r="A1690" t="s">
        <v>556</v>
      </c>
      <c r="B1690">
        <v>223198</v>
      </c>
      <c r="C1690">
        <v>2012</v>
      </c>
      <c r="D1690" t="s">
        <v>85</v>
      </c>
      <c r="E1690" t="s">
        <v>86</v>
      </c>
      <c r="F1690">
        <v>4</v>
      </c>
      <c r="G1690" t="s">
        <v>47</v>
      </c>
      <c r="H1690">
        <v>4</v>
      </c>
      <c r="I1690" t="s">
        <v>23</v>
      </c>
      <c r="J1690" t="s">
        <v>31</v>
      </c>
      <c r="L1690" t="s">
        <v>87</v>
      </c>
      <c r="M1690" t="s">
        <v>33</v>
      </c>
      <c r="N1690">
        <v>0</v>
      </c>
      <c r="S1690" s="3">
        <v>1300</v>
      </c>
      <c r="T1690" s="2">
        <v>1927.833740234375</v>
      </c>
      <c r="U1690" s="2">
        <v>1378.8060726025401</v>
      </c>
      <c r="V1690" s="2">
        <v>1280.346905056424</v>
      </c>
      <c r="W1690" s="2">
        <v>1775.137084960938</v>
      </c>
      <c r="X1690" s="4">
        <f t="shared" si="104"/>
        <v>0.67433200948228733</v>
      </c>
      <c r="Y1690" s="4">
        <f t="shared" si="105"/>
        <v>0.94284470153674971</v>
      </c>
      <c r="Z1690" s="4">
        <f t="shared" si="106"/>
        <v>1.0153498203228835</v>
      </c>
      <c r="AA1690" s="4">
        <f t="shared" si="107"/>
        <v>0.73233780704243845</v>
      </c>
    </row>
    <row r="1691" spans="1:27" x14ac:dyDescent="0.3">
      <c r="A1691" t="s">
        <v>556</v>
      </c>
      <c r="B1691">
        <v>150474</v>
      </c>
      <c r="C1691">
        <v>2016</v>
      </c>
      <c r="D1691" t="s">
        <v>44</v>
      </c>
      <c r="E1691" t="s">
        <v>210</v>
      </c>
      <c r="F1691">
        <v>4</v>
      </c>
      <c r="G1691" t="s">
        <v>47</v>
      </c>
      <c r="H1691">
        <v>4</v>
      </c>
      <c r="I1691" t="s">
        <v>23</v>
      </c>
      <c r="J1691" t="s">
        <v>37</v>
      </c>
      <c r="K1691" t="s">
        <v>27</v>
      </c>
      <c r="L1691" t="s">
        <v>96</v>
      </c>
      <c r="M1691" t="s">
        <v>33</v>
      </c>
      <c r="N1691">
        <v>0</v>
      </c>
      <c r="S1691" s="3">
        <v>2500</v>
      </c>
      <c r="T1691" s="2">
        <v>4060.053466796875</v>
      </c>
      <c r="U1691" s="2">
        <v>4221.3967835763306</v>
      </c>
      <c r="V1691" s="2">
        <v>3955.678170866368</v>
      </c>
      <c r="W1691" s="2">
        <v>3601.875</v>
      </c>
      <c r="X1691" s="4">
        <f t="shared" si="104"/>
        <v>0.61575543781504471</v>
      </c>
      <c r="Y1691" s="4">
        <f t="shared" si="105"/>
        <v>0.59222104155819766</v>
      </c>
      <c r="Z1691" s="4">
        <f t="shared" si="106"/>
        <v>0.63200288092508117</v>
      </c>
      <c r="AA1691" s="4">
        <f t="shared" si="107"/>
        <v>0.69408294291167794</v>
      </c>
    </row>
    <row r="1692" spans="1:27" x14ac:dyDescent="0.3">
      <c r="A1692" t="s">
        <v>556</v>
      </c>
      <c r="B1692">
        <v>84481</v>
      </c>
      <c r="C1692">
        <v>2018</v>
      </c>
      <c r="D1692" t="s">
        <v>373</v>
      </c>
      <c r="E1692" t="s">
        <v>374</v>
      </c>
      <c r="F1692">
        <v>4</v>
      </c>
      <c r="G1692" t="s">
        <v>66</v>
      </c>
      <c r="H1692">
        <v>4</v>
      </c>
      <c r="I1692" t="s">
        <v>23</v>
      </c>
      <c r="J1692" t="s">
        <v>24</v>
      </c>
      <c r="K1692" t="s">
        <v>27</v>
      </c>
      <c r="L1692" t="s">
        <v>127</v>
      </c>
      <c r="M1692" t="s">
        <v>23</v>
      </c>
      <c r="N1692">
        <v>0</v>
      </c>
      <c r="S1692" s="3">
        <v>12000</v>
      </c>
      <c r="T1692" s="2">
        <v>14353.9736328125</v>
      </c>
      <c r="U1692" s="2">
        <v>13842.35495413874</v>
      </c>
      <c r="V1692" s="2">
        <v>12270.17613876384</v>
      </c>
      <c r="W1692" s="2">
        <v>13520.9423828125</v>
      </c>
      <c r="X1692" s="4">
        <f t="shared" si="104"/>
        <v>0.83600543702884977</v>
      </c>
      <c r="Y1692" s="4">
        <f t="shared" si="105"/>
        <v>0.8669045144238342</v>
      </c>
      <c r="Z1692" s="4">
        <f t="shared" si="106"/>
        <v>0.97798107087392971</v>
      </c>
      <c r="AA1692" s="4">
        <f t="shared" si="107"/>
        <v>0.88751210235568445</v>
      </c>
    </row>
    <row r="1693" spans="1:27" x14ac:dyDescent="0.3">
      <c r="A1693" t="s">
        <v>556</v>
      </c>
      <c r="B1693">
        <v>96580</v>
      </c>
      <c r="C1693">
        <v>2018</v>
      </c>
      <c r="D1693" t="s">
        <v>81</v>
      </c>
      <c r="E1693" t="s">
        <v>201</v>
      </c>
      <c r="F1693">
        <v>4</v>
      </c>
      <c r="G1693" t="s">
        <v>30</v>
      </c>
      <c r="H1693">
        <v>4</v>
      </c>
      <c r="I1693" t="s">
        <v>23</v>
      </c>
      <c r="J1693" t="s">
        <v>24</v>
      </c>
      <c r="L1693" t="s">
        <v>60</v>
      </c>
      <c r="M1693" t="s">
        <v>33</v>
      </c>
      <c r="N1693">
        <v>0</v>
      </c>
      <c r="S1693" s="3">
        <v>5800</v>
      </c>
      <c r="T1693" s="2">
        <v>11741.6845703125</v>
      </c>
      <c r="U1693" s="2">
        <v>10183.435131531471</v>
      </c>
      <c r="V1693" s="2">
        <v>7359.6301539613178</v>
      </c>
      <c r="W1693" s="2">
        <v>9397.0380859375</v>
      </c>
      <c r="X1693" s="4">
        <f t="shared" si="104"/>
        <v>0.49396659953416167</v>
      </c>
      <c r="Y1693" s="4">
        <f t="shared" si="105"/>
        <v>0.56955240791402251</v>
      </c>
      <c r="Z1693" s="4">
        <f t="shared" si="106"/>
        <v>0.7880830800822447</v>
      </c>
      <c r="AA1693" s="4">
        <f t="shared" si="107"/>
        <v>0.61721575957849917</v>
      </c>
    </row>
    <row r="1694" spans="1:27" x14ac:dyDescent="0.3">
      <c r="A1694" t="s">
        <v>556</v>
      </c>
      <c r="B1694">
        <v>149160</v>
      </c>
      <c r="C1694">
        <v>2008</v>
      </c>
      <c r="D1694" t="s">
        <v>28</v>
      </c>
      <c r="E1694" t="s">
        <v>216</v>
      </c>
      <c r="F1694">
        <v>6</v>
      </c>
      <c r="G1694" t="s">
        <v>22</v>
      </c>
      <c r="H1694">
        <v>4</v>
      </c>
      <c r="I1694" t="s">
        <v>23</v>
      </c>
      <c r="J1694" t="s">
        <v>106</v>
      </c>
      <c r="K1694" t="s">
        <v>27</v>
      </c>
      <c r="L1694" t="s">
        <v>53</v>
      </c>
      <c r="M1694" t="s">
        <v>33</v>
      </c>
      <c r="N1694">
        <v>0</v>
      </c>
      <c r="S1694" s="3">
        <v>2000</v>
      </c>
      <c r="T1694" s="2">
        <v>3156.73095703125</v>
      </c>
      <c r="U1694" s="2">
        <v>3413.3822036336269</v>
      </c>
      <c r="V1694" s="2">
        <v>2115.521020407798</v>
      </c>
      <c r="W1694" s="2">
        <v>3063.801025390625</v>
      </c>
      <c r="X1694" s="4">
        <f t="shared" si="104"/>
        <v>0.6335668218874444</v>
      </c>
      <c r="Y1694" s="4">
        <f t="shared" si="105"/>
        <v>0.58592911097706912</v>
      </c>
      <c r="Z1694" s="4">
        <f t="shared" si="106"/>
        <v>0.94539358423130693</v>
      </c>
      <c r="AA1694" s="4">
        <f t="shared" si="107"/>
        <v>0.65278390581679702</v>
      </c>
    </row>
    <row r="1695" spans="1:27" x14ac:dyDescent="0.3">
      <c r="A1695" t="s">
        <v>556</v>
      </c>
      <c r="B1695">
        <v>204082</v>
      </c>
      <c r="C1695">
        <v>2015</v>
      </c>
      <c r="D1695" t="s">
        <v>187</v>
      </c>
      <c r="E1695" t="s">
        <v>411</v>
      </c>
      <c r="F1695">
        <v>4</v>
      </c>
      <c r="G1695" t="s">
        <v>56</v>
      </c>
      <c r="H1695">
        <v>4</v>
      </c>
      <c r="I1695" t="s">
        <v>23</v>
      </c>
      <c r="J1695" t="s">
        <v>24</v>
      </c>
      <c r="K1695" t="s">
        <v>27</v>
      </c>
      <c r="L1695" t="s">
        <v>102</v>
      </c>
      <c r="M1695" t="s">
        <v>23</v>
      </c>
      <c r="N1695">
        <v>0</v>
      </c>
      <c r="S1695" s="3">
        <v>3250</v>
      </c>
      <c r="T1695" s="2">
        <v>3384.56884765625</v>
      </c>
      <c r="U1695" s="2">
        <v>2952.14175824828</v>
      </c>
      <c r="V1695" s="2">
        <v>2803.8086002477562</v>
      </c>
      <c r="W1695" s="2">
        <v>2582.225341796875</v>
      </c>
      <c r="X1695" s="4">
        <f t="shared" si="104"/>
        <v>0.9602404756075692</v>
      </c>
      <c r="Y1695" s="4">
        <f t="shared" si="105"/>
        <v>1.1008956432798338</v>
      </c>
      <c r="Z1695" s="4">
        <f t="shared" si="106"/>
        <v>1.159137610075387</v>
      </c>
      <c r="AA1695" s="4">
        <f t="shared" si="107"/>
        <v>1.2586043314633593</v>
      </c>
    </row>
    <row r="1696" spans="1:27" x14ac:dyDescent="0.3">
      <c r="A1696" t="s">
        <v>556</v>
      </c>
      <c r="B1696">
        <v>118093</v>
      </c>
      <c r="C1696">
        <v>2018</v>
      </c>
      <c r="D1696" t="s">
        <v>103</v>
      </c>
      <c r="E1696" t="s">
        <v>356</v>
      </c>
      <c r="F1696">
        <v>6</v>
      </c>
      <c r="G1696" t="s">
        <v>22</v>
      </c>
      <c r="H1696">
        <v>4</v>
      </c>
      <c r="I1696" t="s">
        <v>23</v>
      </c>
      <c r="J1696" t="s">
        <v>24</v>
      </c>
      <c r="K1696" t="s">
        <v>27</v>
      </c>
      <c r="L1696" t="s">
        <v>53</v>
      </c>
      <c r="M1696" t="s">
        <v>33</v>
      </c>
      <c r="N1696">
        <v>0</v>
      </c>
      <c r="S1696" s="3">
        <v>9500</v>
      </c>
      <c r="T1696" s="2">
        <v>11056.66796875</v>
      </c>
      <c r="U1696" s="2">
        <v>9675.3698392258666</v>
      </c>
      <c r="V1696" s="2">
        <v>7181.3098655453032</v>
      </c>
      <c r="W1696" s="2">
        <v>10186.62890625</v>
      </c>
      <c r="X1696" s="4">
        <f t="shared" si="104"/>
        <v>0.85921002845073335</v>
      </c>
      <c r="Y1696" s="4">
        <f t="shared" si="105"/>
        <v>0.98187461129238884</v>
      </c>
      <c r="Z1696" s="4">
        <f t="shared" si="106"/>
        <v>1.3228784411015846</v>
      </c>
      <c r="AA1696" s="4">
        <f t="shared" si="107"/>
        <v>0.93259508002409719</v>
      </c>
    </row>
    <row r="1697" spans="1:27" x14ac:dyDescent="0.3">
      <c r="A1697" t="s">
        <v>556</v>
      </c>
      <c r="B1697">
        <v>105467</v>
      </c>
      <c r="C1697">
        <v>2016</v>
      </c>
      <c r="D1697" t="s">
        <v>90</v>
      </c>
      <c r="E1697" t="s">
        <v>195</v>
      </c>
      <c r="F1697">
        <v>4</v>
      </c>
      <c r="G1697" t="s">
        <v>47</v>
      </c>
      <c r="H1697">
        <v>4</v>
      </c>
      <c r="I1697" t="s">
        <v>23</v>
      </c>
      <c r="J1697" t="s">
        <v>24</v>
      </c>
      <c r="K1697" t="s">
        <v>27</v>
      </c>
      <c r="L1697" t="s">
        <v>127</v>
      </c>
      <c r="M1697" t="s">
        <v>33</v>
      </c>
      <c r="N1697">
        <v>0</v>
      </c>
      <c r="S1697" s="3">
        <v>5500</v>
      </c>
      <c r="T1697" s="2">
        <v>5092.5615234375</v>
      </c>
      <c r="U1697" s="2">
        <v>4578.6614137632369</v>
      </c>
      <c r="V1697" s="2">
        <v>4919.096783061691</v>
      </c>
      <c r="W1697" s="2">
        <v>5099.7138671875</v>
      </c>
      <c r="X1697" s="4">
        <f t="shared" si="104"/>
        <v>1.0800065889606527</v>
      </c>
      <c r="Y1697" s="4">
        <f t="shared" si="105"/>
        <v>1.2012244415949307</v>
      </c>
      <c r="Z1697" s="4">
        <f t="shared" si="106"/>
        <v>1.1180914388467773</v>
      </c>
      <c r="AA1697" s="4">
        <f t="shared" si="107"/>
        <v>1.0784918807676671</v>
      </c>
    </row>
    <row r="1698" spans="1:27" x14ac:dyDescent="0.3">
      <c r="A1698" t="s">
        <v>556</v>
      </c>
      <c r="B1698">
        <v>138996</v>
      </c>
      <c r="C1698">
        <v>2014</v>
      </c>
      <c r="D1698" t="s">
        <v>81</v>
      </c>
      <c r="E1698" t="s">
        <v>207</v>
      </c>
      <c r="F1698">
        <v>6</v>
      </c>
      <c r="G1698" t="s">
        <v>30</v>
      </c>
      <c r="H1698">
        <v>4</v>
      </c>
      <c r="I1698" t="s">
        <v>23</v>
      </c>
      <c r="J1698" t="s">
        <v>31</v>
      </c>
      <c r="L1698" t="s">
        <v>26</v>
      </c>
      <c r="M1698" t="s">
        <v>78</v>
      </c>
      <c r="N1698">
        <v>1.5</v>
      </c>
      <c r="O1698" t="s">
        <v>27</v>
      </c>
      <c r="S1698" s="3">
        <v>1600</v>
      </c>
      <c r="T1698" s="2">
        <v>6330.19140625</v>
      </c>
      <c r="U1698" s="2">
        <v>8203.2065405293852</v>
      </c>
      <c r="V1698" s="2">
        <v>3030.7138958731748</v>
      </c>
      <c r="W1698" s="2">
        <v>5095.896484375</v>
      </c>
      <c r="X1698" s="4">
        <f t="shared" si="104"/>
        <v>0.25275697010050424</v>
      </c>
      <c r="Y1698" s="4">
        <f t="shared" si="105"/>
        <v>0.19504568025867916</v>
      </c>
      <c r="Z1698" s="4">
        <f t="shared" si="106"/>
        <v>0.52792842048821176</v>
      </c>
      <c r="AA1698" s="4">
        <f t="shared" si="107"/>
        <v>0.31397812041628165</v>
      </c>
    </row>
    <row r="1699" spans="1:27" x14ac:dyDescent="0.3">
      <c r="A1699" t="s">
        <v>556</v>
      </c>
      <c r="B1699">
        <v>123679</v>
      </c>
      <c r="C1699">
        <v>2015</v>
      </c>
      <c r="D1699" t="s">
        <v>90</v>
      </c>
      <c r="E1699" t="s">
        <v>195</v>
      </c>
      <c r="F1699">
        <v>4</v>
      </c>
      <c r="G1699" t="s">
        <v>47</v>
      </c>
      <c r="H1699">
        <v>4</v>
      </c>
      <c r="I1699" t="s">
        <v>23</v>
      </c>
      <c r="J1699" t="s">
        <v>24</v>
      </c>
      <c r="K1699" t="s">
        <v>27</v>
      </c>
      <c r="L1699" t="s">
        <v>127</v>
      </c>
      <c r="M1699" t="s">
        <v>33</v>
      </c>
      <c r="N1699">
        <v>0</v>
      </c>
      <c r="S1699" s="3">
        <v>3000</v>
      </c>
      <c r="T1699" s="2">
        <v>4055.23193359375</v>
      </c>
      <c r="U1699" s="2">
        <v>3146.055616820774</v>
      </c>
      <c r="V1699" s="2">
        <v>3700.829766061071</v>
      </c>
      <c r="W1699" s="2">
        <v>3355.39892578125</v>
      </c>
      <c r="X1699" s="4">
        <f t="shared" si="104"/>
        <v>0.73978506017075019</v>
      </c>
      <c r="Y1699" s="4">
        <f t="shared" si="105"/>
        <v>0.95357500482830959</v>
      </c>
      <c r="Z1699" s="4">
        <f t="shared" si="106"/>
        <v>0.81062901825744071</v>
      </c>
      <c r="AA1699" s="4">
        <f t="shared" si="107"/>
        <v>0.89408146880821293</v>
      </c>
    </row>
    <row r="1700" spans="1:27" x14ac:dyDescent="0.3">
      <c r="A1700" t="s">
        <v>556</v>
      </c>
      <c r="B1700">
        <v>58287</v>
      </c>
      <c r="C1700">
        <v>2014</v>
      </c>
      <c r="D1700" t="s">
        <v>44</v>
      </c>
      <c r="E1700" t="s">
        <v>45</v>
      </c>
      <c r="F1700">
        <v>6</v>
      </c>
      <c r="G1700" t="s">
        <v>47</v>
      </c>
      <c r="H1700">
        <v>4</v>
      </c>
      <c r="I1700" t="s">
        <v>23</v>
      </c>
      <c r="J1700" t="s">
        <v>46</v>
      </c>
      <c r="K1700" t="s">
        <v>27</v>
      </c>
      <c r="L1700" t="s">
        <v>198</v>
      </c>
      <c r="M1700" t="s">
        <v>78</v>
      </c>
      <c r="N1700">
        <v>0</v>
      </c>
      <c r="O1700" t="s">
        <v>27</v>
      </c>
      <c r="S1700" s="3">
        <v>6000</v>
      </c>
      <c r="T1700" s="2">
        <v>14883.39453125</v>
      </c>
      <c r="U1700" s="2">
        <v>15914.36790466517</v>
      </c>
      <c r="V1700" s="2">
        <v>18082.692908873229</v>
      </c>
      <c r="W1700" s="2">
        <v>13870.83984375</v>
      </c>
      <c r="X1700" s="4">
        <f t="shared" si="104"/>
        <v>0.40313384069756852</v>
      </c>
      <c r="Y1700" s="4">
        <f t="shared" si="105"/>
        <v>0.37701780152016895</v>
      </c>
      <c r="Z1700" s="4">
        <f t="shared" si="106"/>
        <v>0.33180898609718595</v>
      </c>
      <c r="AA1700" s="4">
        <f t="shared" si="107"/>
        <v>0.43256212800290628</v>
      </c>
    </row>
    <row r="1701" spans="1:27" x14ac:dyDescent="0.3">
      <c r="A1701" t="s">
        <v>556</v>
      </c>
      <c r="B1701">
        <v>127724</v>
      </c>
      <c r="C1701">
        <v>2018</v>
      </c>
      <c r="D1701" t="s">
        <v>20</v>
      </c>
      <c r="E1701" t="s">
        <v>21</v>
      </c>
      <c r="F1701">
        <v>4</v>
      </c>
      <c r="G1701" t="s">
        <v>36</v>
      </c>
      <c r="H1701">
        <v>4</v>
      </c>
      <c r="I1701" t="s">
        <v>23</v>
      </c>
      <c r="J1701" t="s">
        <v>24</v>
      </c>
      <c r="K1701" t="s">
        <v>27</v>
      </c>
      <c r="L1701" t="s">
        <v>87</v>
      </c>
      <c r="M1701" t="s">
        <v>33</v>
      </c>
      <c r="N1701">
        <v>0</v>
      </c>
      <c r="S1701" s="3">
        <v>4000</v>
      </c>
      <c r="T1701" s="2">
        <v>7655.423828125</v>
      </c>
      <c r="U1701" s="2">
        <v>8207.3849596213731</v>
      </c>
      <c r="V1701" s="2">
        <v>8043.0443036840097</v>
      </c>
      <c r="W1701" s="2">
        <v>8259.1689453125</v>
      </c>
      <c r="X1701" s="4">
        <f t="shared" si="104"/>
        <v>0.52250536218576649</v>
      </c>
      <c r="Y1701" s="4">
        <f t="shared" si="105"/>
        <v>0.48736595391579268</v>
      </c>
      <c r="Z1701" s="4">
        <f t="shared" si="106"/>
        <v>0.49732412864714087</v>
      </c>
      <c r="AA1701" s="4">
        <f t="shared" si="107"/>
        <v>0.48431022860601541</v>
      </c>
    </row>
    <row r="1702" spans="1:27" x14ac:dyDescent="0.3">
      <c r="A1702" t="s">
        <v>556</v>
      </c>
      <c r="B1702">
        <v>103383</v>
      </c>
      <c r="C1702">
        <v>2016</v>
      </c>
      <c r="D1702" t="s">
        <v>125</v>
      </c>
      <c r="E1702" t="s">
        <v>126</v>
      </c>
      <c r="F1702">
        <v>4</v>
      </c>
      <c r="G1702" t="s">
        <v>47</v>
      </c>
      <c r="H1702">
        <v>4</v>
      </c>
      <c r="I1702" t="s">
        <v>23</v>
      </c>
      <c r="J1702" t="s">
        <v>31</v>
      </c>
      <c r="K1702" t="s">
        <v>27</v>
      </c>
      <c r="L1702" t="s">
        <v>32</v>
      </c>
      <c r="M1702" t="s">
        <v>33</v>
      </c>
      <c r="N1702">
        <v>0</v>
      </c>
      <c r="S1702" s="3">
        <v>1000</v>
      </c>
      <c r="T1702" s="2">
        <v>5727.91259765625</v>
      </c>
      <c r="U1702" s="2">
        <v>6561.3873708858073</v>
      </c>
      <c r="V1702" s="2">
        <v>5143.2816349751647</v>
      </c>
      <c r="W1702" s="2">
        <v>7456.91357421875</v>
      </c>
      <c r="X1702" s="4">
        <f t="shared" si="104"/>
        <v>0.17458366952197918</v>
      </c>
      <c r="Y1702" s="4">
        <f t="shared" si="105"/>
        <v>0.15240679195945672</v>
      </c>
      <c r="Z1702" s="4">
        <f t="shared" si="106"/>
        <v>0.19442839629854894</v>
      </c>
      <c r="AA1702" s="4">
        <f t="shared" si="107"/>
        <v>0.13410374011271392</v>
      </c>
    </row>
    <row r="1703" spans="1:27" x14ac:dyDescent="0.3">
      <c r="A1703" t="s">
        <v>556</v>
      </c>
      <c r="B1703">
        <v>97804</v>
      </c>
      <c r="C1703">
        <v>2013</v>
      </c>
      <c r="D1703" t="s">
        <v>100</v>
      </c>
      <c r="E1703" t="s">
        <v>192</v>
      </c>
      <c r="F1703">
        <v>4</v>
      </c>
      <c r="G1703" t="s">
        <v>22</v>
      </c>
      <c r="H1703">
        <v>4</v>
      </c>
      <c r="I1703" t="s">
        <v>23</v>
      </c>
      <c r="J1703" t="s">
        <v>31</v>
      </c>
      <c r="K1703" t="s">
        <v>27</v>
      </c>
      <c r="L1703" t="s">
        <v>32</v>
      </c>
      <c r="M1703" t="s">
        <v>33</v>
      </c>
      <c r="N1703">
        <v>0</v>
      </c>
      <c r="S1703" s="3">
        <v>900</v>
      </c>
      <c r="T1703" s="2">
        <v>2923.32373046875</v>
      </c>
      <c r="U1703" s="2">
        <v>3041.263274558084</v>
      </c>
      <c r="V1703" s="2">
        <v>5035.7066281204543</v>
      </c>
      <c r="W1703" s="2">
        <v>3381.486328125</v>
      </c>
      <c r="X1703" s="4">
        <f t="shared" si="104"/>
        <v>0.3078687422195579</v>
      </c>
      <c r="Y1703" s="4">
        <f t="shared" si="105"/>
        <v>0.2959296577606475</v>
      </c>
      <c r="Z1703" s="4">
        <f t="shared" si="106"/>
        <v>0.17872367603271586</v>
      </c>
      <c r="AA1703" s="4">
        <f t="shared" si="107"/>
        <v>0.26615514973826343</v>
      </c>
    </row>
    <row r="1704" spans="1:27" x14ac:dyDescent="0.3">
      <c r="A1704" t="s">
        <v>556</v>
      </c>
      <c r="B1704">
        <v>163385</v>
      </c>
      <c r="C1704">
        <v>2013</v>
      </c>
      <c r="D1704" t="s">
        <v>28</v>
      </c>
      <c r="E1704" t="s">
        <v>581</v>
      </c>
      <c r="F1704">
        <v>4</v>
      </c>
      <c r="G1704" t="s">
        <v>22</v>
      </c>
      <c r="H1704">
        <v>2</v>
      </c>
      <c r="I1704" t="s">
        <v>337</v>
      </c>
      <c r="J1704" t="s">
        <v>83</v>
      </c>
      <c r="K1704" t="s">
        <v>27</v>
      </c>
      <c r="L1704" t="s">
        <v>107</v>
      </c>
      <c r="M1704" t="s">
        <v>33</v>
      </c>
      <c r="N1704">
        <v>0</v>
      </c>
      <c r="S1704" s="3">
        <v>1500</v>
      </c>
      <c r="T1704" s="2">
        <v>5377.28369140625</v>
      </c>
      <c r="U1704" s="2">
        <v>4020.3722732698589</v>
      </c>
      <c r="V1704" s="2">
        <v>4285.4272377338484</v>
      </c>
      <c r="W1704" s="2">
        <v>4719.04541015625</v>
      </c>
      <c r="X1704" s="4">
        <f t="shared" si="104"/>
        <v>0.27895124863827386</v>
      </c>
      <c r="Y1704" s="4">
        <f t="shared" si="105"/>
        <v>0.3730997773447523</v>
      </c>
      <c r="Z1704" s="4">
        <f t="shared" si="106"/>
        <v>0.35002344382195277</v>
      </c>
      <c r="AA1704" s="4">
        <f t="shared" si="107"/>
        <v>0.31786089550478264</v>
      </c>
    </row>
    <row r="1705" spans="1:27" x14ac:dyDescent="0.3">
      <c r="A1705" t="s">
        <v>556</v>
      </c>
      <c r="B1705">
        <v>1</v>
      </c>
      <c r="C1705">
        <v>2015</v>
      </c>
      <c r="D1705" t="s">
        <v>125</v>
      </c>
      <c r="E1705" t="s">
        <v>230</v>
      </c>
      <c r="F1705">
        <v>4</v>
      </c>
      <c r="G1705" t="s">
        <v>59</v>
      </c>
      <c r="H1705">
        <v>4</v>
      </c>
      <c r="I1705" t="s">
        <v>23</v>
      </c>
      <c r="J1705" t="s">
        <v>31</v>
      </c>
      <c r="K1705" t="s">
        <v>27</v>
      </c>
      <c r="L1705" t="s">
        <v>60</v>
      </c>
      <c r="M1705" t="s">
        <v>33</v>
      </c>
      <c r="N1705">
        <v>0</v>
      </c>
      <c r="S1705" s="3">
        <v>600</v>
      </c>
      <c r="T1705" s="2">
        <v>24828.99609375</v>
      </c>
      <c r="U1705" s="2">
        <v>21228.07988251701</v>
      </c>
      <c r="V1705" s="2">
        <v>3801.3783885605872</v>
      </c>
      <c r="W1705" s="2">
        <v>16596.318359375</v>
      </c>
      <c r="X1705" s="4">
        <f t="shared" si="104"/>
        <v>2.4165294389451093E-2</v>
      </c>
      <c r="Y1705" s="4">
        <f t="shared" si="105"/>
        <v>2.8264449885274226E-2</v>
      </c>
      <c r="Z1705" s="4">
        <f t="shared" si="106"/>
        <v>0.15783748384679835</v>
      </c>
      <c r="AA1705" s="4">
        <f t="shared" si="107"/>
        <v>3.6152596437815945E-2</v>
      </c>
    </row>
    <row r="1706" spans="1:27" x14ac:dyDescent="0.3">
      <c r="A1706" t="s">
        <v>556</v>
      </c>
      <c r="B1706">
        <v>209017</v>
      </c>
      <c r="C1706">
        <v>2014</v>
      </c>
      <c r="D1706" t="s">
        <v>340</v>
      </c>
      <c r="E1706" t="s">
        <v>402</v>
      </c>
      <c r="F1706">
        <v>4</v>
      </c>
      <c r="G1706" t="s">
        <v>59</v>
      </c>
      <c r="H1706">
        <v>4</v>
      </c>
      <c r="I1706" t="s">
        <v>23</v>
      </c>
      <c r="J1706" t="s">
        <v>31</v>
      </c>
      <c r="L1706" t="s">
        <v>102</v>
      </c>
      <c r="M1706" t="s">
        <v>33</v>
      </c>
      <c r="N1706">
        <v>0</v>
      </c>
      <c r="S1706" s="3">
        <v>2000</v>
      </c>
      <c r="T1706" s="2">
        <v>2017.238159179688</v>
      </c>
      <c r="U1706" s="2">
        <v>2170.6260562141342</v>
      </c>
      <c r="V1706" s="2">
        <v>1912.8244027660569</v>
      </c>
      <c r="W1706" s="2">
        <v>2503.0830078125</v>
      </c>
      <c r="X1706" s="4">
        <f t="shared" si="104"/>
        <v>0.99145457411597948</v>
      </c>
      <c r="Y1706" s="4">
        <f t="shared" si="105"/>
        <v>0.92139315948702416</v>
      </c>
      <c r="Z1706" s="4">
        <f t="shared" si="106"/>
        <v>1.0455742812083963</v>
      </c>
      <c r="AA1706" s="4">
        <f t="shared" si="107"/>
        <v>0.79901465263345162</v>
      </c>
    </row>
    <row r="1707" spans="1:27" x14ac:dyDescent="0.3">
      <c r="A1707" t="s">
        <v>556</v>
      </c>
      <c r="B1707">
        <v>61769</v>
      </c>
      <c r="C1707">
        <v>2022</v>
      </c>
      <c r="D1707" t="s">
        <v>44</v>
      </c>
      <c r="E1707" t="s">
        <v>45</v>
      </c>
      <c r="F1707">
        <v>6</v>
      </c>
      <c r="G1707" t="s">
        <v>36</v>
      </c>
      <c r="H1707">
        <v>4</v>
      </c>
      <c r="I1707" t="s">
        <v>23</v>
      </c>
      <c r="J1707" t="s">
        <v>46</v>
      </c>
      <c r="K1707" t="s">
        <v>27</v>
      </c>
      <c r="L1707" t="s">
        <v>38</v>
      </c>
      <c r="M1707">
        <v>4</v>
      </c>
      <c r="N1707">
        <v>0</v>
      </c>
      <c r="S1707" s="3">
        <v>42800</v>
      </c>
      <c r="T1707" s="2">
        <v>35008.8125</v>
      </c>
      <c r="U1707" s="2">
        <v>39631.155438727437</v>
      </c>
      <c r="V1707" s="2">
        <v>39931.690118584047</v>
      </c>
      <c r="W1707" s="2">
        <v>35727.390625</v>
      </c>
      <c r="X1707" s="4">
        <f t="shared" si="104"/>
        <v>1.2225493224027522</v>
      </c>
      <c r="Y1707" s="4">
        <f t="shared" si="105"/>
        <v>1.0799584197380221</v>
      </c>
      <c r="Z1707" s="4">
        <f t="shared" si="106"/>
        <v>1.0718304152140321</v>
      </c>
      <c r="AA1707" s="4">
        <f t="shared" si="107"/>
        <v>1.1979604233971397</v>
      </c>
    </row>
    <row r="1708" spans="1:27" x14ac:dyDescent="0.3">
      <c r="A1708" t="s">
        <v>556</v>
      </c>
      <c r="B1708">
        <v>89770</v>
      </c>
      <c r="C1708">
        <v>2014</v>
      </c>
      <c r="D1708" t="s">
        <v>40</v>
      </c>
      <c r="E1708" t="s">
        <v>214</v>
      </c>
      <c r="F1708">
        <v>8</v>
      </c>
      <c r="G1708" t="s">
        <v>36</v>
      </c>
      <c r="H1708">
        <v>4</v>
      </c>
      <c r="I1708" t="s">
        <v>23</v>
      </c>
      <c r="J1708" t="s">
        <v>24</v>
      </c>
      <c r="L1708" t="s">
        <v>43</v>
      </c>
      <c r="M1708" t="s">
        <v>78</v>
      </c>
      <c r="N1708">
        <v>0</v>
      </c>
      <c r="S1708" s="3">
        <v>9000</v>
      </c>
      <c r="T1708" s="2">
        <v>17227.01953125</v>
      </c>
      <c r="U1708" s="2">
        <v>24885.733150328411</v>
      </c>
      <c r="V1708" s="2">
        <v>14214.81610476789</v>
      </c>
      <c r="W1708" s="2">
        <v>17836.5625</v>
      </c>
      <c r="X1708" s="4">
        <f t="shared" si="104"/>
        <v>0.52243511906826967</v>
      </c>
      <c r="Y1708" s="4">
        <f t="shared" si="105"/>
        <v>0.36165299795000128</v>
      </c>
      <c r="Z1708" s="4">
        <f t="shared" si="106"/>
        <v>0.63314220413876809</v>
      </c>
      <c r="AA1708" s="4">
        <f t="shared" si="107"/>
        <v>0.50458153021357111</v>
      </c>
    </row>
    <row r="1709" spans="1:27" x14ac:dyDescent="0.3">
      <c r="A1709" t="s">
        <v>556</v>
      </c>
      <c r="B1709">
        <v>158655</v>
      </c>
      <c r="C1709">
        <v>2015</v>
      </c>
      <c r="D1709" t="s">
        <v>85</v>
      </c>
      <c r="E1709" t="s">
        <v>372</v>
      </c>
      <c r="F1709">
        <v>4</v>
      </c>
      <c r="G1709" t="s">
        <v>36</v>
      </c>
      <c r="H1709">
        <v>4</v>
      </c>
      <c r="I1709" t="s">
        <v>23</v>
      </c>
      <c r="J1709" t="s">
        <v>31</v>
      </c>
      <c r="L1709" t="s">
        <v>32</v>
      </c>
      <c r="M1709" t="s">
        <v>33</v>
      </c>
      <c r="N1709">
        <v>0</v>
      </c>
      <c r="S1709" s="3">
        <v>2800</v>
      </c>
      <c r="T1709" s="2">
        <v>5076.392578125</v>
      </c>
      <c r="U1709" s="2">
        <v>3950.722839649804</v>
      </c>
      <c r="V1709" s="2">
        <v>2823.3674533882208</v>
      </c>
      <c r="W1709" s="2">
        <v>5124.9287109375</v>
      </c>
      <c r="X1709" s="4">
        <f t="shared" si="104"/>
        <v>0.55157278656218489</v>
      </c>
      <c r="Y1709" s="4">
        <f t="shared" si="105"/>
        <v>0.70873106356612825</v>
      </c>
      <c r="Z1709" s="4">
        <f t="shared" si="106"/>
        <v>0.99172355218582042</v>
      </c>
      <c r="AA1709" s="4">
        <f t="shared" si="107"/>
        <v>0.54634906316341669</v>
      </c>
    </row>
    <row r="1710" spans="1:27" x14ac:dyDescent="0.3">
      <c r="A1710" t="s">
        <v>556</v>
      </c>
      <c r="B1710">
        <v>71933</v>
      </c>
      <c r="C1710">
        <v>2017</v>
      </c>
      <c r="D1710" t="s">
        <v>90</v>
      </c>
      <c r="E1710" t="s">
        <v>547</v>
      </c>
      <c r="F1710">
        <v>4</v>
      </c>
      <c r="G1710" t="s">
        <v>36</v>
      </c>
      <c r="H1710">
        <v>2</v>
      </c>
      <c r="I1710" t="s">
        <v>23</v>
      </c>
      <c r="J1710" t="s">
        <v>83</v>
      </c>
      <c r="L1710" t="s">
        <v>32</v>
      </c>
      <c r="M1710" t="s">
        <v>33</v>
      </c>
      <c r="N1710">
        <v>0</v>
      </c>
      <c r="S1710" s="3">
        <v>7500</v>
      </c>
      <c r="T1710" s="2">
        <v>10075.2412109375</v>
      </c>
      <c r="U1710" s="2">
        <v>9433.8428629456412</v>
      </c>
      <c r="V1710" s="2">
        <v>10767.477306869259</v>
      </c>
      <c r="W1710" s="2">
        <v>11187.8369140625</v>
      </c>
      <c r="X1710" s="4">
        <f t="shared" si="104"/>
        <v>0.74439905139522966</v>
      </c>
      <c r="Y1710" s="4">
        <f t="shared" si="105"/>
        <v>0.7950100620669216</v>
      </c>
      <c r="Z1710" s="4">
        <f t="shared" si="106"/>
        <v>0.69654198344260942</v>
      </c>
      <c r="AA1710" s="4">
        <f t="shared" si="107"/>
        <v>0.67037087308386745</v>
      </c>
    </row>
    <row r="1711" spans="1:27" x14ac:dyDescent="0.3">
      <c r="A1711" t="s">
        <v>556</v>
      </c>
      <c r="B1711">
        <v>105111</v>
      </c>
      <c r="C1711">
        <v>2014</v>
      </c>
      <c r="D1711" t="s">
        <v>40</v>
      </c>
      <c r="E1711" t="s">
        <v>41</v>
      </c>
      <c r="F1711">
        <v>8</v>
      </c>
      <c r="G1711" t="s">
        <v>36</v>
      </c>
      <c r="H1711">
        <v>4</v>
      </c>
      <c r="I1711" t="s">
        <v>23</v>
      </c>
      <c r="J1711" t="s">
        <v>42</v>
      </c>
      <c r="K1711" t="s">
        <v>27</v>
      </c>
      <c r="L1711" t="s">
        <v>43</v>
      </c>
      <c r="M1711" t="s">
        <v>78</v>
      </c>
      <c r="N1711">
        <v>0</v>
      </c>
      <c r="S1711" s="3">
        <v>17250</v>
      </c>
      <c r="T1711" s="2">
        <v>14253.62890625</v>
      </c>
      <c r="U1711" s="2">
        <v>20384.18828040034</v>
      </c>
      <c r="V1711" s="2">
        <v>11380.733447625291</v>
      </c>
      <c r="W1711" s="2">
        <v>15158.4091796875</v>
      </c>
      <c r="X1711" s="4">
        <f t="shared" si="104"/>
        <v>1.2102181215364838</v>
      </c>
      <c r="Y1711" s="4">
        <f t="shared" si="105"/>
        <v>0.84624414584053353</v>
      </c>
      <c r="Z1711" s="4">
        <f t="shared" si="106"/>
        <v>1.5157195341921827</v>
      </c>
      <c r="AA1711" s="4">
        <f t="shared" si="107"/>
        <v>1.1379822114259366</v>
      </c>
    </row>
    <row r="1712" spans="1:27" x14ac:dyDescent="0.3">
      <c r="A1712" t="s">
        <v>556</v>
      </c>
      <c r="B1712">
        <v>156080</v>
      </c>
      <c r="C1712">
        <v>2012</v>
      </c>
      <c r="D1712" t="s">
        <v>100</v>
      </c>
      <c r="E1712" t="s">
        <v>192</v>
      </c>
      <c r="F1712">
        <v>4</v>
      </c>
      <c r="G1712" t="s">
        <v>47</v>
      </c>
      <c r="H1712">
        <v>4</v>
      </c>
      <c r="I1712" t="s">
        <v>23</v>
      </c>
      <c r="J1712" t="s">
        <v>31</v>
      </c>
      <c r="L1712" t="s">
        <v>127</v>
      </c>
      <c r="M1712" t="s">
        <v>33</v>
      </c>
      <c r="N1712">
        <v>0</v>
      </c>
      <c r="S1712" s="3">
        <v>1100</v>
      </c>
      <c r="T1712" s="2">
        <v>1825.854736328125</v>
      </c>
      <c r="U1712" s="2">
        <v>2246.4689793483631</v>
      </c>
      <c r="V1712" s="2">
        <v>3569.082526385072</v>
      </c>
      <c r="W1712" s="2">
        <v>2496.3212890625</v>
      </c>
      <c r="X1712" s="4">
        <f t="shared" si="104"/>
        <v>0.6024575658259369</v>
      </c>
      <c r="Y1712" s="4">
        <f t="shared" si="105"/>
        <v>0.48965732895144576</v>
      </c>
      <c r="Z1712" s="4">
        <f t="shared" si="106"/>
        <v>0.30820245591634715</v>
      </c>
      <c r="AA1712" s="4">
        <f t="shared" si="107"/>
        <v>0.4406484072461313</v>
      </c>
    </row>
    <row r="1713" spans="1:27" x14ac:dyDescent="0.3">
      <c r="A1713" t="s">
        <v>556</v>
      </c>
      <c r="B1713">
        <v>129315</v>
      </c>
      <c r="C1713">
        <v>2020</v>
      </c>
      <c r="D1713" t="s">
        <v>85</v>
      </c>
      <c r="E1713" t="s">
        <v>403</v>
      </c>
      <c r="F1713">
        <v>6</v>
      </c>
      <c r="G1713" t="s">
        <v>36</v>
      </c>
      <c r="H1713">
        <v>4</v>
      </c>
      <c r="I1713" t="s">
        <v>23</v>
      </c>
      <c r="J1713" t="s">
        <v>24</v>
      </c>
      <c r="K1713" t="s">
        <v>27</v>
      </c>
      <c r="L1713" t="s">
        <v>143</v>
      </c>
      <c r="M1713" t="s">
        <v>33</v>
      </c>
      <c r="N1713">
        <v>0</v>
      </c>
      <c r="S1713" s="3">
        <v>11500</v>
      </c>
      <c r="T1713" s="2">
        <v>15491.8486328125</v>
      </c>
      <c r="U1713" s="2">
        <v>14897.687809325331</v>
      </c>
      <c r="V1713" s="2">
        <v>13723.99428295271</v>
      </c>
      <c r="W1713" s="2">
        <v>15370.3544921875</v>
      </c>
      <c r="X1713" s="4">
        <f t="shared" si="104"/>
        <v>0.74232586907946108</v>
      </c>
      <c r="Y1713" s="4">
        <f t="shared" si="105"/>
        <v>0.77193186937381519</v>
      </c>
      <c r="Z1713" s="4">
        <f t="shared" si="106"/>
        <v>0.83794846914828214</v>
      </c>
      <c r="AA1713" s="4">
        <f t="shared" si="107"/>
        <v>0.74819354399700166</v>
      </c>
    </row>
    <row r="1714" spans="1:27" x14ac:dyDescent="0.3">
      <c r="A1714" t="s">
        <v>556</v>
      </c>
      <c r="B1714">
        <v>166134</v>
      </c>
      <c r="C1714">
        <v>2013</v>
      </c>
      <c r="D1714" t="s">
        <v>125</v>
      </c>
      <c r="E1714" t="s">
        <v>481</v>
      </c>
      <c r="F1714">
        <v>4</v>
      </c>
      <c r="G1714" t="s">
        <v>47</v>
      </c>
      <c r="H1714">
        <v>3</v>
      </c>
      <c r="I1714" t="s">
        <v>23</v>
      </c>
      <c r="J1714" t="s">
        <v>145</v>
      </c>
      <c r="K1714" t="s">
        <v>27</v>
      </c>
      <c r="L1714" t="s">
        <v>87</v>
      </c>
      <c r="M1714" t="s">
        <v>33</v>
      </c>
      <c r="N1714">
        <v>0</v>
      </c>
      <c r="S1714" s="3">
        <v>2500</v>
      </c>
      <c r="T1714" s="2">
        <v>2477.13232421875</v>
      </c>
      <c r="U1714" s="2">
        <v>2462.644674339494</v>
      </c>
      <c r="V1714" s="2">
        <v>1331.017170046493</v>
      </c>
      <c r="W1714" s="2">
        <v>2241.046630859375</v>
      </c>
      <c r="X1714" s="4">
        <f t="shared" si="104"/>
        <v>1.0092315115981791</v>
      </c>
      <c r="Y1714" s="4">
        <f t="shared" si="105"/>
        <v>1.0151687842138757</v>
      </c>
      <c r="Z1714" s="4">
        <f t="shared" si="106"/>
        <v>1.8782627724574537</v>
      </c>
      <c r="AA1714" s="4">
        <f t="shared" si="107"/>
        <v>1.1155501922962325</v>
      </c>
    </row>
    <row r="1715" spans="1:27" x14ac:dyDescent="0.3">
      <c r="A1715" t="s">
        <v>556</v>
      </c>
      <c r="B1715">
        <v>163229</v>
      </c>
      <c r="C1715">
        <v>2014</v>
      </c>
      <c r="D1715" t="s">
        <v>40</v>
      </c>
      <c r="E1715" t="s">
        <v>41</v>
      </c>
      <c r="F1715">
        <v>8</v>
      </c>
      <c r="G1715" t="s">
        <v>30</v>
      </c>
      <c r="H1715">
        <v>4</v>
      </c>
      <c r="I1715" t="s">
        <v>23</v>
      </c>
      <c r="J1715" t="s">
        <v>42</v>
      </c>
      <c r="K1715" t="s">
        <v>27</v>
      </c>
      <c r="L1715" t="s">
        <v>43</v>
      </c>
      <c r="M1715" t="s">
        <v>78</v>
      </c>
      <c r="N1715">
        <v>0</v>
      </c>
      <c r="S1715" s="3">
        <v>10000</v>
      </c>
      <c r="T1715" s="2">
        <v>9703.8212890625</v>
      </c>
      <c r="U1715" s="2">
        <v>15312.350170303571</v>
      </c>
      <c r="V1715" s="2">
        <v>5689.5446506350872</v>
      </c>
      <c r="W1715" s="2">
        <v>12026.083984375</v>
      </c>
      <c r="X1715" s="4">
        <f t="shared" si="104"/>
        <v>1.030521863718918</v>
      </c>
      <c r="Y1715" s="4">
        <f t="shared" si="105"/>
        <v>0.65306761462350671</v>
      </c>
      <c r="Z1715" s="4">
        <f t="shared" si="106"/>
        <v>1.7576098992181675</v>
      </c>
      <c r="AA1715" s="4">
        <f t="shared" si="107"/>
        <v>0.8315258743405245</v>
      </c>
    </row>
    <row r="1716" spans="1:27" x14ac:dyDescent="0.3">
      <c r="A1716" t="s">
        <v>556</v>
      </c>
      <c r="B1716">
        <v>182741</v>
      </c>
      <c r="C1716">
        <v>2015</v>
      </c>
      <c r="D1716" t="s">
        <v>74</v>
      </c>
      <c r="E1716" t="s">
        <v>75</v>
      </c>
      <c r="F1716">
        <v>8</v>
      </c>
      <c r="G1716" t="s">
        <v>30</v>
      </c>
      <c r="H1716">
        <v>4</v>
      </c>
      <c r="I1716" t="s">
        <v>23</v>
      </c>
      <c r="J1716" t="s">
        <v>42</v>
      </c>
      <c r="K1716" t="s">
        <v>27</v>
      </c>
      <c r="L1716" t="s">
        <v>84</v>
      </c>
      <c r="M1716">
        <v>4</v>
      </c>
      <c r="N1716">
        <v>0</v>
      </c>
      <c r="S1716" s="3">
        <v>4000</v>
      </c>
      <c r="T1716" s="2">
        <v>5765.21630859375</v>
      </c>
      <c r="U1716" s="2">
        <v>10032.58975569426</v>
      </c>
      <c r="V1716" s="2">
        <v>11403.902792987959</v>
      </c>
      <c r="W1716" s="2">
        <v>8139.71533203125</v>
      </c>
      <c r="X1716" s="4">
        <f t="shared" si="104"/>
        <v>0.69381611823263556</v>
      </c>
      <c r="Y1716" s="4">
        <f t="shared" si="105"/>
        <v>0.39870064434057967</v>
      </c>
      <c r="Z1716" s="4">
        <f t="shared" si="106"/>
        <v>0.350757111193505</v>
      </c>
      <c r="AA1716" s="4">
        <f t="shared" si="107"/>
        <v>0.49141767701129269</v>
      </c>
    </row>
    <row r="1717" spans="1:27" x14ac:dyDescent="0.3">
      <c r="A1717" t="s">
        <v>556</v>
      </c>
      <c r="B1717">
        <v>176114</v>
      </c>
      <c r="C1717">
        <v>2021</v>
      </c>
      <c r="D1717" t="s">
        <v>28</v>
      </c>
      <c r="E1717" t="s">
        <v>58</v>
      </c>
      <c r="F1717">
        <v>4</v>
      </c>
      <c r="G1717" t="s">
        <v>22</v>
      </c>
      <c r="H1717">
        <v>4</v>
      </c>
      <c r="I1717" t="s">
        <v>23</v>
      </c>
      <c r="J1717" t="s">
        <v>24</v>
      </c>
      <c r="K1717" t="s">
        <v>27</v>
      </c>
      <c r="L1717" t="s">
        <v>107</v>
      </c>
      <c r="M1717" t="s">
        <v>33</v>
      </c>
      <c r="N1717">
        <v>0</v>
      </c>
      <c r="S1717" s="3">
        <v>13800</v>
      </c>
      <c r="T1717" s="2">
        <v>13253.248046875</v>
      </c>
      <c r="U1717" s="2">
        <v>13783.0666633894</v>
      </c>
      <c r="V1717" s="2">
        <v>9561.8650091732143</v>
      </c>
      <c r="W1717" s="2">
        <v>13495.4912109375</v>
      </c>
      <c r="X1717" s="4">
        <f t="shared" si="104"/>
        <v>1.0412541854790018</v>
      </c>
      <c r="Y1717" s="4">
        <f t="shared" si="105"/>
        <v>1.0012285608873661</v>
      </c>
      <c r="Z1717" s="4">
        <f t="shared" si="106"/>
        <v>1.4432330917410896</v>
      </c>
      <c r="AA1717" s="4">
        <f t="shared" si="107"/>
        <v>1.0225637425346703</v>
      </c>
    </row>
    <row r="1718" spans="1:27" x14ac:dyDescent="0.3">
      <c r="A1718" t="s">
        <v>556</v>
      </c>
      <c r="B1718">
        <v>125568</v>
      </c>
      <c r="C1718">
        <v>2012</v>
      </c>
      <c r="D1718" t="s">
        <v>40</v>
      </c>
      <c r="E1718" t="s">
        <v>136</v>
      </c>
      <c r="F1718">
        <v>4</v>
      </c>
      <c r="G1718" t="s">
        <v>47</v>
      </c>
      <c r="H1718">
        <v>4</v>
      </c>
      <c r="I1718" t="s">
        <v>23</v>
      </c>
      <c r="J1718" t="s">
        <v>31</v>
      </c>
      <c r="K1718" t="s">
        <v>27</v>
      </c>
      <c r="L1718" t="s">
        <v>32</v>
      </c>
      <c r="M1718" t="s">
        <v>33</v>
      </c>
      <c r="N1718">
        <v>0</v>
      </c>
      <c r="S1718" s="3">
        <v>1200</v>
      </c>
      <c r="T1718" s="2">
        <v>3694.08447265625</v>
      </c>
      <c r="U1718" s="2">
        <v>3465.086615286767</v>
      </c>
      <c r="V1718" s="2">
        <v>2764.1273874546469</v>
      </c>
      <c r="W1718" s="2">
        <v>3512.896728515625</v>
      </c>
      <c r="X1718" s="4">
        <f t="shared" si="104"/>
        <v>0.3248436815352882</v>
      </c>
      <c r="Y1718" s="4">
        <f t="shared" si="105"/>
        <v>0.34631168949890428</v>
      </c>
      <c r="Z1718" s="4">
        <f t="shared" si="106"/>
        <v>0.43413339249354305</v>
      </c>
      <c r="AA1718" s="4">
        <f t="shared" si="107"/>
        <v>0.34159842794668782</v>
      </c>
    </row>
    <row r="1719" spans="1:27" x14ac:dyDescent="0.3">
      <c r="A1719" t="s">
        <v>556</v>
      </c>
      <c r="B1719">
        <v>164029</v>
      </c>
      <c r="C1719">
        <v>2015</v>
      </c>
      <c r="D1719" t="s">
        <v>44</v>
      </c>
      <c r="E1719" t="s">
        <v>196</v>
      </c>
      <c r="F1719">
        <v>6</v>
      </c>
      <c r="G1719" t="s">
        <v>47</v>
      </c>
      <c r="H1719">
        <v>3</v>
      </c>
      <c r="I1719" t="s">
        <v>23</v>
      </c>
      <c r="J1719" t="s">
        <v>197</v>
      </c>
      <c r="L1719" t="s">
        <v>198</v>
      </c>
      <c r="M1719" t="s">
        <v>78</v>
      </c>
      <c r="N1719">
        <v>0</v>
      </c>
      <c r="O1719" t="s">
        <v>27</v>
      </c>
      <c r="S1719" s="3">
        <v>5300</v>
      </c>
      <c r="T1719" s="2">
        <v>7782.91796875</v>
      </c>
      <c r="U1719" s="2">
        <v>6964.1978143812876</v>
      </c>
      <c r="V1719" s="2">
        <v>6675.0066484350764</v>
      </c>
      <c r="W1719" s="2">
        <v>7713.0615234375</v>
      </c>
      <c r="X1719" s="4">
        <f t="shared" si="104"/>
        <v>0.6809785251856153</v>
      </c>
      <c r="Y1719" s="4">
        <f t="shared" si="105"/>
        <v>0.76103524645083076</v>
      </c>
      <c r="Z1719" s="4">
        <f t="shared" si="106"/>
        <v>0.79400669978996352</v>
      </c>
      <c r="AA1719" s="4">
        <f t="shared" si="107"/>
        <v>0.68714608121496423</v>
      </c>
    </row>
    <row r="1720" spans="1:27" x14ac:dyDescent="0.3">
      <c r="A1720" t="s">
        <v>556</v>
      </c>
      <c r="B1720">
        <v>95592</v>
      </c>
      <c r="C1720">
        <v>2019</v>
      </c>
      <c r="D1720" t="s">
        <v>100</v>
      </c>
      <c r="E1720" t="s">
        <v>192</v>
      </c>
      <c r="F1720">
        <v>4</v>
      </c>
      <c r="G1720" t="s">
        <v>36</v>
      </c>
      <c r="H1720">
        <v>4</v>
      </c>
      <c r="I1720" t="s">
        <v>23</v>
      </c>
      <c r="J1720" t="s">
        <v>31</v>
      </c>
      <c r="L1720" t="s">
        <v>32</v>
      </c>
      <c r="M1720" t="s">
        <v>33</v>
      </c>
      <c r="N1720">
        <v>0</v>
      </c>
      <c r="S1720" s="3">
        <v>1800</v>
      </c>
      <c r="T1720" s="2">
        <v>7626.46240234375</v>
      </c>
      <c r="U1720" s="2">
        <v>9334.7130743447251</v>
      </c>
      <c r="V1720" s="2">
        <v>9014.9565756231841</v>
      </c>
      <c r="W1720" s="2">
        <v>9755.498046875</v>
      </c>
      <c r="X1720" s="4">
        <f t="shared" si="104"/>
        <v>0.23602030732451096</v>
      </c>
      <c r="Y1720" s="4">
        <f t="shared" si="105"/>
        <v>0.19282863711655709</v>
      </c>
      <c r="Z1720" s="4">
        <f t="shared" si="106"/>
        <v>0.19966818308002443</v>
      </c>
      <c r="AA1720" s="4">
        <f t="shared" si="107"/>
        <v>0.1845113382577733</v>
      </c>
    </row>
    <row r="1721" spans="1:27" x14ac:dyDescent="0.3">
      <c r="A1721" t="s">
        <v>556</v>
      </c>
      <c r="B1721">
        <v>118404</v>
      </c>
      <c r="C1721">
        <v>2016</v>
      </c>
      <c r="D1721" t="s">
        <v>226</v>
      </c>
      <c r="E1721" t="s">
        <v>582</v>
      </c>
      <c r="F1721">
        <v>4</v>
      </c>
      <c r="G1721" t="s">
        <v>36</v>
      </c>
      <c r="H1721">
        <v>4</v>
      </c>
      <c r="I1721" t="s">
        <v>23</v>
      </c>
      <c r="J1721" t="s">
        <v>24</v>
      </c>
      <c r="K1721" t="s">
        <v>27</v>
      </c>
      <c r="L1721" t="s">
        <v>127</v>
      </c>
      <c r="M1721" t="s">
        <v>23</v>
      </c>
      <c r="N1721">
        <v>0</v>
      </c>
      <c r="S1721" s="3">
        <v>3800</v>
      </c>
      <c r="T1721" s="2">
        <v>3004.01904296875</v>
      </c>
      <c r="U1721" s="2">
        <v>7720.8479279298117</v>
      </c>
      <c r="V1721" s="2">
        <v>8348.4235262992934</v>
      </c>
      <c r="W1721" s="2">
        <v>7538.56884765625</v>
      </c>
      <c r="X1721" s="4">
        <f t="shared" si="104"/>
        <v>1.2649720077155751</v>
      </c>
      <c r="Y1721" s="4">
        <f t="shared" si="105"/>
        <v>0.49217392124169096</v>
      </c>
      <c r="Z1721" s="4">
        <f t="shared" si="106"/>
        <v>0.45517575719885306</v>
      </c>
      <c r="AA1721" s="4">
        <f t="shared" si="107"/>
        <v>0.50407445720701016</v>
      </c>
    </row>
    <row r="1722" spans="1:27" x14ac:dyDescent="0.3">
      <c r="A1722" t="s">
        <v>556</v>
      </c>
      <c r="B1722">
        <v>92132</v>
      </c>
      <c r="C1722">
        <v>2013</v>
      </c>
      <c r="D1722" t="s">
        <v>40</v>
      </c>
      <c r="E1722" t="s">
        <v>208</v>
      </c>
      <c r="F1722">
        <v>6</v>
      </c>
      <c r="G1722" t="s">
        <v>22</v>
      </c>
      <c r="H1722">
        <v>2</v>
      </c>
      <c r="I1722" t="s">
        <v>23</v>
      </c>
      <c r="J1722" t="s">
        <v>83</v>
      </c>
      <c r="L1722" t="s">
        <v>26</v>
      </c>
      <c r="M1722" t="s">
        <v>78</v>
      </c>
      <c r="N1722">
        <v>0</v>
      </c>
      <c r="S1722" s="3">
        <v>10400</v>
      </c>
      <c r="T1722" s="2">
        <v>10195.60546875</v>
      </c>
      <c r="U1722" s="2">
        <v>13478.365285284801</v>
      </c>
      <c r="V1722" s="2">
        <v>9699.959461917997</v>
      </c>
      <c r="W1722" s="2">
        <v>9025.0087890625</v>
      </c>
      <c r="X1722" s="4">
        <f t="shared" si="104"/>
        <v>1.0200473166479891</v>
      </c>
      <c r="Y1722" s="4">
        <f t="shared" si="105"/>
        <v>0.77160692560798527</v>
      </c>
      <c r="Z1722" s="4">
        <f t="shared" si="106"/>
        <v>1.0721694292466231</v>
      </c>
      <c r="AA1722" s="4">
        <f t="shared" si="107"/>
        <v>1.1523534484092544</v>
      </c>
    </row>
    <row r="1723" spans="1:27" x14ac:dyDescent="0.3">
      <c r="A1723" t="s">
        <v>556</v>
      </c>
      <c r="B1723">
        <v>82623</v>
      </c>
      <c r="C1723">
        <v>2015</v>
      </c>
      <c r="D1723" t="s">
        <v>85</v>
      </c>
      <c r="E1723" t="s">
        <v>292</v>
      </c>
      <c r="F1723">
        <v>4</v>
      </c>
      <c r="G1723" t="s">
        <v>47</v>
      </c>
      <c r="H1723">
        <v>4</v>
      </c>
      <c r="I1723" t="s">
        <v>23</v>
      </c>
      <c r="J1723" t="s">
        <v>24</v>
      </c>
      <c r="K1723" t="s">
        <v>27</v>
      </c>
      <c r="L1723" t="s">
        <v>60</v>
      </c>
      <c r="M1723" t="s">
        <v>33</v>
      </c>
      <c r="N1723">
        <v>0</v>
      </c>
      <c r="S1723" s="3">
        <v>5500</v>
      </c>
      <c r="T1723" s="2">
        <v>7310.03173828125</v>
      </c>
      <c r="U1723" s="2">
        <v>7160.2503495501078</v>
      </c>
      <c r="V1723" s="2">
        <v>5896.1310999851694</v>
      </c>
      <c r="W1723" s="2">
        <v>7538.56884765625</v>
      </c>
      <c r="X1723" s="4">
        <f t="shared" si="104"/>
        <v>0.75239071414663539</v>
      </c>
      <c r="Y1723" s="4">
        <f t="shared" si="105"/>
        <v>0.76812956691459477</v>
      </c>
      <c r="Z1723" s="4">
        <f t="shared" si="106"/>
        <v>0.93281507936854291</v>
      </c>
      <c r="AA1723" s="4">
        <f t="shared" si="107"/>
        <v>0.72958145122067253</v>
      </c>
    </row>
    <row r="1724" spans="1:27" x14ac:dyDescent="0.3">
      <c r="A1724" t="s">
        <v>556</v>
      </c>
      <c r="B1724">
        <v>183637</v>
      </c>
      <c r="C1724">
        <v>2015</v>
      </c>
      <c r="D1724" t="s">
        <v>125</v>
      </c>
      <c r="E1724" t="s">
        <v>297</v>
      </c>
      <c r="F1724">
        <v>4</v>
      </c>
      <c r="G1724" t="s">
        <v>66</v>
      </c>
      <c r="H1724">
        <v>4</v>
      </c>
      <c r="I1724" t="s">
        <v>23</v>
      </c>
      <c r="J1724" t="s">
        <v>24</v>
      </c>
      <c r="K1724" t="s">
        <v>27</v>
      </c>
      <c r="L1724" t="s">
        <v>60</v>
      </c>
      <c r="M1724" t="s">
        <v>33</v>
      </c>
      <c r="N1724">
        <v>0</v>
      </c>
      <c r="S1724" s="3">
        <v>2900</v>
      </c>
      <c r="T1724" s="2">
        <v>3094.13671875</v>
      </c>
      <c r="U1724" s="2">
        <v>3311.608613274755</v>
      </c>
      <c r="V1724" s="2">
        <v>2382.5804060181222</v>
      </c>
      <c r="W1724" s="2">
        <v>3207.66259765625</v>
      </c>
      <c r="X1724" s="4">
        <f t="shared" si="104"/>
        <v>0.93725658030119974</v>
      </c>
      <c r="Y1724" s="4">
        <f t="shared" si="105"/>
        <v>0.87570734910375558</v>
      </c>
      <c r="Z1724" s="4">
        <f t="shared" si="106"/>
        <v>1.217167736574571</v>
      </c>
      <c r="AA1724" s="4">
        <f t="shared" si="107"/>
        <v>0.90408511235531741</v>
      </c>
    </row>
    <row r="1725" spans="1:27" x14ac:dyDescent="0.3">
      <c r="A1725" t="s">
        <v>556</v>
      </c>
      <c r="B1725">
        <v>87222</v>
      </c>
      <c r="C1725">
        <v>2021</v>
      </c>
      <c r="D1725" t="s">
        <v>28</v>
      </c>
      <c r="E1725" t="s">
        <v>329</v>
      </c>
      <c r="F1725">
        <v>4</v>
      </c>
      <c r="G1725" t="s">
        <v>47</v>
      </c>
      <c r="H1725">
        <v>4</v>
      </c>
      <c r="I1725" t="s">
        <v>23</v>
      </c>
      <c r="J1725" t="s">
        <v>24</v>
      </c>
      <c r="K1725" t="s">
        <v>27</v>
      </c>
      <c r="L1725" t="s">
        <v>32</v>
      </c>
      <c r="M1725" t="s">
        <v>23</v>
      </c>
      <c r="N1725">
        <v>0</v>
      </c>
      <c r="S1725" s="3">
        <v>14250</v>
      </c>
      <c r="T1725" s="2">
        <v>17898.3125</v>
      </c>
      <c r="U1725" s="2">
        <v>18170.647417125048</v>
      </c>
      <c r="V1725" s="2">
        <v>18079.70644418311</v>
      </c>
      <c r="W1725" s="2">
        <v>17535.146484375</v>
      </c>
      <c r="X1725" s="4">
        <f t="shared" si="104"/>
        <v>0.79616444287694721</v>
      </c>
      <c r="Y1725" s="4">
        <f t="shared" si="105"/>
        <v>0.78423182580550166</v>
      </c>
      <c r="Z1725" s="4">
        <f t="shared" si="106"/>
        <v>0.78817651403763456</v>
      </c>
      <c r="AA1725" s="4">
        <f t="shared" si="107"/>
        <v>0.81265360473023207</v>
      </c>
    </row>
    <row r="1726" spans="1:27" x14ac:dyDescent="0.3">
      <c r="A1726" t="s">
        <v>556</v>
      </c>
      <c r="B1726">
        <v>209086</v>
      </c>
      <c r="C1726">
        <v>2016</v>
      </c>
      <c r="D1726" t="s">
        <v>340</v>
      </c>
      <c r="E1726" t="s">
        <v>341</v>
      </c>
      <c r="F1726">
        <v>4</v>
      </c>
      <c r="G1726" t="s">
        <v>59</v>
      </c>
      <c r="H1726">
        <v>4</v>
      </c>
      <c r="I1726" t="s">
        <v>23</v>
      </c>
      <c r="J1726" t="s">
        <v>24</v>
      </c>
      <c r="L1726" t="s">
        <v>102</v>
      </c>
      <c r="M1726" t="s">
        <v>33</v>
      </c>
      <c r="N1726">
        <v>0</v>
      </c>
      <c r="S1726" s="3">
        <v>3600</v>
      </c>
      <c r="T1726" s="2">
        <v>3439.569091796875</v>
      </c>
      <c r="U1726" s="2">
        <v>3638.748169868536</v>
      </c>
      <c r="V1726" s="2">
        <v>3294.455212337331</v>
      </c>
      <c r="W1726" s="2">
        <v>4145.3876953125</v>
      </c>
      <c r="X1726" s="4">
        <f t="shared" si="104"/>
        <v>1.0466427345756018</v>
      </c>
      <c r="Y1726" s="4">
        <f t="shared" si="105"/>
        <v>0.98935123617803533</v>
      </c>
      <c r="Z1726" s="4">
        <f t="shared" si="106"/>
        <v>1.0927451636065475</v>
      </c>
      <c r="AA1726" s="4">
        <f t="shared" si="107"/>
        <v>0.86843505712886382</v>
      </c>
    </row>
    <row r="1727" spans="1:27" x14ac:dyDescent="0.3">
      <c r="A1727" t="s">
        <v>556</v>
      </c>
      <c r="B1727">
        <v>197328</v>
      </c>
      <c r="C1727">
        <v>2013</v>
      </c>
      <c r="D1727" t="s">
        <v>44</v>
      </c>
      <c r="E1727" t="s">
        <v>210</v>
      </c>
      <c r="F1727">
        <v>4</v>
      </c>
      <c r="G1727" t="s">
        <v>59</v>
      </c>
      <c r="H1727">
        <v>4</v>
      </c>
      <c r="I1727" t="s">
        <v>23</v>
      </c>
      <c r="J1727" t="s">
        <v>37</v>
      </c>
      <c r="K1727" t="s">
        <v>27</v>
      </c>
      <c r="L1727" t="s">
        <v>128</v>
      </c>
      <c r="M1727" t="s">
        <v>33</v>
      </c>
      <c r="N1727">
        <v>0</v>
      </c>
      <c r="S1727" s="3">
        <v>1700</v>
      </c>
      <c r="T1727" s="2">
        <v>2477.7744140625</v>
      </c>
      <c r="U1727" s="2">
        <v>2085.200547218798</v>
      </c>
      <c r="V1727" s="2">
        <v>2032.016033798556</v>
      </c>
      <c r="W1727" s="2">
        <v>1816.723510742188</v>
      </c>
      <c r="X1727" s="4">
        <f t="shared" si="104"/>
        <v>0.68609958612524391</v>
      </c>
      <c r="Y1727" s="4">
        <f t="shared" si="105"/>
        <v>0.81526930456038327</v>
      </c>
      <c r="Z1727" s="4">
        <f t="shared" si="106"/>
        <v>0.83660757185173351</v>
      </c>
      <c r="AA1727" s="4">
        <f t="shared" si="107"/>
        <v>0.93575053658302532</v>
      </c>
    </row>
    <row r="1728" spans="1:27" x14ac:dyDescent="0.3">
      <c r="A1728" t="s">
        <v>556</v>
      </c>
      <c r="B1728">
        <v>146649</v>
      </c>
      <c r="C1728">
        <v>2015</v>
      </c>
      <c r="D1728" t="s">
        <v>141</v>
      </c>
      <c r="E1728" t="s">
        <v>215</v>
      </c>
      <c r="F1728">
        <v>6</v>
      </c>
      <c r="G1728" t="s">
        <v>36</v>
      </c>
      <c r="H1728">
        <v>4</v>
      </c>
      <c r="I1728" t="s">
        <v>23</v>
      </c>
      <c r="J1728" t="s">
        <v>31</v>
      </c>
      <c r="K1728" t="s">
        <v>27</v>
      </c>
      <c r="L1728" t="s">
        <v>26</v>
      </c>
      <c r="M1728" t="s">
        <v>78</v>
      </c>
      <c r="N1728">
        <v>0</v>
      </c>
      <c r="S1728" s="3">
        <v>4200</v>
      </c>
      <c r="T1728" s="2">
        <v>6934.314453125</v>
      </c>
      <c r="U1728" s="2">
        <v>5377.0386667751527</v>
      </c>
      <c r="V1728" s="2">
        <v>5707.6998620557124</v>
      </c>
      <c r="W1728" s="2">
        <v>5219.16162109375</v>
      </c>
      <c r="X1728" s="4">
        <f t="shared" si="104"/>
        <v>0.6056835219099761</v>
      </c>
      <c r="Y1728" s="4">
        <f t="shared" si="105"/>
        <v>0.78109908823083196</v>
      </c>
      <c r="Z1728" s="4">
        <f t="shared" si="106"/>
        <v>0.73584808267884427</v>
      </c>
      <c r="AA1728" s="4">
        <f t="shared" si="107"/>
        <v>0.80472694752837137</v>
      </c>
    </row>
    <row r="1729" spans="1:27" x14ac:dyDescent="0.3">
      <c r="A1729" t="s">
        <v>556</v>
      </c>
      <c r="B1729">
        <v>134938</v>
      </c>
      <c r="C1729">
        <v>2015</v>
      </c>
      <c r="D1729" t="s">
        <v>141</v>
      </c>
      <c r="E1729" t="s">
        <v>215</v>
      </c>
      <c r="F1729">
        <v>8</v>
      </c>
      <c r="G1729" t="s">
        <v>36</v>
      </c>
      <c r="H1729">
        <v>4</v>
      </c>
      <c r="I1729" t="s">
        <v>23</v>
      </c>
      <c r="J1729" t="s">
        <v>31</v>
      </c>
      <c r="K1729" t="s">
        <v>27</v>
      </c>
      <c r="L1729" t="s">
        <v>84</v>
      </c>
      <c r="M1729" t="s">
        <v>78</v>
      </c>
      <c r="N1729">
        <v>0</v>
      </c>
      <c r="S1729" s="3">
        <v>5800</v>
      </c>
      <c r="T1729" s="2">
        <v>10293.314453125</v>
      </c>
      <c r="U1729" s="2">
        <v>17372.925469355661</v>
      </c>
      <c r="V1729" s="2">
        <v>6718.8073986549862</v>
      </c>
      <c r="W1729" s="2">
        <v>10653.583984375</v>
      </c>
      <c r="X1729" s="4">
        <f t="shared" si="104"/>
        <v>0.56347253612165205</v>
      </c>
      <c r="Y1729" s="4">
        <f t="shared" si="105"/>
        <v>0.33385281081362483</v>
      </c>
      <c r="Z1729" s="4">
        <f t="shared" si="106"/>
        <v>0.86324843917405358</v>
      </c>
      <c r="AA1729" s="4">
        <f t="shared" si="107"/>
        <v>0.54441772914227993</v>
      </c>
    </row>
    <row r="1730" spans="1:27" x14ac:dyDescent="0.3">
      <c r="A1730" t="s">
        <v>556</v>
      </c>
      <c r="B1730">
        <v>1</v>
      </c>
      <c r="C1730">
        <v>2018</v>
      </c>
      <c r="D1730" t="s">
        <v>100</v>
      </c>
      <c r="E1730" t="s">
        <v>192</v>
      </c>
      <c r="F1730">
        <v>4</v>
      </c>
      <c r="G1730" t="s">
        <v>36</v>
      </c>
      <c r="H1730">
        <v>4</v>
      </c>
      <c r="I1730" t="s">
        <v>23</v>
      </c>
      <c r="J1730" t="s">
        <v>31</v>
      </c>
      <c r="L1730" t="s">
        <v>32</v>
      </c>
      <c r="M1730" t="s">
        <v>33</v>
      </c>
      <c r="N1730">
        <v>0</v>
      </c>
      <c r="S1730" s="3">
        <v>300</v>
      </c>
      <c r="T1730" s="2">
        <v>9294.671875</v>
      </c>
      <c r="U1730" s="2">
        <v>16702.572712157649</v>
      </c>
      <c r="V1730" s="2">
        <v>8293.7849683588374</v>
      </c>
      <c r="W1730" s="2">
        <v>12083.380859375</v>
      </c>
      <c r="X1730" s="4">
        <f t="shared" ref="X1730:X1793" si="108">S1730/T1730</f>
        <v>3.2276556293171998E-2</v>
      </c>
      <c r="Y1730" s="4">
        <f t="shared" ref="Y1730:Y1793" si="109">S1730/U1730</f>
        <v>1.7961304834292549E-2</v>
      </c>
      <c r="Z1730" s="4">
        <f t="shared" ref="Z1730:Z1793" si="110">S1730/V1730</f>
        <v>3.6171663618542495E-2</v>
      </c>
      <c r="AA1730" s="4">
        <f t="shared" ref="AA1730:AA1793" si="111">S1730/W1730</f>
        <v>2.48274885556754E-2</v>
      </c>
    </row>
    <row r="1731" spans="1:27" x14ac:dyDescent="0.3">
      <c r="A1731" t="s">
        <v>556</v>
      </c>
      <c r="B1731">
        <v>246805</v>
      </c>
      <c r="C1731">
        <v>2008</v>
      </c>
      <c r="D1731" t="s">
        <v>34</v>
      </c>
      <c r="E1731" t="s">
        <v>61</v>
      </c>
      <c r="F1731">
        <v>6</v>
      </c>
      <c r="G1731" t="s">
        <v>59</v>
      </c>
      <c r="H1731">
        <v>4</v>
      </c>
      <c r="I1731" t="s">
        <v>23</v>
      </c>
      <c r="J1731" t="s">
        <v>62</v>
      </c>
      <c r="K1731" t="s">
        <v>27</v>
      </c>
      <c r="L1731" t="s">
        <v>38</v>
      </c>
      <c r="M1731" t="s">
        <v>33</v>
      </c>
      <c r="N1731">
        <v>0</v>
      </c>
      <c r="O1731" t="s">
        <v>27</v>
      </c>
      <c r="S1731" s="3">
        <v>1800</v>
      </c>
      <c r="T1731" s="2">
        <v>2599.047119140625</v>
      </c>
      <c r="U1731" s="2">
        <v>2586.683217531438</v>
      </c>
      <c r="V1731" s="2">
        <v>675.49202039564079</v>
      </c>
      <c r="W1731" s="2">
        <v>2403.5458984375</v>
      </c>
      <c r="X1731" s="4">
        <f t="shared" si="108"/>
        <v>0.69256151100299024</v>
      </c>
      <c r="Y1731" s="4">
        <f t="shared" si="109"/>
        <v>0.69587183610283854</v>
      </c>
      <c r="Z1731" s="4">
        <f t="shared" si="110"/>
        <v>2.6647242982170631</v>
      </c>
      <c r="AA1731" s="4">
        <f t="shared" si="111"/>
        <v>0.74889354148391596</v>
      </c>
    </row>
    <row r="1732" spans="1:27" x14ac:dyDescent="0.3">
      <c r="A1732" t="s">
        <v>556</v>
      </c>
      <c r="B1732">
        <v>121094</v>
      </c>
      <c r="C1732">
        <v>2011</v>
      </c>
      <c r="D1732" t="s">
        <v>90</v>
      </c>
      <c r="E1732" t="s">
        <v>231</v>
      </c>
      <c r="F1732">
        <v>5</v>
      </c>
      <c r="G1732" t="s">
        <v>36</v>
      </c>
      <c r="H1732">
        <v>4</v>
      </c>
      <c r="I1732" t="s">
        <v>23</v>
      </c>
      <c r="J1732" t="s">
        <v>31</v>
      </c>
      <c r="L1732" t="s">
        <v>102</v>
      </c>
      <c r="M1732" t="s">
        <v>33</v>
      </c>
      <c r="N1732">
        <v>0</v>
      </c>
      <c r="S1732" s="3">
        <v>1900</v>
      </c>
      <c r="T1732" s="2">
        <v>3368.323486328125</v>
      </c>
      <c r="U1732" s="2">
        <v>2569.1306307574691</v>
      </c>
      <c r="V1732" s="2">
        <v>2540.0602664799439</v>
      </c>
      <c r="W1732" s="2">
        <v>2804.321533203125</v>
      </c>
      <c r="X1732" s="4">
        <f t="shared" si="108"/>
        <v>0.56407883854149266</v>
      </c>
      <c r="Y1732" s="4">
        <f t="shared" si="109"/>
        <v>0.73954978281498041</v>
      </c>
      <c r="Z1732" s="4">
        <f t="shared" si="110"/>
        <v>0.74801374797025988</v>
      </c>
      <c r="AA1732" s="4">
        <f t="shared" si="111"/>
        <v>0.67752573216160428</v>
      </c>
    </row>
    <row r="1733" spans="1:27" x14ac:dyDescent="0.3">
      <c r="A1733" t="s">
        <v>556</v>
      </c>
      <c r="B1733">
        <v>121483</v>
      </c>
      <c r="C1733">
        <v>2007</v>
      </c>
      <c r="D1733" t="s">
        <v>40</v>
      </c>
      <c r="E1733" t="s">
        <v>467</v>
      </c>
      <c r="F1733">
        <v>8</v>
      </c>
      <c r="G1733" t="s">
        <v>66</v>
      </c>
      <c r="H1733">
        <v>2</v>
      </c>
      <c r="I1733" t="s">
        <v>23</v>
      </c>
      <c r="J1733" t="s">
        <v>209</v>
      </c>
      <c r="K1733" t="s">
        <v>27</v>
      </c>
      <c r="L1733" t="s">
        <v>80</v>
      </c>
      <c r="M1733" t="s">
        <v>78</v>
      </c>
      <c r="N1733">
        <v>0</v>
      </c>
      <c r="S1733" s="3">
        <v>11200</v>
      </c>
      <c r="T1733" s="2">
        <v>11659.78125</v>
      </c>
      <c r="U1733" s="2">
        <v>19658.98549030655</v>
      </c>
      <c r="V1733" s="2">
        <v>13199.449329695961</v>
      </c>
      <c r="W1733" s="2">
        <v>13697.3515625</v>
      </c>
      <c r="X1733" s="4">
        <f t="shared" si="108"/>
        <v>0.96056690600434724</v>
      </c>
      <c r="Y1733" s="4">
        <f t="shared" si="109"/>
        <v>0.56971403766092077</v>
      </c>
      <c r="Z1733" s="4">
        <f t="shared" si="110"/>
        <v>0.84852024658349767</v>
      </c>
      <c r="AA1733" s="4">
        <f t="shared" si="111"/>
        <v>0.81767631858576673</v>
      </c>
    </row>
    <row r="1734" spans="1:27" x14ac:dyDescent="0.3">
      <c r="A1734" t="s">
        <v>556</v>
      </c>
      <c r="B1734">
        <v>143662</v>
      </c>
      <c r="C1734">
        <v>2012</v>
      </c>
      <c r="D1734" t="s">
        <v>125</v>
      </c>
      <c r="E1734" t="s">
        <v>167</v>
      </c>
      <c r="F1734">
        <v>4</v>
      </c>
      <c r="G1734" t="s">
        <v>66</v>
      </c>
      <c r="H1734">
        <v>4</v>
      </c>
      <c r="I1734" t="s">
        <v>23</v>
      </c>
      <c r="J1734" t="s">
        <v>31</v>
      </c>
      <c r="L1734" t="s">
        <v>87</v>
      </c>
      <c r="M1734" t="s">
        <v>33</v>
      </c>
      <c r="N1734">
        <v>0</v>
      </c>
      <c r="S1734" s="3">
        <v>2500</v>
      </c>
      <c r="T1734" s="2">
        <v>3173.376220703125</v>
      </c>
      <c r="U1734" s="2">
        <v>3067.1962309651799</v>
      </c>
      <c r="V1734" s="2">
        <v>2082.204220882144</v>
      </c>
      <c r="W1734" s="2">
        <v>3328.650390625</v>
      </c>
      <c r="X1734" s="4">
        <f t="shared" si="108"/>
        <v>0.78780447893003847</v>
      </c>
      <c r="Y1734" s="4">
        <f t="shared" si="109"/>
        <v>0.81507664060127782</v>
      </c>
      <c r="Z1734" s="4">
        <f t="shared" si="110"/>
        <v>1.2006507214459747</v>
      </c>
      <c r="AA1734" s="4">
        <f t="shared" si="111"/>
        <v>0.7510551444636967</v>
      </c>
    </row>
    <row r="1735" spans="1:27" x14ac:dyDescent="0.3">
      <c r="A1735" t="s">
        <v>556</v>
      </c>
      <c r="B1735">
        <v>166286</v>
      </c>
      <c r="C1735">
        <v>2014</v>
      </c>
      <c r="D1735" t="s">
        <v>40</v>
      </c>
      <c r="E1735" t="s">
        <v>41</v>
      </c>
      <c r="F1735">
        <v>8</v>
      </c>
      <c r="G1735" t="s">
        <v>36</v>
      </c>
      <c r="H1735">
        <v>4</v>
      </c>
      <c r="I1735" t="s">
        <v>23</v>
      </c>
      <c r="J1735" t="s">
        <v>42</v>
      </c>
      <c r="K1735" t="s">
        <v>27</v>
      </c>
      <c r="L1735" t="s">
        <v>43</v>
      </c>
      <c r="M1735">
        <v>4</v>
      </c>
      <c r="N1735">
        <v>0</v>
      </c>
      <c r="S1735" s="3">
        <v>8250</v>
      </c>
      <c r="T1735" s="2">
        <v>7852.4951171875</v>
      </c>
      <c r="U1735" s="2">
        <v>14658.04322499276</v>
      </c>
      <c r="V1735" s="2">
        <v>7940.048573540028</v>
      </c>
      <c r="W1735" s="2">
        <v>13494.447265625</v>
      </c>
      <c r="X1735" s="4">
        <f t="shared" si="108"/>
        <v>1.0506214746880189</v>
      </c>
      <c r="Y1735" s="4">
        <f t="shared" si="109"/>
        <v>0.56283092315714434</v>
      </c>
      <c r="Z1735" s="4">
        <f t="shared" si="110"/>
        <v>1.0390364647759052</v>
      </c>
      <c r="AA1735" s="4">
        <f t="shared" si="111"/>
        <v>0.61136257288696727</v>
      </c>
    </row>
    <row r="1736" spans="1:27" x14ac:dyDescent="0.3">
      <c r="A1736" t="s">
        <v>556</v>
      </c>
      <c r="B1736">
        <v>135247</v>
      </c>
      <c r="C1736">
        <v>2019</v>
      </c>
      <c r="D1736" t="s">
        <v>85</v>
      </c>
      <c r="E1736" t="s">
        <v>270</v>
      </c>
      <c r="F1736">
        <v>4</v>
      </c>
      <c r="G1736" t="s">
        <v>30</v>
      </c>
      <c r="H1736">
        <v>4</v>
      </c>
      <c r="I1736" t="s">
        <v>23</v>
      </c>
      <c r="J1736" t="s">
        <v>24</v>
      </c>
      <c r="K1736" t="s">
        <v>27</v>
      </c>
      <c r="L1736" t="s">
        <v>60</v>
      </c>
      <c r="M1736" t="s">
        <v>33</v>
      </c>
      <c r="N1736">
        <v>0</v>
      </c>
      <c r="S1736" s="3">
        <v>9200</v>
      </c>
      <c r="T1736" s="2">
        <v>7942.71337890625</v>
      </c>
      <c r="U1736" s="2">
        <v>7661.9012062041747</v>
      </c>
      <c r="V1736" s="2">
        <v>5403.1637005925368</v>
      </c>
      <c r="W1736" s="2">
        <v>7474.14111328125</v>
      </c>
      <c r="X1736" s="4">
        <f t="shared" si="108"/>
        <v>1.1582943461654769</v>
      </c>
      <c r="Y1736" s="4">
        <f t="shared" si="109"/>
        <v>1.2007463620844341</v>
      </c>
      <c r="Z1736" s="4">
        <f t="shared" si="110"/>
        <v>1.7027061384409072</v>
      </c>
      <c r="AA1736" s="4">
        <f t="shared" si="111"/>
        <v>1.23091066392257</v>
      </c>
    </row>
    <row r="1737" spans="1:27" x14ac:dyDescent="0.3">
      <c r="A1737" t="s">
        <v>556</v>
      </c>
      <c r="B1737">
        <v>173819</v>
      </c>
      <c r="C1737">
        <v>2007</v>
      </c>
      <c r="D1737" t="s">
        <v>282</v>
      </c>
      <c r="E1737" t="s">
        <v>422</v>
      </c>
      <c r="F1737">
        <v>6</v>
      </c>
      <c r="G1737" t="s">
        <v>36</v>
      </c>
      <c r="H1737">
        <v>4</v>
      </c>
      <c r="I1737" t="s">
        <v>23</v>
      </c>
      <c r="J1737" t="s">
        <v>37</v>
      </c>
      <c r="K1737" t="s">
        <v>27</v>
      </c>
      <c r="L1737" t="s">
        <v>38</v>
      </c>
      <c r="M1737" t="s">
        <v>33</v>
      </c>
      <c r="N1737">
        <v>0</v>
      </c>
      <c r="S1737" s="3">
        <v>3400</v>
      </c>
      <c r="T1737" s="2">
        <v>1820.526245117188</v>
      </c>
      <c r="U1737" s="2">
        <v>2070.0006729741872</v>
      </c>
      <c r="V1737" s="2">
        <v>1798.0429119458599</v>
      </c>
      <c r="W1737" s="2">
        <v>2167.664306640625</v>
      </c>
      <c r="X1737" s="4">
        <f t="shared" si="108"/>
        <v>1.8675918620339036</v>
      </c>
      <c r="Y1737" s="4">
        <f t="shared" si="109"/>
        <v>1.6425115433005455</v>
      </c>
      <c r="Z1737" s="4">
        <f t="shared" si="110"/>
        <v>1.8909448586632931</v>
      </c>
      <c r="AA1737" s="4">
        <f t="shared" si="111"/>
        <v>1.5685085506939995</v>
      </c>
    </row>
    <row r="1738" spans="1:27" x14ac:dyDescent="0.3">
      <c r="A1738" t="s">
        <v>556</v>
      </c>
      <c r="B1738">
        <v>1</v>
      </c>
      <c r="C1738">
        <v>2018</v>
      </c>
      <c r="D1738" t="s">
        <v>125</v>
      </c>
      <c r="E1738" t="s">
        <v>230</v>
      </c>
      <c r="F1738">
        <v>4</v>
      </c>
      <c r="G1738" t="s">
        <v>22</v>
      </c>
      <c r="H1738">
        <v>4</v>
      </c>
      <c r="I1738" t="s">
        <v>23</v>
      </c>
      <c r="J1738" t="s">
        <v>31</v>
      </c>
      <c r="K1738" t="s">
        <v>27</v>
      </c>
      <c r="L1738" t="s">
        <v>60</v>
      </c>
      <c r="M1738" t="s">
        <v>33</v>
      </c>
      <c r="N1738">
        <v>0</v>
      </c>
      <c r="S1738" s="3">
        <v>500</v>
      </c>
      <c r="T1738" s="2">
        <v>26472.505859375</v>
      </c>
      <c r="U1738" s="2">
        <v>22783.088045528631</v>
      </c>
      <c r="V1738" s="2">
        <v>7054.7722050955199</v>
      </c>
      <c r="W1738" s="2">
        <v>19651.47265625</v>
      </c>
      <c r="X1738" s="4">
        <f t="shared" si="108"/>
        <v>1.8887520609346828E-2</v>
      </c>
      <c r="Y1738" s="4">
        <f t="shared" si="109"/>
        <v>2.1946103135835844E-2</v>
      </c>
      <c r="Z1738" s="4">
        <f t="shared" si="110"/>
        <v>7.0874010593688627E-2</v>
      </c>
      <c r="AA1738" s="4">
        <f t="shared" si="111"/>
        <v>2.5443385783150398E-2</v>
      </c>
    </row>
    <row r="1739" spans="1:27" x14ac:dyDescent="0.3">
      <c r="A1739" t="s">
        <v>556</v>
      </c>
      <c r="B1739">
        <v>197583</v>
      </c>
      <c r="C1739">
        <v>2013</v>
      </c>
      <c r="D1739" t="s">
        <v>40</v>
      </c>
      <c r="E1739" t="s">
        <v>41</v>
      </c>
      <c r="F1739">
        <v>8</v>
      </c>
      <c r="G1739" t="s">
        <v>47</v>
      </c>
      <c r="H1739">
        <v>4</v>
      </c>
      <c r="I1739" t="s">
        <v>23</v>
      </c>
      <c r="J1739" t="s">
        <v>42</v>
      </c>
      <c r="K1739" t="s">
        <v>27</v>
      </c>
      <c r="L1739" t="s">
        <v>43</v>
      </c>
      <c r="M1739" t="s">
        <v>78</v>
      </c>
      <c r="N1739">
        <v>0</v>
      </c>
      <c r="S1739" s="3">
        <v>5750</v>
      </c>
      <c r="T1739" s="2">
        <v>6964.6533203125</v>
      </c>
      <c r="U1739" s="2">
        <v>12421.82151881607</v>
      </c>
      <c r="V1739" s="2">
        <v>2633.0840525376179</v>
      </c>
      <c r="W1739" s="2">
        <v>7368.37255859375</v>
      </c>
      <c r="X1739" s="4">
        <f t="shared" si="108"/>
        <v>0.82559744692963422</v>
      </c>
      <c r="Y1739" s="4">
        <f t="shared" si="109"/>
        <v>0.46289507471107466</v>
      </c>
      <c r="Z1739" s="4">
        <f t="shared" si="110"/>
        <v>2.1837510255164374</v>
      </c>
      <c r="AA1739" s="4">
        <f t="shared" si="111"/>
        <v>0.78036227868170993</v>
      </c>
    </row>
    <row r="1740" spans="1:27" x14ac:dyDescent="0.3">
      <c r="A1740" t="s">
        <v>556</v>
      </c>
      <c r="B1740">
        <v>188351</v>
      </c>
      <c r="C1740">
        <v>2008</v>
      </c>
      <c r="D1740" t="s">
        <v>44</v>
      </c>
      <c r="E1740" t="s">
        <v>117</v>
      </c>
      <c r="F1740">
        <v>6</v>
      </c>
      <c r="G1740" t="s">
        <v>47</v>
      </c>
      <c r="H1740">
        <v>4</v>
      </c>
      <c r="I1740" t="s">
        <v>23</v>
      </c>
      <c r="J1740" t="s">
        <v>24</v>
      </c>
      <c r="L1740" t="s">
        <v>218</v>
      </c>
      <c r="M1740" t="s">
        <v>33</v>
      </c>
      <c r="N1740">
        <v>0</v>
      </c>
      <c r="S1740" s="3">
        <v>850</v>
      </c>
      <c r="T1740" s="2">
        <v>2409.40966796875</v>
      </c>
      <c r="U1740" s="2">
        <v>1664.593163254269</v>
      </c>
      <c r="V1740" s="2">
        <v>1347.683320618959</v>
      </c>
      <c r="W1740" s="2">
        <v>1812.987182617188</v>
      </c>
      <c r="X1740" s="4">
        <f t="shared" si="108"/>
        <v>0.35278351012702275</v>
      </c>
      <c r="Y1740" s="4">
        <f t="shared" si="109"/>
        <v>0.51063528240032863</v>
      </c>
      <c r="Z1740" s="4">
        <f t="shared" si="110"/>
        <v>0.63071196845384658</v>
      </c>
      <c r="AA1740" s="4">
        <f t="shared" si="111"/>
        <v>0.4688394976808159</v>
      </c>
    </row>
    <row r="1741" spans="1:27" x14ac:dyDescent="0.3">
      <c r="A1741" t="s">
        <v>556</v>
      </c>
      <c r="B1741">
        <v>200499</v>
      </c>
      <c r="C1741">
        <v>2008</v>
      </c>
      <c r="D1741" t="s">
        <v>50</v>
      </c>
      <c r="E1741" t="s">
        <v>517</v>
      </c>
      <c r="F1741">
        <v>8</v>
      </c>
      <c r="G1741" t="s">
        <v>59</v>
      </c>
      <c r="H1741">
        <v>4</v>
      </c>
      <c r="I1741" t="s">
        <v>23</v>
      </c>
      <c r="J1741" t="s">
        <v>31</v>
      </c>
      <c r="K1741" t="s">
        <v>27</v>
      </c>
      <c r="L1741" t="s">
        <v>583</v>
      </c>
      <c r="M1741" t="s">
        <v>78</v>
      </c>
      <c r="N1741">
        <v>0</v>
      </c>
      <c r="S1741" s="3">
        <v>2100</v>
      </c>
      <c r="T1741" s="2">
        <v>2798.70947265625</v>
      </c>
      <c r="U1741" s="2">
        <v>2403.123942147442</v>
      </c>
      <c r="V1741" s="2">
        <v>2988.088539267254</v>
      </c>
      <c r="W1741" s="2">
        <v>2635.68701171875</v>
      </c>
      <c r="X1741" s="4">
        <f t="shared" si="108"/>
        <v>0.75034583636396313</v>
      </c>
      <c r="Y1741" s="4">
        <f t="shared" si="109"/>
        <v>0.87386254332077062</v>
      </c>
      <c r="Z1741" s="4">
        <f t="shared" si="110"/>
        <v>0.70279042016437931</v>
      </c>
      <c r="AA1741" s="4">
        <f t="shared" si="111"/>
        <v>0.79675621219932913</v>
      </c>
    </row>
    <row r="1742" spans="1:27" x14ac:dyDescent="0.3">
      <c r="A1742" t="s">
        <v>556</v>
      </c>
      <c r="B1742">
        <v>126005</v>
      </c>
      <c r="C1742">
        <v>2016</v>
      </c>
      <c r="D1742" t="s">
        <v>85</v>
      </c>
      <c r="E1742" t="s">
        <v>270</v>
      </c>
      <c r="F1742">
        <v>4</v>
      </c>
      <c r="G1742" t="s">
        <v>30</v>
      </c>
      <c r="H1742">
        <v>4</v>
      </c>
      <c r="I1742" t="s">
        <v>23</v>
      </c>
      <c r="J1742" t="s">
        <v>24</v>
      </c>
      <c r="K1742" t="s">
        <v>27</v>
      </c>
      <c r="L1742" t="s">
        <v>60</v>
      </c>
      <c r="M1742" t="s">
        <v>33</v>
      </c>
      <c r="N1742">
        <v>0</v>
      </c>
      <c r="S1742" s="3">
        <v>3750</v>
      </c>
      <c r="T1742" s="2">
        <v>5220.7177734375</v>
      </c>
      <c r="U1742" s="2">
        <v>5138.8427419148038</v>
      </c>
      <c r="V1742" s="2">
        <v>4435.290983974618</v>
      </c>
      <c r="W1742" s="2">
        <v>5178.50634765625</v>
      </c>
      <c r="X1742" s="4">
        <f t="shared" si="108"/>
        <v>0.71829203621763127</v>
      </c>
      <c r="Y1742" s="4">
        <f t="shared" si="109"/>
        <v>0.72973628272631241</v>
      </c>
      <c r="Z1742" s="4">
        <f t="shared" si="110"/>
        <v>0.84549131354612839</v>
      </c>
      <c r="AA1742" s="4">
        <f t="shared" si="111"/>
        <v>0.7241470316430566</v>
      </c>
    </row>
    <row r="1743" spans="1:27" x14ac:dyDescent="0.3">
      <c r="A1743" t="s">
        <v>556</v>
      </c>
      <c r="B1743">
        <v>187391</v>
      </c>
      <c r="C1743">
        <v>2016</v>
      </c>
      <c r="D1743" t="s">
        <v>100</v>
      </c>
      <c r="E1743" t="s">
        <v>412</v>
      </c>
      <c r="F1743">
        <v>6</v>
      </c>
      <c r="G1743" t="s">
        <v>22</v>
      </c>
      <c r="H1743">
        <v>4</v>
      </c>
      <c r="I1743" t="s">
        <v>23</v>
      </c>
      <c r="J1743" t="s">
        <v>24</v>
      </c>
      <c r="K1743" t="s">
        <v>27</v>
      </c>
      <c r="L1743" t="s">
        <v>53</v>
      </c>
      <c r="M1743" t="s">
        <v>33</v>
      </c>
      <c r="N1743">
        <v>0</v>
      </c>
      <c r="S1743" s="3">
        <v>1800</v>
      </c>
      <c r="T1743" s="2">
        <v>2355.7939453125</v>
      </c>
      <c r="U1743" s="2">
        <v>2766.5198965294148</v>
      </c>
      <c r="V1743" s="2">
        <v>3445.2208681489719</v>
      </c>
      <c r="W1743" s="2">
        <v>3434.75048828125</v>
      </c>
      <c r="X1743" s="4">
        <f t="shared" si="108"/>
        <v>0.76407361670217167</v>
      </c>
      <c r="Y1743" s="4">
        <f t="shared" si="109"/>
        <v>0.65063692556778319</v>
      </c>
      <c r="Z1743" s="4">
        <f t="shared" si="110"/>
        <v>0.52246287506295452</v>
      </c>
      <c r="AA1743" s="4">
        <f t="shared" si="111"/>
        <v>0.52405553362355595</v>
      </c>
    </row>
    <row r="1744" spans="1:27" x14ac:dyDescent="0.3">
      <c r="A1744" t="s">
        <v>556</v>
      </c>
      <c r="B1744">
        <v>143279</v>
      </c>
      <c r="C1744">
        <v>2009</v>
      </c>
      <c r="D1744" t="s">
        <v>100</v>
      </c>
      <c r="E1744" t="s">
        <v>192</v>
      </c>
      <c r="F1744">
        <v>4</v>
      </c>
      <c r="G1744" t="s">
        <v>59</v>
      </c>
      <c r="H1744">
        <v>4</v>
      </c>
      <c r="I1744" t="s">
        <v>23</v>
      </c>
      <c r="J1744" t="s">
        <v>31</v>
      </c>
      <c r="K1744" t="s">
        <v>27</v>
      </c>
      <c r="L1744" t="s">
        <v>127</v>
      </c>
      <c r="M1744" t="s">
        <v>33</v>
      </c>
      <c r="N1744">
        <v>0</v>
      </c>
      <c r="S1744" s="3">
        <v>1300</v>
      </c>
      <c r="T1744" s="2">
        <v>1018.787414550781</v>
      </c>
      <c r="U1744" s="2">
        <v>1200.089557662161</v>
      </c>
      <c r="V1744" s="2">
        <v>2283.791394278011</v>
      </c>
      <c r="W1744" s="2">
        <v>1517.908569335938</v>
      </c>
      <c r="X1744" s="4">
        <f t="shared" si="108"/>
        <v>1.2760267563505536</v>
      </c>
      <c r="Y1744" s="4">
        <f t="shared" si="109"/>
        <v>1.0832524886996515</v>
      </c>
      <c r="Z1744" s="4">
        <f t="shared" si="110"/>
        <v>0.56922887232919839</v>
      </c>
      <c r="AA1744" s="4">
        <f t="shared" si="111"/>
        <v>0.85644157116046216</v>
      </c>
    </row>
    <row r="1745" spans="1:27" x14ac:dyDescent="0.3">
      <c r="A1745" t="s">
        <v>556</v>
      </c>
      <c r="B1745">
        <v>158958</v>
      </c>
      <c r="C1745">
        <v>2015</v>
      </c>
      <c r="D1745" t="s">
        <v>54</v>
      </c>
      <c r="E1745" t="s">
        <v>275</v>
      </c>
      <c r="F1745">
        <v>6</v>
      </c>
      <c r="G1745" t="s">
        <v>22</v>
      </c>
      <c r="H1745">
        <v>4</v>
      </c>
      <c r="I1745" t="s">
        <v>23</v>
      </c>
      <c r="J1745" t="s">
        <v>24</v>
      </c>
      <c r="L1745" t="s">
        <v>301</v>
      </c>
      <c r="M1745" t="s">
        <v>33</v>
      </c>
      <c r="N1745">
        <v>0</v>
      </c>
      <c r="S1745" s="3">
        <v>4400</v>
      </c>
      <c r="T1745" s="2">
        <v>4793.73291015625</v>
      </c>
      <c r="U1745" s="2">
        <v>6192.796960480061</v>
      </c>
      <c r="V1745" s="2">
        <v>3582.9265919361192</v>
      </c>
      <c r="W1745" s="2">
        <v>5787.876953125</v>
      </c>
      <c r="X1745" s="4">
        <f t="shared" si="108"/>
        <v>0.917865071430645</v>
      </c>
      <c r="Y1745" s="4">
        <f t="shared" si="109"/>
        <v>0.71050286777994343</v>
      </c>
      <c r="Z1745" s="4">
        <f t="shared" si="110"/>
        <v>1.228046371338676</v>
      </c>
      <c r="AA1745" s="4">
        <f t="shared" si="111"/>
        <v>0.76020966506973597</v>
      </c>
    </row>
    <row r="1746" spans="1:27" x14ac:dyDescent="0.3">
      <c r="A1746" t="s">
        <v>556</v>
      </c>
      <c r="B1746">
        <v>240073</v>
      </c>
      <c r="C1746">
        <v>2019</v>
      </c>
      <c r="D1746" t="s">
        <v>187</v>
      </c>
      <c r="E1746" t="s">
        <v>188</v>
      </c>
      <c r="F1746">
        <v>4</v>
      </c>
      <c r="G1746" t="s">
        <v>36</v>
      </c>
      <c r="H1746">
        <v>4</v>
      </c>
      <c r="I1746" t="s">
        <v>23</v>
      </c>
      <c r="J1746" t="s">
        <v>24</v>
      </c>
      <c r="K1746" t="s">
        <v>27</v>
      </c>
      <c r="L1746" t="s">
        <v>102</v>
      </c>
      <c r="M1746" t="s">
        <v>23</v>
      </c>
      <c r="N1746">
        <v>0</v>
      </c>
      <c r="S1746" s="3">
        <v>5000</v>
      </c>
      <c r="T1746" s="2">
        <v>4635.83740234375</v>
      </c>
      <c r="U1746" s="2">
        <v>4390.2854690606318</v>
      </c>
      <c r="V1746" s="2">
        <v>4264.8024950718</v>
      </c>
      <c r="W1746" s="2">
        <v>3977.880859375</v>
      </c>
      <c r="X1746" s="4">
        <f t="shared" si="108"/>
        <v>1.0785537899737683</v>
      </c>
      <c r="Y1746" s="4">
        <f t="shared" si="109"/>
        <v>1.1388781060448503</v>
      </c>
      <c r="Z1746" s="4">
        <f t="shared" si="110"/>
        <v>1.172387233823315</v>
      </c>
      <c r="AA1746" s="4">
        <f t="shared" si="111"/>
        <v>1.2569506671412964</v>
      </c>
    </row>
    <row r="1747" spans="1:27" x14ac:dyDescent="0.3">
      <c r="A1747" t="s">
        <v>556</v>
      </c>
      <c r="B1747">
        <v>202106</v>
      </c>
      <c r="C1747">
        <v>2013</v>
      </c>
      <c r="D1747" t="s">
        <v>44</v>
      </c>
      <c r="E1747" t="s">
        <v>117</v>
      </c>
      <c r="F1747">
        <v>4</v>
      </c>
      <c r="G1747" t="s">
        <v>66</v>
      </c>
      <c r="H1747">
        <v>4</v>
      </c>
      <c r="I1747" t="s">
        <v>23</v>
      </c>
      <c r="J1747" t="s">
        <v>62</v>
      </c>
      <c r="K1747" t="s">
        <v>27</v>
      </c>
      <c r="L1747" t="s">
        <v>96</v>
      </c>
      <c r="M1747" t="s">
        <v>33</v>
      </c>
      <c r="N1747">
        <v>0</v>
      </c>
      <c r="S1747" s="3">
        <v>1500</v>
      </c>
      <c r="T1747" s="2">
        <v>2617.109619140625</v>
      </c>
      <c r="U1747" s="2">
        <v>1758.7830726898251</v>
      </c>
      <c r="V1747" s="2">
        <v>1980.040263124569</v>
      </c>
      <c r="W1747" s="2">
        <v>1635.956665039062</v>
      </c>
      <c r="X1747" s="4">
        <f t="shared" si="108"/>
        <v>0.57315138388912878</v>
      </c>
      <c r="Y1747" s="4">
        <f t="shared" si="109"/>
        <v>0.85286242703368143</v>
      </c>
      <c r="Z1747" s="4">
        <f t="shared" si="110"/>
        <v>0.75756035265310739</v>
      </c>
      <c r="AA1747" s="4">
        <f t="shared" si="111"/>
        <v>0.91689470268711804</v>
      </c>
    </row>
    <row r="1748" spans="1:27" x14ac:dyDescent="0.3">
      <c r="A1748" t="s">
        <v>461</v>
      </c>
      <c r="B1748">
        <v>114127</v>
      </c>
      <c r="C1748">
        <v>2019</v>
      </c>
      <c r="D1748" t="s">
        <v>44</v>
      </c>
      <c r="E1748" t="s">
        <v>176</v>
      </c>
      <c r="F1748">
        <v>4</v>
      </c>
      <c r="G1748" t="s">
        <v>36</v>
      </c>
      <c r="H1748">
        <v>4</v>
      </c>
      <c r="I1748" t="s">
        <v>23</v>
      </c>
      <c r="J1748" t="s">
        <v>62</v>
      </c>
      <c r="L1748" t="s">
        <v>96</v>
      </c>
      <c r="M1748" t="s">
        <v>33</v>
      </c>
      <c r="N1748">
        <v>0</v>
      </c>
      <c r="O1748" t="s">
        <v>27</v>
      </c>
      <c r="S1748" s="3">
        <v>8000</v>
      </c>
      <c r="T1748" s="2">
        <v>12634.5693359375</v>
      </c>
      <c r="U1748" s="2">
        <v>10940.96676109801</v>
      </c>
      <c r="V1748" s="2">
        <v>8681.6355178349986</v>
      </c>
      <c r="W1748" s="2">
        <v>10186.62890625</v>
      </c>
      <c r="X1748" s="4">
        <f t="shared" si="108"/>
        <v>0.63318343406015198</v>
      </c>
      <c r="Y1748" s="4">
        <f t="shared" si="109"/>
        <v>0.73119681054557362</v>
      </c>
      <c r="Z1748" s="4">
        <f t="shared" si="110"/>
        <v>0.92148535648211793</v>
      </c>
      <c r="AA1748" s="4">
        <f t="shared" si="111"/>
        <v>0.78534322528345024</v>
      </c>
    </row>
    <row r="1749" spans="1:27" x14ac:dyDescent="0.3">
      <c r="A1749" t="s">
        <v>461</v>
      </c>
      <c r="B1749">
        <v>127744</v>
      </c>
      <c r="C1749">
        <v>2006</v>
      </c>
      <c r="D1749" t="s">
        <v>90</v>
      </c>
      <c r="E1749" t="s">
        <v>584</v>
      </c>
      <c r="F1749">
        <v>8</v>
      </c>
      <c r="G1749" t="s">
        <v>59</v>
      </c>
      <c r="H1749">
        <v>4</v>
      </c>
      <c r="I1749" t="s">
        <v>23</v>
      </c>
      <c r="J1749" t="s">
        <v>31</v>
      </c>
      <c r="K1749" t="s">
        <v>27</v>
      </c>
      <c r="L1749" t="s">
        <v>149</v>
      </c>
      <c r="M1749" t="s">
        <v>23</v>
      </c>
      <c r="N1749">
        <v>0</v>
      </c>
      <c r="O1749" t="s">
        <v>27</v>
      </c>
      <c r="S1749" s="3">
        <v>1600</v>
      </c>
      <c r="T1749" s="2">
        <v>3285.3037109375</v>
      </c>
      <c r="U1749" s="2">
        <v>2249.5367687493381</v>
      </c>
      <c r="V1749" s="2">
        <v>2024.9807745418091</v>
      </c>
      <c r="W1749" s="2">
        <v>2760.040771484375</v>
      </c>
      <c r="X1749" s="4">
        <f t="shared" si="108"/>
        <v>0.48701737823302221</v>
      </c>
      <c r="Y1749" s="4">
        <f t="shared" si="109"/>
        <v>0.71125754520987128</v>
      </c>
      <c r="Z1749" s="4">
        <f t="shared" si="110"/>
        <v>0.79013095833565672</v>
      </c>
      <c r="AA1749" s="4">
        <f t="shared" si="111"/>
        <v>0.57970158141522865</v>
      </c>
    </row>
    <row r="1750" spans="1:27" x14ac:dyDescent="0.3">
      <c r="A1750" t="s">
        <v>461</v>
      </c>
      <c r="B1750">
        <v>146605</v>
      </c>
      <c r="C1750">
        <v>2011</v>
      </c>
      <c r="D1750" t="s">
        <v>125</v>
      </c>
      <c r="E1750" t="s">
        <v>126</v>
      </c>
      <c r="F1750">
        <v>4</v>
      </c>
      <c r="G1750" t="s">
        <v>36</v>
      </c>
      <c r="H1750">
        <v>4</v>
      </c>
      <c r="I1750" t="s">
        <v>23</v>
      </c>
      <c r="J1750" t="s">
        <v>31</v>
      </c>
      <c r="K1750" t="s">
        <v>27</v>
      </c>
      <c r="L1750" t="s">
        <v>32</v>
      </c>
      <c r="M1750" t="s">
        <v>33</v>
      </c>
      <c r="N1750">
        <v>0</v>
      </c>
      <c r="O1750" t="s">
        <v>27</v>
      </c>
      <c r="S1750" s="3">
        <v>2250</v>
      </c>
      <c r="T1750" s="2">
        <v>3206.345458984375</v>
      </c>
      <c r="U1750" s="2">
        <v>3058.7383837831921</v>
      </c>
      <c r="V1750" s="2">
        <v>2545.712737347023</v>
      </c>
      <c r="W1750" s="2">
        <v>3433.44384765625</v>
      </c>
      <c r="X1750" s="4">
        <f t="shared" si="108"/>
        <v>0.70173349340613411</v>
      </c>
      <c r="Y1750" s="4">
        <f t="shared" si="109"/>
        <v>0.7355973992182665</v>
      </c>
      <c r="Z1750" s="4">
        <f t="shared" si="110"/>
        <v>0.88383892141137821</v>
      </c>
      <c r="AA1750" s="4">
        <f t="shared" si="111"/>
        <v>0.6553187120086158</v>
      </c>
    </row>
    <row r="1751" spans="1:27" x14ac:dyDescent="0.3">
      <c r="A1751" t="s">
        <v>461</v>
      </c>
      <c r="B1751">
        <v>214261</v>
      </c>
      <c r="C1751">
        <v>2008</v>
      </c>
      <c r="D1751" t="s">
        <v>44</v>
      </c>
      <c r="E1751" t="s">
        <v>68</v>
      </c>
      <c r="F1751">
        <v>6</v>
      </c>
      <c r="G1751" t="s">
        <v>47</v>
      </c>
      <c r="H1751">
        <v>4</v>
      </c>
      <c r="I1751" t="s">
        <v>23</v>
      </c>
      <c r="J1751" t="s">
        <v>24</v>
      </c>
      <c r="L1751" t="s">
        <v>348</v>
      </c>
      <c r="M1751" t="s">
        <v>78</v>
      </c>
      <c r="N1751">
        <v>0</v>
      </c>
      <c r="O1751" t="s">
        <v>27</v>
      </c>
      <c r="S1751" s="3">
        <v>1800</v>
      </c>
      <c r="T1751" s="2">
        <v>2370.31494140625</v>
      </c>
      <c r="U1751" s="2">
        <v>3020.9760533700351</v>
      </c>
      <c r="V1751" s="2">
        <v>1603.5726439990719</v>
      </c>
      <c r="W1751" s="2">
        <v>2333.758056640625</v>
      </c>
      <c r="X1751" s="4">
        <f t="shared" si="108"/>
        <v>0.75939275771181025</v>
      </c>
      <c r="Y1751" s="4">
        <f t="shared" si="109"/>
        <v>0.59583391864097002</v>
      </c>
      <c r="Z1751" s="4">
        <f t="shared" si="110"/>
        <v>1.1224935812767842</v>
      </c>
      <c r="AA1751" s="4">
        <f t="shared" si="111"/>
        <v>0.77128817825745233</v>
      </c>
    </row>
    <row r="1752" spans="1:27" x14ac:dyDescent="0.3">
      <c r="A1752" t="s">
        <v>461</v>
      </c>
      <c r="B1752">
        <v>152907</v>
      </c>
      <c r="C1752">
        <v>2007</v>
      </c>
      <c r="D1752" t="s">
        <v>28</v>
      </c>
      <c r="E1752" t="s">
        <v>220</v>
      </c>
      <c r="F1752">
        <v>6</v>
      </c>
      <c r="G1752" t="s">
        <v>30</v>
      </c>
      <c r="H1752">
        <v>4</v>
      </c>
      <c r="I1752" t="s">
        <v>23</v>
      </c>
      <c r="J1752" t="s">
        <v>24</v>
      </c>
      <c r="L1752" t="s">
        <v>53</v>
      </c>
      <c r="M1752" t="s">
        <v>33</v>
      </c>
      <c r="N1752">
        <v>0</v>
      </c>
      <c r="O1752" t="s">
        <v>27</v>
      </c>
      <c r="S1752" s="3">
        <v>3750</v>
      </c>
      <c r="T1752" s="2">
        <v>4009.20361328125</v>
      </c>
      <c r="U1752" s="2">
        <v>4448.8685767591396</v>
      </c>
      <c r="V1752" s="2">
        <v>2410.720790337698</v>
      </c>
      <c r="W1752" s="2">
        <v>3907.560546875</v>
      </c>
      <c r="X1752" s="4">
        <f t="shared" si="108"/>
        <v>0.93534785501474937</v>
      </c>
      <c r="Y1752" s="4">
        <f t="shared" si="109"/>
        <v>0.84291094135483691</v>
      </c>
      <c r="Z1752" s="4">
        <f t="shared" si="110"/>
        <v>1.5555513583448597</v>
      </c>
      <c r="AA1752" s="4">
        <f t="shared" si="111"/>
        <v>0.95967802802159874</v>
      </c>
    </row>
    <row r="1753" spans="1:27" x14ac:dyDescent="0.3">
      <c r="A1753" t="s">
        <v>461</v>
      </c>
      <c r="B1753">
        <v>203228</v>
      </c>
      <c r="C1753">
        <v>2008</v>
      </c>
      <c r="D1753" t="s">
        <v>100</v>
      </c>
      <c r="E1753" t="s">
        <v>445</v>
      </c>
      <c r="F1753">
        <v>6</v>
      </c>
      <c r="G1753" t="s">
        <v>22</v>
      </c>
      <c r="H1753">
        <v>4</v>
      </c>
      <c r="I1753" t="s">
        <v>23</v>
      </c>
      <c r="J1753" t="s">
        <v>24</v>
      </c>
      <c r="K1753" t="s">
        <v>27</v>
      </c>
      <c r="L1753" t="s">
        <v>348</v>
      </c>
      <c r="M1753" t="s">
        <v>78</v>
      </c>
      <c r="N1753">
        <v>0</v>
      </c>
      <c r="O1753" t="s">
        <v>27</v>
      </c>
      <c r="S1753" s="3">
        <v>2000</v>
      </c>
      <c r="T1753" s="2">
        <v>1405.919677734375</v>
      </c>
      <c r="U1753" s="2">
        <v>2016.267091027667</v>
      </c>
      <c r="V1753" s="2">
        <v>479.51174461580922</v>
      </c>
      <c r="W1753" s="2">
        <v>1913.652954101562</v>
      </c>
      <c r="X1753" s="4">
        <f t="shared" si="108"/>
        <v>1.4225563747873415</v>
      </c>
      <c r="Y1753" s="4">
        <f t="shared" si="109"/>
        <v>0.99193207531876348</v>
      </c>
      <c r="Z1753" s="4">
        <f t="shared" si="110"/>
        <v>4.1709093102660599</v>
      </c>
      <c r="AA1753" s="4">
        <f t="shared" si="111"/>
        <v>1.0451215805422656</v>
      </c>
    </row>
    <row r="1754" spans="1:27" x14ac:dyDescent="0.3">
      <c r="A1754" t="s">
        <v>461</v>
      </c>
      <c r="B1754">
        <v>171021</v>
      </c>
      <c r="C1754">
        <v>2022</v>
      </c>
      <c r="D1754" t="s">
        <v>44</v>
      </c>
      <c r="E1754" t="s">
        <v>45</v>
      </c>
      <c r="F1754">
        <v>6</v>
      </c>
      <c r="G1754" t="s">
        <v>66</v>
      </c>
      <c r="H1754">
        <v>4</v>
      </c>
      <c r="I1754" t="s">
        <v>23</v>
      </c>
      <c r="J1754" t="s">
        <v>46</v>
      </c>
      <c r="K1754" t="s">
        <v>27</v>
      </c>
      <c r="L1754" t="s">
        <v>38</v>
      </c>
      <c r="M1754">
        <v>4</v>
      </c>
      <c r="N1754">
        <v>0</v>
      </c>
      <c r="O1754" t="s">
        <v>27</v>
      </c>
      <c r="S1754" s="3">
        <v>15900</v>
      </c>
      <c r="T1754" s="2">
        <v>21607.8828125</v>
      </c>
      <c r="U1754" s="2">
        <v>20278.79413192545</v>
      </c>
      <c r="V1754" s="2">
        <v>23675.903684898429</v>
      </c>
      <c r="W1754" s="2">
        <v>17352.904296875</v>
      </c>
      <c r="X1754" s="4">
        <f t="shared" si="108"/>
        <v>0.73584256902772394</v>
      </c>
      <c r="Y1754" s="4">
        <f t="shared" si="109"/>
        <v>0.78407029020370611</v>
      </c>
      <c r="Z1754" s="4">
        <f t="shared" si="110"/>
        <v>0.67156887490388573</v>
      </c>
      <c r="AA1754" s="4">
        <f t="shared" si="111"/>
        <v>0.91627313376374431</v>
      </c>
    </row>
    <row r="1755" spans="1:27" x14ac:dyDescent="0.3">
      <c r="A1755" t="s">
        <v>461</v>
      </c>
      <c r="B1755">
        <v>155423</v>
      </c>
      <c r="C1755">
        <v>2011</v>
      </c>
      <c r="D1755" t="s">
        <v>74</v>
      </c>
      <c r="E1755" t="s">
        <v>399</v>
      </c>
      <c r="F1755">
        <v>6</v>
      </c>
      <c r="G1755" t="s">
        <v>36</v>
      </c>
      <c r="H1755">
        <v>4</v>
      </c>
      <c r="I1755" t="s">
        <v>23</v>
      </c>
      <c r="J1755" t="s">
        <v>42</v>
      </c>
      <c r="L1755" t="s">
        <v>255</v>
      </c>
      <c r="M1755">
        <v>4</v>
      </c>
      <c r="N1755">
        <v>0</v>
      </c>
      <c r="O1755" t="s">
        <v>27</v>
      </c>
      <c r="S1755" s="3">
        <v>19600</v>
      </c>
      <c r="T1755" s="2">
        <v>14171.34375</v>
      </c>
      <c r="U1755" s="2">
        <v>11333.58991624382</v>
      </c>
      <c r="V1755" s="2">
        <v>12555.284612418071</v>
      </c>
      <c r="W1755" s="2">
        <v>11853.8779296875</v>
      </c>
      <c r="X1755" s="4">
        <f t="shared" si="108"/>
        <v>1.3830727943495125</v>
      </c>
      <c r="Y1755" s="4">
        <f t="shared" si="109"/>
        <v>1.7293726122831021</v>
      </c>
      <c r="Z1755" s="4">
        <f t="shared" si="110"/>
        <v>1.5610956346313491</v>
      </c>
      <c r="AA1755" s="4">
        <f t="shared" si="111"/>
        <v>1.6534673392335759</v>
      </c>
    </row>
    <row r="1756" spans="1:27" x14ac:dyDescent="0.3">
      <c r="A1756" t="s">
        <v>461</v>
      </c>
      <c r="B1756">
        <v>153626</v>
      </c>
      <c r="C1756">
        <v>2006</v>
      </c>
      <c r="D1756" t="s">
        <v>100</v>
      </c>
      <c r="E1756" t="s">
        <v>358</v>
      </c>
      <c r="F1756">
        <v>6</v>
      </c>
      <c r="G1756" t="s">
        <v>30</v>
      </c>
      <c r="H1756">
        <v>4</v>
      </c>
      <c r="I1756" t="s">
        <v>23</v>
      </c>
      <c r="J1756" t="s">
        <v>24</v>
      </c>
      <c r="L1756" t="s">
        <v>53</v>
      </c>
      <c r="M1756" t="s">
        <v>33</v>
      </c>
      <c r="N1756">
        <v>0</v>
      </c>
      <c r="S1756" s="3">
        <v>400</v>
      </c>
      <c r="T1756" s="2">
        <v>1600.738525390625</v>
      </c>
      <c r="U1756" s="2">
        <v>1927.6922766382249</v>
      </c>
      <c r="V1756" s="2">
        <v>962.36676193732274</v>
      </c>
      <c r="W1756" s="2">
        <v>2172.606689453125</v>
      </c>
      <c r="X1756" s="4">
        <f t="shared" si="108"/>
        <v>0.24988465864678855</v>
      </c>
      <c r="Y1756" s="4">
        <f t="shared" si="109"/>
        <v>0.20750199855423762</v>
      </c>
      <c r="Z1756" s="4">
        <f t="shared" si="110"/>
        <v>0.4156419525491169</v>
      </c>
      <c r="AA1756" s="4">
        <f t="shared" si="111"/>
        <v>0.1841106362885615</v>
      </c>
    </row>
    <row r="1757" spans="1:27" x14ac:dyDescent="0.3">
      <c r="A1757" t="s">
        <v>461</v>
      </c>
      <c r="B1757">
        <v>289529</v>
      </c>
      <c r="C1757">
        <v>2012</v>
      </c>
      <c r="D1757" t="s">
        <v>74</v>
      </c>
      <c r="E1757" t="s">
        <v>75</v>
      </c>
      <c r="F1757">
        <v>8</v>
      </c>
      <c r="G1757" t="s">
        <v>36</v>
      </c>
      <c r="H1757">
        <v>4</v>
      </c>
      <c r="I1757" t="s">
        <v>23</v>
      </c>
      <c r="J1757" t="s">
        <v>94</v>
      </c>
      <c r="L1757" t="s">
        <v>84</v>
      </c>
      <c r="M1757" t="s">
        <v>78</v>
      </c>
      <c r="N1757">
        <v>0</v>
      </c>
      <c r="O1757" t="s">
        <v>27</v>
      </c>
      <c r="S1757" s="3">
        <v>1500</v>
      </c>
      <c r="T1757" s="2">
        <v>3474.29296875</v>
      </c>
      <c r="U1757" s="2">
        <v>3586.7534256083468</v>
      </c>
      <c r="V1757" s="2">
        <v>6552.8982851668743</v>
      </c>
      <c r="W1757" s="2">
        <v>3521.390625</v>
      </c>
      <c r="X1757" s="4">
        <f t="shared" si="108"/>
        <v>0.43174251955490045</v>
      </c>
      <c r="Y1757" s="4">
        <f t="shared" si="109"/>
        <v>0.41820549728633383</v>
      </c>
      <c r="Z1757" s="4">
        <f t="shared" si="110"/>
        <v>0.22890634566927379</v>
      </c>
      <c r="AA1757" s="4">
        <f t="shared" si="111"/>
        <v>0.42596807901707867</v>
      </c>
    </row>
    <row r="1758" spans="1:27" x14ac:dyDescent="0.3">
      <c r="A1758" t="s">
        <v>461</v>
      </c>
      <c r="B1758">
        <v>186281</v>
      </c>
      <c r="C1758">
        <v>2007</v>
      </c>
      <c r="D1758" t="s">
        <v>34</v>
      </c>
      <c r="E1758" t="s">
        <v>262</v>
      </c>
      <c r="F1758">
        <v>8</v>
      </c>
      <c r="G1758" t="s">
        <v>59</v>
      </c>
      <c r="H1758">
        <v>4</v>
      </c>
      <c r="I1758" t="s">
        <v>23</v>
      </c>
      <c r="J1758" t="s">
        <v>46</v>
      </c>
      <c r="L1758" t="s">
        <v>354</v>
      </c>
      <c r="M1758" t="s">
        <v>78</v>
      </c>
      <c r="N1758">
        <v>0</v>
      </c>
      <c r="S1758" s="3">
        <v>7300</v>
      </c>
      <c r="T1758" s="2">
        <v>6563.77001953125</v>
      </c>
      <c r="U1758" s="2">
        <v>6526.103058306524</v>
      </c>
      <c r="V1758" s="2">
        <v>4105.8845052846318</v>
      </c>
      <c r="W1758" s="2">
        <v>5866.26953125</v>
      </c>
      <c r="X1758" s="4">
        <f t="shared" si="108"/>
        <v>1.1121657185242648</v>
      </c>
      <c r="Y1758" s="4">
        <f t="shared" si="109"/>
        <v>1.1185848483818299</v>
      </c>
      <c r="Z1758" s="4">
        <f t="shared" si="110"/>
        <v>1.7779360307393601</v>
      </c>
      <c r="AA1758" s="4">
        <f t="shared" si="111"/>
        <v>1.244402419819346</v>
      </c>
    </row>
    <row r="1759" spans="1:27" x14ac:dyDescent="0.3">
      <c r="A1759" t="s">
        <v>461</v>
      </c>
      <c r="B1759">
        <v>76165</v>
      </c>
      <c r="C1759">
        <v>2014</v>
      </c>
      <c r="D1759" t="s">
        <v>282</v>
      </c>
      <c r="E1759" t="s">
        <v>283</v>
      </c>
      <c r="F1759">
        <v>6</v>
      </c>
      <c r="G1759" t="s">
        <v>47</v>
      </c>
      <c r="H1759">
        <v>4</v>
      </c>
      <c r="I1759" t="s">
        <v>23</v>
      </c>
      <c r="J1759" t="s">
        <v>37</v>
      </c>
      <c r="K1759" t="s">
        <v>27</v>
      </c>
      <c r="L1759" t="s">
        <v>128</v>
      </c>
      <c r="M1759" t="s">
        <v>78</v>
      </c>
      <c r="N1759">
        <v>0</v>
      </c>
      <c r="S1759" s="3">
        <v>11500</v>
      </c>
      <c r="T1759" s="2">
        <v>13892.5966796875</v>
      </c>
      <c r="U1759" s="2">
        <v>14731.41372733161</v>
      </c>
      <c r="V1759" s="2">
        <v>13267.26164574874</v>
      </c>
      <c r="W1759" s="2">
        <v>14278.9951171875</v>
      </c>
      <c r="X1759" s="4">
        <f t="shared" si="108"/>
        <v>0.82777901533802256</v>
      </c>
      <c r="Y1759" s="4">
        <f t="shared" si="109"/>
        <v>0.78064469662295366</v>
      </c>
      <c r="Z1759" s="4">
        <f t="shared" si="110"/>
        <v>0.86679529710526004</v>
      </c>
      <c r="AA1759" s="4">
        <f t="shared" si="111"/>
        <v>0.80537880331351552</v>
      </c>
    </row>
    <row r="1760" spans="1:27" x14ac:dyDescent="0.3">
      <c r="A1760" t="s">
        <v>461</v>
      </c>
      <c r="B1760">
        <v>123716</v>
      </c>
      <c r="C1760">
        <v>2019</v>
      </c>
      <c r="D1760" t="s">
        <v>159</v>
      </c>
      <c r="E1760" t="s">
        <v>383</v>
      </c>
      <c r="F1760">
        <v>6</v>
      </c>
      <c r="G1760" t="s">
        <v>36</v>
      </c>
      <c r="H1760">
        <v>4</v>
      </c>
      <c r="I1760" t="s">
        <v>23</v>
      </c>
      <c r="J1760" t="s">
        <v>62</v>
      </c>
      <c r="K1760" t="s">
        <v>27</v>
      </c>
      <c r="L1760" t="s">
        <v>38</v>
      </c>
      <c r="M1760">
        <v>4</v>
      </c>
      <c r="N1760">
        <v>0</v>
      </c>
      <c r="O1760" t="s">
        <v>27</v>
      </c>
      <c r="S1760" s="3">
        <v>21500</v>
      </c>
      <c r="T1760" s="2">
        <v>17242.025390625</v>
      </c>
      <c r="U1760" s="2">
        <v>20774.295913677259</v>
      </c>
      <c r="V1760" s="2">
        <v>21871.801155328099</v>
      </c>
      <c r="W1760" s="2">
        <v>17017.57421875</v>
      </c>
      <c r="X1760" s="4">
        <f t="shared" si="108"/>
        <v>1.2469532733486279</v>
      </c>
      <c r="Y1760" s="4">
        <f t="shared" si="109"/>
        <v>1.0349327885449517</v>
      </c>
      <c r="Z1760" s="4">
        <f t="shared" si="110"/>
        <v>0.98300088992727852</v>
      </c>
      <c r="AA1760" s="4">
        <f t="shared" si="111"/>
        <v>1.2633998079650655</v>
      </c>
    </row>
    <row r="1761" spans="1:27" x14ac:dyDescent="0.3">
      <c r="A1761" t="s">
        <v>461</v>
      </c>
      <c r="B1761">
        <v>129217</v>
      </c>
      <c r="C1761">
        <v>2015</v>
      </c>
      <c r="D1761" t="s">
        <v>44</v>
      </c>
      <c r="E1761" t="s">
        <v>203</v>
      </c>
      <c r="F1761">
        <v>4</v>
      </c>
      <c r="G1761" t="s">
        <v>66</v>
      </c>
      <c r="H1761">
        <v>4</v>
      </c>
      <c r="I1761" t="s">
        <v>23</v>
      </c>
      <c r="J1761" t="s">
        <v>37</v>
      </c>
      <c r="K1761" t="s">
        <v>27</v>
      </c>
      <c r="L1761" t="s">
        <v>118</v>
      </c>
      <c r="M1761" t="s">
        <v>33</v>
      </c>
      <c r="N1761">
        <v>0</v>
      </c>
      <c r="O1761" t="s">
        <v>27</v>
      </c>
      <c r="S1761" s="3">
        <v>750</v>
      </c>
      <c r="T1761" s="2">
        <v>3635.807861328125</v>
      </c>
      <c r="U1761" s="2">
        <v>3999.9160725785769</v>
      </c>
      <c r="V1761" s="2">
        <v>3729.715980246584</v>
      </c>
      <c r="W1761" s="2">
        <v>2877.8486328125</v>
      </c>
      <c r="X1761" s="4">
        <f t="shared" si="108"/>
        <v>0.20628152768392782</v>
      </c>
      <c r="Y1761" s="4">
        <f t="shared" si="109"/>
        <v>0.1875039341804256</v>
      </c>
      <c r="Z1761" s="4">
        <f t="shared" si="110"/>
        <v>0.2010876978226141</v>
      </c>
      <c r="AA1761" s="4">
        <f t="shared" si="111"/>
        <v>0.2606113439910252</v>
      </c>
    </row>
    <row r="1762" spans="1:27" x14ac:dyDescent="0.3">
      <c r="A1762" t="s">
        <v>461</v>
      </c>
      <c r="B1762">
        <v>110882</v>
      </c>
      <c r="C1762">
        <v>2017</v>
      </c>
      <c r="D1762" t="s">
        <v>125</v>
      </c>
      <c r="E1762" t="s">
        <v>306</v>
      </c>
      <c r="F1762">
        <v>4</v>
      </c>
      <c r="G1762" t="s">
        <v>36</v>
      </c>
      <c r="H1762">
        <v>4</v>
      </c>
      <c r="I1762" t="s">
        <v>23</v>
      </c>
      <c r="J1762" t="s">
        <v>24</v>
      </c>
      <c r="K1762" t="s">
        <v>27</v>
      </c>
      <c r="L1762" t="s">
        <v>60</v>
      </c>
      <c r="M1762" t="s">
        <v>33</v>
      </c>
      <c r="N1762">
        <v>0</v>
      </c>
      <c r="O1762" t="s">
        <v>27</v>
      </c>
      <c r="S1762" s="3">
        <v>6500</v>
      </c>
      <c r="T1762" s="2">
        <v>7550.30322265625</v>
      </c>
      <c r="U1762" s="2">
        <v>7878.8609258119704</v>
      </c>
      <c r="V1762" s="2">
        <v>6472.5178075841832</v>
      </c>
      <c r="W1762" s="2">
        <v>8046.81591796875</v>
      </c>
      <c r="X1762" s="4">
        <f t="shared" si="108"/>
        <v>0.86089257720079404</v>
      </c>
      <c r="Y1762" s="4">
        <f t="shared" si="109"/>
        <v>0.82499235120464198</v>
      </c>
      <c r="Z1762" s="4">
        <f t="shared" si="110"/>
        <v>1.0042459817389169</v>
      </c>
      <c r="AA1762" s="4">
        <f t="shared" si="111"/>
        <v>0.80777292114826815</v>
      </c>
    </row>
    <row r="1763" spans="1:27" x14ac:dyDescent="0.3">
      <c r="A1763" t="s">
        <v>461</v>
      </c>
      <c r="B1763">
        <v>143229</v>
      </c>
      <c r="C1763">
        <v>2012</v>
      </c>
      <c r="D1763" t="s">
        <v>71</v>
      </c>
      <c r="E1763" t="s">
        <v>494</v>
      </c>
      <c r="F1763">
        <v>4</v>
      </c>
      <c r="G1763" t="s">
        <v>66</v>
      </c>
      <c r="H1763">
        <v>4</v>
      </c>
      <c r="I1763" t="s">
        <v>23</v>
      </c>
      <c r="J1763" t="s">
        <v>31</v>
      </c>
      <c r="K1763" t="s">
        <v>27</v>
      </c>
      <c r="L1763" t="s">
        <v>60</v>
      </c>
      <c r="M1763" t="s">
        <v>33</v>
      </c>
      <c r="N1763">
        <v>0</v>
      </c>
      <c r="O1763" t="s">
        <v>27</v>
      </c>
      <c r="S1763" s="3">
        <v>800</v>
      </c>
      <c r="T1763" s="2">
        <v>4758.63916015625</v>
      </c>
      <c r="U1763" s="2">
        <v>3573.8074301782208</v>
      </c>
      <c r="V1763" s="2">
        <v>3684.7933424058788</v>
      </c>
      <c r="W1763" s="2">
        <v>4192.8330078125</v>
      </c>
      <c r="X1763" s="4">
        <f t="shared" si="108"/>
        <v>0.16811528949249685</v>
      </c>
      <c r="Y1763" s="4">
        <f t="shared" si="109"/>
        <v>0.22385089729361973</v>
      </c>
      <c r="Z1763" s="4">
        <f t="shared" si="110"/>
        <v>0.21710851210930143</v>
      </c>
      <c r="AA1763" s="4">
        <f t="shared" si="111"/>
        <v>0.19080177972968662</v>
      </c>
    </row>
    <row r="1764" spans="1:27" x14ac:dyDescent="0.3">
      <c r="A1764" t="s">
        <v>461</v>
      </c>
      <c r="B1764">
        <v>278535</v>
      </c>
      <c r="C1764">
        <v>2004</v>
      </c>
      <c r="D1764" t="s">
        <v>282</v>
      </c>
      <c r="E1764" t="s">
        <v>585</v>
      </c>
      <c r="F1764">
        <v>6</v>
      </c>
      <c r="G1764" t="s">
        <v>36</v>
      </c>
      <c r="H1764">
        <v>4</v>
      </c>
      <c r="I1764" t="s">
        <v>23</v>
      </c>
      <c r="J1764" t="s">
        <v>62</v>
      </c>
      <c r="K1764" t="s">
        <v>27</v>
      </c>
      <c r="L1764" t="s">
        <v>235</v>
      </c>
      <c r="M1764" t="s">
        <v>33</v>
      </c>
      <c r="N1764">
        <v>0</v>
      </c>
      <c r="O1764" t="s">
        <v>27</v>
      </c>
      <c r="S1764" s="3">
        <v>2300</v>
      </c>
      <c r="T1764" s="2">
        <v>2180.266357421875</v>
      </c>
      <c r="U1764" s="2">
        <v>2708.8749211944159</v>
      </c>
      <c r="V1764" s="2">
        <v>1034.40623239514</v>
      </c>
      <c r="W1764" s="2">
        <v>2241.046630859375</v>
      </c>
      <c r="X1764" s="4">
        <f t="shared" si="108"/>
        <v>1.0549169793729734</v>
      </c>
      <c r="Y1764" s="4">
        <f t="shared" si="109"/>
        <v>0.84906098173992772</v>
      </c>
      <c r="Z1764" s="4">
        <f t="shared" si="110"/>
        <v>2.2234978173656317</v>
      </c>
      <c r="AA1764" s="4">
        <f t="shared" si="111"/>
        <v>1.0263061769125339</v>
      </c>
    </row>
    <row r="1765" spans="1:27" x14ac:dyDescent="0.3">
      <c r="A1765" t="s">
        <v>461</v>
      </c>
      <c r="B1765">
        <v>263593</v>
      </c>
      <c r="C1765">
        <v>2004</v>
      </c>
      <c r="D1765" t="s">
        <v>282</v>
      </c>
      <c r="E1765" t="s">
        <v>585</v>
      </c>
      <c r="F1765">
        <v>6</v>
      </c>
      <c r="G1765" t="s">
        <v>59</v>
      </c>
      <c r="H1765">
        <v>4</v>
      </c>
      <c r="I1765" t="s">
        <v>23</v>
      </c>
      <c r="J1765" t="s">
        <v>62</v>
      </c>
      <c r="K1765" t="s">
        <v>27</v>
      </c>
      <c r="L1765" t="s">
        <v>235</v>
      </c>
      <c r="M1765" t="s">
        <v>23</v>
      </c>
      <c r="N1765">
        <v>0</v>
      </c>
      <c r="O1765" t="s">
        <v>27</v>
      </c>
      <c r="S1765" s="3">
        <v>2000</v>
      </c>
      <c r="T1765" s="2">
        <v>2169.614990234375</v>
      </c>
      <c r="U1765" s="2">
        <v>2244.8096020292578</v>
      </c>
      <c r="V1765" s="2">
        <v>1726.755188240742</v>
      </c>
      <c r="W1765" s="2">
        <v>2206.736083984375</v>
      </c>
      <c r="X1765" s="4">
        <f t="shared" si="108"/>
        <v>0.9218225394838131</v>
      </c>
      <c r="Y1765" s="4">
        <f t="shared" si="109"/>
        <v>0.89094415766577473</v>
      </c>
      <c r="Z1765" s="4">
        <f t="shared" si="110"/>
        <v>1.1582417783482359</v>
      </c>
      <c r="AA1765" s="4">
        <f t="shared" si="111"/>
        <v>0.9063158999914922</v>
      </c>
    </row>
    <row r="1766" spans="1:27" x14ac:dyDescent="0.3">
      <c r="A1766" t="s">
        <v>461</v>
      </c>
      <c r="B1766">
        <v>67855</v>
      </c>
      <c r="C1766">
        <v>2015</v>
      </c>
      <c r="D1766" t="s">
        <v>71</v>
      </c>
      <c r="E1766" t="s">
        <v>72</v>
      </c>
      <c r="F1766">
        <v>4</v>
      </c>
      <c r="G1766" t="s">
        <v>30</v>
      </c>
      <c r="H1766">
        <v>4</v>
      </c>
      <c r="I1766" t="s">
        <v>23</v>
      </c>
      <c r="J1766" t="s">
        <v>24</v>
      </c>
      <c r="K1766" t="s">
        <v>27</v>
      </c>
      <c r="L1766" t="s">
        <v>73</v>
      </c>
      <c r="M1766" t="s">
        <v>33</v>
      </c>
      <c r="N1766">
        <v>0</v>
      </c>
      <c r="O1766" t="s">
        <v>123</v>
      </c>
      <c r="S1766" s="3">
        <v>2100</v>
      </c>
      <c r="T1766" s="2">
        <v>9489.7216796875</v>
      </c>
      <c r="U1766" s="2">
        <v>4582.703045795507</v>
      </c>
      <c r="V1766" s="2">
        <v>3743.94151545144</v>
      </c>
      <c r="W1766" s="2">
        <v>5317.84912109375</v>
      </c>
      <c r="X1766" s="4">
        <f t="shared" si="108"/>
        <v>0.22129205374853037</v>
      </c>
      <c r="Y1766" s="4">
        <f t="shared" si="109"/>
        <v>0.45824483476551842</v>
      </c>
      <c r="Z1766" s="4">
        <f t="shared" si="110"/>
        <v>0.56090619774192296</v>
      </c>
      <c r="AA1766" s="4">
        <f t="shared" si="111"/>
        <v>0.39489649897552603</v>
      </c>
    </row>
    <row r="1767" spans="1:27" x14ac:dyDescent="0.3">
      <c r="A1767" t="s">
        <v>557</v>
      </c>
      <c r="B1767">
        <v>25080</v>
      </c>
      <c r="C1767">
        <v>2024</v>
      </c>
      <c r="D1767" t="s">
        <v>54</v>
      </c>
      <c r="E1767" t="s">
        <v>206</v>
      </c>
      <c r="F1767">
        <v>6</v>
      </c>
      <c r="G1767" t="s">
        <v>22</v>
      </c>
      <c r="H1767">
        <v>4</v>
      </c>
      <c r="I1767" t="s">
        <v>23</v>
      </c>
      <c r="J1767" t="s">
        <v>24</v>
      </c>
      <c r="K1767" t="s">
        <v>25</v>
      </c>
      <c r="L1767" t="s">
        <v>26</v>
      </c>
      <c r="M1767">
        <v>4</v>
      </c>
      <c r="N1767">
        <v>0</v>
      </c>
      <c r="O1767" t="s">
        <v>27</v>
      </c>
      <c r="S1767" s="3">
        <v>43500</v>
      </c>
      <c r="T1767" s="2">
        <v>42307.05078125</v>
      </c>
      <c r="U1767" s="2">
        <v>47402.62517647085</v>
      </c>
      <c r="V1767" s="2">
        <v>57964.56985698377</v>
      </c>
      <c r="W1767" s="2">
        <v>48631.30859375</v>
      </c>
      <c r="X1767" s="4">
        <f t="shared" si="108"/>
        <v>1.0281974091013384</v>
      </c>
      <c r="Y1767" s="4">
        <f t="shared" si="109"/>
        <v>0.91767069520006272</v>
      </c>
      <c r="Z1767" s="4">
        <f t="shared" si="110"/>
        <v>0.75045842843874688</v>
      </c>
      <c r="AA1767" s="4">
        <f t="shared" si="111"/>
        <v>0.89448549212164397</v>
      </c>
    </row>
    <row r="1768" spans="1:27" x14ac:dyDescent="0.3">
      <c r="A1768" t="s">
        <v>557</v>
      </c>
      <c r="B1768">
        <v>35062</v>
      </c>
      <c r="C1768">
        <v>2023</v>
      </c>
      <c r="D1768" t="s">
        <v>100</v>
      </c>
      <c r="E1768" t="s">
        <v>444</v>
      </c>
      <c r="F1768">
        <v>6</v>
      </c>
      <c r="G1768" t="s">
        <v>47</v>
      </c>
      <c r="H1768">
        <v>4</v>
      </c>
      <c r="I1768" t="s">
        <v>23</v>
      </c>
      <c r="J1768" t="s">
        <v>42</v>
      </c>
      <c r="K1768" t="s">
        <v>25</v>
      </c>
      <c r="L1768" t="s">
        <v>143</v>
      </c>
      <c r="M1768">
        <v>4</v>
      </c>
      <c r="N1768">
        <v>0</v>
      </c>
      <c r="O1768" t="s">
        <v>27</v>
      </c>
      <c r="S1768" s="3">
        <v>34500</v>
      </c>
      <c r="T1768" s="2">
        <v>28055.80078125</v>
      </c>
      <c r="U1768" s="2">
        <v>31908.2667349027</v>
      </c>
      <c r="V1768" s="2">
        <v>49120.09421807278</v>
      </c>
      <c r="W1768" s="2">
        <v>29151.896484375</v>
      </c>
      <c r="X1768" s="4">
        <f t="shared" si="108"/>
        <v>1.2296922219043105</v>
      </c>
      <c r="Y1768" s="4">
        <f t="shared" si="109"/>
        <v>1.0812245079505476</v>
      </c>
      <c r="Z1768" s="4">
        <f t="shared" si="110"/>
        <v>0.70236021630647438</v>
      </c>
      <c r="AA1768" s="4">
        <f t="shared" si="111"/>
        <v>1.1834564526013429</v>
      </c>
    </row>
    <row r="1769" spans="1:27" x14ac:dyDescent="0.3">
      <c r="A1769" t="s">
        <v>557</v>
      </c>
      <c r="B1769">
        <v>30119</v>
      </c>
      <c r="C1769">
        <v>2024</v>
      </c>
      <c r="D1769" t="s">
        <v>34</v>
      </c>
      <c r="E1769" t="s">
        <v>173</v>
      </c>
      <c r="F1769">
        <v>4</v>
      </c>
      <c r="G1769" t="s">
        <v>56</v>
      </c>
      <c r="H1769">
        <v>4</v>
      </c>
      <c r="I1769" t="s">
        <v>23</v>
      </c>
      <c r="J1769" t="s">
        <v>24</v>
      </c>
      <c r="K1769" t="s">
        <v>25</v>
      </c>
      <c r="L1769" t="s">
        <v>102</v>
      </c>
      <c r="M1769" t="s">
        <v>23</v>
      </c>
      <c r="N1769">
        <v>0</v>
      </c>
      <c r="O1769" t="s">
        <v>27</v>
      </c>
      <c r="S1769" s="3">
        <v>33700</v>
      </c>
      <c r="T1769" s="2">
        <v>28653.654296875</v>
      </c>
      <c r="U1769" s="2">
        <v>27545.349155410218</v>
      </c>
      <c r="V1769" s="2">
        <v>26690.127211375569</v>
      </c>
      <c r="W1769" s="2">
        <v>28207.330078125</v>
      </c>
      <c r="X1769" s="4">
        <f t="shared" si="108"/>
        <v>1.1761152574411899</v>
      </c>
      <c r="Y1769" s="4">
        <f t="shared" si="109"/>
        <v>1.2234370241547996</v>
      </c>
      <c r="Z1769" s="4">
        <f t="shared" si="110"/>
        <v>1.2626391674010742</v>
      </c>
      <c r="AA1769" s="4">
        <f t="shared" si="111"/>
        <v>1.1947249139376934</v>
      </c>
    </row>
    <row r="1770" spans="1:27" x14ac:dyDescent="0.3">
      <c r="A1770" t="s">
        <v>557</v>
      </c>
      <c r="B1770">
        <v>35645</v>
      </c>
      <c r="C1770">
        <v>2023</v>
      </c>
      <c r="D1770" t="s">
        <v>239</v>
      </c>
      <c r="E1770" t="s">
        <v>443</v>
      </c>
      <c r="F1770">
        <v>6</v>
      </c>
      <c r="G1770" t="s">
        <v>36</v>
      </c>
      <c r="H1770">
        <v>4</v>
      </c>
      <c r="I1770" t="s">
        <v>23</v>
      </c>
      <c r="J1770" t="s">
        <v>24</v>
      </c>
      <c r="K1770" t="s">
        <v>25</v>
      </c>
      <c r="L1770" t="s">
        <v>218</v>
      </c>
      <c r="M1770" t="s">
        <v>23</v>
      </c>
      <c r="N1770">
        <v>0</v>
      </c>
      <c r="O1770" t="s">
        <v>27</v>
      </c>
      <c r="S1770" s="3">
        <v>65800</v>
      </c>
      <c r="T1770" s="2">
        <v>55819.18359375</v>
      </c>
      <c r="U1770" s="2">
        <v>52628.082065583018</v>
      </c>
      <c r="V1770" s="2">
        <v>65071.655007778667</v>
      </c>
      <c r="W1770" s="2">
        <v>54060.3046875</v>
      </c>
      <c r="X1770" s="4">
        <f t="shared" si="108"/>
        <v>1.1788062053879187</v>
      </c>
      <c r="Y1770" s="4">
        <f t="shared" si="109"/>
        <v>1.2502830697497709</v>
      </c>
      <c r="Z1770" s="4">
        <f t="shared" si="110"/>
        <v>1.0111929686148948</v>
      </c>
      <c r="AA1770" s="4">
        <f t="shared" si="111"/>
        <v>1.2171592516979375</v>
      </c>
    </row>
    <row r="1771" spans="1:27" x14ac:dyDescent="0.3">
      <c r="A1771" t="s">
        <v>394</v>
      </c>
      <c r="B1771">
        <v>185072</v>
      </c>
      <c r="C1771">
        <v>2021</v>
      </c>
      <c r="D1771" t="s">
        <v>44</v>
      </c>
      <c r="E1771" t="s">
        <v>45</v>
      </c>
      <c r="F1771">
        <v>6</v>
      </c>
      <c r="G1771" t="s">
        <v>47</v>
      </c>
      <c r="H1771">
        <v>4</v>
      </c>
      <c r="I1771" t="s">
        <v>23</v>
      </c>
      <c r="J1771" t="s">
        <v>156</v>
      </c>
      <c r="K1771" t="s">
        <v>27</v>
      </c>
      <c r="L1771" t="s">
        <v>235</v>
      </c>
      <c r="M1771">
        <v>4</v>
      </c>
      <c r="N1771">
        <v>2</v>
      </c>
      <c r="O1771" t="s">
        <v>27</v>
      </c>
      <c r="S1771" s="3">
        <v>7000</v>
      </c>
      <c r="T1771" s="2">
        <v>10704.6875</v>
      </c>
      <c r="U1771" s="2">
        <v>9040.0931690870839</v>
      </c>
      <c r="V1771" s="2">
        <v>10184.318921531531</v>
      </c>
      <c r="W1771" s="2">
        <v>7969.60693359375</v>
      </c>
      <c r="X1771" s="4">
        <f t="shared" si="108"/>
        <v>0.65391913589257045</v>
      </c>
      <c r="Y1771" s="4">
        <f t="shared" si="109"/>
        <v>0.77432830271448372</v>
      </c>
      <c r="Z1771" s="4">
        <f t="shared" si="110"/>
        <v>0.68733118571146745</v>
      </c>
      <c r="AA1771" s="4">
        <f t="shared" si="111"/>
        <v>0.87833691903842448</v>
      </c>
    </row>
    <row r="1772" spans="1:27" x14ac:dyDescent="0.3">
      <c r="A1772" t="s">
        <v>556</v>
      </c>
      <c r="B1772">
        <v>140737</v>
      </c>
      <c r="C1772">
        <v>2015</v>
      </c>
      <c r="D1772" t="s">
        <v>85</v>
      </c>
      <c r="E1772" t="s">
        <v>228</v>
      </c>
      <c r="F1772">
        <v>4</v>
      </c>
      <c r="G1772" t="s">
        <v>36</v>
      </c>
      <c r="H1772">
        <v>4</v>
      </c>
      <c r="I1772" t="s">
        <v>23</v>
      </c>
      <c r="J1772" t="s">
        <v>31</v>
      </c>
      <c r="K1772" t="s">
        <v>27</v>
      </c>
      <c r="L1772" t="s">
        <v>60</v>
      </c>
      <c r="M1772" t="s">
        <v>33</v>
      </c>
      <c r="N1772">
        <v>0</v>
      </c>
      <c r="S1772" s="3">
        <v>1200</v>
      </c>
      <c r="T1772" s="2">
        <v>4096.80615234375</v>
      </c>
      <c r="U1772" s="2">
        <v>4173.7347777662271</v>
      </c>
      <c r="V1772" s="2">
        <v>3238.8168113642118</v>
      </c>
      <c r="W1772" s="2">
        <v>5179.83447265625</v>
      </c>
      <c r="X1772" s="4">
        <f t="shared" si="108"/>
        <v>0.29291110083729238</v>
      </c>
      <c r="Y1772" s="4">
        <f t="shared" si="109"/>
        <v>0.28751227950383496</v>
      </c>
      <c r="Z1772" s="4">
        <f t="shared" si="110"/>
        <v>0.37050567225336584</v>
      </c>
      <c r="AA1772" s="4">
        <f t="shared" si="111"/>
        <v>0.23166763461934198</v>
      </c>
    </row>
    <row r="1773" spans="1:27" x14ac:dyDescent="0.3">
      <c r="A1773" t="s">
        <v>556</v>
      </c>
      <c r="B1773">
        <v>95946</v>
      </c>
      <c r="C1773">
        <v>2019</v>
      </c>
      <c r="D1773" t="s">
        <v>44</v>
      </c>
      <c r="E1773" t="s">
        <v>210</v>
      </c>
      <c r="F1773">
        <v>4</v>
      </c>
      <c r="G1773" t="s">
        <v>22</v>
      </c>
      <c r="H1773">
        <v>4</v>
      </c>
      <c r="I1773" t="s">
        <v>23</v>
      </c>
      <c r="J1773" t="s">
        <v>37</v>
      </c>
      <c r="K1773" t="s">
        <v>27</v>
      </c>
      <c r="L1773" t="s">
        <v>128</v>
      </c>
      <c r="M1773" t="s">
        <v>33</v>
      </c>
      <c r="N1773">
        <v>0</v>
      </c>
      <c r="S1773" s="3">
        <v>800</v>
      </c>
      <c r="T1773" s="2">
        <v>9379.2431640625</v>
      </c>
      <c r="U1773" s="2">
        <v>10623.448624225241</v>
      </c>
      <c r="V1773" s="2">
        <v>8609.9907784893585</v>
      </c>
      <c r="W1773" s="2">
        <v>10169.0859375</v>
      </c>
      <c r="X1773" s="4">
        <f t="shared" si="108"/>
        <v>8.5294728583781607E-2</v>
      </c>
      <c r="Y1773" s="4">
        <f t="shared" si="109"/>
        <v>7.5305113085002873E-2</v>
      </c>
      <c r="Z1773" s="4">
        <f t="shared" si="110"/>
        <v>9.2915314380901309E-2</v>
      </c>
      <c r="AA1773" s="4">
        <f t="shared" si="111"/>
        <v>7.8669804239718574E-2</v>
      </c>
    </row>
    <row r="1774" spans="1:27" x14ac:dyDescent="0.3">
      <c r="A1774" t="s">
        <v>556</v>
      </c>
      <c r="B1774">
        <v>162974</v>
      </c>
      <c r="C1774">
        <v>2017</v>
      </c>
      <c r="D1774" t="s">
        <v>40</v>
      </c>
      <c r="E1774" t="s">
        <v>63</v>
      </c>
      <c r="F1774">
        <v>4</v>
      </c>
      <c r="G1774" t="s">
        <v>47</v>
      </c>
      <c r="H1774">
        <v>4</v>
      </c>
      <c r="I1774" t="s">
        <v>23</v>
      </c>
      <c r="J1774" t="s">
        <v>24</v>
      </c>
      <c r="K1774" t="s">
        <v>27</v>
      </c>
      <c r="L1774" t="s">
        <v>60</v>
      </c>
      <c r="M1774" t="s">
        <v>33</v>
      </c>
      <c r="N1774">
        <v>0</v>
      </c>
      <c r="S1774" s="3">
        <v>3200</v>
      </c>
      <c r="T1774" s="2">
        <v>4801.126953125</v>
      </c>
      <c r="U1774" s="2">
        <v>4712.1582753474686</v>
      </c>
      <c r="V1774" s="2">
        <v>3645.2807659361288</v>
      </c>
      <c r="W1774" s="2">
        <v>4360.39208984375</v>
      </c>
      <c r="X1774" s="4">
        <f t="shared" si="108"/>
        <v>0.66651018213904045</v>
      </c>
      <c r="Y1774" s="4">
        <f t="shared" si="109"/>
        <v>0.67909433703477118</v>
      </c>
      <c r="Z1774" s="4">
        <f t="shared" si="110"/>
        <v>0.87784733343529486</v>
      </c>
      <c r="AA1774" s="4">
        <f t="shared" si="111"/>
        <v>0.73387895722805707</v>
      </c>
    </row>
    <row r="1775" spans="1:27" x14ac:dyDescent="0.3">
      <c r="A1775" t="s">
        <v>556</v>
      </c>
      <c r="B1775">
        <v>183069</v>
      </c>
      <c r="C1775">
        <v>2013</v>
      </c>
      <c r="D1775" t="s">
        <v>81</v>
      </c>
      <c r="E1775" t="s">
        <v>320</v>
      </c>
      <c r="F1775">
        <v>4</v>
      </c>
      <c r="G1775" t="s">
        <v>22</v>
      </c>
      <c r="H1775">
        <v>4</v>
      </c>
      <c r="I1775" t="s">
        <v>23</v>
      </c>
      <c r="J1775" t="s">
        <v>31</v>
      </c>
      <c r="K1775" t="s">
        <v>27</v>
      </c>
      <c r="L1775" t="s">
        <v>60</v>
      </c>
      <c r="M1775" t="s">
        <v>33</v>
      </c>
      <c r="N1775">
        <v>2</v>
      </c>
      <c r="O1775" t="s">
        <v>27</v>
      </c>
      <c r="S1775" s="3">
        <v>900</v>
      </c>
      <c r="T1775" s="2">
        <v>2167.73974609375</v>
      </c>
      <c r="U1775" s="2">
        <v>1857.729011043335</v>
      </c>
      <c r="V1775" s="2">
        <v>1511.057557020275</v>
      </c>
      <c r="W1775" s="2">
        <v>1761.539184570312</v>
      </c>
      <c r="X1775" s="4">
        <f t="shared" si="108"/>
        <v>0.41517899075375303</v>
      </c>
      <c r="Y1775" s="4">
        <f t="shared" si="109"/>
        <v>0.48446247792327002</v>
      </c>
      <c r="Z1775" s="4">
        <f t="shared" si="110"/>
        <v>0.59560934381265529</v>
      </c>
      <c r="AA1775" s="4">
        <f t="shared" si="111"/>
        <v>0.51091682085944334</v>
      </c>
    </row>
    <row r="1776" spans="1:27" x14ac:dyDescent="0.3">
      <c r="A1776" t="s">
        <v>556</v>
      </c>
      <c r="B1776">
        <v>86302</v>
      </c>
      <c r="C1776">
        <v>2016</v>
      </c>
      <c r="D1776" t="s">
        <v>239</v>
      </c>
      <c r="E1776" t="s">
        <v>560</v>
      </c>
      <c r="F1776">
        <v>8</v>
      </c>
      <c r="G1776" t="s">
        <v>22</v>
      </c>
      <c r="H1776">
        <v>4</v>
      </c>
      <c r="I1776" t="s">
        <v>23</v>
      </c>
      <c r="J1776" t="s">
        <v>31</v>
      </c>
      <c r="K1776" t="s">
        <v>27</v>
      </c>
      <c r="L1776" t="s">
        <v>522</v>
      </c>
      <c r="M1776" t="s">
        <v>23</v>
      </c>
      <c r="N1776">
        <v>0</v>
      </c>
      <c r="S1776" s="3">
        <v>7500</v>
      </c>
      <c r="T1776" s="2">
        <v>18844.587890625</v>
      </c>
      <c r="U1776" s="2">
        <v>24263.25831217122</v>
      </c>
      <c r="V1776" s="2">
        <v>16845.14558353875</v>
      </c>
      <c r="W1776" s="2">
        <v>21324.169921875</v>
      </c>
      <c r="X1776" s="4">
        <f t="shared" si="108"/>
        <v>0.39799225345390427</v>
      </c>
      <c r="Y1776" s="4">
        <f t="shared" si="109"/>
        <v>0.30910934976271354</v>
      </c>
      <c r="Z1776" s="4">
        <f t="shared" si="110"/>
        <v>0.44523212713157417</v>
      </c>
      <c r="AA1776" s="4">
        <f t="shared" si="111"/>
        <v>0.35171357325877739</v>
      </c>
    </row>
    <row r="1777" spans="1:27" x14ac:dyDescent="0.3">
      <c r="A1777" t="s">
        <v>556</v>
      </c>
      <c r="B1777">
        <v>208181</v>
      </c>
      <c r="C1777">
        <v>2017</v>
      </c>
      <c r="D1777" t="s">
        <v>40</v>
      </c>
      <c r="E1777" t="s">
        <v>229</v>
      </c>
      <c r="F1777">
        <v>4</v>
      </c>
      <c r="G1777" t="s">
        <v>59</v>
      </c>
      <c r="H1777">
        <v>4</v>
      </c>
      <c r="I1777" t="s">
        <v>23</v>
      </c>
      <c r="J1777" t="s">
        <v>31</v>
      </c>
      <c r="K1777" t="s">
        <v>27</v>
      </c>
      <c r="L1777" t="s">
        <v>107</v>
      </c>
      <c r="M1777" t="s">
        <v>33</v>
      </c>
      <c r="N1777">
        <v>0</v>
      </c>
      <c r="S1777" s="3">
        <v>2600</v>
      </c>
      <c r="T1777" s="2">
        <v>3932.049560546875</v>
      </c>
      <c r="U1777" s="2">
        <v>3671.8752143157931</v>
      </c>
      <c r="V1777" s="2">
        <v>3039.2949991603882</v>
      </c>
      <c r="W1777" s="2">
        <v>3426.293701171875</v>
      </c>
      <c r="X1777" s="4">
        <f t="shared" si="108"/>
        <v>0.66123276422751609</v>
      </c>
      <c r="Y1777" s="4">
        <f t="shared" si="109"/>
        <v>0.70808506505428093</v>
      </c>
      <c r="Z1777" s="4">
        <f t="shared" si="110"/>
        <v>0.85546154641726313</v>
      </c>
      <c r="AA1777" s="4">
        <f t="shared" si="111"/>
        <v>0.75883745725322305</v>
      </c>
    </row>
    <row r="1778" spans="1:27" x14ac:dyDescent="0.3">
      <c r="A1778" t="s">
        <v>556</v>
      </c>
      <c r="B1778">
        <v>238582</v>
      </c>
      <c r="C1778">
        <v>2015</v>
      </c>
      <c r="D1778" t="s">
        <v>100</v>
      </c>
      <c r="E1778" t="s">
        <v>192</v>
      </c>
      <c r="F1778">
        <v>4</v>
      </c>
      <c r="G1778" t="s">
        <v>22</v>
      </c>
      <c r="H1778">
        <v>4</v>
      </c>
      <c r="I1778" t="s">
        <v>23</v>
      </c>
      <c r="J1778" t="s">
        <v>31</v>
      </c>
      <c r="K1778" t="s">
        <v>27</v>
      </c>
      <c r="L1778" t="s">
        <v>32</v>
      </c>
      <c r="M1778" t="s">
        <v>33</v>
      </c>
      <c r="N1778">
        <v>0</v>
      </c>
      <c r="S1778" s="3">
        <v>1000</v>
      </c>
      <c r="T1778" s="2">
        <v>464.18136596679688</v>
      </c>
      <c r="U1778" s="2">
        <v>1017.963132639616</v>
      </c>
      <c r="V1778" s="2">
        <v>2964.682897567704</v>
      </c>
      <c r="W1778" s="2">
        <v>1132.874389648438</v>
      </c>
      <c r="X1778" s="4">
        <f t="shared" si="108"/>
        <v>2.1543303400755871</v>
      </c>
      <c r="Y1778" s="4">
        <f t="shared" si="109"/>
        <v>0.98235384753764421</v>
      </c>
      <c r="Z1778" s="4">
        <f t="shared" si="110"/>
        <v>0.33730420235514014</v>
      </c>
      <c r="AA1778" s="4">
        <f t="shared" si="111"/>
        <v>0.88271039502475424</v>
      </c>
    </row>
    <row r="1779" spans="1:27" x14ac:dyDescent="0.3">
      <c r="A1779" t="s">
        <v>556</v>
      </c>
      <c r="B1779">
        <v>208113</v>
      </c>
      <c r="C1779">
        <v>2012</v>
      </c>
      <c r="D1779" t="s">
        <v>40</v>
      </c>
      <c r="E1779" t="s">
        <v>146</v>
      </c>
      <c r="F1779">
        <v>8</v>
      </c>
      <c r="G1779" t="s">
        <v>36</v>
      </c>
      <c r="H1779">
        <v>4</v>
      </c>
      <c r="I1779" t="s">
        <v>23</v>
      </c>
      <c r="J1779" t="s">
        <v>24</v>
      </c>
      <c r="L1779" t="s">
        <v>43</v>
      </c>
      <c r="M1779" t="s">
        <v>78</v>
      </c>
      <c r="N1779">
        <v>0</v>
      </c>
      <c r="S1779" s="3">
        <v>3000</v>
      </c>
      <c r="T1779" s="2">
        <v>5083.6513671875</v>
      </c>
      <c r="U1779" s="2">
        <v>13249.92548616024</v>
      </c>
      <c r="V1779" s="2">
        <v>3792.270536975971</v>
      </c>
      <c r="W1779" s="2">
        <v>6704.265625</v>
      </c>
      <c r="X1779" s="4">
        <f t="shared" si="108"/>
        <v>0.59012701369797749</v>
      </c>
      <c r="Y1779" s="4">
        <f t="shared" si="109"/>
        <v>0.22641636763418391</v>
      </c>
      <c r="Z1779" s="4">
        <f t="shared" si="110"/>
        <v>0.79108280138480236</v>
      </c>
      <c r="AA1779" s="4">
        <f t="shared" si="111"/>
        <v>0.44747630356605983</v>
      </c>
    </row>
    <row r="1780" spans="1:27" x14ac:dyDescent="0.3">
      <c r="A1780" t="s">
        <v>556</v>
      </c>
      <c r="B1780">
        <v>97870</v>
      </c>
      <c r="C1780">
        <v>2018</v>
      </c>
      <c r="D1780" t="s">
        <v>125</v>
      </c>
      <c r="E1780" t="s">
        <v>230</v>
      </c>
      <c r="F1780">
        <v>4</v>
      </c>
      <c r="G1780" t="s">
        <v>36</v>
      </c>
      <c r="H1780">
        <v>4</v>
      </c>
      <c r="I1780" t="s">
        <v>23</v>
      </c>
      <c r="J1780" t="s">
        <v>31</v>
      </c>
      <c r="K1780" t="s">
        <v>27</v>
      </c>
      <c r="L1780" t="s">
        <v>60</v>
      </c>
      <c r="M1780" t="s">
        <v>33</v>
      </c>
      <c r="N1780">
        <v>0</v>
      </c>
      <c r="S1780" s="3">
        <v>5500</v>
      </c>
      <c r="T1780" s="2">
        <v>8472.236328125</v>
      </c>
      <c r="U1780" s="2">
        <v>8997.1608141044144</v>
      </c>
      <c r="V1780" s="2">
        <v>6840.8185604933878</v>
      </c>
      <c r="W1780" s="2">
        <v>8513.0244140625</v>
      </c>
      <c r="X1780" s="4">
        <f t="shared" si="108"/>
        <v>0.64917924701201191</v>
      </c>
      <c r="Y1780" s="4">
        <f t="shared" si="109"/>
        <v>0.6113039561744763</v>
      </c>
      <c r="Z1780" s="4">
        <f t="shared" si="110"/>
        <v>0.80399735080874846</v>
      </c>
      <c r="AA1780" s="4">
        <f t="shared" si="111"/>
        <v>0.64606886254368734</v>
      </c>
    </row>
    <row r="1781" spans="1:27" x14ac:dyDescent="0.3">
      <c r="A1781" t="s">
        <v>556</v>
      </c>
      <c r="B1781">
        <v>179956</v>
      </c>
      <c r="C1781">
        <v>2013</v>
      </c>
      <c r="D1781" t="s">
        <v>40</v>
      </c>
      <c r="E1781" t="s">
        <v>214</v>
      </c>
      <c r="F1781">
        <v>8</v>
      </c>
      <c r="G1781" t="s">
        <v>47</v>
      </c>
      <c r="H1781">
        <v>4</v>
      </c>
      <c r="I1781" t="s">
        <v>23</v>
      </c>
      <c r="J1781" t="s">
        <v>24</v>
      </c>
      <c r="L1781" t="s">
        <v>43</v>
      </c>
      <c r="M1781">
        <v>4</v>
      </c>
      <c r="N1781">
        <v>0</v>
      </c>
      <c r="S1781" s="3">
        <v>5250</v>
      </c>
      <c r="T1781" s="2">
        <v>6143.7177734375</v>
      </c>
      <c r="U1781" s="2">
        <v>14382.894126896341</v>
      </c>
      <c r="V1781" s="2">
        <v>6079.3269194248833</v>
      </c>
      <c r="W1781" s="2">
        <v>10660.248046875</v>
      </c>
      <c r="X1781" s="4">
        <f t="shared" si="108"/>
        <v>0.8545314406691159</v>
      </c>
      <c r="Y1781" s="4">
        <f t="shared" si="109"/>
        <v>0.36501693982314587</v>
      </c>
      <c r="Z1781" s="4">
        <f t="shared" si="110"/>
        <v>0.86358244417239871</v>
      </c>
      <c r="AA1781" s="4">
        <f t="shared" si="111"/>
        <v>0.49248384999249734</v>
      </c>
    </row>
    <row r="1782" spans="1:27" x14ac:dyDescent="0.3">
      <c r="A1782" t="s">
        <v>556</v>
      </c>
      <c r="B1782">
        <v>130928</v>
      </c>
      <c r="C1782">
        <v>2017</v>
      </c>
      <c r="D1782" t="s">
        <v>40</v>
      </c>
      <c r="E1782" t="s">
        <v>146</v>
      </c>
      <c r="F1782">
        <v>8</v>
      </c>
      <c r="G1782" t="s">
        <v>36</v>
      </c>
      <c r="H1782">
        <v>4</v>
      </c>
      <c r="I1782" t="s">
        <v>23</v>
      </c>
      <c r="J1782" t="s">
        <v>24</v>
      </c>
      <c r="K1782" t="s">
        <v>27</v>
      </c>
      <c r="L1782" t="s">
        <v>43</v>
      </c>
      <c r="M1782" t="s">
        <v>78</v>
      </c>
      <c r="N1782">
        <v>0</v>
      </c>
      <c r="S1782" s="3">
        <v>16750</v>
      </c>
      <c r="T1782" s="2">
        <v>15832.9111328125</v>
      </c>
      <c r="U1782" s="2">
        <v>22177.60833781747</v>
      </c>
      <c r="V1782" s="2">
        <v>13967.776091618771</v>
      </c>
      <c r="W1782" s="2">
        <v>18357.40234375</v>
      </c>
      <c r="X1782" s="4">
        <f t="shared" si="108"/>
        <v>1.0579229466706792</v>
      </c>
      <c r="Y1782" s="4">
        <f t="shared" si="109"/>
        <v>0.75526629133574064</v>
      </c>
      <c r="Z1782" s="4">
        <f t="shared" si="110"/>
        <v>1.1991887534659633</v>
      </c>
      <c r="AA1782" s="4">
        <f t="shared" si="111"/>
        <v>0.91243846413284835</v>
      </c>
    </row>
    <row r="1783" spans="1:27" x14ac:dyDescent="0.3">
      <c r="A1783" t="s">
        <v>556</v>
      </c>
      <c r="B1783">
        <v>198839</v>
      </c>
      <c r="C1783">
        <v>2011</v>
      </c>
      <c r="D1783" t="s">
        <v>34</v>
      </c>
      <c r="E1783" t="s">
        <v>88</v>
      </c>
      <c r="F1783">
        <v>4</v>
      </c>
      <c r="G1783" t="s">
        <v>22</v>
      </c>
      <c r="H1783">
        <v>4</v>
      </c>
      <c r="I1783" t="s">
        <v>23</v>
      </c>
      <c r="J1783" t="s">
        <v>37</v>
      </c>
      <c r="L1783" t="s">
        <v>89</v>
      </c>
      <c r="M1783" t="s">
        <v>33</v>
      </c>
      <c r="N1783">
        <v>0</v>
      </c>
      <c r="S1783" s="3">
        <v>2300</v>
      </c>
      <c r="T1783" s="2">
        <v>2835.626953125</v>
      </c>
      <c r="U1783" s="2">
        <v>2161.6193226268101</v>
      </c>
      <c r="V1783" s="2">
        <v>1206.927175626904</v>
      </c>
      <c r="W1783" s="2">
        <v>2420.03955078125</v>
      </c>
      <c r="X1783" s="4">
        <f t="shared" si="108"/>
        <v>0.81110810343556905</v>
      </c>
      <c r="Y1783" s="4">
        <f t="shared" si="109"/>
        <v>1.0640171356374761</v>
      </c>
      <c r="Z1783" s="4">
        <f t="shared" si="110"/>
        <v>1.9056659311737929</v>
      </c>
      <c r="AA1783" s="4">
        <f t="shared" si="111"/>
        <v>0.950397690507786</v>
      </c>
    </row>
    <row r="1784" spans="1:27" x14ac:dyDescent="0.3">
      <c r="A1784" t="s">
        <v>556</v>
      </c>
      <c r="B1784">
        <v>134080</v>
      </c>
      <c r="C1784">
        <v>2017</v>
      </c>
      <c r="D1784" t="s">
        <v>103</v>
      </c>
      <c r="E1784" t="s">
        <v>586</v>
      </c>
      <c r="F1784">
        <v>6</v>
      </c>
      <c r="G1784" t="s">
        <v>36</v>
      </c>
      <c r="H1784">
        <v>4</v>
      </c>
      <c r="I1784" t="s">
        <v>23</v>
      </c>
      <c r="J1784" t="s">
        <v>31</v>
      </c>
      <c r="K1784" t="s">
        <v>27</v>
      </c>
      <c r="L1784" t="s">
        <v>57</v>
      </c>
      <c r="M1784" t="s">
        <v>78</v>
      </c>
      <c r="N1784">
        <v>0</v>
      </c>
      <c r="S1784" s="3">
        <v>7750</v>
      </c>
      <c r="T1784" s="2">
        <v>9413.2041015625</v>
      </c>
      <c r="U1784" s="2">
        <v>7478.8998243175138</v>
      </c>
      <c r="V1784" s="2">
        <v>7810.8144866618904</v>
      </c>
      <c r="W1784" s="2">
        <v>10263.2041015625</v>
      </c>
      <c r="X1784" s="4">
        <f t="shared" si="108"/>
        <v>0.8233115861913135</v>
      </c>
      <c r="Y1784" s="4">
        <f t="shared" si="109"/>
        <v>1.036248670533199</v>
      </c>
      <c r="Z1784" s="4">
        <f t="shared" si="110"/>
        <v>0.99221406592542427</v>
      </c>
      <c r="AA1784" s="4">
        <f t="shared" si="111"/>
        <v>0.75512480540264393</v>
      </c>
    </row>
    <row r="1785" spans="1:27" x14ac:dyDescent="0.3">
      <c r="A1785" t="s">
        <v>556</v>
      </c>
      <c r="B1785">
        <v>199091</v>
      </c>
      <c r="C1785">
        <v>2012</v>
      </c>
      <c r="D1785" t="s">
        <v>40</v>
      </c>
      <c r="E1785" t="s">
        <v>146</v>
      </c>
      <c r="F1785">
        <v>8</v>
      </c>
      <c r="G1785" t="s">
        <v>30</v>
      </c>
      <c r="H1785">
        <v>4</v>
      </c>
      <c r="I1785" t="s">
        <v>23</v>
      </c>
      <c r="J1785" t="s">
        <v>24</v>
      </c>
      <c r="L1785" t="s">
        <v>43</v>
      </c>
      <c r="M1785" t="s">
        <v>78</v>
      </c>
      <c r="N1785">
        <v>0</v>
      </c>
      <c r="S1785" s="3">
        <v>2800</v>
      </c>
      <c r="T1785" s="2">
        <v>5317.3623046875</v>
      </c>
      <c r="U1785" s="2">
        <v>13213.24069834152</v>
      </c>
      <c r="V1785" s="2">
        <v>3920.3750384302889</v>
      </c>
      <c r="W1785" s="2">
        <v>6719.7822265625</v>
      </c>
      <c r="X1785" s="4">
        <f t="shared" si="108"/>
        <v>0.52657687017709343</v>
      </c>
      <c r="Y1785" s="4">
        <f t="shared" si="109"/>
        <v>0.21190865011271959</v>
      </c>
      <c r="Z1785" s="4">
        <f t="shared" si="110"/>
        <v>0.71421738291679226</v>
      </c>
      <c r="AA1785" s="4">
        <f t="shared" si="111"/>
        <v>0.41668016992156875</v>
      </c>
    </row>
    <row r="1786" spans="1:27" x14ac:dyDescent="0.3">
      <c r="A1786" t="s">
        <v>556</v>
      </c>
      <c r="B1786">
        <v>137295</v>
      </c>
      <c r="C1786">
        <v>2013</v>
      </c>
      <c r="D1786" t="s">
        <v>85</v>
      </c>
      <c r="E1786" t="s">
        <v>86</v>
      </c>
      <c r="F1786">
        <v>4</v>
      </c>
      <c r="G1786" t="s">
        <v>36</v>
      </c>
      <c r="H1786">
        <v>4</v>
      </c>
      <c r="I1786" t="s">
        <v>23</v>
      </c>
      <c r="J1786" t="s">
        <v>31</v>
      </c>
      <c r="L1786" t="s">
        <v>87</v>
      </c>
      <c r="M1786" t="s">
        <v>33</v>
      </c>
      <c r="N1786">
        <v>0</v>
      </c>
      <c r="S1786" s="3">
        <v>1900</v>
      </c>
      <c r="T1786" s="2">
        <v>5067.9150390625</v>
      </c>
      <c r="U1786" s="2">
        <v>3280.6523561765248</v>
      </c>
      <c r="V1786" s="2">
        <v>2870.4379431780649</v>
      </c>
      <c r="W1786" s="2">
        <v>5253.453125</v>
      </c>
      <c r="X1786" s="4">
        <f t="shared" si="108"/>
        <v>0.37490762677652856</v>
      </c>
      <c r="Y1786" s="4">
        <f t="shared" si="109"/>
        <v>0.57915310545564103</v>
      </c>
      <c r="Z1786" s="4">
        <f t="shared" si="110"/>
        <v>0.66191990128738876</v>
      </c>
      <c r="AA1786" s="4">
        <f t="shared" si="111"/>
        <v>0.3616668798201183</v>
      </c>
    </row>
    <row r="1787" spans="1:27" x14ac:dyDescent="0.3">
      <c r="A1787" t="s">
        <v>556</v>
      </c>
      <c r="B1787">
        <v>54513</v>
      </c>
      <c r="C1787">
        <v>2017</v>
      </c>
      <c r="D1787" t="s">
        <v>125</v>
      </c>
      <c r="E1787" t="s">
        <v>306</v>
      </c>
      <c r="F1787">
        <v>4</v>
      </c>
      <c r="G1787" t="s">
        <v>66</v>
      </c>
      <c r="H1787">
        <v>4</v>
      </c>
      <c r="I1787" t="s">
        <v>23</v>
      </c>
      <c r="J1787" t="s">
        <v>24</v>
      </c>
      <c r="K1787" t="s">
        <v>27</v>
      </c>
      <c r="L1787" t="s">
        <v>127</v>
      </c>
      <c r="M1787" t="s">
        <v>23</v>
      </c>
      <c r="N1787">
        <v>0</v>
      </c>
      <c r="S1787" s="3">
        <v>14750</v>
      </c>
      <c r="T1787" s="2">
        <v>15412.8134765625</v>
      </c>
      <c r="U1787" s="2">
        <v>15043.80755214139</v>
      </c>
      <c r="V1787" s="2">
        <v>10761.66813928525</v>
      </c>
      <c r="W1787" s="2">
        <v>15159.431640625</v>
      </c>
      <c r="X1787" s="4">
        <f t="shared" si="108"/>
        <v>0.95699594512251718</v>
      </c>
      <c r="Y1787" s="4">
        <f t="shared" si="109"/>
        <v>0.98046986767657973</v>
      </c>
      <c r="Z1787" s="4">
        <f t="shared" si="110"/>
        <v>1.3706053568178178</v>
      </c>
      <c r="AA1787" s="4">
        <f t="shared" si="111"/>
        <v>0.97299162327908228</v>
      </c>
    </row>
    <row r="1788" spans="1:27" x14ac:dyDescent="0.3">
      <c r="A1788" t="s">
        <v>556</v>
      </c>
      <c r="B1788">
        <v>95085</v>
      </c>
      <c r="C1788">
        <v>2015</v>
      </c>
      <c r="D1788" t="s">
        <v>125</v>
      </c>
      <c r="E1788" t="s">
        <v>230</v>
      </c>
      <c r="F1788">
        <v>4</v>
      </c>
      <c r="G1788" t="s">
        <v>36</v>
      </c>
      <c r="H1788">
        <v>4</v>
      </c>
      <c r="I1788" t="s">
        <v>23</v>
      </c>
      <c r="J1788" t="s">
        <v>31</v>
      </c>
      <c r="K1788" t="s">
        <v>27</v>
      </c>
      <c r="L1788" t="s">
        <v>60</v>
      </c>
      <c r="M1788" t="s">
        <v>33</v>
      </c>
      <c r="N1788">
        <v>0</v>
      </c>
      <c r="S1788" s="3">
        <v>4750</v>
      </c>
      <c r="T1788" s="2">
        <v>6140.52978515625</v>
      </c>
      <c r="U1788" s="2">
        <v>6841.9465702450716</v>
      </c>
      <c r="V1788" s="2">
        <v>5528.3613702956964</v>
      </c>
      <c r="W1788" s="2">
        <v>7783.81396484375</v>
      </c>
      <c r="X1788" s="4">
        <f t="shared" si="108"/>
        <v>0.77354889011081196</v>
      </c>
      <c r="Y1788" s="4">
        <f t="shared" si="109"/>
        <v>0.69424687130081753</v>
      </c>
      <c r="Z1788" s="4">
        <f t="shared" si="110"/>
        <v>0.8592057721700519</v>
      </c>
      <c r="AA1788" s="4">
        <f t="shared" si="111"/>
        <v>0.6102406893913157</v>
      </c>
    </row>
    <row r="1789" spans="1:27" x14ac:dyDescent="0.3">
      <c r="A1789" t="s">
        <v>556</v>
      </c>
      <c r="B1789">
        <v>214899</v>
      </c>
      <c r="C1789">
        <v>2019</v>
      </c>
      <c r="D1789" t="s">
        <v>74</v>
      </c>
      <c r="E1789" t="s">
        <v>93</v>
      </c>
      <c r="F1789">
        <v>8</v>
      </c>
      <c r="G1789" t="s">
        <v>22</v>
      </c>
      <c r="H1789">
        <v>4</v>
      </c>
      <c r="I1789" t="s">
        <v>23</v>
      </c>
      <c r="J1789" t="s">
        <v>42</v>
      </c>
      <c r="K1789" t="s">
        <v>27</v>
      </c>
      <c r="L1789" t="s">
        <v>84</v>
      </c>
      <c r="M1789">
        <v>4</v>
      </c>
      <c r="N1789">
        <v>0</v>
      </c>
      <c r="S1789" s="3">
        <v>8000</v>
      </c>
      <c r="T1789" s="2">
        <v>7245.36181640625</v>
      </c>
      <c r="U1789" s="2">
        <v>7483.0736120181391</v>
      </c>
      <c r="V1789" s="2">
        <v>14032.3284193238</v>
      </c>
      <c r="W1789" s="2">
        <v>7147.98193359375</v>
      </c>
      <c r="X1789" s="4">
        <f t="shared" si="108"/>
        <v>1.1041546582097477</v>
      </c>
      <c r="Y1789" s="4">
        <f t="shared" si="109"/>
        <v>1.0690794204070977</v>
      </c>
      <c r="Z1789" s="4">
        <f t="shared" si="110"/>
        <v>0.57011208410596126</v>
      </c>
      <c r="AA1789" s="4">
        <f t="shared" si="111"/>
        <v>1.119197008935064</v>
      </c>
    </row>
    <row r="1790" spans="1:27" x14ac:dyDescent="0.3">
      <c r="A1790" t="s">
        <v>556</v>
      </c>
      <c r="B1790">
        <v>148294</v>
      </c>
      <c r="C1790">
        <v>2015</v>
      </c>
      <c r="D1790" t="s">
        <v>44</v>
      </c>
      <c r="E1790" t="s">
        <v>176</v>
      </c>
      <c r="F1790">
        <v>4</v>
      </c>
      <c r="G1790" t="s">
        <v>36</v>
      </c>
      <c r="H1790">
        <v>4</v>
      </c>
      <c r="I1790" t="s">
        <v>23</v>
      </c>
      <c r="J1790" t="s">
        <v>62</v>
      </c>
      <c r="L1790" t="s">
        <v>96</v>
      </c>
      <c r="M1790" t="s">
        <v>23</v>
      </c>
      <c r="N1790">
        <v>0</v>
      </c>
      <c r="S1790" s="3">
        <v>2400</v>
      </c>
      <c r="T1790" s="2">
        <v>5859.03173828125</v>
      </c>
      <c r="U1790" s="2">
        <v>5224.3961998312679</v>
      </c>
      <c r="V1790" s="2">
        <v>3473.8217585654952</v>
      </c>
      <c r="W1790" s="2">
        <v>4350.15576171875</v>
      </c>
      <c r="X1790" s="4">
        <f t="shared" si="108"/>
        <v>0.40962399713916575</v>
      </c>
      <c r="Y1790" s="4">
        <f t="shared" si="109"/>
        <v>0.45938322979361951</v>
      </c>
      <c r="Z1790" s="4">
        <f t="shared" si="110"/>
        <v>0.69088173395260011</v>
      </c>
      <c r="AA1790" s="4">
        <f t="shared" si="111"/>
        <v>0.55170438289128254</v>
      </c>
    </row>
    <row r="1791" spans="1:27" x14ac:dyDescent="0.3">
      <c r="A1791" t="s">
        <v>556</v>
      </c>
      <c r="B1791">
        <v>146515</v>
      </c>
      <c r="C1791">
        <v>2017</v>
      </c>
      <c r="D1791" t="s">
        <v>81</v>
      </c>
      <c r="E1791" t="s">
        <v>278</v>
      </c>
      <c r="F1791">
        <v>6</v>
      </c>
      <c r="G1791" t="s">
        <v>22</v>
      </c>
      <c r="H1791">
        <v>4</v>
      </c>
      <c r="I1791" t="s">
        <v>23</v>
      </c>
      <c r="J1791" t="s">
        <v>24</v>
      </c>
      <c r="L1791" t="s">
        <v>26</v>
      </c>
      <c r="M1791" t="s">
        <v>78</v>
      </c>
      <c r="N1791">
        <v>0</v>
      </c>
      <c r="S1791" s="3">
        <v>6000</v>
      </c>
      <c r="T1791" s="2">
        <v>10070.2763671875</v>
      </c>
      <c r="U1791" s="2">
        <v>9981.4117466016196</v>
      </c>
      <c r="V1791" s="2">
        <v>7957.2132334732196</v>
      </c>
      <c r="W1791" s="2">
        <v>9462.7294921875</v>
      </c>
      <c r="X1791" s="4">
        <f t="shared" si="108"/>
        <v>0.59581284378153798</v>
      </c>
      <c r="Y1791" s="4">
        <f t="shared" si="109"/>
        <v>0.60111737220366901</v>
      </c>
      <c r="Z1791" s="4">
        <f t="shared" si="110"/>
        <v>0.75403282832236962</v>
      </c>
      <c r="AA1791" s="4">
        <f t="shared" si="111"/>
        <v>0.63406652435258182</v>
      </c>
    </row>
    <row r="1792" spans="1:27" x14ac:dyDescent="0.3">
      <c r="A1792" t="s">
        <v>556</v>
      </c>
      <c r="B1792">
        <v>70637</v>
      </c>
      <c r="C1792">
        <v>2019</v>
      </c>
      <c r="D1792" t="s">
        <v>85</v>
      </c>
      <c r="E1792" t="s">
        <v>531</v>
      </c>
      <c r="F1792">
        <v>6</v>
      </c>
      <c r="G1792" t="s">
        <v>22</v>
      </c>
      <c r="H1792">
        <v>4</v>
      </c>
      <c r="I1792" t="s">
        <v>23</v>
      </c>
      <c r="J1792" t="s">
        <v>106</v>
      </c>
      <c r="K1792" t="s">
        <v>27</v>
      </c>
      <c r="L1792" t="s">
        <v>194</v>
      </c>
      <c r="M1792" t="s">
        <v>33</v>
      </c>
      <c r="N1792">
        <v>0</v>
      </c>
      <c r="O1792" t="s">
        <v>27</v>
      </c>
      <c r="S1792" s="3">
        <v>10200</v>
      </c>
      <c r="T1792" s="2">
        <v>18598.15625</v>
      </c>
      <c r="U1792" s="2">
        <v>15911.35633649479</v>
      </c>
      <c r="V1792" s="2">
        <v>13799.96051936617</v>
      </c>
      <c r="W1792" s="2">
        <v>17325.3828125</v>
      </c>
      <c r="X1792" s="4">
        <f t="shared" si="108"/>
        <v>0.54844146177124409</v>
      </c>
      <c r="Y1792" s="4">
        <f t="shared" si="109"/>
        <v>0.64105157249259492</v>
      </c>
      <c r="Z1792" s="4">
        <f t="shared" si="110"/>
        <v>0.73913254937837203</v>
      </c>
      <c r="AA1792" s="4">
        <f t="shared" si="111"/>
        <v>0.58873158015538074</v>
      </c>
    </row>
    <row r="1793" spans="1:27" x14ac:dyDescent="0.3">
      <c r="A1793" t="s">
        <v>556</v>
      </c>
      <c r="B1793">
        <v>75888</v>
      </c>
      <c r="C1793">
        <v>2016</v>
      </c>
      <c r="D1793" t="s">
        <v>44</v>
      </c>
      <c r="E1793" t="s">
        <v>210</v>
      </c>
      <c r="F1793">
        <v>4</v>
      </c>
      <c r="G1793" t="s">
        <v>47</v>
      </c>
      <c r="H1793">
        <v>4</v>
      </c>
      <c r="I1793" t="s">
        <v>23</v>
      </c>
      <c r="J1793" t="s">
        <v>37</v>
      </c>
      <c r="K1793" t="s">
        <v>27</v>
      </c>
      <c r="L1793" t="s">
        <v>200</v>
      </c>
      <c r="M1793" t="s">
        <v>33</v>
      </c>
      <c r="N1793">
        <v>0</v>
      </c>
      <c r="S1793" s="3">
        <v>7000</v>
      </c>
      <c r="T1793" s="2">
        <v>8375.5107421875</v>
      </c>
      <c r="U1793" s="2">
        <v>9099.1605516790733</v>
      </c>
      <c r="V1793" s="2">
        <v>7669.9665639297891</v>
      </c>
      <c r="W1793" s="2">
        <v>7478.12158203125</v>
      </c>
      <c r="X1793" s="4">
        <f t="shared" si="108"/>
        <v>0.83576992681066675</v>
      </c>
      <c r="Y1793" s="4">
        <f t="shared" si="109"/>
        <v>0.76930173506041566</v>
      </c>
      <c r="Z1793" s="4">
        <f t="shared" si="110"/>
        <v>0.912650653904999</v>
      </c>
      <c r="AA1793" s="4">
        <f t="shared" si="111"/>
        <v>0.93606394643541224</v>
      </c>
    </row>
    <row r="1794" spans="1:27" x14ac:dyDescent="0.3">
      <c r="A1794" t="s">
        <v>556</v>
      </c>
      <c r="B1794">
        <v>152700</v>
      </c>
      <c r="C1794">
        <v>2017</v>
      </c>
      <c r="D1794" t="s">
        <v>28</v>
      </c>
      <c r="E1794" t="s">
        <v>274</v>
      </c>
      <c r="F1794">
        <v>6</v>
      </c>
      <c r="G1794" t="s">
        <v>36</v>
      </c>
      <c r="H1794">
        <v>4</v>
      </c>
      <c r="I1794" t="s">
        <v>23</v>
      </c>
      <c r="J1794" t="s">
        <v>42</v>
      </c>
      <c r="K1794" t="s">
        <v>27</v>
      </c>
      <c r="L1794" t="s">
        <v>53</v>
      </c>
      <c r="M1794" t="s">
        <v>23</v>
      </c>
      <c r="N1794">
        <v>0</v>
      </c>
      <c r="S1794" s="3">
        <v>13300</v>
      </c>
      <c r="T1794" s="2">
        <v>12639.8720703125</v>
      </c>
      <c r="U1794" s="2">
        <v>12364.860196154979</v>
      </c>
      <c r="V1794" s="2">
        <v>10718.244127930941</v>
      </c>
      <c r="W1794" s="2">
        <v>12437.1591796875</v>
      </c>
      <c r="X1794" s="4">
        <f t="shared" ref="X1794:X1857" si="112">S1794/T1794</f>
        <v>1.0522258394717423</v>
      </c>
      <c r="Y1794" s="4">
        <f t="shared" ref="Y1794:Y1857" si="113">S1794/U1794</f>
        <v>1.0756288214351033</v>
      </c>
      <c r="Z1794" s="4">
        <f t="shared" ref="Z1794:Z1857" si="114">S1794/V1794</f>
        <v>1.2408748896977628</v>
      </c>
      <c r="AA1794" s="4">
        <f t="shared" ref="AA1794:AA1857" si="115">S1794/W1794</f>
        <v>1.0693760373929844</v>
      </c>
    </row>
    <row r="1795" spans="1:27" x14ac:dyDescent="0.3">
      <c r="A1795" t="s">
        <v>556</v>
      </c>
      <c r="B1795">
        <v>38584</v>
      </c>
      <c r="C1795">
        <v>2019</v>
      </c>
      <c r="D1795" t="s">
        <v>125</v>
      </c>
      <c r="E1795" t="s">
        <v>126</v>
      </c>
      <c r="F1795">
        <v>4</v>
      </c>
      <c r="G1795" t="s">
        <v>30</v>
      </c>
      <c r="H1795">
        <v>4</v>
      </c>
      <c r="I1795" t="s">
        <v>23</v>
      </c>
      <c r="J1795" t="s">
        <v>31</v>
      </c>
      <c r="K1795" t="s">
        <v>27</v>
      </c>
      <c r="L1795" t="s">
        <v>127</v>
      </c>
      <c r="M1795" t="s">
        <v>33</v>
      </c>
      <c r="N1795">
        <v>0</v>
      </c>
      <c r="S1795" s="3">
        <v>12000</v>
      </c>
      <c r="T1795" s="2">
        <v>17033.25</v>
      </c>
      <c r="U1795" s="2">
        <v>17017.269042220621</v>
      </c>
      <c r="V1795" s="2">
        <v>11748.28743607867</v>
      </c>
      <c r="W1795" s="2">
        <v>15025.0986328125</v>
      </c>
      <c r="X1795" s="4">
        <f t="shared" si="112"/>
        <v>0.7045044251684206</v>
      </c>
      <c r="Y1795" s="4">
        <f t="shared" si="113"/>
        <v>0.70516602694753505</v>
      </c>
      <c r="Z1795" s="4">
        <f t="shared" si="114"/>
        <v>1.0214254686302897</v>
      </c>
      <c r="AA1795" s="4">
        <f t="shared" si="115"/>
        <v>0.79866364230008113</v>
      </c>
    </row>
    <row r="1796" spans="1:27" x14ac:dyDescent="0.3">
      <c r="A1796" t="s">
        <v>556</v>
      </c>
      <c r="B1796">
        <v>134820</v>
      </c>
      <c r="C1796">
        <v>2014</v>
      </c>
      <c r="D1796" t="s">
        <v>74</v>
      </c>
      <c r="E1796" t="s">
        <v>75</v>
      </c>
      <c r="F1796">
        <v>8</v>
      </c>
      <c r="G1796" t="s">
        <v>22</v>
      </c>
      <c r="H1796">
        <v>4</v>
      </c>
      <c r="I1796" t="s">
        <v>23</v>
      </c>
      <c r="J1796" t="s">
        <v>42</v>
      </c>
      <c r="L1796" t="s">
        <v>84</v>
      </c>
      <c r="M1796" t="s">
        <v>78</v>
      </c>
      <c r="N1796">
        <v>0</v>
      </c>
      <c r="S1796" s="3">
        <v>8600</v>
      </c>
      <c r="T1796" s="2">
        <v>11325.00390625</v>
      </c>
      <c r="U1796" s="2">
        <v>10932.58681246203</v>
      </c>
      <c r="V1796" s="2">
        <v>12354.081061665031</v>
      </c>
      <c r="W1796" s="2">
        <v>11415.3310546875</v>
      </c>
      <c r="X1796" s="4">
        <f t="shared" si="112"/>
        <v>0.75938163652675339</v>
      </c>
      <c r="Y1796" s="4">
        <f t="shared" si="113"/>
        <v>0.78663907705693958</v>
      </c>
      <c r="Z1796" s="4">
        <f t="shared" si="114"/>
        <v>0.69612624015281699</v>
      </c>
      <c r="AA1796" s="4">
        <f t="shared" si="115"/>
        <v>0.75337280704343346</v>
      </c>
    </row>
    <row r="1797" spans="1:27" x14ac:dyDescent="0.3">
      <c r="A1797" t="s">
        <v>556</v>
      </c>
      <c r="B1797">
        <v>157534</v>
      </c>
      <c r="C1797">
        <v>2012</v>
      </c>
      <c r="D1797" t="s">
        <v>54</v>
      </c>
      <c r="E1797" t="s">
        <v>174</v>
      </c>
      <c r="F1797">
        <v>4</v>
      </c>
      <c r="G1797" t="s">
        <v>272</v>
      </c>
      <c r="H1797">
        <v>4</v>
      </c>
      <c r="I1797" t="s">
        <v>23</v>
      </c>
      <c r="J1797" t="s">
        <v>24</v>
      </c>
      <c r="L1797" t="s">
        <v>60</v>
      </c>
      <c r="M1797" t="s">
        <v>33</v>
      </c>
      <c r="N1797">
        <v>0</v>
      </c>
      <c r="S1797" s="3">
        <v>1000</v>
      </c>
      <c r="T1797" s="2">
        <v>2668.484130859375</v>
      </c>
      <c r="U1797" s="2">
        <v>2927.8343059732442</v>
      </c>
      <c r="V1797" s="2">
        <v>1171.4731204888581</v>
      </c>
      <c r="W1797" s="2">
        <v>2957.09765625</v>
      </c>
      <c r="X1797" s="4">
        <f t="shared" si="112"/>
        <v>0.37474459317018832</v>
      </c>
      <c r="Y1797" s="4">
        <f t="shared" si="113"/>
        <v>0.34154938275019259</v>
      </c>
      <c r="Z1797" s="4">
        <f t="shared" si="114"/>
        <v>0.85362607345416341</v>
      </c>
      <c r="AA1797" s="4">
        <f t="shared" si="115"/>
        <v>0.33816942023759045</v>
      </c>
    </row>
    <row r="1798" spans="1:27" x14ac:dyDescent="0.3">
      <c r="A1798" t="s">
        <v>556</v>
      </c>
      <c r="B1798">
        <v>188489</v>
      </c>
      <c r="C1798">
        <v>2018</v>
      </c>
      <c r="D1798" t="s">
        <v>28</v>
      </c>
      <c r="E1798" t="s">
        <v>137</v>
      </c>
      <c r="F1798">
        <v>4</v>
      </c>
      <c r="G1798" t="s">
        <v>36</v>
      </c>
      <c r="H1798">
        <v>4</v>
      </c>
      <c r="I1798" t="s">
        <v>23</v>
      </c>
      <c r="J1798" t="s">
        <v>31</v>
      </c>
      <c r="K1798" t="s">
        <v>27</v>
      </c>
      <c r="L1798" t="s">
        <v>107</v>
      </c>
      <c r="M1798" t="s">
        <v>33</v>
      </c>
      <c r="N1798">
        <v>0</v>
      </c>
      <c r="S1798" s="3">
        <v>7200</v>
      </c>
      <c r="T1798" s="2">
        <v>7549.15185546875</v>
      </c>
      <c r="U1798" s="2">
        <v>6947.7274175314487</v>
      </c>
      <c r="V1798" s="2">
        <v>6671.4589384978508</v>
      </c>
      <c r="W1798" s="2">
        <v>9330.919921875</v>
      </c>
      <c r="X1798" s="4">
        <f t="shared" si="112"/>
        <v>0.95374952548930148</v>
      </c>
      <c r="Y1798" s="4">
        <f t="shared" si="113"/>
        <v>1.0363100863502479</v>
      </c>
      <c r="Z1798" s="4">
        <f t="shared" si="114"/>
        <v>1.0792242096330964</v>
      </c>
      <c r="AA1798" s="4">
        <f t="shared" si="115"/>
        <v>0.77162809886736194</v>
      </c>
    </row>
    <row r="1799" spans="1:27" x14ac:dyDescent="0.3">
      <c r="A1799" t="s">
        <v>587</v>
      </c>
      <c r="B1799">
        <v>45559</v>
      </c>
      <c r="C1799">
        <v>2018</v>
      </c>
      <c r="D1799" t="s">
        <v>90</v>
      </c>
      <c r="E1799" t="s">
        <v>195</v>
      </c>
      <c r="F1799">
        <v>4</v>
      </c>
      <c r="G1799" t="s">
        <v>47</v>
      </c>
      <c r="H1799">
        <v>4</v>
      </c>
      <c r="I1799" t="s">
        <v>23</v>
      </c>
      <c r="J1799" t="s">
        <v>24</v>
      </c>
      <c r="L1799" t="s">
        <v>127</v>
      </c>
      <c r="M1799" t="s">
        <v>33</v>
      </c>
      <c r="N1799">
        <v>4.5999999999999899</v>
      </c>
      <c r="O1799" t="s">
        <v>27</v>
      </c>
      <c r="S1799" s="3">
        <v>11750</v>
      </c>
      <c r="T1799" s="2">
        <v>15955.048828125</v>
      </c>
      <c r="U1799" s="2">
        <v>16300.609587228981</v>
      </c>
      <c r="V1799" s="2">
        <v>17460.75435612048</v>
      </c>
      <c r="W1799" s="2">
        <v>16498.892578125</v>
      </c>
      <c r="X1799" s="4">
        <f t="shared" si="112"/>
        <v>0.7364440013049357</v>
      </c>
      <c r="Y1799" s="4">
        <f t="shared" si="113"/>
        <v>0.72083193804026557</v>
      </c>
      <c r="Z1799" s="4">
        <f t="shared" si="114"/>
        <v>0.67293770706311429</v>
      </c>
      <c r="AA1799" s="4">
        <f t="shared" si="115"/>
        <v>0.71216901039641278</v>
      </c>
    </row>
    <row r="1800" spans="1:27" x14ac:dyDescent="0.3">
      <c r="A1800" t="s">
        <v>587</v>
      </c>
      <c r="B1800">
        <v>91760</v>
      </c>
      <c r="C1800">
        <v>2018</v>
      </c>
      <c r="D1800" t="s">
        <v>34</v>
      </c>
      <c r="E1800" t="s">
        <v>588</v>
      </c>
      <c r="F1800">
        <v>4</v>
      </c>
      <c r="G1800" t="s">
        <v>66</v>
      </c>
      <c r="H1800">
        <v>4</v>
      </c>
      <c r="I1800" t="s">
        <v>23</v>
      </c>
      <c r="J1800" t="s">
        <v>145</v>
      </c>
      <c r="L1800" t="s">
        <v>89</v>
      </c>
      <c r="M1800" t="s">
        <v>33</v>
      </c>
      <c r="N1800">
        <v>3.7</v>
      </c>
      <c r="O1800" t="s">
        <v>27</v>
      </c>
      <c r="S1800" s="3">
        <v>9500</v>
      </c>
      <c r="T1800" s="2">
        <v>11203.984375</v>
      </c>
      <c r="U1800" s="2">
        <v>12739.61198615996</v>
      </c>
      <c r="V1800" s="2">
        <v>9811.6164407311571</v>
      </c>
      <c r="W1800" s="2">
        <v>12451.2998046875</v>
      </c>
      <c r="X1800" s="4">
        <f t="shared" si="112"/>
        <v>0.84791264268431288</v>
      </c>
      <c r="Y1800" s="4">
        <f t="shared" si="113"/>
        <v>0.7457056000073311</v>
      </c>
      <c r="Z1800" s="4">
        <f t="shared" si="114"/>
        <v>0.96824005069770791</v>
      </c>
      <c r="AA1800" s="4">
        <f t="shared" si="115"/>
        <v>0.76297255298788691</v>
      </c>
    </row>
    <row r="1801" spans="1:27" x14ac:dyDescent="0.3">
      <c r="A1801" t="s">
        <v>589</v>
      </c>
      <c r="B1801">
        <v>13806</v>
      </c>
      <c r="C1801">
        <v>2023</v>
      </c>
      <c r="D1801" t="s">
        <v>54</v>
      </c>
      <c r="E1801" t="s">
        <v>206</v>
      </c>
      <c r="F1801">
        <v>6</v>
      </c>
      <c r="G1801" t="s">
        <v>47</v>
      </c>
      <c r="H1801">
        <v>4</v>
      </c>
      <c r="I1801" t="s">
        <v>23</v>
      </c>
      <c r="J1801" t="s">
        <v>24</v>
      </c>
      <c r="K1801" t="s">
        <v>27</v>
      </c>
      <c r="L1801" t="s">
        <v>26</v>
      </c>
      <c r="M1801">
        <v>4</v>
      </c>
      <c r="N1801">
        <v>0</v>
      </c>
      <c r="O1801" t="s">
        <v>27</v>
      </c>
      <c r="S1801" s="3">
        <v>45700</v>
      </c>
      <c r="T1801" s="2">
        <v>41996.5703125</v>
      </c>
      <c r="U1801" s="2">
        <v>47768.220413581912</v>
      </c>
      <c r="V1801" s="2">
        <v>58590.563085930218</v>
      </c>
      <c r="W1801" s="2">
        <v>48631.30859375</v>
      </c>
      <c r="X1801" s="4">
        <f t="shared" si="112"/>
        <v>1.0881840983666635</v>
      </c>
      <c r="Y1801" s="4">
        <f t="shared" si="113"/>
        <v>0.95670300472416481</v>
      </c>
      <c r="Z1801" s="4">
        <f t="shared" si="114"/>
        <v>0.77998909027338359</v>
      </c>
      <c r="AA1801" s="4">
        <f t="shared" si="115"/>
        <v>0.93972383884963506</v>
      </c>
    </row>
    <row r="1802" spans="1:27" x14ac:dyDescent="0.3">
      <c r="A1802" t="s">
        <v>135</v>
      </c>
      <c r="B1802">
        <v>214595</v>
      </c>
      <c r="C1802">
        <v>2007</v>
      </c>
      <c r="D1802" t="s">
        <v>71</v>
      </c>
      <c r="E1802" t="s">
        <v>523</v>
      </c>
      <c r="F1802">
        <v>6</v>
      </c>
      <c r="G1802" t="s">
        <v>47</v>
      </c>
      <c r="H1802">
        <v>4</v>
      </c>
      <c r="I1802" t="s">
        <v>23</v>
      </c>
      <c r="J1802" t="s">
        <v>31</v>
      </c>
      <c r="L1802" t="s">
        <v>143</v>
      </c>
      <c r="M1802" t="s">
        <v>33</v>
      </c>
      <c r="N1802">
        <v>1.8</v>
      </c>
      <c r="O1802" t="s">
        <v>39</v>
      </c>
      <c r="S1802" s="3">
        <v>200</v>
      </c>
      <c r="T1802" s="2">
        <v>689.7286376953125</v>
      </c>
      <c r="U1802" s="2">
        <v>863.13023869056997</v>
      </c>
      <c r="V1802" s="2">
        <v>371.94533752068492</v>
      </c>
      <c r="W1802" s="2">
        <v>1166.553100585938</v>
      </c>
      <c r="X1802" s="4">
        <f t="shared" si="112"/>
        <v>0.28996911113954638</v>
      </c>
      <c r="Y1802" s="4">
        <f t="shared" si="113"/>
        <v>0.23171474133893658</v>
      </c>
      <c r="Z1802" s="4">
        <f t="shared" si="114"/>
        <v>0.5377134213676692</v>
      </c>
      <c r="AA1802" s="4">
        <f t="shared" si="115"/>
        <v>0.17144526031394861</v>
      </c>
    </row>
    <row r="1803" spans="1:27" x14ac:dyDescent="0.3">
      <c r="A1803" t="s">
        <v>135</v>
      </c>
      <c r="B1803">
        <v>92352</v>
      </c>
      <c r="C1803">
        <v>2021</v>
      </c>
      <c r="D1803" t="s">
        <v>44</v>
      </c>
      <c r="E1803" t="s">
        <v>590</v>
      </c>
      <c r="F1803">
        <v>6</v>
      </c>
      <c r="G1803" t="s">
        <v>36</v>
      </c>
      <c r="H1803">
        <v>4</v>
      </c>
      <c r="I1803" t="s">
        <v>23</v>
      </c>
      <c r="J1803" t="s">
        <v>62</v>
      </c>
      <c r="L1803" t="s">
        <v>235</v>
      </c>
      <c r="M1803" t="s">
        <v>23</v>
      </c>
      <c r="N1803">
        <v>1.9</v>
      </c>
      <c r="O1803" t="s">
        <v>27</v>
      </c>
      <c r="S1803" s="3">
        <v>6000</v>
      </c>
      <c r="T1803" s="2">
        <v>12698.9599609375</v>
      </c>
      <c r="U1803" s="2">
        <v>11219.66191867111</v>
      </c>
      <c r="V1803" s="2">
        <v>9374.3904791289515</v>
      </c>
      <c r="W1803" s="2">
        <v>12546.361328125</v>
      </c>
      <c r="X1803" s="4">
        <f t="shared" si="112"/>
        <v>0.47247963758104883</v>
      </c>
      <c r="Y1803" s="4">
        <f t="shared" si="113"/>
        <v>0.53477547215706633</v>
      </c>
      <c r="Z1803" s="4">
        <f t="shared" si="114"/>
        <v>0.64004161266360082</v>
      </c>
      <c r="AA1803" s="4">
        <f t="shared" si="115"/>
        <v>0.47822630347413042</v>
      </c>
    </row>
    <row r="1804" spans="1:27" x14ac:dyDescent="0.3">
      <c r="A1804" t="s">
        <v>135</v>
      </c>
      <c r="B1804">
        <v>286260</v>
      </c>
      <c r="C1804">
        <v>2016</v>
      </c>
      <c r="D1804" t="s">
        <v>44</v>
      </c>
      <c r="E1804" t="s">
        <v>267</v>
      </c>
      <c r="F1804">
        <v>8</v>
      </c>
      <c r="G1804" t="s">
        <v>47</v>
      </c>
      <c r="H1804">
        <v>4</v>
      </c>
      <c r="I1804" t="s">
        <v>23</v>
      </c>
      <c r="J1804" t="s">
        <v>46</v>
      </c>
      <c r="K1804" t="s">
        <v>27</v>
      </c>
      <c r="L1804" t="s">
        <v>313</v>
      </c>
      <c r="M1804">
        <v>4</v>
      </c>
      <c r="N1804">
        <v>1.2</v>
      </c>
      <c r="O1804" t="s">
        <v>199</v>
      </c>
      <c r="S1804" s="3">
        <v>2200</v>
      </c>
      <c r="T1804" s="2">
        <v>3357.36669921875</v>
      </c>
      <c r="U1804" s="2">
        <v>9653.5088846722756</v>
      </c>
      <c r="V1804" s="2">
        <v>-491.38101434667078</v>
      </c>
      <c r="W1804" s="2">
        <v>3790.36962890625</v>
      </c>
      <c r="X1804" s="4">
        <f t="shared" si="112"/>
        <v>0.65527545755187655</v>
      </c>
      <c r="Y1804" s="4">
        <f t="shared" si="113"/>
        <v>0.22789640806081748</v>
      </c>
      <c r="Z1804" s="4">
        <f t="shared" si="114"/>
        <v>-4.4771774565304909</v>
      </c>
      <c r="AA1804" s="4">
        <f t="shared" si="115"/>
        <v>0.58041832733733478</v>
      </c>
    </row>
    <row r="1805" spans="1:27" x14ac:dyDescent="0.3">
      <c r="A1805" t="s">
        <v>135</v>
      </c>
      <c r="B1805">
        <v>122603</v>
      </c>
      <c r="C1805">
        <v>2016</v>
      </c>
      <c r="D1805" t="s">
        <v>44</v>
      </c>
      <c r="E1805" t="s">
        <v>139</v>
      </c>
      <c r="F1805">
        <v>8</v>
      </c>
      <c r="G1805" t="s">
        <v>47</v>
      </c>
      <c r="H1805">
        <v>4</v>
      </c>
      <c r="I1805" t="s">
        <v>23</v>
      </c>
      <c r="J1805" t="s">
        <v>46</v>
      </c>
      <c r="L1805" t="s">
        <v>313</v>
      </c>
      <c r="M1805" t="s">
        <v>78</v>
      </c>
      <c r="N1805">
        <v>1.3</v>
      </c>
      <c r="O1805" t="s">
        <v>27</v>
      </c>
      <c r="S1805" s="3">
        <v>3800</v>
      </c>
      <c r="T1805" s="2">
        <v>13061.5146484375</v>
      </c>
      <c r="U1805" s="2">
        <v>19467.125418111031</v>
      </c>
      <c r="V1805" s="2">
        <v>10705.259649222389</v>
      </c>
      <c r="W1805" s="2">
        <v>13520.9423828125</v>
      </c>
      <c r="X1805" s="4">
        <f t="shared" si="112"/>
        <v>0.29093103688817434</v>
      </c>
      <c r="Y1805" s="4">
        <f t="shared" si="113"/>
        <v>0.1952008793483557</v>
      </c>
      <c r="Z1805" s="4">
        <f t="shared" si="114"/>
        <v>0.35496570139483025</v>
      </c>
      <c r="AA1805" s="4">
        <f t="shared" si="115"/>
        <v>0.2810454990793001</v>
      </c>
    </row>
    <row r="1806" spans="1:27" x14ac:dyDescent="0.3">
      <c r="A1806" t="s">
        <v>135</v>
      </c>
      <c r="B1806">
        <v>144722</v>
      </c>
      <c r="C1806">
        <v>2019</v>
      </c>
      <c r="D1806" t="s">
        <v>44</v>
      </c>
      <c r="E1806" t="s">
        <v>139</v>
      </c>
      <c r="F1806">
        <v>8</v>
      </c>
      <c r="G1806" t="s">
        <v>47</v>
      </c>
      <c r="H1806">
        <v>4</v>
      </c>
      <c r="I1806" t="s">
        <v>23</v>
      </c>
      <c r="J1806" t="s">
        <v>46</v>
      </c>
      <c r="K1806" t="s">
        <v>27</v>
      </c>
      <c r="L1806" t="s">
        <v>140</v>
      </c>
      <c r="M1806">
        <v>4</v>
      </c>
      <c r="N1806">
        <v>1.6</v>
      </c>
      <c r="O1806" t="s">
        <v>27</v>
      </c>
      <c r="S1806" s="3">
        <v>21750</v>
      </c>
      <c r="T1806" s="2">
        <v>16416.33203125</v>
      </c>
      <c r="U1806" s="2">
        <v>26842.44187748987</v>
      </c>
      <c r="V1806" s="2">
        <v>20492.737028780091</v>
      </c>
      <c r="W1806" s="2">
        <v>17836.5625</v>
      </c>
      <c r="X1806" s="4">
        <f t="shared" si="112"/>
        <v>1.3249001030557175</v>
      </c>
      <c r="Y1806" s="4">
        <f t="shared" si="113"/>
        <v>0.81028395625360738</v>
      </c>
      <c r="Z1806" s="4">
        <f t="shared" si="114"/>
        <v>1.0613516373851966</v>
      </c>
      <c r="AA1806" s="4">
        <f t="shared" si="115"/>
        <v>1.2194053646827969</v>
      </c>
    </row>
    <row r="1807" spans="1:27" x14ac:dyDescent="0.3">
      <c r="A1807" t="s">
        <v>135</v>
      </c>
      <c r="B1807">
        <v>1</v>
      </c>
      <c r="C1807">
        <v>2014</v>
      </c>
      <c r="D1807" t="s">
        <v>90</v>
      </c>
      <c r="E1807" t="s">
        <v>545</v>
      </c>
      <c r="F1807">
        <v>4</v>
      </c>
      <c r="G1807" t="s">
        <v>36</v>
      </c>
      <c r="H1807">
        <v>4</v>
      </c>
      <c r="I1807" t="s">
        <v>23</v>
      </c>
      <c r="J1807" t="s">
        <v>31</v>
      </c>
      <c r="K1807" t="s">
        <v>27</v>
      </c>
      <c r="L1807" t="s">
        <v>127</v>
      </c>
      <c r="M1807" t="s">
        <v>33</v>
      </c>
      <c r="N1807">
        <v>2</v>
      </c>
      <c r="O1807" t="s">
        <v>123</v>
      </c>
      <c r="S1807" s="3">
        <v>600</v>
      </c>
      <c r="T1807" s="2">
        <v>-4639.20361328125</v>
      </c>
      <c r="U1807" s="2">
        <v>3573.890488314757</v>
      </c>
      <c r="V1807" s="2">
        <v>-1847.9100880227541</v>
      </c>
      <c r="W1807" s="2">
        <v>699.314453125</v>
      </c>
      <c r="X1807" s="4">
        <f t="shared" si="112"/>
        <v>-0.12933254282745904</v>
      </c>
      <c r="Y1807" s="4">
        <f t="shared" si="113"/>
        <v>0.1678842712057822</v>
      </c>
      <c r="Z1807" s="4">
        <f t="shared" si="114"/>
        <v>-0.32469112208916734</v>
      </c>
      <c r="AA1807" s="4">
        <f t="shared" si="115"/>
        <v>0.85798312521470521</v>
      </c>
    </row>
    <row r="1808" spans="1:27" x14ac:dyDescent="0.3">
      <c r="A1808" t="s">
        <v>135</v>
      </c>
      <c r="B1808">
        <v>1</v>
      </c>
      <c r="C1808">
        <v>2013</v>
      </c>
      <c r="D1808" t="s">
        <v>340</v>
      </c>
      <c r="E1808" t="s">
        <v>512</v>
      </c>
      <c r="F1808">
        <v>6</v>
      </c>
      <c r="G1808" t="s">
        <v>36</v>
      </c>
      <c r="H1808">
        <v>4</v>
      </c>
      <c r="I1808" t="s">
        <v>23</v>
      </c>
      <c r="J1808" t="s">
        <v>24</v>
      </c>
      <c r="L1808" t="s">
        <v>57</v>
      </c>
      <c r="M1808" t="s">
        <v>33</v>
      </c>
      <c r="N1808">
        <v>2</v>
      </c>
      <c r="O1808" t="s">
        <v>123</v>
      </c>
      <c r="S1808" s="3">
        <v>700</v>
      </c>
      <c r="T1808" s="2">
        <v>3006.24072265625</v>
      </c>
      <c r="U1808" s="2">
        <v>21130.703271505499</v>
      </c>
      <c r="V1808" s="2">
        <v>1440.3297254283659</v>
      </c>
      <c r="W1808" s="2">
        <v>6829.0185546875</v>
      </c>
      <c r="X1808" s="4">
        <f t="shared" si="112"/>
        <v>0.23284895142445378</v>
      </c>
      <c r="Y1808" s="4">
        <f t="shared" si="113"/>
        <v>3.3127151094111552E-2</v>
      </c>
      <c r="Z1808" s="4">
        <f t="shared" si="114"/>
        <v>0.48599982881823411</v>
      </c>
      <c r="AA1808" s="4">
        <f t="shared" si="115"/>
        <v>0.10250374843681069</v>
      </c>
    </row>
    <row r="1809" spans="1:27" x14ac:dyDescent="0.3">
      <c r="A1809" t="s">
        <v>135</v>
      </c>
      <c r="B1809">
        <v>275846</v>
      </c>
      <c r="C1809">
        <v>2015</v>
      </c>
      <c r="D1809" t="s">
        <v>20</v>
      </c>
      <c r="E1809" t="s">
        <v>410</v>
      </c>
      <c r="F1809">
        <v>8</v>
      </c>
      <c r="G1809" t="s">
        <v>66</v>
      </c>
      <c r="H1809">
        <v>4</v>
      </c>
      <c r="I1809" t="s">
        <v>23</v>
      </c>
      <c r="J1809" t="s">
        <v>42</v>
      </c>
      <c r="K1809" t="s">
        <v>27</v>
      </c>
      <c r="L1809" t="s">
        <v>130</v>
      </c>
      <c r="M1809" t="s">
        <v>78</v>
      </c>
      <c r="N1809">
        <v>2.2999999999999901</v>
      </c>
      <c r="O1809" t="s">
        <v>27</v>
      </c>
      <c r="S1809" s="3">
        <v>10800</v>
      </c>
      <c r="T1809" s="2">
        <v>11602.8232421875</v>
      </c>
      <c r="U1809" s="2">
        <v>12431.025669600231</v>
      </c>
      <c r="V1809" s="2">
        <v>5134.2464765469267</v>
      </c>
      <c r="W1809" s="2">
        <v>11970.62109375</v>
      </c>
      <c r="X1809" s="4">
        <f t="shared" si="112"/>
        <v>0.93080793997891309</v>
      </c>
      <c r="Y1809" s="4">
        <f t="shared" si="113"/>
        <v>0.86879395852356223</v>
      </c>
      <c r="Z1809" s="4">
        <f t="shared" si="114"/>
        <v>2.1035219188120502</v>
      </c>
      <c r="AA1809" s="4">
        <f t="shared" si="115"/>
        <v>0.90220882570903571</v>
      </c>
    </row>
    <row r="1810" spans="1:27" x14ac:dyDescent="0.3">
      <c r="A1810" t="s">
        <v>135</v>
      </c>
      <c r="B1810">
        <v>111084</v>
      </c>
      <c r="C1810">
        <v>2020</v>
      </c>
      <c r="D1810" t="s">
        <v>40</v>
      </c>
      <c r="E1810" t="s">
        <v>79</v>
      </c>
      <c r="F1810">
        <v>8</v>
      </c>
      <c r="G1810" t="s">
        <v>30</v>
      </c>
      <c r="H1810">
        <v>4</v>
      </c>
      <c r="I1810" t="s">
        <v>23</v>
      </c>
      <c r="J1810" t="s">
        <v>42</v>
      </c>
      <c r="K1810" t="s">
        <v>27</v>
      </c>
      <c r="L1810" t="s">
        <v>130</v>
      </c>
      <c r="M1810">
        <v>4</v>
      </c>
      <c r="N1810">
        <v>2.4</v>
      </c>
      <c r="O1810" t="s">
        <v>27</v>
      </c>
      <c r="S1810" s="3">
        <v>24750</v>
      </c>
      <c r="T1810" s="2">
        <v>27744.1953125</v>
      </c>
      <c r="U1810" s="2">
        <v>33163.536722135781</v>
      </c>
      <c r="V1810" s="2">
        <v>31621.04463359126</v>
      </c>
      <c r="W1810" s="2">
        <v>32394.02734375</v>
      </c>
      <c r="X1810" s="4">
        <f t="shared" si="112"/>
        <v>0.89207849502302983</v>
      </c>
      <c r="Y1810" s="4">
        <f t="shared" si="113"/>
        <v>0.74630158439886873</v>
      </c>
      <c r="Z1810" s="4">
        <f t="shared" si="114"/>
        <v>0.7827065894498596</v>
      </c>
      <c r="AA1810" s="4">
        <f t="shared" si="115"/>
        <v>0.76402973107865779</v>
      </c>
    </row>
    <row r="1811" spans="1:27" x14ac:dyDescent="0.3">
      <c r="A1811" t="s">
        <v>135</v>
      </c>
      <c r="B1811">
        <v>108583</v>
      </c>
      <c r="C1811">
        <v>2018</v>
      </c>
      <c r="D1811" t="s">
        <v>125</v>
      </c>
      <c r="E1811" t="s">
        <v>306</v>
      </c>
      <c r="F1811">
        <v>4</v>
      </c>
      <c r="G1811" t="s">
        <v>22</v>
      </c>
      <c r="H1811">
        <v>4</v>
      </c>
      <c r="I1811" t="s">
        <v>23</v>
      </c>
      <c r="J1811" t="s">
        <v>24</v>
      </c>
      <c r="K1811" t="s">
        <v>27</v>
      </c>
      <c r="L1811" t="s">
        <v>60</v>
      </c>
      <c r="M1811" t="s">
        <v>33</v>
      </c>
      <c r="N1811">
        <v>4.3</v>
      </c>
      <c r="O1811" t="s">
        <v>27</v>
      </c>
      <c r="S1811" s="3">
        <v>4200</v>
      </c>
      <c r="T1811" s="2">
        <v>10653.193359375</v>
      </c>
      <c r="U1811" s="2">
        <v>10377.05748522401</v>
      </c>
      <c r="V1811" s="2">
        <v>7414.0364384096847</v>
      </c>
      <c r="W1811" s="2">
        <v>10360.3388671875</v>
      </c>
      <c r="X1811" s="4">
        <f t="shared" si="112"/>
        <v>0.39424798352166629</v>
      </c>
      <c r="Y1811" s="4">
        <f t="shared" si="113"/>
        <v>0.40473901257465517</v>
      </c>
      <c r="Z1811" s="4">
        <f t="shared" si="114"/>
        <v>0.56649303451506938</v>
      </c>
      <c r="AA1811" s="4">
        <f t="shared" si="115"/>
        <v>0.40539214535751622</v>
      </c>
    </row>
    <row r="1812" spans="1:27" x14ac:dyDescent="0.3">
      <c r="A1812" t="s">
        <v>135</v>
      </c>
      <c r="B1812">
        <v>102998</v>
      </c>
      <c r="C1812">
        <v>2017</v>
      </c>
      <c r="D1812" t="s">
        <v>20</v>
      </c>
      <c r="E1812" t="s">
        <v>154</v>
      </c>
      <c r="F1812">
        <v>4</v>
      </c>
      <c r="G1812" t="s">
        <v>30</v>
      </c>
      <c r="H1812">
        <v>4</v>
      </c>
      <c r="I1812" t="s">
        <v>23</v>
      </c>
      <c r="J1812" t="s">
        <v>24</v>
      </c>
      <c r="L1812" t="s">
        <v>102</v>
      </c>
      <c r="M1812" t="s">
        <v>33</v>
      </c>
      <c r="N1812">
        <v>4.3</v>
      </c>
      <c r="O1812" t="s">
        <v>27</v>
      </c>
      <c r="S1812" s="3">
        <v>9500</v>
      </c>
      <c r="T1812" s="2">
        <v>13315.8515625</v>
      </c>
      <c r="U1812" s="2">
        <v>12131.95283783422</v>
      </c>
      <c r="V1812" s="2">
        <v>11794.41873452537</v>
      </c>
      <c r="W1812" s="2">
        <v>13308.169921875</v>
      </c>
      <c r="X1812" s="4">
        <f t="shared" si="112"/>
        <v>0.71343540857378041</v>
      </c>
      <c r="Y1812" s="4">
        <f t="shared" si="113"/>
        <v>0.78305612682351367</v>
      </c>
      <c r="Z1812" s="4">
        <f t="shared" si="114"/>
        <v>0.80546572186647891</v>
      </c>
      <c r="AA1812" s="4">
        <f t="shared" si="115"/>
        <v>0.71384721233417614</v>
      </c>
    </row>
    <row r="1813" spans="1:27" x14ac:dyDescent="0.3">
      <c r="A1813" t="s">
        <v>135</v>
      </c>
      <c r="B1813">
        <v>98180</v>
      </c>
      <c r="C1813">
        <v>2013</v>
      </c>
      <c r="D1813" t="s">
        <v>324</v>
      </c>
      <c r="E1813" t="s">
        <v>431</v>
      </c>
      <c r="F1813">
        <v>6</v>
      </c>
      <c r="G1813" t="s">
        <v>36</v>
      </c>
      <c r="H1813">
        <v>4</v>
      </c>
      <c r="I1813" t="s">
        <v>23</v>
      </c>
      <c r="J1813" t="s">
        <v>31</v>
      </c>
      <c r="K1813" t="s">
        <v>27</v>
      </c>
      <c r="L1813" t="s">
        <v>218</v>
      </c>
      <c r="M1813" t="s">
        <v>78</v>
      </c>
      <c r="N1813">
        <v>0</v>
      </c>
      <c r="O1813" t="s">
        <v>27</v>
      </c>
      <c r="S1813" s="3">
        <v>5800</v>
      </c>
      <c r="T1813" s="2">
        <v>6102.83056640625</v>
      </c>
      <c r="U1813" s="2">
        <v>12563.9936428042</v>
      </c>
      <c r="V1813" s="2">
        <v>7684.042362750587</v>
      </c>
      <c r="W1813" s="2">
        <v>7598.0703125</v>
      </c>
      <c r="X1813" s="4">
        <f t="shared" si="112"/>
        <v>0.95037867050197711</v>
      </c>
      <c r="Y1813" s="4">
        <f t="shared" si="113"/>
        <v>0.4616366551030408</v>
      </c>
      <c r="Z1813" s="4">
        <f t="shared" si="114"/>
        <v>0.75481103905885116</v>
      </c>
      <c r="AA1813" s="4">
        <f t="shared" si="115"/>
        <v>0.76335171450810391</v>
      </c>
    </row>
    <row r="1814" spans="1:27" x14ac:dyDescent="0.3">
      <c r="A1814" t="s">
        <v>135</v>
      </c>
      <c r="B1814">
        <v>148084</v>
      </c>
      <c r="C1814">
        <v>2017</v>
      </c>
      <c r="D1814" t="s">
        <v>44</v>
      </c>
      <c r="E1814" t="s">
        <v>280</v>
      </c>
      <c r="F1814">
        <v>6</v>
      </c>
      <c r="G1814" t="s">
        <v>47</v>
      </c>
      <c r="H1814">
        <v>3</v>
      </c>
      <c r="I1814" t="s">
        <v>23</v>
      </c>
      <c r="J1814" t="s">
        <v>197</v>
      </c>
      <c r="L1814" t="s">
        <v>198</v>
      </c>
      <c r="M1814" t="s">
        <v>78</v>
      </c>
      <c r="N1814">
        <v>2.9</v>
      </c>
      <c r="O1814" t="s">
        <v>27</v>
      </c>
      <c r="S1814" s="3">
        <v>5800</v>
      </c>
      <c r="T1814" s="2">
        <v>9938.9697265625</v>
      </c>
      <c r="U1814" s="2">
        <v>10782.51886499463</v>
      </c>
      <c r="V1814" s="2">
        <v>8310.4801559042389</v>
      </c>
      <c r="W1814" s="2">
        <v>10311.6494140625</v>
      </c>
      <c r="X1814" s="4">
        <f t="shared" si="112"/>
        <v>0.58356149174085392</v>
      </c>
      <c r="Y1814" s="4">
        <f t="shared" si="113"/>
        <v>0.53790770715270053</v>
      </c>
      <c r="Z1814" s="4">
        <f t="shared" si="114"/>
        <v>0.69791394614898983</v>
      </c>
      <c r="AA1814" s="4">
        <f t="shared" si="115"/>
        <v>0.56247063559882637</v>
      </c>
    </row>
    <row r="1815" spans="1:27" x14ac:dyDescent="0.3">
      <c r="A1815" t="s">
        <v>135</v>
      </c>
      <c r="B1815">
        <v>87905</v>
      </c>
      <c r="C1815">
        <v>2021</v>
      </c>
      <c r="D1815" t="s">
        <v>20</v>
      </c>
      <c r="E1815" t="s">
        <v>151</v>
      </c>
      <c r="F1815">
        <v>8</v>
      </c>
      <c r="G1815" t="s">
        <v>47</v>
      </c>
      <c r="H1815">
        <v>4</v>
      </c>
      <c r="I1815" t="s">
        <v>23</v>
      </c>
      <c r="J1815" t="s">
        <v>42</v>
      </c>
      <c r="K1815" t="s">
        <v>27</v>
      </c>
      <c r="L1815" t="s">
        <v>166</v>
      </c>
      <c r="M1815">
        <v>4</v>
      </c>
      <c r="N1815">
        <v>3.8</v>
      </c>
      <c r="O1815" t="s">
        <v>27</v>
      </c>
      <c r="S1815" s="3">
        <v>35000</v>
      </c>
      <c r="T1815" s="2">
        <v>44049.09375</v>
      </c>
      <c r="U1815" s="2">
        <v>36847.425027940291</v>
      </c>
      <c r="V1815" s="2">
        <v>34427.862483226032</v>
      </c>
      <c r="W1815" s="2">
        <v>41286.08203125</v>
      </c>
      <c r="X1815" s="4">
        <f t="shared" si="112"/>
        <v>0.79456799267294798</v>
      </c>
      <c r="Y1815" s="4">
        <f t="shared" si="113"/>
        <v>0.9498628458694347</v>
      </c>
      <c r="Z1815" s="4">
        <f t="shared" si="114"/>
        <v>1.016618444350204</v>
      </c>
      <c r="AA1815" s="4">
        <f t="shared" si="115"/>
        <v>0.84774331392133606</v>
      </c>
    </row>
    <row r="1816" spans="1:27" x14ac:dyDescent="0.3">
      <c r="A1816" t="s">
        <v>135</v>
      </c>
      <c r="B1816">
        <v>116832</v>
      </c>
      <c r="C1816">
        <v>2015</v>
      </c>
      <c r="D1816" t="s">
        <v>44</v>
      </c>
      <c r="E1816" t="s">
        <v>45</v>
      </c>
      <c r="F1816">
        <v>6</v>
      </c>
      <c r="G1816" t="s">
        <v>66</v>
      </c>
      <c r="H1816">
        <v>4</v>
      </c>
      <c r="I1816" t="s">
        <v>23</v>
      </c>
      <c r="J1816" t="s">
        <v>46</v>
      </c>
      <c r="K1816" t="s">
        <v>27</v>
      </c>
      <c r="L1816" t="s">
        <v>38</v>
      </c>
      <c r="M1816" t="s">
        <v>78</v>
      </c>
      <c r="N1816">
        <v>0</v>
      </c>
      <c r="O1816" t="s">
        <v>27</v>
      </c>
      <c r="S1816" s="3">
        <v>18500</v>
      </c>
      <c r="T1816" s="2">
        <v>13965.45703125</v>
      </c>
      <c r="U1816" s="2">
        <v>13708.824536321559</v>
      </c>
      <c r="V1816" s="2">
        <v>16370.46889111762</v>
      </c>
      <c r="W1816" s="2">
        <v>12469.2001953125</v>
      </c>
      <c r="X1816" s="4">
        <f t="shared" si="112"/>
        <v>1.3246970692475883</v>
      </c>
      <c r="Y1816" s="4">
        <f t="shared" si="113"/>
        <v>1.3494957172282869</v>
      </c>
      <c r="Z1816" s="4">
        <f t="shared" si="114"/>
        <v>1.130083696627519</v>
      </c>
      <c r="AA1816" s="4">
        <f t="shared" si="115"/>
        <v>1.4836557044737029</v>
      </c>
    </row>
    <row r="1817" spans="1:27" x14ac:dyDescent="0.3">
      <c r="A1817" t="s">
        <v>135</v>
      </c>
      <c r="B1817">
        <v>138807</v>
      </c>
      <c r="C1817">
        <v>2016</v>
      </c>
      <c r="D1817" t="s">
        <v>44</v>
      </c>
      <c r="E1817" t="s">
        <v>45</v>
      </c>
      <c r="F1817">
        <v>6</v>
      </c>
      <c r="G1817" t="s">
        <v>36</v>
      </c>
      <c r="H1817">
        <v>4</v>
      </c>
      <c r="I1817" t="s">
        <v>23</v>
      </c>
      <c r="J1817" t="s">
        <v>46</v>
      </c>
      <c r="K1817" t="s">
        <v>27</v>
      </c>
      <c r="L1817" t="s">
        <v>38</v>
      </c>
      <c r="M1817" t="s">
        <v>78</v>
      </c>
      <c r="N1817">
        <v>0</v>
      </c>
      <c r="O1817" t="s">
        <v>27</v>
      </c>
      <c r="S1817" s="3">
        <v>18500</v>
      </c>
      <c r="T1817" s="2">
        <v>13357.13671875</v>
      </c>
      <c r="U1817" s="2">
        <v>13031.456646658969</v>
      </c>
      <c r="V1817" s="2">
        <v>14026.73854099355</v>
      </c>
      <c r="W1817" s="2">
        <v>11797.5234375</v>
      </c>
      <c r="X1817" s="4">
        <f t="shared" si="112"/>
        <v>1.3850273744694652</v>
      </c>
      <c r="Y1817" s="4">
        <f t="shared" si="113"/>
        <v>1.4196417562224761</v>
      </c>
      <c r="Z1817" s="4">
        <f t="shared" si="114"/>
        <v>1.3189095915585232</v>
      </c>
      <c r="AA1817" s="4">
        <f t="shared" si="115"/>
        <v>1.5681257255395895</v>
      </c>
    </row>
    <row r="1818" spans="1:27" x14ac:dyDescent="0.3">
      <c r="A1818" t="s">
        <v>591</v>
      </c>
      <c r="B1818">
        <v>44852</v>
      </c>
      <c r="C1818">
        <v>2022</v>
      </c>
      <c r="D1818" t="s">
        <v>50</v>
      </c>
      <c r="E1818" t="s">
        <v>432</v>
      </c>
      <c r="F1818">
        <v>4</v>
      </c>
      <c r="G1818" t="s">
        <v>47</v>
      </c>
      <c r="H1818">
        <v>4</v>
      </c>
      <c r="I1818" t="s">
        <v>23</v>
      </c>
      <c r="J1818" t="s">
        <v>24</v>
      </c>
      <c r="K1818" t="s">
        <v>25</v>
      </c>
      <c r="L1818" t="s">
        <v>127</v>
      </c>
      <c r="M1818" t="s">
        <v>23</v>
      </c>
      <c r="N1818">
        <v>4.7</v>
      </c>
      <c r="O1818" t="s">
        <v>27</v>
      </c>
      <c r="S1818" s="3">
        <v>38000</v>
      </c>
      <c r="T1818" s="2">
        <v>33565.140625</v>
      </c>
      <c r="U1818" s="2">
        <v>30093.514570706531</v>
      </c>
      <c r="V1818" s="2">
        <v>28513.25800668872</v>
      </c>
      <c r="W1818" s="2">
        <v>32281.501953125</v>
      </c>
      <c r="X1818" s="4">
        <f t="shared" si="112"/>
        <v>1.1321269415953772</v>
      </c>
      <c r="Y1818" s="4">
        <f t="shared" si="113"/>
        <v>1.2627305431778899</v>
      </c>
      <c r="Z1818" s="4">
        <f t="shared" si="114"/>
        <v>1.3327133641159441</v>
      </c>
      <c r="AA1818" s="4">
        <f t="shared" si="115"/>
        <v>1.177144733078983</v>
      </c>
    </row>
    <row r="1819" spans="1:27" x14ac:dyDescent="0.3">
      <c r="A1819" t="s">
        <v>591</v>
      </c>
      <c r="B1819">
        <v>32374</v>
      </c>
      <c r="C1819">
        <v>2023</v>
      </c>
      <c r="D1819" t="s">
        <v>50</v>
      </c>
      <c r="E1819" t="s">
        <v>592</v>
      </c>
      <c r="F1819">
        <v>0</v>
      </c>
      <c r="G1819" t="s">
        <v>30</v>
      </c>
      <c r="H1819">
        <v>4</v>
      </c>
      <c r="I1819" t="s">
        <v>23</v>
      </c>
      <c r="J1819" t="s">
        <v>24</v>
      </c>
      <c r="K1819" t="s">
        <v>25</v>
      </c>
      <c r="L1819" t="s">
        <v>465</v>
      </c>
      <c r="M1819" t="s">
        <v>33</v>
      </c>
      <c r="N1819">
        <v>4.5</v>
      </c>
      <c r="O1819" t="s">
        <v>27</v>
      </c>
      <c r="S1819" s="3">
        <v>23000</v>
      </c>
      <c r="T1819" s="2">
        <v>25468.744140625</v>
      </c>
      <c r="U1819" s="2">
        <v>18425.210159706701</v>
      </c>
      <c r="V1819" s="2">
        <v>23520.281609339581</v>
      </c>
      <c r="W1819" s="2">
        <v>23199.607421875</v>
      </c>
      <c r="X1819" s="4">
        <f t="shared" si="112"/>
        <v>0.9030676924235489</v>
      </c>
      <c r="Y1819" s="4">
        <f t="shared" si="113"/>
        <v>1.2482896965972041</v>
      </c>
      <c r="Z1819" s="4">
        <f t="shared" si="114"/>
        <v>0.97787944812986483</v>
      </c>
      <c r="AA1819" s="4">
        <f t="shared" si="115"/>
        <v>0.99139608622485609</v>
      </c>
    </row>
    <row r="1820" spans="1:27" x14ac:dyDescent="0.3">
      <c r="A1820" t="s">
        <v>593</v>
      </c>
      <c r="B1820">
        <v>28079</v>
      </c>
      <c r="C1820">
        <v>2023</v>
      </c>
      <c r="D1820" t="s">
        <v>44</v>
      </c>
      <c r="E1820" t="s">
        <v>45</v>
      </c>
      <c r="F1820">
        <v>8</v>
      </c>
      <c r="G1820" t="s">
        <v>22</v>
      </c>
      <c r="H1820">
        <v>4</v>
      </c>
      <c r="I1820" t="s">
        <v>23</v>
      </c>
      <c r="J1820" t="s">
        <v>46</v>
      </c>
      <c r="L1820" t="s">
        <v>594</v>
      </c>
      <c r="M1820">
        <v>4</v>
      </c>
      <c r="N1820">
        <v>0</v>
      </c>
      <c r="S1820" s="3">
        <v>96000</v>
      </c>
      <c r="T1820" s="2">
        <v>64253.140625</v>
      </c>
      <c r="U1820" s="2">
        <v>77654.240911514818</v>
      </c>
      <c r="V1820" s="2">
        <v>60205.062137303961</v>
      </c>
      <c r="W1820" s="2">
        <v>93241.7734375</v>
      </c>
      <c r="X1820" s="4">
        <f t="shared" si="112"/>
        <v>1.4940903910095835</v>
      </c>
      <c r="Y1820" s="4">
        <f t="shared" si="113"/>
        <v>1.2362492875230053</v>
      </c>
      <c r="Z1820" s="4">
        <f t="shared" si="114"/>
        <v>1.5945503017846228</v>
      </c>
      <c r="AA1820" s="4">
        <f t="shared" si="115"/>
        <v>1.0295814468216742</v>
      </c>
    </row>
    <row r="1821" spans="1:27" x14ac:dyDescent="0.3">
      <c r="A1821" t="s">
        <v>595</v>
      </c>
      <c r="B1821">
        <v>63748</v>
      </c>
      <c r="C1821">
        <v>2024</v>
      </c>
      <c r="D1821" t="s">
        <v>40</v>
      </c>
      <c r="E1821" t="s">
        <v>79</v>
      </c>
      <c r="F1821">
        <v>8</v>
      </c>
      <c r="G1821" t="s">
        <v>22</v>
      </c>
      <c r="H1821">
        <v>4</v>
      </c>
      <c r="I1821" t="s">
        <v>23</v>
      </c>
      <c r="J1821" t="s">
        <v>42</v>
      </c>
      <c r="K1821" t="s">
        <v>25</v>
      </c>
      <c r="L1821" t="s">
        <v>130</v>
      </c>
      <c r="M1821">
        <v>4</v>
      </c>
      <c r="N1821">
        <v>4</v>
      </c>
      <c r="O1821" t="s">
        <v>27</v>
      </c>
      <c r="S1821" s="3">
        <v>54200</v>
      </c>
      <c r="T1821" s="2">
        <v>54748.46875</v>
      </c>
      <c r="U1821" s="2">
        <v>64668.154663967449</v>
      </c>
      <c r="V1821" s="2">
        <v>59071.914688555997</v>
      </c>
      <c r="W1821" s="2">
        <v>93241.7734375</v>
      </c>
      <c r="X1821" s="4">
        <f t="shared" si="112"/>
        <v>0.98998202575300331</v>
      </c>
      <c r="Y1821" s="4">
        <f t="shared" si="113"/>
        <v>0.83812504441540503</v>
      </c>
      <c r="Z1821" s="4">
        <f t="shared" si="114"/>
        <v>0.91752570211678219</v>
      </c>
      <c r="AA1821" s="4">
        <f t="shared" si="115"/>
        <v>0.58128452518473694</v>
      </c>
    </row>
    <row r="1822" spans="1:27" x14ac:dyDescent="0.3">
      <c r="A1822" t="s">
        <v>595</v>
      </c>
      <c r="B1822">
        <v>58118</v>
      </c>
      <c r="C1822">
        <v>2024</v>
      </c>
      <c r="D1822" t="s">
        <v>74</v>
      </c>
      <c r="E1822" t="s">
        <v>75</v>
      </c>
      <c r="F1822">
        <v>8</v>
      </c>
      <c r="G1822" t="s">
        <v>47</v>
      </c>
      <c r="H1822">
        <v>4</v>
      </c>
      <c r="I1822" t="s">
        <v>109</v>
      </c>
      <c r="J1822" t="s">
        <v>110</v>
      </c>
      <c r="K1822" t="s">
        <v>25</v>
      </c>
      <c r="L1822" t="s">
        <v>84</v>
      </c>
      <c r="M1822">
        <v>4</v>
      </c>
      <c r="N1822">
        <v>0</v>
      </c>
      <c r="O1822" t="s">
        <v>27</v>
      </c>
      <c r="S1822" s="3">
        <v>45000</v>
      </c>
      <c r="T1822" s="2">
        <v>47674.203125</v>
      </c>
      <c r="U1822" s="2">
        <v>54947.438851332423</v>
      </c>
      <c r="V1822" s="2">
        <v>59677.038089899303</v>
      </c>
      <c r="W1822" s="2">
        <v>54052.21484375</v>
      </c>
      <c r="X1822" s="4">
        <f t="shared" si="112"/>
        <v>0.9439067053100324</v>
      </c>
      <c r="Y1822" s="4">
        <f t="shared" si="113"/>
        <v>0.81896446751146057</v>
      </c>
      <c r="Z1822" s="4">
        <f t="shared" si="114"/>
        <v>0.75405887155811313</v>
      </c>
      <c r="AA1822" s="4">
        <f t="shared" si="115"/>
        <v>0.83252832710153601</v>
      </c>
    </row>
    <row r="1823" spans="1:27" x14ac:dyDescent="0.3">
      <c r="A1823" t="s">
        <v>596</v>
      </c>
      <c r="B1823">
        <v>137818</v>
      </c>
      <c r="C1823">
        <v>2017</v>
      </c>
      <c r="D1823" t="s">
        <v>44</v>
      </c>
      <c r="E1823" t="s">
        <v>45</v>
      </c>
      <c r="F1823">
        <v>6</v>
      </c>
      <c r="G1823" t="s">
        <v>47</v>
      </c>
      <c r="H1823">
        <v>4</v>
      </c>
      <c r="I1823" t="s">
        <v>23</v>
      </c>
      <c r="J1823" t="s">
        <v>156</v>
      </c>
      <c r="K1823" t="s">
        <v>25</v>
      </c>
      <c r="L1823" t="s">
        <v>242</v>
      </c>
      <c r="M1823">
        <v>4</v>
      </c>
      <c r="N1823">
        <v>1.4</v>
      </c>
      <c r="O1823" t="s">
        <v>27</v>
      </c>
      <c r="S1823" s="3">
        <v>8900</v>
      </c>
      <c r="T1823" s="2">
        <v>4910.68505859375</v>
      </c>
      <c r="U1823" s="2">
        <v>6306.52867855153</v>
      </c>
      <c r="V1823" s="2">
        <v>8012.0151607470307</v>
      </c>
      <c r="W1823" s="2">
        <v>5670.33203125</v>
      </c>
      <c r="X1823" s="4">
        <f t="shared" si="112"/>
        <v>1.8123744230807284</v>
      </c>
      <c r="Y1823" s="4">
        <f t="shared" si="113"/>
        <v>1.4112359514464514</v>
      </c>
      <c r="Z1823" s="4">
        <f t="shared" si="114"/>
        <v>1.1108316473992013</v>
      </c>
      <c r="AA1823" s="4">
        <f t="shared" si="115"/>
        <v>1.5695729898973894</v>
      </c>
    </row>
    <row r="1824" spans="1:27" x14ac:dyDescent="0.3">
      <c r="A1824" t="s">
        <v>556</v>
      </c>
      <c r="B1824">
        <v>142502</v>
      </c>
      <c r="C1824">
        <v>2016</v>
      </c>
      <c r="D1824" t="s">
        <v>81</v>
      </c>
      <c r="E1824" t="s">
        <v>207</v>
      </c>
      <c r="F1824">
        <v>6</v>
      </c>
      <c r="G1824" t="s">
        <v>36</v>
      </c>
      <c r="H1824">
        <v>4</v>
      </c>
      <c r="I1824" t="s">
        <v>23</v>
      </c>
      <c r="J1824" t="s">
        <v>31</v>
      </c>
      <c r="L1824" t="s">
        <v>26</v>
      </c>
      <c r="M1824" t="s">
        <v>78</v>
      </c>
      <c r="N1824">
        <v>0</v>
      </c>
      <c r="S1824" s="3">
        <v>4800</v>
      </c>
      <c r="T1824" s="2">
        <v>9788.484375</v>
      </c>
      <c r="U1824" s="2">
        <v>6916.2293687351048</v>
      </c>
      <c r="V1824" s="2">
        <v>6281.4513837854038</v>
      </c>
      <c r="W1824" s="2">
        <v>8014.87158203125</v>
      </c>
      <c r="X1824" s="4">
        <f t="shared" si="112"/>
        <v>0.49037213690193993</v>
      </c>
      <c r="Y1824" s="4">
        <f t="shared" si="113"/>
        <v>0.69401978218051241</v>
      </c>
      <c r="Z1824" s="4">
        <f t="shared" si="114"/>
        <v>0.76415460484028552</v>
      </c>
      <c r="AA1824" s="4">
        <f t="shared" si="115"/>
        <v>0.59888670091249441</v>
      </c>
    </row>
    <row r="1825" spans="1:27" x14ac:dyDescent="0.3">
      <c r="A1825" t="s">
        <v>556</v>
      </c>
      <c r="B1825">
        <v>174880</v>
      </c>
      <c r="C1825">
        <v>2011</v>
      </c>
      <c r="D1825" t="s">
        <v>396</v>
      </c>
      <c r="E1825" t="s">
        <v>397</v>
      </c>
      <c r="F1825">
        <v>6</v>
      </c>
      <c r="G1825" t="s">
        <v>36</v>
      </c>
      <c r="H1825">
        <v>4</v>
      </c>
      <c r="I1825" t="s">
        <v>23</v>
      </c>
      <c r="J1825" t="s">
        <v>24</v>
      </c>
      <c r="K1825" t="s">
        <v>27</v>
      </c>
      <c r="L1825" t="s">
        <v>57</v>
      </c>
      <c r="M1825" t="s">
        <v>23</v>
      </c>
      <c r="N1825">
        <v>0</v>
      </c>
      <c r="S1825" s="3">
        <v>1900</v>
      </c>
      <c r="T1825" s="2">
        <v>3573.072021484375</v>
      </c>
      <c r="U1825" s="2">
        <v>3642.001289858465</v>
      </c>
      <c r="V1825" s="2">
        <v>3791.985992451544</v>
      </c>
      <c r="W1825" s="2">
        <v>2585.843505859375</v>
      </c>
      <c r="X1825" s="4">
        <f t="shared" si="112"/>
        <v>0.5317553042803419</v>
      </c>
      <c r="Y1825" s="4">
        <f t="shared" si="113"/>
        <v>0.52169119360027394</v>
      </c>
      <c r="Z1825" s="4">
        <f t="shared" si="114"/>
        <v>0.5010567032109835</v>
      </c>
      <c r="AA1825" s="4">
        <f t="shared" si="115"/>
        <v>0.7347699099712367</v>
      </c>
    </row>
    <row r="1826" spans="1:27" x14ac:dyDescent="0.3">
      <c r="A1826" t="s">
        <v>556</v>
      </c>
      <c r="B1826">
        <v>161383</v>
      </c>
      <c r="C1826">
        <v>2012</v>
      </c>
      <c r="D1826" t="s">
        <v>54</v>
      </c>
      <c r="E1826" t="s">
        <v>277</v>
      </c>
      <c r="F1826">
        <v>6</v>
      </c>
      <c r="G1826" t="s">
        <v>36</v>
      </c>
      <c r="H1826">
        <v>4</v>
      </c>
      <c r="I1826" t="s">
        <v>337</v>
      </c>
      <c r="J1826" t="s">
        <v>24</v>
      </c>
      <c r="K1826" t="s">
        <v>27</v>
      </c>
      <c r="L1826" t="s">
        <v>26</v>
      </c>
      <c r="M1826">
        <v>4</v>
      </c>
      <c r="N1826">
        <v>0</v>
      </c>
      <c r="S1826" s="3">
        <v>4600</v>
      </c>
      <c r="T1826" s="2">
        <v>7485.60595703125</v>
      </c>
      <c r="U1826" s="2">
        <v>8638.6722301598238</v>
      </c>
      <c r="V1826" s="2">
        <v>8028.0551996352606</v>
      </c>
      <c r="W1826" s="2">
        <v>6884.99560546875</v>
      </c>
      <c r="X1826" s="4">
        <f t="shared" si="112"/>
        <v>0.61451270964633231</v>
      </c>
      <c r="Y1826" s="4">
        <f t="shared" si="113"/>
        <v>0.53248923879068111</v>
      </c>
      <c r="Z1826" s="4">
        <f t="shared" si="114"/>
        <v>0.57299057936335474</v>
      </c>
      <c r="AA1826" s="4">
        <f t="shared" si="115"/>
        <v>0.66811952593640311</v>
      </c>
    </row>
    <row r="1827" spans="1:27" x14ac:dyDescent="0.3">
      <c r="A1827" t="s">
        <v>556</v>
      </c>
      <c r="B1827">
        <v>314979</v>
      </c>
      <c r="C1827">
        <v>2001</v>
      </c>
      <c r="D1827" t="s">
        <v>187</v>
      </c>
      <c r="E1827" t="s">
        <v>188</v>
      </c>
      <c r="F1827">
        <v>4</v>
      </c>
      <c r="G1827" t="s">
        <v>30</v>
      </c>
      <c r="H1827">
        <v>4</v>
      </c>
      <c r="I1827" t="s">
        <v>233</v>
      </c>
      <c r="J1827" t="s">
        <v>24</v>
      </c>
      <c r="L1827" t="s">
        <v>102</v>
      </c>
      <c r="M1827" t="s">
        <v>23</v>
      </c>
      <c r="N1827">
        <v>0</v>
      </c>
      <c r="O1827" t="s">
        <v>27</v>
      </c>
      <c r="S1827" s="3">
        <v>600</v>
      </c>
      <c r="T1827" s="2">
        <v>1230.18017578125</v>
      </c>
      <c r="U1827" s="2">
        <v>208.99227196904209</v>
      </c>
      <c r="V1827" s="2">
        <v>570.64271606355032</v>
      </c>
      <c r="W1827" s="2">
        <v>1198.236083984375</v>
      </c>
      <c r="X1827" s="4">
        <f t="shared" si="112"/>
        <v>0.48773343272172165</v>
      </c>
      <c r="Y1827" s="4">
        <f t="shared" si="113"/>
        <v>2.87091955289561</v>
      </c>
      <c r="Z1827" s="4">
        <f t="shared" si="114"/>
        <v>1.0514459978372532</v>
      </c>
      <c r="AA1827" s="4">
        <f t="shared" si="115"/>
        <v>0.50073604694400442</v>
      </c>
    </row>
    <row r="1828" spans="1:27" x14ac:dyDescent="0.3">
      <c r="A1828" t="s">
        <v>556</v>
      </c>
      <c r="B1828">
        <v>187010</v>
      </c>
      <c r="C1828">
        <v>2017</v>
      </c>
      <c r="D1828" t="s">
        <v>44</v>
      </c>
      <c r="E1828" t="s">
        <v>45</v>
      </c>
      <c r="F1828">
        <v>6</v>
      </c>
      <c r="G1828" t="s">
        <v>36</v>
      </c>
      <c r="H1828">
        <v>4</v>
      </c>
      <c r="I1828" t="s">
        <v>23</v>
      </c>
      <c r="J1828" t="s">
        <v>46</v>
      </c>
      <c r="K1828" t="s">
        <v>27</v>
      </c>
      <c r="L1828" t="s">
        <v>38</v>
      </c>
      <c r="M1828">
        <v>4</v>
      </c>
      <c r="N1828">
        <v>0</v>
      </c>
      <c r="S1828" s="3">
        <v>13750</v>
      </c>
      <c r="T1828" s="2">
        <v>7200.56494140625</v>
      </c>
      <c r="U1828" s="2">
        <v>9048.3949818212022</v>
      </c>
      <c r="V1828" s="2">
        <v>15596.666799099859</v>
      </c>
      <c r="W1828" s="2">
        <v>8910.3447265625</v>
      </c>
      <c r="X1828" s="4">
        <f t="shared" si="112"/>
        <v>1.9095723893734737</v>
      </c>
      <c r="Y1828" s="4">
        <f t="shared" si="113"/>
        <v>1.5196065189046919</v>
      </c>
      <c r="Z1828" s="4">
        <f t="shared" si="114"/>
        <v>0.88159862470060346</v>
      </c>
      <c r="AA1828" s="4">
        <f t="shared" si="115"/>
        <v>1.5431501722946894</v>
      </c>
    </row>
    <row r="1829" spans="1:27" x14ac:dyDescent="0.3">
      <c r="A1829" t="s">
        <v>556</v>
      </c>
      <c r="B1829">
        <v>92626</v>
      </c>
      <c r="C1829">
        <v>2017</v>
      </c>
      <c r="D1829" t="s">
        <v>90</v>
      </c>
      <c r="E1829" t="s">
        <v>545</v>
      </c>
      <c r="F1829">
        <v>4</v>
      </c>
      <c r="G1829" t="s">
        <v>47</v>
      </c>
      <c r="H1829">
        <v>4</v>
      </c>
      <c r="I1829" t="s">
        <v>23</v>
      </c>
      <c r="J1829" t="s">
        <v>31</v>
      </c>
      <c r="K1829" t="s">
        <v>27</v>
      </c>
      <c r="L1829" t="s">
        <v>127</v>
      </c>
      <c r="M1829" t="s">
        <v>33</v>
      </c>
      <c r="N1829">
        <v>0</v>
      </c>
      <c r="O1829" t="s">
        <v>27</v>
      </c>
      <c r="S1829" s="3">
        <v>6750</v>
      </c>
      <c r="T1829" s="2">
        <v>6237.2919921875</v>
      </c>
      <c r="U1829" s="2">
        <v>5751.9923285072073</v>
      </c>
      <c r="V1829" s="2">
        <v>5712.3364421133747</v>
      </c>
      <c r="W1829" s="2">
        <v>6047.2373046875</v>
      </c>
      <c r="X1829" s="4">
        <f t="shared" si="112"/>
        <v>1.082200417818292</v>
      </c>
      <c r="Y1829" s="4">
        <f t="shared" si="113"/>
        <v>1.1735064329878551</v>
      </c>
      <c r="Z1829" s="4">
        <f t="shared" si="114"/>
        <v>1.1816530886095225</v>
      </c>
      <c r="AA1829" s="4">
        <f t="shared" si="115"/>
        <v>1.1162121907747453</v>
      </c>
    </row>
    <row r="1830" spans="1:27" x14ac:dyDescent="0.3">
      <c r="A1830" t="s">
        <v>556</v>
      </c>
      <c r="B1830">
        <v>63565</v>
      </c>
      <c r="C1830">
        <v>2016</v>
      </c>
      <c r="D1830" t="s">
        <v>54</v>
      </c>
      <c r="E1830" t="s">
        <v>277</v>
      </c>
      <c r="F1830">
        <v>6</v>
      </c>
      <c r="G1830" t="s">
        <v>47</v>
      </c>
      <c r="H1830">
        <v>4</v>
      </c>
      <c r="I1830" t="s">
        <v>23</v>
      </c>
      <c r="J1830" t="s">
        <v>24</v>
      </c>
      <c r="K1830" t="s">
        <v>27</v>
      </c>
      <c r="L1830" t="s">
        <v>26</v>
      </c>
      <c r="M1830">
        <v>4</v>
      </c>
      <c r="N1830">
        <v>0</v>
      </c>
      <c r="S1830" s="3">
        <v>17000</v>
      </c>
      <c r="T1830" s="2">
        <v>18606.662109375</v>
      </c>
      <c r="U1830" s="2">
        <v>20195.045878012301</v>
      </c>
      <c r="V1830" s="2">
        <v>22411.68213861722</v>
      </c>
      <c r="W1830" s="2">
        <v>18463.44921875</v>
      </c>
      <c r="X1830" s="4">
        <f t="shared" si="112"/>
        <v>0.91365124491805116</v>
      </c>
      <c r="Y1830" s="4">
        <f t="shared" si="113"/>
        <v>0.8417906105630113</v>
      </c>
      <c r="Z1830" s="4">
        <f t="shared" si="114"/>
        <v>0.75853297824118093</v>
      </c>
      <c r="AA1830" s="4">
        <f t="shared" si="115"/>
        <v>0.92073803754588612</v>
      </c>
    </row>
    <row r="1831" spans="1:27" x14ac:dyDescent="0.3">
      <c r="A1831" t="s">
        <v>556</v>
      </c>
      <c r="B1831">
        <v>152259</v>
      </c>
      <c r="C1831">
        <v>2015</v>
      </c>
      <c r="D1831" t="s">
        <v>44</v>
      </c>
      <c r="E1831" t="s">
        <v>68</v>
      </c>
      <c r="F1831">
        <v>6</v>
      </c>
      <c r="G1831" t="s">
        <v>47</v>
      </c>
      <c r="H1831">
        <v>4</v>
      </c>
      <c r="I1831" t="s">
        <v>23</v>
      </c>
      <c r="J1831" t="s">
        <v>62</v>
      </c>
      <c r="K1831" t="s">
        <v>27</v>
      </c>
      <c r="L1831" t="s">
        <v>38</v>
      </c>
      <c r="M1831" t="s">
        <v>33</v>
      </c>
      <c r="N1831">
        <v>0</v>
      </c>
      <c r="S1831" s="3">
        <v>3000</v>
      </c>
      <c r="T1831" s="2">
        <v>5257.8291015625</v>
      </c>
      <c r="U1831" s="2">
        <v>5951.1223379699504</v>
      </c>
      <c r="V1831" s="2">
        <v>5340.5883748683709</v>
      </c>
      <c r="W1831" s="2">
        <v>6034.16943359375</v>
      </c>
      <c r="X1831" s="4">
        <f t="shared" si="112"/>
        <v>0.57057769319821983</v>
      </c>
      <c r="Y1831" s="4">
        <f t="shared" si="113"/>
        <v>0.50410659193797747</v>
      </c>
      <c r="Z1831" s="4">
        <f t="shared" si="114"/>
        <v>0.56173585931417913</v>
      </c>
      <c r="AA1831" s="4">
        <f t="shared" si="115"/>
        <v>0.49716867134990278</v>
      </c>
    </row>
    <row r="1832" spans="1:27" x14ac:dyDescent="0.3">
      <c r="A1832" t="s">
        <v>556</v>
      </c>
      <c r="B1832">
        <v>55080</v>
      </c>
      <c r="C1832">
        <v>2016</v>
      </c>
      <c r="D1832" t="s">
        <v>28</v>
      </c>
      <c r="E1832" t="s">
        <v>137</v>
      </c>
      <c r="F1832">
        <v>4</v>
      </c>
      <c r="G1832" t="s">
        <v>66</v>
      </c>
      <c r="H1832">
        <v>4</v>
      </c>
      <c r="I1832" t="s">
        <v>23</v>
      </c>
      <c r="J1832" t="s">
        <v>31</v>
      </c>
      <c r="K1832" t="s">
        <v>27</v>
      </c>
      <c r="L1832" t="s">
        <v>60</v>
      </c>
      <c r="M1832" t="s">
        <v>33</v>
      </c>
      <c r="N1832">
        <v>0</v>
      </c>
      <c r="S1832" s="3">
        <v>12800</v>
      </c>
      <c r="T1832" s="2">
        <v>14964.078125</v>
      </c>
      <c r="U1832" s="2">
        <v>14166.389069385221</v>
      </c>
      <c r="V1832" s="2">
        <v>13788.692354096729</v>
      </c>
      <c r="W1832" s="2">
        <v>15366.0625</v>
      </c>
      <c r="X1832" s="4">
        <f t="shared" si="112"/>
        <v>0.85538179452668417</v>
      </c>
      <c r="Y1832" s="4">
        <f t="shared" si="113"/>
        <v>0.90354711686282108</v>
      </c>
      <c r="Z1832" s="4">
        <f t="shared" si="114"/>
        <v>0.92829687335775679</v>
      </c>
      <c r="AA1832" s="4">
        <f t="shared" si="115"/>
        <v>0.83300455142623553</v>
      </c>
    </row>
    <row r="1833" spans="1:27" x14ac:dyDescent="0.3">
      <c r="A1833" t="s">
        <v>556</v>
      </c>
      <c r="B1833">
        <v>23347</v>
      </c>
      <c r="C1833">
        <v>2018</v>
      </c>
      <c r="D1833" t="s">
        <v>463</v>
      </c>
      <c r="E1833" t="s">
        <v>597</v>
      </c>
      <c r="F1833">
        <v>0</v>
      </c>
      <c r="G1833" t="s">
        <v>59</v>
      </c>
      <c r="H1833">
        <v>4</v>
      </c>
      <c r="I1833" t="s">
        <v>23</v>
      </c>
      <c r="J1833" t="s">
        <v>31</v>
      </c>
      <c r="L1833" t="s">
        <v>465</v>
      </c>
      <c r="M1833" t="s">
        <v>78</v>
      </c>
      <c r="N1833">
        <v>0</v>
      </c>
      <c r="S1833" s="3">
        <v>22000</v>
      </c>
      <c r="T1833" s="2">
        <v>22222.484375</v>
      </c>
      <c r="U1833" s="2">
        <v>21225.4987735877</v>
      </c>
      <c r="V1833" s="2">
        <v>14970.108344333001</v>
      </c>
      <c r="W1833" s="2">
        <v>23055.0390625</v>
      </c>
      <c r="X1833" s="4">
        <f t="shared" si="112"/>
        <v>0.98998832123152292</v>
      </c>
      <c r="Y1833" s="4">
        <f t="shared" si="113"/>
        <v>1.0364891885309222</v>
      </c>
      <c r="Z1833" s="4">
        <f t="shared" si="114"/>
        <v>1.4695952423302396</v>
      </c>
      <c r="AA1833" s="4">
        <f t="shared" si="115"/>
        <v>0.95423824441850258</v>
      </c>
    </row>
    <row r="1834" spans="1:27" x14ac:dyDescent="0.3">
      <c r="A1834" t="s">
        <v>556</v>
      </c>
      <c r="B1834">
        <v>81834</v>
      </c>
      <c r="C1834">
        <v>2020</v>
      </c>
      <c r="D1834" t="s">
        <v>50</v>
      </c>
      <c r="E1834" t="s">
        <v>51</v>
      </c>
      <c r="F1834">
        <v>4</v>
      </c>
      <c r="G1834" t="s">
        <v>36</v>
      </c>
      <c r="H1834">
        <v>4</v>
      </c>
      <c r="I1834" t="s">
        <v>23</v>
      </c>
      <c r="J1834" t="s">
        <v>31</v>
      </c>
      <c r="K1834" t="s">
        <v>27</v>
      </c>
      <c r="L1834" t="s">
        <v>127</v>
      </c>
      <c r="M1834" t="s">
        <v>78</v>
      </c>
      <c r="N1834">
        <v>0</v>
      </c>
      <c r="S1834" s="3">
        <v>17500</v>
      </c>
      <c r="T1834" s="2">
        <v>17908.47265625</v>
      </c>
      <c r="U1834" s="2">
        <v>16813.065401858279</v>
      </c>
      <c r="V1834" s="2">
        <v>15882.96939458312</v>
      </c>
      <c r="W1834" s="2">
        <v>17143.779296875</v>
      </c>
      <c r="X1834" s="4">
        <f t="shared" si="112"/>
        <v>0.97719109473540477</v>
      </c>
      <c r="Y1834" s="4">
        <f t="shared" si="113"/>
        <v>1.0408571894370788</v>
      </c>
      <c r="Z1834" s="4">
        <f t="shared" si="114"/>
        <v>1.101809086528138</v>
      </c>
      <c r="AA1834" s="4">
        <f t="shared" si="115"/>
        <v>1.0207784232960775</v>
      </c>
    </row>
    <row r="1835" spans="1:27" x14ac:dyDescent="0.3">
      <c r="A1835" t="s">
        <v>556</v>
      </c>
      <c r="B1835">
        <v>43390</v>
      </c>
      <c r="C1835">
        <v>2023</v>
      </c>
      <c r="D1835" t="s">
        <v>100</v>
      </c>
      <c r="E1835" t="s">
        <v>598</v>
      </c>
      <c r="F1835">
        <v>4</v>
      </c>
      <c r="G1835" t="s">
        <v>36</v>
      </c>
      <c r="H1835">
        <v>4</v>
      </c>
      <c r="I1835" t="s">
        <v>23</v>
      </c>
      <c r="J1835" t="s">
        <v>440</v>
      </c>
      <c r="K1835" t="s">
        <v>25</v>
      </c>
      <c r="L1835" t="s">
        <v>127</v>
      </c>
      <c r="M1835" t="s">
        <v>33</v>
      </c>
      <c r="S1835" s="3">
        <v>17000</v>
      </c>
      <c r="T1835" s="2">
        <v>19283.791015625</v>
      </c>
      <c r="U1835" s="2">
        <v>21132.655539412091</v>
      </c>
      <c r="V1835" s="2">
        <v>17903.27343364244</v>
      </c>
      <c r="W1835" s="2">
        <v>19114.810546875</v>
      </c>
      <c r="X1835" s="4">
        <f t="shared" si="112"/>
        <v>0.88156939609154017</v>
      </c>
      <c r="Y1835" s="4">
        <f t="shared" si="113"/>
        <v>0.80444220407109979</v>
      </c>
      <c r="Z1835" s="4">
        <f t="shared" si="114"/>
        <v>0.94954702350995324</v>
      </c>
      <c r="AA1835" s="4">
        <f t="shared" si="115"/>
        <v>0.88936272521828674</v>
      </c>
    </row>
    <row r="1836" spans="1:27" x14ac:dyDescent="0.3">
      <c r="A1836" t="s">
        <v>556</v>
      </c>
      <c r="B1836">
        <v>109248</v>
      </c>
      <c r="C1836">
        <v>2016</v>
      </c>
      <c r="D1836" t="s">
        <v>44</v>
      </c>
      <c r="E1836" t="s">
        <v>132</v>
      </c>
      <c r="F1836">
        <v>6</v>
      </c>
      <c r="G1836" t="s">
        <v>59</v>
      </c>
      <c r="H1836">
        <v>4</v>
      </c>
      <c r="I1836" t="s">
        <v>23</v>
      </c>
      <c r="J1836" t="s">
        <v>110</v>
      </c>
      <c r="K1836" t="s">
        <v>25</v>
      </c>
      <c r="L1836" t="s">
        <v>53</v>
      </c>
      <c r="M1836">
        <v>4</v>
      </c>
      <c r="S1836" s="3">
        <v>18000</v>
      </c>
      <c r="T1836" s="2">
        <v>14358.1728515625</v>
      </c>
      <c r="U1836" s="2">
        <v>18687.892384391129</v>
      </c>
      <c r="V1836" s="2">
        <v>26614.58214733165</v>
      </c>
      <c r="W1836" s="2">
        <v>15266.228515625</v>
      </c>
      <c r="X1836" s="4">
        <f t="shared" si="112"/>
        <v>1.2536414059147634</v>
      </c>
      <c r="Y1836" s="4">
        <f t="shared" si="113"/>
        <v>0.96319047807843305</v>
      </c>
      <c r="Z1836" s="4">
        <f t="shared" si="114"/>
        <v>0.67632096947291964</v>
      </c>
      <c r="AA1836" s="4">
        <f t="shared" si="115"/>
        <v>1.1790731405321873</v>
      </c>
    </row>
    <row r="1837" spans="1:27" x14ac:dyDescent="0.3">
      <c r="A1837" t="s">
        <v>589</v>
      </c>
      <c r="B1837">
        <v>253013</v>
      </c>
      <c r="C1837">
        <v>2015</v>
      </c>
      <c r="D1837" t="s">
        <v>599</v>
      </c>
      <c r="E1837" t="s">
        <v>600</v>
      </c>
      <c r="F1837">
        <v>0</v>
      </c>
      <c r="G1837" t="s">
        <v>59</v>
      </c>
      <c r="H1837">
        <v>0</v>
      </c>
      <c r="I1837" t="s">
        <v>23</v>
      </c>
      <c r="M1837">
        <v>4</v>
      </c>
      <c r="N1837">
        <v>0</v>
      </c>
      <c r="S1837" s="3">
        <v>10100</v>
      </c>
      <c r="T1837" s="2">
        <v>4066.232666015625</v>
      </c>
      <c r="U1837" s="2">
        <v>5676.2236483280894</v>
      </c>
      <c r="V1837" s="2">
        <v>9263.6383836047207</v>
      </c>
      <c r="W1837" s="2">
        <v>3949.086181640625</v>
      </c>
      <c r="X1837" s="4">
        <f t="shared" si="112"/>
        <v>2.4838716398136351</v>
      </c>
      <c r="Y1837" s="4">
        <f t="shared" si="113"/>
        <v>1.7793520174235766</v>
      </c>
      <c r="Z1837" s="4">
        <f t="shared" si="114"/>
        <v>1.0902843549976557</v>
      </c>
      <c r="AA1837" s="4">
        <f t="shared" si="115"/>
        <v>2.5575537062105882</v>
      </c>
    </row>
    <row r="1838" spans="1:27" x14ac:dyDescent="0.3">
      <c r="A1838" t="s">
        <v>135</v>
      </c>
      <c r="B1838">
        <v>120639</v>
      </c>
      <c r="C1838">
        <v>2016</v>
      </c>
      <c r="D1838" t="s">
        <v>40</v>
      </c>
      <c r="E1838" t="s">
        <v>257</v>
      </c>
      <c r="F1838">
        <v>6</v>
      </c>
      <c r="G1838" t="s">
        <v>36</v>
      </c>
      <c r="H1838">
        <v>2</v>
      </c>
      <c r="I1838" t="s">
        <v>23</v>
      </c>
      <c r="J1838" t="s">
        <v>49</v>
      </c>
      <c r="L1838" t="s">
        <v>26</v>
      </c>
      <c r="M1838" t="s">
        <v>78</v>
      </c>
      <c r="N1838">
        <v>1.3</v>
      </c>
      <c r="O1838" t="s">
        <v>27</v>
      </c>
      <c r="S1838" s="3">
        <v>5500</v>
      </c>
      <c r="T1838" s="2">
        <v>8614.0654296875</v>
      </c>
      <c r="U1838" s="2">
        <v>8082.4016675711273</v>
      </c>
      <c r="V1838" s="2">
        <v>7537.1581811024544</v>
      </c>
      <c r="W1838" s="2">
        <v>8321.638671875</v>
      </c>
      <c r="X1838" s="4">
        <f t="shared" si="112"/>
        <v>0.63849062267913703</v>
      </c>
      <c r="Y1838" s="4">
        <f t="shared" si="113"/>
        <v>0.68049080288443842</v>
      </c>
      <c r="Z1838" s="4">
        <f t="shared" si="114"/>
        <v>0.72971800084942884</v>
      </c>
      <c r="AA1838" s="4">
        <f t="shared" si="115"/>
        <v>0.66092751882974521</v>
      </c>
    </row>
    <row r="1839" spans="1:27" x14ac:dyDescent="0.3">
      <c r="A1839" t="s">
        <v>135</v>
      </c>
      <c r="B1839">
        <v>91860</v>
      </c>
      <c r="C1839">
        <v>2021</v>
      </c>
      <c r="D1839" t="s">
        <v>44</v>
      </c>
      <c r="E1839" t="s">
        <v>590</v>
      </c>
      <c r="F1839">
        <v>6</v>
      </c>
      <c r="G1839" t="s">
        <v>36</v>
      </c>
      <c r="H1839">
        <v>4</v>
      </c>
      <c r="I1839" t="s">
        <v>23</v>
      </c>
      <c r="J1839" t="s">
        <v>62</v>
      </c>
      <c r="L1839" t="s">
        <v>235</v>
      </c>
      <c r="M1839" t="s">
        <v>23</v>
      </c>
      <c r="N1839">
        <v>2.1</v>
      </c>
      <c r="O1839" t="s">
        <v>27</v>
      </c>
      <c r="S1839" s="3">
        <v>6000</v>
      </c>
      <c r="T1839" s="2">
        <v>15163.8017578125</v>
      </c>
      <c r="U1839" s="2">
        <v>11219.66191867111</v>
      </c>
      <c r="V1839" s="2">
        <v>9374.3904791289515</v>
      </c>
      <c r="W1839" s="2">
        <v>14569.6171875</v>
      </c>
      <c r="X1839" s="4">
        <f t="shared" si="112"/>
        <v>0.39567913745039279</v>
      </c>
      <c r="Y1839" s="4">
        <f t="shared" si="113"/>
        <v>0.53477547215706633</v>
      </c>
      <c r="Z1839" s="4">
        <f t="shared" si="114"/>
        <v>0.64004161266360082</v>
      </c>
      <c r="AA1839" s="4">
        <f t="shared" si="115"/>
        <v>0.4118158989892815</v>
      </c>
    </row>
    <row r="1840" spans="1:27" x14ac:dyDescent="0.3">
      <c r="A1840" t="s">
        <v>135</v>
      </c>
      <c r="B1840">
        <v>274520</v>
      </c>
      <c r="C1840">
        <v>2016</v>
      </c>
      <c r="D1840" t="s">
        <v>44</v>
      </c>
      <c r="E1840" t="s">
        <v>280</v>
      </c>
      <c r="F1840">
        <v>6</v>
      </c>
      <c r="G1840" t="s">
        <v>47</v>
      </c>
      <c r="H1840">
        <v>3</v>
      </c>
      <c r="I1840" t="s">
        <v>23</v>
      </c>
      <c r="J1840" t="s">
        <v>197</v>
      </c>
      <c r="L1840" t="s">
        <v>198</v>
      </c>
      <c r="M1840" t="s">
        <v>78</v>
      </c>
      <c r="N1840">
        <v>3.3</v>
      </c>
      <c r="O1840" t="s">
        <v>27</v>
      </c>
      <c r="S1840" s="3">
        <v>4400</v>
      </c>
      <c r="T1840" s="2">
        <v>5751.5205078125</v>
      </c>
      <c r="U1840" s="2">
        <v>5864.3653857894496</v>
      </c>
      <c r="V1840" s="2">
        <v>4192.8510742280914</v>
      </c>
      <c r="W1840" s="2">
        <v>6541.30712890625</v>
      </c>
      <c r="X1840" s="4">
        <f t="shared" si="112"/>
        <v>0.76501509366493947</v>
      </c>
      <c r="Y1840" s="4">
        <f t="shared" si="113"/>
        <v>0.75029431328786145</v>
      </c>
      <c r="Z1840" s="4">
        <f t="shared" si="114"/>
        <v>1.049405266751585</v>
      </c>
      <c r="AA1840" s="4">
        <f t="shared" si="115"/>
        <v>0.67264843452408096</v>
      </c>
    </row>
    <row r="1841" spans="1:27" x14ac:dyDescent="0.3">
      <c r="A1841" t="s">
        <v>135</v>
      </c>
      <c r="B1841">
        <v>164364</v>
      </c>
      <c r="C1841">
        <v>2017</v>
      </c>
      <c r="D1841" t="s">
        <v>44</v>
      </c>
      <c r="E1841" t="s">
        <v>280</v>
      </c>
      <c r="F1841">
        <v>6</v>
      </c>
      <c r="G1841" t="s">
        <v>47</v>
      </c>
      <c r="H1841">
        <v>3</v>
      </c>
      <c r="I1841" t="s">
        <v>23</v>
      </c>
      <c r="J1841" t="s">
        <v>197</v>
      </c>
      <c r="L1841" t="s">
        <v>198</v>
      </c>
      <c r="M1841" t="s">
        <v>78</v>
      </c>
      <c r="N1841">
        <v>2.8</v>
      </c>
      <c r="O1841" t="s">
        <v>27</v>
      </c>
      <c r="S1841" s="3">
        <v>6800</v>
      </c>
      <c r="T1841" s="2">
        <v>7787.65185546875</v>
      </c>
      <c r="U1841" s="2">
        <v>9481.33357063728</v>
      </c>
      <c r="V1841" s="2">
        <v>7129.1389608145801</v>
      </c>
      <c r="W1841" s="2">
        <v>9300.4482421875</v>
      </c>
      <c r="X1841" s="4">
        <f t="shared" si="112"/>
        <v>0.87317719464113075</v>
      </c>
      <c r="Y1841" s="4">
        <f t="shared" si="113"/>
        <v>0.71719868827934752</v>
      </c>
      <c r="Z1841" s="4">
        <f t="shared" si="114"/>
        <v>0.95383187750670906</v>
      </c>
      <c r="AA1841" s="4">
        <f t="shared" si="115"/>
        <v>0.73114755578711921</v>
      </c>
    </row>
    <row r="1842" spans="1:27" x14ac:dyDescent="0.3">
      <c r="A1842" t="s">
        <v>135</v>
      </c>
      <c r="B1842">
        <v>105934</v>
      </c>
      <c r="C1842">
        <v>2021</v>
      </c>
      <c r="D1842" t="s">
        <v>40</v>
      </c>
      <c r="E1842" t="s">
        <v>146</v>
      </c>
      <c r="F1842">
        <v>8</v>
      </c>
      <c r="G1842" t="s">
        <v>22</v>
      </c>
      <c r="H1842">
        <v>4</v>
      </c>
      <c r="I1842" t="s">
        <v>23</v>
      </c>
      <c r="J1842" t="s">
        <v>24</v>
      </c>
      <c r="K1842" t="s">
        <v>27</v>
      </c>
      <c r="L1842" t="s">
        <v>43</v>
      </c>
      <c r="M1842" t="s">
        <v>78</v>
      </c>
      <c r="N1842">
        <v>2.8</v>
      </c>
      <c r="O1842" t="s">
        <v>27</v>
      </c>
      <c r="S1842" s="3">
        <v>28750</v>
      </c>
      <c r="T1842" s="2">
        <v>25524.35546875</v>
      </c>
      <c r="U1842" s="2">
        <v>51037.871744153257</v>
      </c>
      <c r="V1842" s="2">
        <v>27155.601527214589</v>
      </c>
      <c r="W1842" s="2">
        <v>25314.46484375</v>
      </c>
      <c r="X1842" s="4">
        <f t="shared" si="112"/>
        <v>1.1263751609790587</v>
      </c>
      <c r="Y1842" s="4">
        <f t="shared" si="113"/>
        <v>0.56330718773150079</v>
      </c>
      <c r="Z1842" s="4">
        <f t="shared" si="114"/>
        <v>1.0587134286525581</v>
      </c>
      <c r="AA1842" s="4">
        <f t="shared" si="115"/>
        <v>1.1357143110650516</v>
      </c>
    </row>
    <row r="1843" spans="1:27" x14ac:dyDescent="0.3">
      <c r="A1843" t="s">
        <v>135</v>
      </c>
      <c r="B1843">
        <v>188705</v>
      </c>
      <c r="C1843">
        <v>2013</v>
      </c>
      <c r="D1843" t="s">
        <v>44</v>
      </c>
      <c r="E1843" t="s">
        <v>45</v>
      </c>
      <c r="F1843">
        <v>6</v>
      </c>
      <c r="G1843" t="s">
        <v>36</v>
      </c>
      <c r="H1843">
        <v>4</v>
      </c>
      <c r="I1843" t="s">
        <v>23</v>
      </c>
      <c r="J1843" t="s">
        <v>46</v>
      </c>
      <c r="K1843" t="s">
        <v>27</v>
      </c>
      <c r="L1843" t="s">
        <v>38</v>
      </c>
      <c r="M1843" t="s">
        <v>78</v>
      </c>
      <c r="N1843">
        <v>3.7</v>
      </c>
      <c r="O1843" t="s">
        <v>27</v>
      </c>
      <c r="S1843" s="3">
        <v>6600</v>
      </c>
      <c r="T1843" s="2">
        <v>6870.27099609375</v>
      </c>
      <c r="U1843" s="2">
        <v>7420.5648444344024</v>
      </c>
      <c r="V1843" s="2">
        <v>4750.2222250153109</v>
      </c>
      <c r="W1843" s="2">
        <v>6403.49609375</v>
      </c>
      <c r="X1843" s="4">
        <f t="shared" si="112"/>
        <v>0.96066079544061378</v>
      </c>
      <c r="Y1843" s="4">
        <f t="shared" si="113"/>
        <v>0.88942016387743783</v>
      </c>
      <c r="Z1843" s="4">
        <f t="shared" si="114"/>
        <v>1.3894086818177704</v>
      </c>
      <c r="AA1843" s="4">
        <f t="shared" si="115"/>
        <v>1.030686972143513</v>
      </c>
    </row>
    <row r="1844" spans="1:27" x14ac:dyDescent="0.3">
      <c r="A1844" t="s">
        <v>135</v>
      </c>
      <c r="B1844">
        <v>41803</v>
      </c>
      <c r="C1844">
        <v>2023</v>
      </c>
      <c r="D1844" t="s">
        <v>74</v>
      </c>
      <c r="E1844" t="s">
        <v>93</v>
      </c>
      <c r="F1844">
        <v>8</v>
      </c>
      <c r="G1844" t="s">
        <v>47</v>
      </c>
      <c r="H1844">
        <v>4</v>
      </c>
      <c r="I1844" t="s">
        <v>23</v>
      </c>
      <c r="J1844" t="s">
        <v>42</v>
      </c>
      <c r="L1844" t="s">
        <v>84</v>
      </c>
      <c r="M1844">
        <v>4</v>
      </c>
      <c r="N1844">
        <v>4</v>
      </c>
      <c r="O1844" t="s">
        <v>27</v>
      </c>
      <c r="S1844" s="3">
        <v>27000</v>
      </c>
      <c r="T1844" s="2">
        <v>44519.4453125</v>
      </c>
      <c r="U1844" s="2">
        <v>44455.6022680241</v>
      </c>
      <c r="V1844" s="2">
        <v>38645.203746653693</v>
      </c>
      <c r="W1844" s="2">
        <v>48631.30859375</v>
      </c>
      <c r="X1844" s="4">
        <f t="shared" si="112"/>
        <v>0.60647655896150721</v>
      </c>
      <c r="Y1844" s="4">
        <f t="shared" si="113"/>
        <v>0.60734752477800724</v>
      </c>
      <c r="Z1844" s="4">
        <f t="shared" si="114"/>
        <v>0.69866367316896194</v>
      </c>
      <c r="AA1844" s="4">
        <f t="shared" si="115"/>
        <v>0.55519789166171007</v>
      </c>
    </row>
    <row r="1845" spans="1:27" x14ac:dyDescent="0.3">
      <c r="A1845" t="s">
        <v>135</v>
      </c>
      <c r="B1845">
        <v>35993</v>
      </c>
      <c r="C1845">
        <v>2024</v>
      </c>
      <c r="D1845" t="s">
        <v>44</v>
      </c>
      <c r="E1845" t="s">
        <v>485</v>
      </c>
      <c r="F1845">
        <v>3</v>
      </c>
      <c r="G1845" t="s">
        <v>36</v>
      </c>
      <c r="H1845">
        <v>4</v>
      </c>
      <c r="I1845" t="s">
        <v>23</v>
      </c>
      <c r="J1845" t="s">
        <v>62</v>
      </c>
      <c r="K1845" t="s">
        <v>27</v>
      </c>
      <c r="L1845" t="s">
        <v>200</v>
      </c>
      <c r="M1845">
        <v>4</v>
      </c>
      <c r="N1845">
        <v>4.5999999999999899</v>
      </c>
      <c r="O1845" t="s">
        <v>27</v>
      </c>
      <c r="S1845" s="3">
        <v>23000</v>
      </c>
      <c r="T1845" s="2">
        <v>30034.927734375</v>
      </c>
      <c r="U1845" s="2">
        <v>28913.238818021931</v>
      </c>
      <c r="V1845" s="2">
        <v>26984.216374372008</v>
      </c>
      <c r="W1845" s="2">
        <v>30257.904296875</v>
      </c>
      <c r="X1845" s="4">
        <f t="shared" si="112"/>
        <v>0.76577510701570561</v>
      </c>
      <c r="Y1845" s="4">
        <f t="shared" si="113"/>
        <v>0.79548334742989268</v>
      </c>
      <c r="Z1845" s="4">
        <f t="shared" si="114"/>
        <v>0.85235011759852408</v>
      </c>
      <c r="AA1845" s="4">
        <f t="shared" si="115"/>
        <v>0.76013195673883505</v>
      </c>
    </row>
    <row r="1846" spans="1:27" x14ac:dyDescent="0.3">
      <c r="A1846" t="s">
        <v>135</v>
      </c>
      <c r="B1846">
        <v>119036</v>
      </c>
      <c r="C1846">
        <v>2013</v>
      </c>
      <c r="D1846" t="s">
        <v>44</v>
      </c>
      <c r="E1846" t="s">
        <v>424</v>
      </c>
      <c r="F1846">
        <v>4</v>
      </c>
      <c r="G1846" t="s">
        <v>99</v>
      </c>
      <c r="H1846">
        <v>4</v>
      </c>
      <c r="I1846" t="s">
        <v>23</v>
      </c>
      <c r="J1846" t="s">
        <v>37</v>
      </c>
      <c r="K1846" t="s">
        <v>27</v>
      </c>
      <c r="L1846" t="s">
        <v>96</v>
      </c>
      <c r="M1846" t="s">
        <v>33</v>
      </c>
      <c r="N1846">
        <v>0</v>
      </c>
      <c r="O1846" t="s">
        <v>27</v>
      </c>
      <c r="S1846" s="3">
        <v>1300</v>
      </c>
      <c r="T1846" s="2">
        <v>5341.63916015625</v>
      </c>
      <c r="U1846" s="2">
        <v>4884.5086942064008</v>
      </c>
      <c r="V1846" s="2">
        <v>5663.1156241404506</v>
      </c>
      <c r="W1846" s="2">
        <v>4445.00830078125</v>
      </c>
      <c r="X1846" s="4">
        <f t="shared" si="112"/>
        <v>0.24337098800997506</v>
      </c>
      <c r="Y1846" s="4">
        <f t="shared" si="113"/>
        <v>0.26614754551301184</v>
      </c>
      <c r="Z1846" s="4">
        <f t="shared" si="114"/>
        <v>0.22955561678070355</v>
      </c>
      <c r="AA1846" s="4">
        <f t="shared" si="115"/>
        <v>0.29246289591214336</v>
      </c>
    </row>
    <row r="1847" spans="1:27" x14ac:dyDescent="0.3">
      <c r="A1847" t="s">
        <v>135</v>
      </c>
      <c r="B1847">
        <v>108784</v>
      </c>
      <c r="C1847">
        <v>2015</v>
      </c>
      <c r="D1847" t="s">
        <v>40</v>
      </c>
      <c r="E1847" t="s">
        <v>214</v>
      </c>
      <c r="F1847">
        <v>8</v>
      </c>
      <c r="G1847" t="s">
        <v>30</v>
      </c>
      <c r="H1847">
        <v>4</v>
      </c>
      <c r="I1847" t="s">
        <v>23</v>
      </c>
      <c r="J1847" t="s">
        <v>24</v>
      </c>
      <c r="K1847" t="s">
        <v>27</v>
      </c>
      <c r="L1847" t="s">
        <v>43</v>
      </c>
      <c r="M1847" t="s">
        <v>78</v>
      </c>
      <c r="N1847">
        <v>3.7</v>
      </c>
      <c r="O1847" t="s">
        <v>27</v>
      </c>
      <c r="S1847" s="3">
        <v>15500</v>
      </c>
      <c r="T1847" s="2">
        <v>17390.2734375</v>
      </c>
      <c r="U1847" s="2">
        <v>24394.16282307831</v>
      </c>
      <c r="V1847" s="2">
        <v>17872.943962410809</v>
      </c>
      <c r="W1847" s="2">
        <v>18040.26953125</v>
      </c>
      <c r="X1847" s="4">
        <f t="shared" si="112"/>
        <v>0.89130283406448019</v>
      </c>
      <c r="Y1847" s="4">
        <f t="shared" si="113"/>
        <v>0.63539790696715737</v>
      </c>
      <c r="Z1847" s="4">
        <f t="shared" si="114"/>
        <v>0.86723261890142844</v>
      </c>
      <c r="AA1847" s="4">
        <f t="shared" si="115"/>
        <v>0.85918893690309595</v>
      </c>
    </row>
    <row r="1848" spans="1:27" x14ac:dyDescent="0.3">
      <c r="A1848" t="s">
        <v>135</v>
      </c>
      <c r="B1848">
        <v>120426</v>
      </c>
      <c r="C1848">
        <v>2017</v>
      </c>
      <c r="D1848" t="s">
        <v>44</v>
      </c>
      <c r="E1848" t="s">
        <v>176</v>
      </c>
      <c r="F1848">
        <v>6</v>
      </c>
      <c r="G1848" t="s">
        <v>30</v>
      </c>
      <c r="H1848">
        <v>4</v>
      </c>
      <c r="I1848" t="s">
        <v>23</v>
      </c>
      <c r="J1848" t="s">
        <v>62</v>
      </c>
      <c r="L1848" t="s">
        <v>38</v>
      </c>
      <c r="M1848" t="s">
        <v>33</v>
      </c>
      <c r="N1848">
        <v>0</v>
      </c>
      <c r="O1848" t="s">
        <v>27</v>
      </c>
      <c r="S1848" s="3">
        <v>7000</v>
      </c>
      <c r="T1848" s="2">
        <v>11113.505859375</v>
      </c>
      <c r="U1848" s="2">
        <v>10069.58450895072</v>
      </c>
      <c r="V1848" s="2">
        <v>8758.8320749905179</v>
      </c>
      <c r="W1848" s="2">
        <v>10613.5087890625</v>
      </c>
      <c r="X1848" s="4">
        <f t="shared" si="112"/>
        <v>0.62986424703191413</v>
      </c>
      <c r="Y1848" s="4">
        <f t="shared" si="113"/>
        <v>0.69516274418053625</v>
      </c>
      <c r="Z1848" s="4">
        <f t="shared" si="114"/>
        <v>0.79919331025735851</v>
      </c>
      <c r="AA1848" s="4">
        <f t="shared" si="115"/>
        <v>0.65953683547270292</v>
      </c>
    </row>
    <row r="1849" spans="1:27" x14ac:dyDescent="0.3">
      <c r="A1849" t="s">
        <v>556</v>
      </c>
      <c r="B1849">
        <v>100062</v>
      </c>
      <c r="C1849">
        <v>2000</v>
      </c>
      <c r="D1849" t="s">
        <v>44</v>
      </c>
      <c r="E1849" t="s">
        <v>601</v>
      </c>
      <c r="F1849">
        <v>6</v>
      </c>
      <c r="G1849" t="s">
        <v>22</v>
      </c>
      <c r="H1849">
        <v>4</v>
      </c>
      <c r="I1849" t="s">
        <v>23</v>
      </c>
      <c r="J1849" t="s">
        <v>106</v>
      </c>
      <c r="L1849" t="s">
        <v>143</v>
      </c>
      <c r="M1849" t="s">
        <v>33</v>
      </c>
      <c r="N1849">
        <v>0</v>
      </c>
      <c r="S1849" s="3">
        <v>700</v>
      </c>
      <c r="T1849" s="2">
        <v>3129.062255859375</v>
      </c>
      <c r="U1849" s="2">
        <v>2229.2032828617212</v>
      </c>
      <c r="V1849" s="2">
        <v>927.35301019625149</v>
      </c>
      <c r="W1849" s="2">
        <v>2127.956298828125</v>
      </c>
      <c r="X1849" s="4">
        <f t="shared" si="112"/>
        <v>0.22370919552310087</v>
      </c>
      <c r="Y1849" s="4">
        <f t="shared" si="113"/>
        <v>0.31401353361609124</v>
      </c>
      <c r="Z1849" s="4">
        <f t="shared" si="114"/>
        <v>0.75483660731511748</v>
      </c>
      <c r="AA1849" s="4">
        <f t="shared" si="115"/>
        <v>0.32895412391010714</v>
      </c>
    </row>
    <row r="1850" spans="1:27" x14ac:dyDescent="0.3">
      <c r="A1850" t="s">
        <v>556</v>
      </c>
      <c r="B1850">
        <v>121633</v>
      </c>
      <c r="C1850">
        <v>2019</v>
      </c>
      <c r="D1850" t="s">
        <v>321</v>
      </c>
      <c r="E1850" t="s">
        <v>477</v>
      </c>
      <c r="F1850">
        <v>4</v>
      </c>
      <c r="G1850" t="s">
        <v>47</v>
      </c>
      <c r="H1850">
        <v>4</v>
      </c>
      <c r="I1850" t="s">
        <v>23</v>
      </c>
      <c r="J1850" t="s">
        <v>24</v>
      </c>
      <c r="K1850" t="s">
        <v>27</v>
      </c>
      <c r="L1850" t="s">
        <v>127</v>
      </c>
      <c r="M1850" t="s">
        <v>23</v>
      </c>
      <c r="N1850">
        <v>0</v>
      </c>
      <c r="S1850" s="3">
        <v>14750</v>
      </c>
      <c r="T1850" s="2">
        <v>13842.587890625</v>
      </c>
      <c r="U1850" s="2">
        <v>13815.352047587159</v>
      </c>
      <c r="V1850" s="2">
        <v>13353.983089398829</v>
      </c>
      <c r="W1850" s="2">
        <v>12666.9296875</v>
      </c>
      <c r="X1850" s="4">
        <f t="shared" si="112"/>
        <v>1.0655522014051688</v>
      </c>
      <c r="Y1850" s="4">
        <f t="shared" si="113"/>
        <v>1.0676528509149412</v>
      </c>
      <c r="Z1850" s="4">
        <f t="shared" si="114"/>
        <v>1.104539364866308</v>
      </c>
      <c r="AA1850" s="4">
        <f t="shared" si="115"/>
        <v>1.1644495046463879</v>
      </c>
    </row>
    <row r="1851" spans="1:27" x14ac:dyDescent="0.3">
      <c r="A1851" t="s">
        <v>556</v>
      </c>
      <c r="B1851">
        <v>71921</v>
      </c>
      <c r="C1851">
        <v>2004</v>
      </c>
      <c r="D1851" t="s">
        <v>236</v>
      </c>
      <c r="E1851" t="s">
        <v>602</v>
      </c>
      <c r="F1851">
        <v>4</v>
      </c>
      <c r="G1851" t="s">
        <v>59</v>
      </c>
      <c r="H1851">
        <v>4</v>
      </c>
      <c r="I1851" t="s">
        <v>233</v>
      </c>
      <c r="J1851" t="s">
        <v>24</v>
      </c>
      <c r="L1851" t="s">
        <v>427</v>
      </c>
      <c r="M1851" t="s">
        <v>33</v>
      </c>
      <c r="N1851">
        <v>0</v>
      </c>
      <c r="S1851" s="3">
        <v>500</v>
      </c>
      <c r="T1851" s="2">
        <v>2606.270263671875</v>
      </c>
      <c r="U1851" s="2">
        <v>1826.0340839188079</v>
      </c>
      <c r="V1851" s="2">
        <v>1131.6926539840731</v>
      </c>
      <c r="W1851" s="2">
        <v>2053.748046875</v>
      </c>
      <c r="X1851" s="4">
        <f t="shared" si="112"/>
        <v>0.1918450311809064</v>
      </c>
      <c r="Y1851" s="4">
        <f t="shared" si="113"/>
        <v>0.27381745193220164</v>
      </c>
      <c r="Z1851" s="4">
        <f t="shared" si="114"/>
        <v>0.4418160692656018</v>
      </c>
      <c r="AA1851" s="4">
        <f t="shared" si="115"/>
        <v>0.24345732221671695</v>
      </c>
    </row>
    <row r="1852" spans="1:27" x14ac:dyDescent="0.3">
      <c r="A1852" t="s">
        <v>556</v>
      </c>
      <c r="B1852">
        <v>101313</v>
      </c>
      <c r="C1852">
        <v>2016</v>
      </c>
      <c r="D1852" t="s">
        <v>44</v>
      </c>
      <c r="E1852" t="s">
        <v>45</v>
      </c>
      <c r="F1852">
        <v>6</v>
      </c>
      <c r="G1852" t="s">
        <v>47</v>
      </c>
      <c r="H1852">
        <v>4</v>
      </c>
      <c r="I1852" t="s">
        <v>23</v>
      </c>
      <c r="J1852" t="s">
        <v>46</v>
      </c>
      <c r="K1852" t="s">
        <v>27</v>
      </c>
      <c r="L1852" t="s">
        <v>242</v>
      </c>
      <c r="M1852">
        <v>4</v>
      </c>
      <c r="N1852">
        <v>0</v>
      </c>
      <c r="S1852" s="3">
        <v>19000</v>
      </c>
      <c r="T1852" s="2">
        <v>14833.7529296875</v>
      </c>
      <c r="U1852" s="2">
        <v>14324.14258847553</v>
      </c>
      <c r="V1852" s="2">
        <v>21537.537732883131</v>
      </c>
      <c r="W1852" s="2">
        <v>13903.923828125</v>
      </c>
      <c r="X1852" s="4">
        <f t="shared" si="112"/>
        <v>1.2808626441373707</v>
      </c>
      <c r="Y1852" s="4">
        <f t="shared" si="113"/>
        <v>1.3264319230727586</v>
      </c>
      <c r="Z1852" s="4">
        <f t="shared" si="114"/>
        <v>0.88218069473146588</v>
      </c>
      <c r="AA1852" s="4">
        <f t="shared" si="115"/>
        <v>1.3665207199687477</v>
      </c>
    </row>
    <row r="1853" spans="1:27" x14ac:dyDescent="0.3">
      <c r="A1853" t="s">
        <v>556</v>
      </c>
      <c r="B1853">
        <v>173694</v>
      </c>
      <c r="C1853">
        <v>2018</v>
      </c>
      <c r="D1853" t="s">
        <v>74</v>
      </c>
      <c r="E1853" t="s">
        <v>286</v>
      </c>
      <c r="F1853">
        <v>6</v>
      </c>
      <c r="G1853" t="s">
        <v>66</v>
      </c>
      <c r="H1853">
        <v>2</v>
      </c>
      <c r="I1853" t="s">
        <v>337</v>
      </c>
      <c r="J1853" t="s">
        <v>561</v>
      </c>
      <c r="L1853" t="s">
        <v>255</v>
      </c>
      <c r="M1853">
        <v>4</v>
      </c>
      <c r="N1853">
        <v>2.2999999999999901</v>
      </c>
      <c r="O1853" t="s">
        <v>27</v>
      </c>
      <c r="S1853" s="3">
        <v>15000</v>
      </c>
      <c r="T1853" s="2">
        <v>13204.923828125</v>
      </c>
      <c r="U1853" s="2">
        <v>11588.846432443799</v>
      </c>
      <c r="V1853" s="2">
        <v>13929.63815275639</v>
      </c>
      <c r="W1853" s="2">
        <v>11558.4462890625</v>
      </c>
      <c r="X1853" s="4">
        <f t="shared" si="112"/>
        <v>1.135939911145242</v>
      </c>
      <c r="Y1853" s="4">
        <f t="shared" si="113"/>
        <v>1.2943479825573005</v>
      </c>
      <c r="Z1853" s="4">
        <f t="shared" si="114"/>
        <v>1.0768406067340528</v>
      </c>
      <c r="AA1853" s="4">
        <f t="shared" si="115"/>
        <v>1.297752277846735</v>
      </c>
    </row>
    <row r="1854" spans="1:27" x14ac:dyDescent="0.3">
      <c r="A1854" t="s">
        <v>556</v>
      </c>
      <c r="B1854">
        <v>142306</v>
      </c>
      <c r="C1854">
        <v>2013</v>
      </c>
      <c r="D1854" t="s">
        <v>44</v>
      </c>
      <c r="E1854" t="s">
        <v>68</v>
      </c>
      <c r="F1854">
        <v>4</v>
      </c>
      <c r="G1854" t="s">
        <v>47</v>
      </c>
      <c r="H1854">
        <v>4</v>
      </c>
      <c r="I1854" t="s">
        <v>23</v>
      </c>
      <c r="J1854" t="s">
        <v>62</v>
      </c>
      <c r="K1854" t="s">
        <v>27</v>
      </c>
      <c r="L1854" t="s">
        <v>96</v>
      </c>
      <c r="M1854" t="s">
        <v>33</v>
      </c>
      <c r="N1854">
        <v>0</v>
      </c>
      <c r="S1854" s="3">
        <v>3200</v>
      </c>
      <c r="T1854" s="2">
        <v>5226.2099609375</v>
      </c>
      <c r="U1854" s="2">
        <v>4279.2855413398529</v>
      </c>
      <c r="V1854" s="2">
        <v>4768.3563771369836</v>
      </c>
      <c r="W1854" s="2">
        <v>4583.578125</v>
      </c>
      <c r="X1854" s="4">
        <f t="shared" si="112"/>
        <v>0.61229840054607565</v>
      </c>
      <c r="Y1854" s="4">
        <f t="shared" si="113"/>
        <v>0.74778837941206266</v>
      </c>
      <c r="Z1854" s="4">
        <f t="shared" si="114"/>
        <v>0.67109077990545329</v>
      </c>
      <c r="AA1854" s="4">
        <f t="shared" si="115"/>
        <v>0.69814453091709872</v>
      </c>
    </row>
    <row r="1855" spans="1:27" x14ac:dyDescent="0.3">
      <c r="A1855" t="s">
        <v>556</v>
      </c>
      <c r="B1855">
        <v>179962</v>
      </c>
      <c r="C1855">
        <v>2014</v>
      </c>
      <c r="D1855" t="s">
        <v>44</v>
      </c>
      <c r="E1855" t="s">
        <v>68</v>
      </c>
      <c r="F1855">
        <v>6</v>
      </c>
      <c r="G1855" t="s">
        <v>47</v>
      </c>
      <c r="H1855">
        <v>4</v>
      </c>
      <c r="I1855" t="s">
        <v>23</v>
      </c>
      <c r="J1855" t="s">
        <v>62</v>
      </c>
      <c r="K1855" t="s">
        <v>27</v>
      </c>
      <c r="L1855" t="s">
        <v>38</v>
      </c>
      <c r="M1855" t="s">
        <v>33</v>
      </c>
      <c r="N1855">
        <v>0</v>
      </c>
      <c r="S1855" s="3">
        <v>3900</v>
      </c>
      <c r="T1855" s="2">
        <v>3664.3515625</v>
      </c>
      <c r="U1855" s="2">
        <v>4303.6663294947748</v>
      </c>
      <c r="V1855" s="2">
        <v>3421.3840646090471</v>
      </c>
      <c r="W1855" s="2">
        <v>4632.4921875</v>
      </c>
      <c r="X1855" s="4">
        <f t="shared" si="112"/>
        <v>1.0643083594684428</v>
      </c>
      <c r="Y1855" s="4">
        <f t="shared" si="113"/>
        <v>0.90620408307951628</v>
      </c>
      <c r="Z1855" s="4">
        <f t="shared" si="114"/>
        <v>1.1398895670152258</v>
      </c>
      <c r="AA1855" s="4">
        <f t="shared" si="115"/>
        <v>0.84187945540922726</v>
      </c>
    </row>
    <row r="1856" spans="1:27" x14ac:dyDescent="0.3">
      <c r="A1856" t="s">
        <v>556</v>
      </c>
      <c r="B1856">
        <v>203111</v>
      </c>
      <c r="C1856">
        <v>2019</v>
      </c>
      <c r="D1856" t="s">
        <v>125</v>
      </c>
      <c r="E1856" t="s">
        <v>230</v>
      </c>
      <c r="F1856">
        <v>4</v>
      </c>
      <c r="G1856" t="s">
        <v>22</v>
      </c>
      <c r="H1856">
        <v>4</v>
      </c>
      <c r="I1856" t="s">
        <v>23</v>
      </c>
      <c r="J1856" t="s">
        <v>31</v>
      </c>
      <c r="K1856" t="s">
        <v>27</v>
      </c>
      <c r="L1856" t="s">
        <v>60</v>
      </c>
      <c r="M1856" t="s">
        <v>33</v>
      </c>
      <c r="N1856">
        <v>0</v>
      </c>
      <c r="S1856" s="3">
        <v>3200</v>
      </c>
      <c r="T1856" s="2">
        <v>4507.25830078125</v>
      </c>
      <c r="U1856" s="2">
        <v>4780.3288737886933</v>
      </c>
      <c r="V1856" s="2">
        <v>3328.6178352125771</v>
      </c>
      <c r="W1856" s="2">
        <v>6025.37109375</v>
      </c>
      <c r="X1856" s="4">
        <f t="shared" si="112"/>
        <v>0.70996596743642115</v>
      </c>
      <c r="Y1856" s="4">
        <f t="shared" si="113"/>
        <v>0.66941001016606017</v>
      </c>
      <c r="Z1856" s="4">
        <f t="shared" si="114"/>
        <v>0.96135998736413575</v>
      </c>
      <c r="AA1856" s="4">
        <f t="shared" si="115"/>
        <v>0.53108762102956575</v>
      </c>
    </row>
    <row r="1857" spans="1:27" x14ac:dyDescent="0.3">
      <c r="A1857" t="s">
        <v>556</v>
      </c>
      <c r="B1857">
        <v>142127</v>
      </c>
      <c r="C1857">
        <v>2019</v>
      </c>
      <c r="D1857" t="s">
        <v>44</v>
      </c>
      <c r="E1857" t="s">
        <v>68</v>
      </c>
      <c r="F1857">
        <v>6</v>
      </c>
      <c r="G1857" t="s">
        <v>47</v>
      </c>
      <c r="H1857">
        <v>4</v>
      </c>
      <c r="I1857" t="s">
        <v>23</v>
      </c>
      <c r="J1857" t="s">
        <v>62</v>
      </c>
      <c r="L1857" t="s">
        <v>38</v>
      </c>
      <c r="M1857">
        <v>4</v>
      </c>
      <c r="N1857">
        <v>0</v>
      </c>
      <c r="S1857" s="3">
        <v>6400</v>
      </c>
      <c r="T1857" s="2">
        <v>12360.009765625</v>
      </c>
      <c r="U1857" s="2">
        <v>12234.7267468104</v>
      </c>
      <c r="V1857" s="2">
        <v>13275.359197526121</v>
      </c>
      <c r="W1857" s="2">
        <v>13222.0283203125</v>
      </c>
      <c r="X1857" s="4">
        <f t="shared" si="112"/>
        <v>0.51779894363832457</v>
      </c>
      <c r="Y1857" s="4">
        <f t="shared" si="113"/>
        <v>0.5231011801443366</v>
      </c>
      <c r="Z1857" s="4">
        <f t="shared" si="114"/>
        <v>0.48209618321985953</v>
      </c>
      <c r="AA1857" s="4">
        <f t="shared" si="115"/>
        <v>0.48404071182996355</v>
      </c>
    </row>
    <row r="1858" spans="1:27" x14ac:dyDescent="0.3">
      <c r="A1858" t="s">
        <v>556</v>
      </c>
      <c r="B1858">
        <v>149431</v>
      </c>
      <c r="C1858">
        <v>2014</v>
      </c>
      <c r="D1858" t="s">
        <v>28</v>
      </c>
      <c r="E1858" t="s">
        <v>216</v>
      </c>
      <c r="F1858">
        <v>6</v>
      </c>
      <c r="G1858" t="s">
        <v>30</v>
      </c>
      <c r="H1858">
        <v>4</v>
      </c>
      <c r="I1858" t="s">
        <v>23</v>
      </c>
      <c r="J1858" t="s">
        <v>106</v>
      </c>
      <c r="K1858" t="s">
        <v>27</v>
      </c>
      <c r="L1858" t="s">
        <v>53</v>
      </c>
      <c r="M1858" t="s">
        <v>33</v>
      </c>
      <c r="N1858">
        <v>0</v>
      </c>
      <c r="S1858" s="3">
        <v>6800</v>
      </c>
      <c r="T1858" s="2">
        <v>6445.6484375</v>
      </c>
      <c r="U1858" s="2">
        <v>6186.3907837979777</v>
      </c>
      <c r="V1858" s="2">
        <v>5664.9619869359549</v>
      </c>
      <c r="W1858" s="2">
        <v>7286.16796875</v>
      </c>
      <c r="X1858" s="4">
        <f t="shared" ref="X1858:X1921" si="116">S1858/T1858</f>
        <v>1.0549753164380524</v>
      </c>
      <c r="Y1858" s="4">
        <f t="shared" ref="Y1858:Y1921" si="117">S1858/U1858</f>
        <v>1.0991869472276228</v>
      </c>
      <c r="Z1858" s="4">
        <f t="shared" ref="Z1858:Z1921" si="118">S1858/V1858</f>
        <v>1.2003610996298955</v>
      </c>
      <c r="AA1858" s="4">
        <f t="shared" ref="AA1858:AA1921" si="119">S1858/W1858</f>
        <v>0.93327521807963398</v>
      </c>
    </row>
    <row r="1859" spans="1:27" x14ac:dyDescent="0.3">
      <c r="A1859" t="s">
        <v>556</v>
      </c>
      <c r="B1859">
        <v>153456</v>
      </c>
      <c r="C1859">
        <v>2008</v>
      </c>
      <c r="D1859" t="s">
        <v>28</v>
      </c>
      <c r="E1859" t="s">
        <v>310</v>
      </c>
      <c r="F1859">
        <v>4</v>
      </c>
      <c r="G1859" t="s">
        <v>22</v>
      </c>
      <c r="H1859">
        <v>4</v>
      </c>
      <c r="I1859" t="s">
        <v>23</v>
      </c>
      <c r="J1859" t="s">
        <v>31</v>
      </c>
      <c r="K1859" t="s">
        <v>27</v>
      </c>
      <c r="L1859" t="s">
        <v>60</v>
      </c>
      <c r="M1859" t="s">
        <v>33</v>
      </c>
      <c r="N1859">
        <v>0</v>
      </c>
      <c r="S1859" s="3">
        <v>2200</v>
      </c>
      <c r="T1859" s="2">
        <v>3307.875</v>
      </c>
      <c r="U1859" s="2">
        <v>2914.1369321438951</v>
      </c>
      <c r="V1859" s="2">
        <v>1963.429650083579</v>
      </c>
      <c r="W1859" s="2">
        <v>2908.55615234375</v>
      </c>
      <c r="X1859" s="4">
        <f t="shared" si="116"/>
        <v>0.66507954502512945</v>
      </c>
      <c r="Y1859" s="4">
        <f t="shared" si="117"/>
        <v>0.7549405025320779</v>
      </c>
      <c r="Z1859" s="4">
        <f t="shared" si="118"/>
        <v>1.1204883250623983</v>
      </c>
      <c r="AA1859" s="4">
        <f t="shared" si="119"/>
        <v>0.75638904142428642</v>
      </c>
    </row>
    <row r="1860" spans="1:27" x14ac:dyDescent="0.3">
      <c r="A1860" t="s">
        <v>556</v>
      </c>
      <c r="B1860">
        <v>158414</v>
      </c>
      <c r="C1860">
        <v>2014</v>
      </c>
      <c r="D1860" t="s">
        <v>125</v>
      </c>
      <c r="E1860" t="s">
        <v>230</v>
      </c>
      <c r="F1860">
        <v>4</v>
      </c>
      <c r="G1860" t="s">
        <v>47</v>
      </c>
      <c r="H1860">
        <v>4</v>
      </c>
      <c r="I1860" t="s">
        <v>23</v>
      </c>
      <c r="J1860" t="s">
        <v>31</v>
      </c>
      <c r="K1860" t="s">
        <v>27</v>
      </c>
      <c r="L1860" t="s">
        <v>127</v>
      </c>
      <c r="M1860" t="s">
        <v>33</v>
      </c>
      <c r="N1860">
        <v>0</v>
      </c>
      <c r="S1860" s="3">
        <v>2800</v>
      </c>
      <c r="T1860" s="2">
        <v>3476.453857421875</v>
      </c>
      <c r="U1860" s="2">
        <v>3216.9956649061651</v>
      </c>
      <c r="V1860" s="2">
        <v>2308.8715082428189</v>
      </c>
      <c r="W1860" s="2">
        <v>3312.54248046875</v>
      </c>
      <c r="X1860" s="4">
        <f t="shared" si="116"/>
        <v>0.80541842775283357</v>
      </c>
      <c r="Y1860" s="4">
        <f t="shared" si="117"/>
        <v>0.87037729971006095</v>
      </c>
      <c r="Z1860" s="4">
        <f t="shared" si="118"/>
        <v>1.2127136525371036</v>
      </c>
      <c r="AA1860" s="4">
        <f t="shared" si="119"/>
        <v>0.8452721788503007</v>
      </c>
    </row>
    <row r="1861" spans="1:27" x14ac:dyDescent="0.3">
      <c r="A1861" t="s">
        <v>556</v>
      </c>
      <c r="B1861">
        <v>149975</v>
      </c>
      <c r="C1861">
        <v>2008</v>
      </c>
      <c r="D1861" t="s">
        <v>34</v>
      </c>
      <c r="E1861" t="s">
        <v>603</v>
      </c>
      <c r="F1861">
        <v>6</v>
      </c>
      <c r="G1861" t="s">
        <v>22</v>
      </c>
      <c r="H1861">
        <v>2</v>
      </c>
      <c r="I1861" t="s">
        <v>23</v>
      </c>
      <c r="J1861" t="s">
        <v>209</v>
      </c>
      <c r="K1861" t="s">
        <v>27</v>
      </c>
      <c r="L1861" t="s">
        <v>235</v>
      </c>
      <c r="M1861" t="s">
        <v>33</v>
      </c>
      <c r="N1861">
        <v>0</v>
      </c>
      <c r="O1861" t="s">
        <v>27</v>
      </c>
      <c r="S1861" s="3">
        <v>1800</v>
      </c>
      <c r="T1861" s="2">
        <v>3343.656005859375</v>
      </c>
      <c r="U1861" s="2">
        <v>2803.6435342571831</v>
      </c>
      <c r="V1861" s="2">
        <v>2287.5811964623658</v>
      </c>
      <c r="W1861" s="2">
        <v>2658.386962890625</v>
      </c>
      <c r="X1861" s="4">
        <f t="shared" si="116"/>
        <v>0.53833288976070082</v>
      </c>
      <c r="Y1861" s="4">
        <f t="shared" si="117"/>
        <v>0.64202170425952687</v>
      </c>
      <c r="Z1861" s="4">
        <f t="shared" si="118"/>
        <v>0.78685731583369078</v>
      </c>
      <c r="AA1861" s="4">
        <f t="shared" si="119"/>
        <v>0.67710232751169941</v>
      </c>
    </row>
    <row r="1862" spans="1:27" x14ac:dyDescent="0.3">
      <c r="A1862" t="s">
        <v>556</v>
      </c>
      <c r="B1862">
        <v>145365</v>
      </c>
      <c r="C1862">
        <v>2019</v>
      </c>
      <c r="D1862" t="s">
        <v>44</v>
      </c>
      <c r="E1862" t="s">
        <v>45</v>
      </c>
      <c r="F1862">
        <v>6</v>
      </c>
      <c r="G1862" t="s">
        <v>47</v>
      </c>
      <c r="H1862">
        <v>4</v>
      </c>
      <c r="I1862" t="s">
        <v>23</v>
      </c>
      <c r="J1862" t="s">
        <v>46</v>
      </c>
      <c r="K1862" t="s">
        <v>27</v>
      </c>
      <c r="L1862" t="s">
        <v>38</v>
      </c>
      <c r="M1862">
        <v>4</v>
      </c>
      <c r="N1862">
        <v>0</v>
      </c>
      <c r="O1862" t="s">
        <v>27</v>
      </c>
      <c r="S1862" s="3">
        <v>14250</v>
      </c>
      <c r="T1862" s="2">
        <v>13703.357421875</v>
      </c>
      <c r="U1862" s="2">
        <v>12778.04197104896</v>
      </c>
      <c r="V1862" s="2">
        <v>16988.991275592991</v>
      </c>
      <c r="W1862" s="2">
        <v>12650.419921875</v>
      </c>
      <c r="X1862" s="4">
        <f t="shared" si="116"/>
        <v>1.0398911420972192</v>
      </c>
      <c r="Y1862" s="4">
        <f t="shared" si="117"/>
        <v>1.1151943335517316</v>
      </c>
      <c r="Z1862" s="4">
        <f t="shared" si="118"/>
        <v>0.83877846358494945</v>
      </c>
      <c r="AA1862" s="4">
        <f t="shared" si="119"/>
        <v>1.1264448206465478</v>
      </c>
    </row>
    <row r="1863" spans="1:27" x14ac:dyDescent="0.3">
      <c r="A1863" t="s">
        <v>556</v>
      </c>
      <c r="B1863">
        <v>112717</v>
      </c>
      <c r="C1863">
        <v>2020</v>
      </c>
      <c r="D1863" t="s">
        <v>125</v>
      </c>
      <c r="E1863" t="s">
        <v>577</v>
      </c>
      <c r="F1863">
        <v>6</v>
      </c>
      <c r="G1863" t="s">
        <v>36</v>
      </c>
      <c r="H1863">
        <v>4</v>
      </c>
      <c r="I1863" t="s">
        <v>23</v>
      </c>
      <c r="J1863" t="s">
        <v>24</v>
      </c>
      <c r="K1863" t="s">
        <v>27</v>
      </c>
      <c r="L1863" t="s">
        <v>143</v>
      </c>
      <c r="M1863" t="s">
        <v>33</v>
      </c>
      <c r="N1863">
        <v>0</v>
      </c>
      <c r="S1863" s="3">
        <v>15700</v>
      </c>
      <c r="T1863" s="2">
        <v>17744.2734375</v>
      </c>
      <c r="U1863" s="2">
        <v>17615.555216136359</v>
      </c>
      <c r="V1863" s="2">
        <v>15701.451473627931</v>
      </c>
      <c r="W1863" s="2">
        <v>18555.56640625</v>
      </c>
      <c r="X1863" s="4">
        <f t="shared" si="116"/>
        <v>0.8847924968750922</v>
      </c>
      <c r="Y1863" s="4">
        <f t="shared" si="117"/>
        <v>0.89125774392954382</v>
      </c>
      <c r="Z1863" s="4">
        <f t="shared" si="118"/>
        <v>0.99990755799676423</v>
      </c>
      <c r="AA1863" s="4">
        <f t="shared" si="119"/>
        <v>0.84610728965470061</v>
      </c>
    </row>
    <row r="1864" spans="1:27" x14ac:dyDescent="0.3">
      <c r="A1864" t="s">
        <v>556</v>
      </c>
      <c r="B1864">
        <v>205994</v>
      </c>
      <c r="C1864">
        <v>2011</v>
      </c>
      <c r="D1864" t="s">
        <v>159</v>
      </c>
      <c r="E1864" t="s">
        <v>414</v>
      </c>
      <c r="F1864">
        <v>8</v>
      </c>
      <c r="G1864" t="s">
        <v>30</v>
      </c>
      <c r="H1864">
        <v>4</v>
      </c>
      <c r="I1864" t="s">
        <v>23</v>
      </c>
      <c r="J1864" t="s">
        <v>62</v>
      </c>
      <c r="K1864" t="s">
        <v>27</v>
      </c>
      <c r="L1864" t="s">
        <v>604</v>
      </c>
      <c r="M1864" t="s">
        <v>78</v>
      </c>
      <c r="N1864">
        <v>0</v>
      </c>
      <c r="S1864" s="3">
        <v>2000</v>
      </c>
      <c r="T1864" s="2">
        <v>3110.0556640625</v>
      </c>
      <c r="U1864" s="2">
        <v>2022.997545227674</v>
      </c>
      <c r="V1864" s="2">
        <v>2500.2091371369811</v>
      </c>
      <c r="W1864" s="2">
        <v>3081.4501953125</v>
      </c>
      <c r="X1864" s="4">
        <f t="shared" si="116"/>
        <v>0.64307530669322699</v>
      </c>
      <c r="Y1864" s="4">
        <f t="shared" si="117"/>
        <v>0.98863194605355498</v>
      </c>
      <c r="Z1864" s="4">
        <f t="shared" si="118"/>
        <v>0.79993308171420552</v>
      </c>
      <c r="AA1864" s="4">
        <f t="shared" si="119"/>
        <v>0.64904505126917145</v>
      </c>
    </row>
    <row r="1865" spans="1:27" x14ac:dyDescent="0.3">
      <c r="A1865" t="s">
        <v>556</v>
      </c>
      <c r="B1865">
        <v>22826</v>
      </c>
      <c r="C1865">
        <v>2022</v>
      </c>
      <c r="D1865" t="s">
        <v>28</v>
      </c>
      <c r="E1865" t="s">
        <v>423</v>
      </c>
      <c r="F1865">
        <v>6</v>
      </c>
      <c r="G1865" t="s">
        <v>30</v>
      </c>
      <c r="H1865">
        <v>4</v>
      </c>
      <c r="I1865" t="s">
        <v>23</v>
      </c>
      <c r="J1865" t="s">
        <v>24</v>
      </c>
      <c r="K1865" t="s">
        <v>27</v>
      </c>
      <c r="L1865" t="s">
        <v>53</v>
      </c>
      <c r="M1865" t="s">
        <v>23</v>
      </c>
      <c r="N1865">
        <v>0</v>
      </c>
      <c r="S1865" s="3">
        <v>28400</v>
      </c>
      <c r="T1865" s="2">
        <v>41930.01953125</v>
      </c>
      <c r="U1865" s="2">
        <v>37077.438754076218</v>
      </c>
      <c r="V1865" s="2">
        <v>36634.870617519358</v>
      </c>
      <c r="W1865" s="2">
        <v>43349.90234375</v>
      </c>
      <c r="X1865" s="4">
        <f t="shared" si="116"/>
        <v>0.67731902626073859</v>
      </c>
      <c r="Y1865" s="4">
        <f t="shared" si="117"/>
        <v>0.76596445046727402</v>
      </c>
      <c r="Z1865" s="4">
        <f t="shared" si="118"/>
        <v>0.77521769618093539</v>
      </c>
      <c r="AA1865" s="4">
        <f t="shared" si="119"/>
        <v>0.65513411713820358</v>
      </c>
    </row>
    <row r="1866" spans="1:27" x14ac:dyDescent="0.3">
      <c r="A1866" t="s">
        <v>556</v>
      </c>
      <c r="B1866">
        <v>280338</v>
      </c>
      <c r="C1866">
        <v>1996</v>
      </c>
      <c r="D1866" t="s">
        <v>44</v>
      </c>
      <c r="E1866" t="s">
        <v>605</v>
      </c>
      <c r="F1866">
        <v>6</v>
      </c>
      <c r="G1866" t="s">
        <v>47</v>
      </c>
      <c r="H1866">
        <v>3</v>
      </c>
      <c r="I1866" t="s">
        <v>23</v>
      </c>
      <c r="J1866" t="s">
        <v>113</v>
      </c>
      <c r="L1866" t="s">
        <v>606</v>
      </c>
      <c r="M1866" t="s">
        <v>78</v>
      </c>
      <c r="N1866">
        <v>0</v>
      </c>
      <c r="S1866" s="3">
        <v>500</v>
      </c>
      <c r="T1866" s="2">
        <v>2234.643310546875</v>
      </c>
      <c r="U1866" s="2">
        <v>1896.3164513993311</v>
      </c>
      <c r="V1866" s="2">
        <v>-139.58137385040939</v>
      </c>
      <c r="W1866" s="2">
        <v>1600.933471679688</v>
      </c>
      <c r="X1866" s="4">
        <f t="shared" si="116"/>
        <v>0.22374935527300643</v>
      </c>
      <c r="Y1866" s="4">
        <f t="shared" si="117"/>
        <v>0.26366907254906724</v>
      </c>
      <c r="Z1866" s="4">
        <f t="shared" si="118"/>
        <v>-3.5821398386281431</v>
      </c>
      <c r="AA1866" s="4">
        <f t="shared" si="119"/>
        <v>0.31231778761887186</v>
      </c>
    </row>
    <row r="1867" spans="1:27" x14ac:dyDescent="0.3">
      <c r="A1867" t="s">
        <v>556</v>
      </c>
      <c r="B1867">
        <v>141900</v>
      </c>
      <c r="C1867">
        <v>2013</v>
      </c>
      <c r="D1867" t="s">
        <v>44</v>
      </c>
      <c r="E1867" t="s">
        <v>68</v>
      </c>
      <c r="F1867">
        <v>6</v>
      </c>
      <c r="G1867" t="s">
        <v>66</v>
      </c>
      <c r="H1867">
        <v>4</v>
      </c>
      <c r="I1867" t="s">
        <v>23</v>
      </c>
      <c r="J1867" t="s">
        <v>62</v>
      </c>
      <c r="K1867" t="s">
        <v>27</v>
      </c>
      <c r="L1867" t="s">
        <v>38</v>
      </c>
      <c r="M1867" t="s">
        <v>33</v>
      </c>
      <c r="N1867">
        <v>0</v>
      </c>
      <c r="S1867" s="3">
        <v>5750</v>
      </c>
      <c r="T1867" s="2">
        <v>5312.84814453125</v>
      </c>
      <c r="U1867" s="2">
        <v>5112.1369060638845</v>
      </c>
      <c r="V1867" s="2">
        <v>4731.2932957571238</v>
      </c>
      <c r="W1867" s="2">
        <v>5222.99072265625</v>
      </c>
      <c r="X1867" s="4">
        <f t="shared" si="116"/>
        <v>1.0822820158936275</v>
      </c>
      <c r="Y1867" s="4">
        <f t="shared" si="117"/>
        <v>1.1247742589169509</v>
      </c>
      <c r="Z1867" s="4">
        <f t="shared" si="118"/>
        <v>1.2153125246233245</v>
      </c>
      <c r="AA1867" s="4">
        <f t="shared" si="119"/>
        <v>1.1009018214521602</v>
      </c>
    </row>
    <row r="1868" spans="1:27" x14ac:dyDescent="0.3">
      <c r="A1868" t="s">
        <v>556</v>
      </c>
      <c r="B1868">
        <v>87717</v>
      </c>
      <c r="C1868">
        <v>2016</v>
      </c>
      <c r="D1868" t="s">
        <v>100</v>
      </c>
      <c r="E1868" t="s">
        <v>343</v>
      </c>
      <c r="F1868">
        <v>4</v>
      </c>
      <c r="G1868" t="s">
        <v>47</v>
      </c>
      <c r="H1868">
        <v>4</v>
      </c>
      <c r="I1868" t="s">
        <v>23</v>
      </c>
      <c r="J1868" t="s">
        <v>31</v>
      </c>
      <c r="L1868" t="s">
        <v>87</v>
      </c>
      <c r="M1868" t="s">
        <v>33</v>
      </c>
      <c r="N1868">
        <v>0</v>
      </c>
      <c r="S1868" s="3">
        <v>3200</v>
      </c>
      <c r="T1868" s="2">
        <v>4390.29736328125</v>
      </c>
      <c r="U1868" s="2">
        <v>6671.5219036263707</v>
      </c>
      <c r="V1868" s="2">
        <v>5222.384843294265</v>
      </c>
      <c r="W1868" s="2">
        <v>5968.890625</v>
      </c>
      <c r="X1868" s="4">
        <f t="shared" si="116"/>
        <v>0.72888001317713991</v>
      </c>
      <c r="Y1868" s="4">
        <f t="shared" si="117"/>
        <v>0.47965067734554073</v>
      </c>
      <c r="Z1868" s="4">
        <f t="shared" si="118"/>
        <v>0.61274687638329028</v>
      </c>
      <c r="AA1868" s="4">
        <f t="shared" si="119"/>
        <v>0.53611302351515278</v>
      </c>
    </row>
    <row r="1869" spans="1:27" x14ac:dyDescent="0.3">
      <c r="A1869" t="s">
        <v>556</v>
      </c>
      <c r="B1869">
        <v>105157</v>
      </c>
      <c r="C1869">
        <v>2016</v>
      </c>
      <c r="D1869" t="s">
        <v>44</v>
      </c>
      <c r="E1869" t="s">
        <v>182</v>
      </c>
      <c r="F1869">
        <v>6</v>
      </c>
      <c r="G1869" t="s">
        <v>22</v>
      </c>
      <c r="H1869">
        <v>2</v>
      </c>
      <c r="I1869" t="s">
        <v>23</v>
      </c>
      <c r="J1869" t="s">
        <v>183</v>
      </c>
      <c r="K1869" t="s">
        <v>27</v>
      </c>
      <c r="L1869" t="s">
        <v>198</v>
      </c>
      <c r="M1869" t="s">
        <v>78</v>
      </c>
      <c r="N1869">
        <v>0</v>
      </c>
      <c r="S1869" s="3">
        <v>9800</v>
      </c>
      <c r="T1869" s="2">
        <v>11374.8564453125</v>
      </c>
      <c r="U1869" s="2">
        <v>11519.170563595821</v>
      </c>
      <c r="V1869" s="2">
        <v>8057.121240553035</v>
      </c>
      <c r="W1869" s="2">
        <v>11771.279296875</v>
      </c>
      <c r="X1869" s="4">
        <f t="shared" si="116"/>
        <v>0.86154933445674498</v>
      </c>
      <c r="Y1869" s="4">
        <f t="shared" si="117"/>
        <v>0.85075569858919031</v>
      </c>
      <c r="Z1869" s="4">
        <f t="shared" si="118"/>
        <v>1.2163153200022263</v>
      </c>
      <c r="AA1869" s="4">
        <f t="shared" si="119"/>
        <v>0.83253482929435474</v>
      </c>
    </row>
    <row r="1870" spans="1:27" x14ac:dyDescent="0.3">
      <c r="A1870" t="s">
        <v>556</v>
      </c>
      <c r="B1870">
        <v>214807</v>
      </c>
      <c r="C1870">
        <v>2017</v>
      </c>
      <c r="D1870" t="s">
        <v>40</v>
      </c>
      <c r="E1870" t="s">
        <v>229</v>
      </c>
      <c r="F1870">
        <v>4</v>
      </c>
      <c r="G1870" t="s">
        <v>47</v>
      </c>
      <c r="H1870">
        <v>4</v>
      </c>
      <c r="I1870" t="s">
        <v>23</v>
      </c>
      <c r="J1870" t="s">
        <v>31</v>
      </c>
      <c r="K1870" t="s">
        <v>27</v>
      </c>
      <c r="L1870" t="s">
        <v>107</v>
      </c>
      <c r="M1870" t="s">
        <v>33</v>
      </c>
      <c r="N1870">
        <v>0</v>
      </c>
      <c r="S1870" s="3">
        <v>1900</v>
      </c>
      <c r="T1870" s="2">
        <v>3647.089111328125</v>
      </c>
      <c r="U1870" s="2">
        <v>3632.3521045511152</v>
      </c>
      <c r="V1870" s="2">
        <v>3059.6696614128191</v>
      </c>
      <c r="W1870" s="2">
        <v>3313.976806640625</v>
      </c>
      <c r="X1870" s="4">
        <f t="shared" si="116"/>
        <v>0.52096341548070801</v>
      </c>
      <c r="Y1870" s="4">
        <f t="shared" si="117"/>
        <v>0.52307704355517082</v>
      </c>
      <c r="Z1870" s="4">
        <f t="shared" si="118"/>
        <v>0.6209820700456482</v>
      </c>
      <c r="AA1870" s="4">
        <f t="shared" si="119"/>
        <v>0.57332929916489916</v>
      </c>
    </row>
    <row r="1871" spans="1:27" x14ac:dyDescent="0.3">
      <c r="A1871" t="s">
        <v>556</v>
      </c>
      <c r="B1871">
        <v>140241</v>
      </c>
      <c r="C1871">
        <v>2019</v>
      </c>
      <c r="D1871" t="s">
        <v>40</v>
      </c>
      <c r="E1871" t="s">
        <v>41</v>
      </c>
      <c r="F1871">
        <v>8</v>
      </c>
      <c r="G1871" t="s">
        <v>47</v>
      </c>
      <c r="H1871">
        <v>4</v>
      </c>
      <c r="I1871" t="s">
        <v>23</v>
      </c>
      <c r="J1871" t="s">
        <v>42</v>
      </c>
      <c r="K1871" t="s">
        <v>27</v>
      </c>
      <c r="L1871" t="s">
        <v>43</v>
      </c>
      <c r="M1871" t="s">
        <v>78</v>
      </c>
      <c r="N1871">
        <v>0</v>
      </c>
      <c r="S1871" s="3">
        <v>13500</v>
      </c>
      <c r="T1871" s="2">
        <v>17246.576171875</v>
      </c>
      <c r="U1871" s="2">
        <v>24538.357488297861</v>
      </c>
      <c r="V1871" s="2">
        <v>14607.813520591029</v>
      </c>
      <c r="W1871" s="2">
        <v>20223.86328125</v>
      </c>
      <c r="X1871" s="4">
        <f t="shared" si="116"/>
        <v>0.78276406084676908</v>
      </c>
      <c r="Y1871" s="4">
        <f t="shared" si="117"/>
        <v>0.5501590726452672</v>
      </c>
      <c r="Z1871" s="4">
        <f t="shared" si="118"/>
        <v>0.92416294751918437</v>
      </c>
      <c r="AA1871" s="4">
        <f t="shared" si="119"/>
        <v>0.66752824681702405</v>
      </c>
    </row>
    <row r="1872" spans="1:27" x14ac:dyDescent="0.3">
      <c r="A1872" t="s">
        <v>556</v>
      </c>
      <c r="B1872">
        <v>167661</v>
      </c>
      <c r="C1872">
        <v>2009</v>
      </c>
      <c r="D1872" t="s">
        <v>340</v>
      </c>
      <c r="E1872" t="s">
        <v>512</v>
      </c>
      <c r="F1872">
        <v>6</v>
      </c>
      <c r="G1872" t="s">
        <v>36</v>
      </c>
      <c r="H1872">
        <v>4</v>
      </c>
      <c r="I1872" t="s">
        <v>23</v>
      </c>
      <c r="J1872" t="s">
        <v>24</v>
      </c>
      <c r="K1872" t="s">
        <v>27</v>
      </c>
      <c r="L1872" t="s">
        <v>57</v>
      </c>
      <c r="M1872" t="s">
        <v>33</v>
      </c>
      <c r="N1872">
        <v>0</v>
      </c>
      <c r="S1872" s="3">
        <v>1600</v>
      </c>
      <c r="T1872" s="2">
        <v>1892.346435546875</v>
      </c>
      <c r="U1872" s="2">
        <v>1233.586159967213</v>
      </c>
      <c r="V1872" s="2">
        <v>905.73253779757943</v>
      </c>
      <c r="W1872" s="2">
        <v>1508.876586914062</v>
      </c>
      <c r="X1872" s="4">
        <f t="shared" si="116"/>
        <v>0.845511144230634</v>
      </c>
      <c r="Y1872" s="4">
        <f t="shared" si="117"/>
        <v>1.2970314129031131</v>
      </c>
      <c r="Z1872" s="4">
        <f t="shared" si="118"/>
        <v>1.766525914913726</v>
      </c>
      <c r="AA1872" s="4">
        <f t="shared" si="119"/>
        <v>1.0603915614280308</v>
      </c>
    </row>
    <row r="1873" spans="1:27" x14ac:dyDescent="0.3">
      <c r="A1873" t="s">
        <v>556</v>
      </c>
      <c r="B1873">
        <v>157345</v>
      </c>
      <c r="C1873">
        <v>2015</v>
      </c>
      <c r="D1873" t="s">
        <v>71</v>
      </c>
      <c r="E1873" t="s">
        <v>212</v>
      </c>
      <c r="F1873">
        <v>4</v>
      </c>
      <c r="G1873" t="s">
        <v>171</v>
      </c>
      <c r="H1873">
        <v>4</v>
      </c>
      <c r="I1873" t="s">
        <v>23</v>
      </c>
      <c r="J1873" t="s">
        <v>31</v>
      </c>
      <c r="K1873" t="s">
        <v>27</v>
      </c>
      <c r="L1873" t="s">
        <v>60</v>
      </c>
      <c r="M1873" t="s">
        <v>33</v>
      </c>
      <c r="N1873">
        <v>0</v>
      </c>
      <c r="S1873" s="3">
        <v>2800</v>
      </c>
      <c r="T1873" s="2">
        <v>5391.5087890625</v>
      </c>
      <c r="U1873" s="2">
        <v>3927.9899354338659</v>
      </c>
      <c r="V1873" s="2">
        <v>3280.517535959892</v>
      </c>
      <c r="W1873" s="2">
        <v>3667.174560546875</v>
      </c>
      <c r="X1873" s="4">
        <f t="shared" si="116"/>
        <v>0.5193351452343411</v>
      </c>
      <c r="Y1873" s="4">
        <f t="shared" si="117"/>
        <v>0.71283278369467773</v>
      </c>
      <c r="Z1873" s="4">
        <f t="shared" si="118"/>
        <v>0.85352386302081118</v>
      </c>
      <c r="AA1873" s="4">
        <f t="shared" si="119"/>
        <v>0.76353060203996514</v>
      </c>
    </row>
    <row r="1874" spans="1:27" x14ac:dyDescent="0.3">
      <c r="A1874" t="s">
        <v>556</v>
      </c>
      <c r="B1874">
        <v>120944</v>
      </c>
      <c r="C1874">
        <v>2015</v>
      </c>
      <c r="D1874" t="s">
        <v>85</v>
      </c>
      <c r="E1874" t="s">
        <v>228</v>
      </c>
      <c r="F1874">
        <v>4</v>
      </c>
      <c r="G1874" t="s">
        <v>30</v>
      </c>
      <c r="H1874">
        <v>4</v>
      </c>
      <c r="I1874" t="s">
        <v>23</v>
      </c>
      <c r="J1874" t="s">
        <v>31</v>
      </c>
      <c r="K1874" t="s">
        <v>27</v>
      </c>
      <c r="L1874" t="s">
        <v>60</v>
      </c>
      <c r="M1874" t="s">
        <v>33</v>
      </c>
      <c r="N1874">
        <v>0</v>
      </c>
      <c r="S1874" s="3">
        <v>1600</v>
      </c>
      <c r="T1874" s="2">
        <v>5022.5439453125</v>
      </c>
      <c r="U1874" s="2">
        <v>5081.8380742830859</v>
      </c>
      <c r="V1874" s="2">
        <v>3991.486386191928</v>
      </c>
      <c r="W1874" s="2">
        <v>6495.1650390625</v>
      </c>
      <c r="X1874" s="4">
        <f t="shared" si="116"/>
        <v>0.31856366363768052</v>
      </c>
      <c r="Y1874" s="4">
        <f t="shared" si="117"/>
        <v>0.31484671030682498</v>
      </c>
      <c r="Z1874" s="4">
        <f t="shared" si="118"/>
        <v>0.4008531772862885</v>
      </c>
      <c r="AA1874" s="4">
        <f t="shared" si="119"/>
        <v>0.2463370815641262</v>
      </c>
    </row>
    <row r="1875" spans="1:27" x14ac:dyDescent="0.3">
      <c r="A1875" t="s">
        <v>556</v>
      </c>
      <c r="B1875">
        <v>91037</v>
      </c>
      <c r="C1875">
        <v>2019</v>
      </c>
      <c r="D1875" t="s">
        <v>324</v>
      </c>
      <c r="E1875" t="s">
        <v>574</v>
      </c>
      <c r="F1875">
        <v>8</v>
      </c>
      <c r="G1875" t="s">
        <v>36</v>
      </c>
      <c r="H1875">
        <v>4</v>
      </c>
      <c r="I1875" t="s">
        <v>23</v>
      </c>
      <c r="J1875" t="s">
        <v>24</v>
      </c>
      <c r="K1875" t="s">
        <v>27</v>
      </c>
      <c r="L1875" t="s">
        <v>166</v>
      </c>
      <c r="M1875" t="s">
        <v>78</v>
      </c>
      <c r="N1875">
        <v>0</v>
      </c>
      <c r="O1875" t="s">
        <v>27</v>
      </c>
      <c r="S1875" s="3">
        <v>20000</v>
      </c>
      <c r="T1875" s="2">
        <v>30179.8671875</v>
      </c>
      <c r="U1875" s="2">
        <v>33192.134016456963</v>
      </c>
      <c r="V1875" s="2">
        <v>24193.7674431454</v>
      </c>
      <c r="W1875" s="2">
        <v>35228.3984375</v>
      </c>
      <c r="X1875" s="4">
        <f t="shared" si="116"/>
        <v>0.66269343982678852</v>
      </c>
      <c r="Y1875" s="4">
        <f t="shared" si="117"/>
        <v>0.60255239961624096</v>
      </c>
      <c r="Z1875" s="4">
        <f t="shared" si="118"/>
        <v>0.82665918183265075</v>
      </c>
      <c r="AA1875" s="4">
        <f t="shared" si="119"/>
        <v>0.56772379350377611</v>
      </c>
    </row>
    <row r="1876" spans="1:27" x14ac:dyDescent="0.3">
      <c r="A1876" t="s">
        <v>556</v>
      </c>
      <c r="B1876">
        <v>1</v>
      </c>
      <c r="C1876">
        <v>2016</v>
      </c>
      <c r="D1876" t="s">
        <v>44</v>
      </c>
      <c r="E1876" t="s">
        <v>68</v>
      </c>
      <c r="F1876">
        <v>4</v>
      </c>
      <c r="G1876" t="s">
        <v>22</v>
      </c>
      <c r="H1876">
        <v>4</v>
      </c>
      <c r="I1876" t="s">
        <v>23</v>
      </c>
      <c r="J1876" t="s">
        <v>62</v>
      </c>
      <c r="K1876" t="s">
        <v>27</v>
      </c>
      <c r="L1876" t="s">
        <v>69</v>
      </c>
      <c r="M1876" t="s">
        <v>33</v>
      </c>
      <c r="N1876">
        <v>0</v>
      </c>
      <c r="O1876" t="s">
        <v>27</v>
      </c>
      <c r="S1876" s="3">
        <v>5000</v>
      </c>
      <c r="T1876" s="2">
        <v>29757.322265625</v>
      </c>
      <c r="U1876" s="2">
        <v>23539.851715505582</v>
      </c>
      <c r="V1876" s="2">
        <v>13032.554879593021</v>
      </c>
      <c r="W1876" s="2">
        <v>21323.884765625</v>
      </c>
      <c r="X1876" s="4">
        <f t="shared" si="116"/>
        <v>0.16802587125844617</v>
      </c>
      <c r="Y1876" s="4">
        <f t="shared" si="117"/>
        <v>0.21240575601020142</v>
      </c>
      <c r="Z1876" s="4">
        <f t="shared" si="118"/>
        <v>0.38365462844351661</v>
      </c>
      <c r="AA1876" s="4">
        <f t="shared" si="119"/>
        <v>0.23447885106095726</v>
      </c>
    </row>
    <row r="1877" spans="1:27" x14ac:dyDescent="0.3">
      <c r="A1877" t="s">
        <v>556</v>
      </c>
      <c r="B1877">
        <v>151988</v>
      </c>
      <c r="C1877">
        <v>2012</v>
      </c>
      <c r="D1877" t="s">
        <v>85</v>
      </c>
      <c r="E1877" t="s">
        <v>228</v>
      </c>
      <c r="F1877">
        <v>4</v>
      </c>
      <c r="G1877" t="s">
        <v>272</v>
      </c>
      <c r="H1877">
        <v>4</v>
      </c>
      <c r="I1877" t="s">
        <v>23</v>
      </c>
      <c r="J1877" t="s">
        <v>31</v>
      </c>
      <c r="K1877" t="s">
        <v>27</v>
      </c>
      <c r="L1877" t="s">
        <v>60</v>
      </c>
      <c r="M1877" t="s">
        <v>33</v>
      </c>
      <c r="N1877">
        <v>0</v>
      </c>
      <c r="S1877" s="3">
        <v>3600</v>
      </c>
      <c r="T1877" s="2">
        <v>3026.700927734375</v>
      </c>
      <c r="U1877" s="2">
        <v>2471.852987320422</v>
      </c>
      <c r="V1877" s="2">
        <v>2047.421616767049</v>
      </c>
      <c r="W1877" s="2">
        <v>2805.248779296875</v>
      </c>
      <c r="X1877" s="4">
        <f t="shared" si="116"/>
        <v>1.1894138489245338</v>
      </c>
      <c r="Y1877" s="4">
        <f t="shared" si="117"/>
        <v>1.4563972932316376</v>
      </c>
      <c r="Z1877" s="4">
        <f t="shared" si="118"/>
        <v>1.7583090705491948</v>
      </c>
      <c r="AA1877" s="4">
        <f t="shared" si="119"/>
        <v>1.2833086414896602</v>
      </c>
    </row>
    <row r="1878" spans="1:27" x14ac:dyDescent="0.3">
      <c r="A1878" t="s">
        <v>556</v>
      </c>
      <c r="B1878">
        <v>135908</v>
      </c>
      <c r="C1878">
        <v>2012</v>
      </c>
      <c r="D1878" t="s">
        <v>85</v>
      </c>
      <c r="E1878" t="s">
        <v>86</v>
      </c>
      <c r="F1878">
        <v>4</v>
      </c>
      <c r="G1878" t="s">
        <v>36</v>
      </c>
      <c r="H1878">
        <v>4</v>
      </c>
      <c r="I1878" t="s">
        <v>23</v>
      </c>
      <c r="J1878" t="s">
        <v>31</v>
      </c>
      <c r="L1878" t="s">
        <v>127</v>
      </c>
      <c r="M1878" t="s">
        <v>33</v>
      </c>
      <c r="N1878">
        <v>0</v>
      </c>
      <c r="S1878" s="3">
        <v>1400</v>
      </c>
      <c r="T1878" s="2">
        <v>3184.04150390625</v>
      </c>
      <c r="U1878" s="2">
        <v>3052.934966117567</v>
      </c>
      <c r="V1878" s="2">
        <v>2550.0832814267092</v>
      </c>
      <c r="W1878" s="2">
        <v>3326.600341796875</v>
      </c>
      <c r="X1878" s="4">
        <f t="shared" si="116"/>
        <v>0.43969276100278537</v>
      </c>
      <c r="Y1878" s="4">
        <f t="shared" si="117"/>
        <v>0.45857511396005501</v>
      </c>
      <c r="Z1878" s="4">
        <f t="shared" si="118"/>
        <v>0.54900167778706199</v>
      </c>
      <c r="AA1878" s="4">
        <f t="shared" si="119"/>
        <v>0.42085007399589969</v>
      </c>
    </row>
    <row r="1879" spans="1:27" x14ac:dyDescent="0.3">
      <c r="A1879" t="s">
        <v>556</v>
      </c>
      <c r="B1879">
        <v>206478</v>
      </c>
      <c r="C1879">
        <v>2009</v>
      </c>
      <c r="D1879" t="s">
        <v>44</v>
      </c>
      <c r="E1879" t="s">
        <v>117</v>
      </c>
      <c r="F1879">
        <v>4</v>
      </c>
      <c r="G1879" t="s">
        <v>47</v>
      </c>
      <c r="H1879">
        <v>4</v>
      </c>
      <c r="I1879" t="s">
        <v>23</v>
      </c>
      <c r="J1879" t="s">
        <v>24</v>
      </c>
      <c r="K1879" t="s">
        <v>27</v>
      </c>
      <c r="L1879" t="s">
        <v>102</v>
      </c>
      <c r="M1879" t="s">
        <v>33</v>
      </c>
      <c r="N1879">
        <v>0</v>
      </c>
      <c r="S1879" s="3">
        <v>1200</v>
      </c>
      <c r="T1879" s="2">
        <v>1918.73779296875</v>
      </c>
      <c r="U1879" s="2">
        <v>1520.771618255292</v>
      </c>
      <c r="V1879" s="2">
        <v>1384.1685585017731</v>
      </c>
      <c r="W1879" s="2">
        <v>1677.542846679688</v>
      </c>
      <c r="X1879" s="4">
        <f t="shared" si="116"/>
        <v>0.62541114497114825</v>
      </c>
      <c r="Y1879" s="4">
        <f t="shared" si="117"/>
        <v>0.78907311630177723</v>
      </c>
      <c r="Z1879" s="4">
        <f t="shared" si="118"/>
        <v>0.86694643699961116</v>
      </c>
      <c r="AA1879" s="4">
        <f t="shared" si="119"/>
        <v>0.71533195254900661</v>
      </c>
    </row>
    <row r="1880" spans="1:27" x14ac:dyDescent="0.3">
      <c r="A1880" t="s">
        <v>556</v>
      </c>
      <c r="B1880">
        <v>190521</v>
      </c>
      <c r="C1880">
        <v>2012</v>
      </c>
      <c r="D1880" t="s">
        <v>141</v>
      </c>
      <c r="E1880" t="s">
        <v>259</v>
      </c>
      <c r="F1880">
        <v>4</v>
      </c>
      <c r="G1880" t="s">
        <v>36</v>
      </c>
      <c r="H1880">
        <v>4</v>
      </c>
      <c r="I1880" t="s">
        <v>23</v>
      </c>
      <c r="J1880" t="s">
        <v>31</v>
      </c>
      <c r="K1880" t="s">
        <v>27</v>
      </c>
      <c r="L1880" t="s">
        <v>60</v>
      </c>
      <c r="M1880" t="s">
        <v>33</v>
      </c>
      <c r="N1880">
        <v>0</v>
      </c>
      <c r="S1880" s="3">
        <v>900</v>
      </c>
      <c r="T1880" s="2">
        <v>2597.084228515625</v>
      </c>
      <c r="U1880" s="2">
        <v>1910.5700483272699</v>
      </c>
      <c r="V1880" s="2">
        <v>1622.550307673313</v>
      </c>
      <c r="W1880" s="2">
        <v>1900.815063476562</v>
      </c>
      <c r="X1880" s="4">
        <f t="shared" si="116"/>
        <v>0.34654247641186403</v>
      </c>
      <c r="Y1880" s="4">
        <f t="shared" si="117"/>
        <v>0.47106359737396819</v>
      </c>
      <c r="Z1880" s="4">
        <f t="shared" si="118"/>
        <v>0.55468233911993281</v>
      </c>
      <c r="AA1880" s="4">
        <f t="shared" si="119"/>
        <v>0.47348109623769163</v>
      </c>
    </row>
    <row r="1881" spans="1:27" x14ac:dyDescent="0.3">
      <c r="A1881" t="s">
        <v>556</v>
      </c>
      <c r="B1881">
        <v>114291</v>
      </c>
      <c r="C1881">
        <v>2013</v>
      </c>
      <c r="D1881" t="s">
        <v>100</v>
      </c>
      <c r="E1881" t="s">
        <v>358</v>
      </c>
      <c r="F1881">
        <v>6</v>
      </c>
      <c r="G1881" t="s">
        <v>22</v>
      </c>
      <c r="H1881">
        <v>4</v>
      </c>
      <c r="I1881" t="s">
        <v>23</v>
      </c>
      <c r="J1881" t="s">
        <v>24</v>
      </c>
      <c r="K1881" t="s">
        <v>27</v>
      </c>
      <c r="L1881" t="s">
        <v>53</v>
      </c>
      <c r="M1881" t="s">
        <v>33</v>
      </c>
      <c r="N1881">
        <v>0</v>
      </c>
      <c r="S1881" s="3">
        <v>4100</v>
      </c>
      <c r="T1881" s="2">
        <v>4273.69384765625</v>
      </c>
      <c r="U1881" s="2">
        <v>4472.2667430195679</v>
      </c>
      <c r="V1881" s="2">
        <v>5018.2472201765668</v>
      </c>
      <c r="W1881" s="2">
        <v>4929.53125</v>
      </c>
      <c r="X1881" s="4">
        <f t="shared" si="116"/>
        <v>0.95935744256657363</v>
      </c>
      <c r="Y1881" s="4">
        <f t="shared" si="117"/>
        <v>0.91676106001489921</v>
      </c>
      <c r="Z1881" s="4">
        <f t="shared" si="118"/>
        <v>0.81701833730219087</v>
      </c>
      <c r="AA1881" s="4">
        <f t="shared" si="119"/>
        <v>0.8317220831088149</v>
      </c>
    </row>
    <row r="1882" spans="1:27" x14ac:dyDescent="0.3">
      <c r="A1882" t="s">
        <v>556</v>
      </c>
      <c r="B1882">
        <v>114654</v>
      </c>
      <c r="C1882">
        <v>2017</v>
      </c>
      <c r="D1882" t="s">
        <v>28</v>
      </c>
      <c r="E1882" t="s">
        <v>58</v>
      </c>
      <c r="F1882">
        <v>4</v>
      </c>
      <c r="G1882" t="s">
        <v>66</v>
      </c>
      <c r="H1882">
        <v>4</v>
      </c>
      <c r="I1882" t="s">
        <v>23</v>
      </c>
      <c r="J1882" t="s">
        <v>24</v>
      </c>
      <c r="K1882" t="s">
        <v>27</v>
      </c>
      <c r="L1882" t="s">
        <v>107</v>
      </c>
      <c r="M1882" t="s">
        <v>33</v>
      </c>
      <c r="N1882">
        <v>0</v>
      </c>
      <c r="S1882" s="3">
        <v>9600</v>
      </c>
      <c r="T1882" s="2">
        <v>12562.052734375</v>
      </c>
      <c r="U1882" s="2">
        <v>11085.53343081222</v>
      </c>
      <c r="V1882" s="2">
        <v>9506.2847632348421</v>
      </c>
      <c r="W1882" s="2">
        <v>12626.771484375</v>
      </c>
      <c r="X1882" s="4">
        <f t="shared" si="116"/>
        <v>0.7642063126936578</v>
      </c>
      <c r="Y1882" s="4">
        <f t="shared" si="117"/>
        <v>0.86599350946133247</v>
      </c>
      <c r="Z1882" s="4">
        <f t="shared" si="118"/>
        <v>1.0098582400064007</v>
      </c>
      <c r="AA1882" s="4">
        <f t="shared" si="119"/>
        <v>0.76028935915087414</v>
      </c>
    </row>
    <row r="1883" spans="1:27" x14ac:dyDescent="0.3">
      <c r="A1883" t="s">
        <v>556</v>
      </c>
      <c r="B1883">
        <v>122005</v>
      </c>
      <c r="C1883">
        <v>2019</v>
      </c>
      <c r="D1883" t="s">
        <v>40</v>
      </c>
      <c r="E1883" t="s">
        <v>607</v>
      </c>
      <c r="F1883">
        <v>8</v>
      </c>
      <c r="G1883" t="s">
        <v>30</v>
      </c>
      <c r="H1883">
        <v>4</v>
      </c>
      <c r="I1883" t="s">
        <v>23</v>
      </c>
      <c r="J1883" t="s">
        <v>152</v>
      </c>
      <c r="L1883" t="s">
        <v>43</v>
      </c>
      <c r="M1883">
        <v>4</v>
      </c>
      <c r="N1883">
        <v>0</v>
      </c>
      <c r="O1883" t="s">
        <v>27</v>
      </c>
      <c r="S1883" s="3">
        <v>15750</v>
      </c>
      <c r="T1883" s="2">
        <v>16918.611328125</v>
      </c>
      <c r="U1883" s="2">
        <v>25703.440050473251</v>
      </c>
      <c r="V1883" s="2">
        <v>15463.9907100087</v>
      </c>
      <c r="W1883" s="2">
        <v>20223.86328125</v>
      </c>
      <c r="X1883" s="4">
        <f t="shared" si="116"/>
        <v>0.93092746765910184</v>
      </c>
      <c r="Y1883" s="4">
        <f t="shared" si="117"/>
        <v>0.61275844669320878</v>
      </c>
      <c r="Z1883" s="4">
        <f t="shared" si="118"/>
        <v>1.0184951798895086</v>
      </c>
      <c r="AA1883" s="4">
        <f t="shared" si="119"/>
        <v>0.77878295461986136</v>
      </c>
    </row>
    <row r="1884" spans="1:27" x14ac:dyDescent="0.3">
      <c r="A1884" t="s">
        <v>556</v>
      </c>
      <c r="B1884">
        <v>239772</v>
      </c>
      <c r="C1884">
        <v>2008</v>
      </c>
      <c r="D1884" t="s">
        <v>34</v>
      </c>
      <c r="E1884" t="s">
        <v>61</v>
      </c>
      <c r="F1884">
        <v>6</v>
      </c>
      <c r="G1884" t="s">
        <v>22</v>
      </c>
      <c r="H1884">
        <v>4</v>
      </c>
      <c r="I1884" t="s">
        <v>23</v>
      </c>
      <c r="J1884" t="s">
        <v>62</v>
      </c>
      <c r="K1884" t="s">
        <v>27</v>
      </c>
      <c r="L1884" t="s">
        <v>38</v>
      </c>
      <c r="M1884" t="s">
        <v>23</v>
      </c>
      <c r="N1884">
        <v>0</v>
      </c>
      <c r="S1884" s="3">
        <v>2200</v>
      </c>
      <c r="T1884" s="2">
        <v>3401.436279296875</v>
      </c>
      <c r="U1884" s="2">
        <v>2292.340674629037</v>
      </c>
      <c r="V1884" s="2">
        <v>731.65121376955358</v>
      </c>
      <c r="W1884" s="2">
        <v>2548.03125</v>
      </c>
      <c r="X1884" s="4">
        <f t="shared" si="116"/>
        <v>0.64678559859859297</v>
      </c>
      <c r="Y1884" s="4">
        <f t="shared" si="117"/>
        <v>0.95971773495491453</v>
      </c>
      <c r="Z1884" s="4">
        <f t="shared" si="118"/>
        <v>3.0068972190524224</v>
      </c>
      <c r="AA1884" s="4">
        <f t="shared" si="119"/>
        <v>0.86341170266259493</v>
      </c>
    </row>
    <row r="1885" spans="1:27" x14ac:dyDescent="0.3">
      <c r="A1885" t="s">
        <v>556</v>
      </c>
      <c r="B1885">
        <v>164145</v>
      </c>
      <c r="C1885">
        <v>2016</v>
      </c>
      <c r="D1885" t="s">
        <v>125</v>
      </c>
      <c r="E1885" t="s">
        <v>230</v>
      </c>
      <c r="F1885">
        <v>4</v>
      </c>
      <c r="G1885" t="s">
        <v>59</v>
      </c>
      <c r="H1885">
        <v>4</v>
      </c>
      <c r="I1885" t="s">
        <v>23</v>
      </c>
      <c r="J1885" t="s">
        <v>31</v>
      </c>
      <c r="K1885" t="s">
        <v>27</v>
      </c>
      <c r="L1885" t="s">
        <v>60</v>
      </c>
      <c r="M1885" t="s">
        <v>33</v>
      </c>
      <c r="N1885">
        <v>0</v>
      </c>
      <c r="S1885" s="3">
        <v>2200</v>
      </c>
      <c r="T1885" s="2">
        <v>4020.337646484375</v>
      </c>
      <c r="U1885" s="2">
        <v>4032.9706473070451</v>
      </c>
      <c r="V1885" s="2">
        <v>2723.6614922148578</v>
      </c>
      <c r="W1885" s="2">
        <v>5179.83447265625</v>
      </c>
      <c r="X1885" s="4">
        <f t="shared" si="116"/>
        <v>0.54721771986584566</v>
      </c>
      <c r="Y1885" s="4">
        <f t="shared" si="117"/>
        <v>0.54550359831381778</v>
      </c>
      <c r="Z1885" s="4">
        <f t="shared" si="118"/>
        <v>0.80773620594495354</v>
      </c>
      <c r="AA1885" s="4">
        <f t="shared" si="119"/>
        <v>0.42472399680212691</v>
      </c>
    </row>
    <row r="1886" spans="1:27" x14ac:dyDescent="0.3">
      <c r="A1886" t="s">
        <v>587</v>
      </c>
      <c r="B1886">
        <v>30538</v>
      </c>
      <c r="C1886">
        <v>2023</v>
      </c>
      <c r="D1886" t="s">
        <v>44</v>
      </c>
      <c r="E1886" t="s">
        <v>182</v>
      </c>
      <c r="F1886">
        <v>4</v>
      </c>
      <c r="G1886" t="s">
        <v>47</v>
      </c>
      <c r="H1886">
        <v>2</v>
      </c>
      <c r="I1886" t="s">
        <v>23</v>
      </c>
      <c r="J1886" t="s">
        <v>209</v>
      </c>
      <c r="K1886" t="s">
        <v>27</v>
      </c>
      <c r="L1886" t="s">
        <v>69</v>
      </c>
      <c r="M1886" t="s">
        <v>78</v>
      </c>
      <c r="N1886">
        <v>4.3</v>
      </c>
      <c r="O1886" t="s">
        <v>27</v>
      </c>
      <c r="S1886" s="3">
        <v>27000</v>
      </c>
      <c r="T1886" s="2">
        <v>31704.001953125</v>
      </c>
      <c r="U1886" s="2">
        <v>30796.488285121461</v>
      </c>
      <c r="V1886" s="2">
        <v>26070.773763267331</v>
      </c>
      <c r="W1886" s="2">
        <v>31759.251953125</v>
      </c>
      <c r="X1886" s="4">
        <f t="shared" si="116"/>
        <v>0.85162750241815022</v>
      </c>
      <c r="Y1886" s="4">
        <f t="shared" si="117"/>
        <v>0.87672333773991895</v>
      </c>
      <c r="Z1886" s="4">
        <f t="shared" si="118"/>
        <v>1.0356424494788841</v>
      </c>
      <c r="AA1886" s="4">
        <f t="shared" si="119"/>
        <v>0.85014596816860144</v>
      </c>
    </row>
    <row r="1887" spans="1:27" x14ac:dyDescent="0.3">
      <c r="A1887" t="s">
        <v>587</v>
      </c>
      <c r="B1887">
        <v>106980</v>
      </c>
      <c r="C1887">
        <v>2012</v>
      </c>
      <c r="D1887" t="s">
        <v>282</v>
      </c>
      <c r="E1887" t="s">
        <v>283</v>
      </c>
      <c r="F1887">
        <v>6</v>
      </c>
      <c r="G1887" t="s">
        <v>66</v>
      </c>
      <c r="H1887">
        <v>4</v>
      </c>
      <c r="I1887" t="s">
        <v>23</v>
      </c>
      <c r="J1887" t="s">
        <v>37</v>
      </c>
      <c r="K1887" t="s">
        <v>27</v>
      </c>
      <c r="L1887" t="s">
        <v>128</v>
      </c>
      <c r="M1887" t="s">
        <v>23</v>
      </c>
      <c r="N1887">
        <v>2.8</v>
      </c>
      <c r="O1887" t="s">
        <v>27</v>
      </c>
      <c r="S1887" s="3">
        <v>6000</v>
      </c>
      <c r="T1887" s="2">
        <v>5758.1494140625</v>
      </c>
      <c r="U1887" s="2">
        <v>8582.305512323408</v>
      </c>
      <c r="V1887" s="2">
        <v>8463.868217188061</v>
      </c>
      <c r="W1887" s="2">
        <v>6632.67236328125</v>
      </c>
      <c r="X1887" s="4">
        <f t="shared" si="116"/>
        <v>1.0420014432669731</v>
      </c>
      <c r="Y1887" s="4">
        <f t="shared" si="117"/>
        <v>0.69911284227583681</v>
      </c>
      <c r="Z1887" s="4">
        <f t="shared" si="118"/>
        <v>0.70889572545747548</v>
      </c>
      <c r="AA1887" s="4">
        <f t="shared" si="119"/>
        <v>0.90461275205093039</v>
      </c>
    </row>
    <row r="1888" spans="1:27" x14ac:dyDescent="0.3">
      <c r="A1888" t="s">
        <v>587</v>
      </c>
      <c r="B1888">
        <v>54527</v>
      </c>
      <c r="C1888">
        <v>2015</v>
      </c>
      <c r="D1888" t="s">
        <v>50</v>
      </c>
      <c r="E1888" t="s">
        <v>608</v>
      </c>
      <c r="F1888">
        <v>4</v>
      </c>
      <c r="G1888" t="s">
        <v>30</v>
      </c>
      <c r="H1888">
        <v>4</v>
      </c>
      <c r="I1888" t="s">
        <v>23</v>
      </c>
      <c r="J1888" t="s">
        <v>31</v>
      </c>
      <c r="K1888" t="s">
        <v>27</v>
      </c>
      <c r="L1888" t="s">
        <v>127</v>
      </c>
      <c r="M1888" t="s">
        <v>23</v>
      </c>
      <c r="N1888">
        <v>4.3</v>
      </c>
      <c r="O1888" t="s">
        <v>27</v>
      </c>
      <c r="S1888" s="3">
        <v>10500</v>
      </c>
      <c r="T1888" s="2">
        <v>13287.0849609375</v>
      </c>
      <c r="U1888" s="2">
        <v>13807.255739877541</v>
      </c>
      <c r="V1888" s="2">
        <v>11331.990247457399</v>
      </c>
      <c r="W1888" s="2">
        <v>14101.240234375</v>
      </c>
      <c r="X1888" s="4">
        <f t="shared" si="116"/>
        <v>0.79024105218479379</v>
      </c>
      <c r="Y1888" s="4">
        <f t="shared" si="117"/>
        <v>0.76046972677375257</v>
      </c>
      <c r="Z1888" s="4">
        <f t="shared" si="118"/>
        <v>0.92658039503307232</v>
      </c>
      <c r="AA1888" s="4">
        <f t="shared" si="119"/>
        <v>0.74461535478303864</v>
      </c>
    </row>
    <row r="1889" spans="1:27" x14ac:dyDescent="0.3">
      <c r="A1889" t="s">
        <v>587</v>
      </c>
      <c r="B1889">
        <v>54805</v>
      </c>
      <c r="C1889">
        <v>2023</v>
      </c>
      <c r="D1889" t="s">
        <v>20</v>
      </c>
      <c r="E1889" t="s">
        <v>609</v>
      </c>
      <c r="F1889">
        <v>6</v>
      </c>
      <c r="G1889" t="s">
        <v>30</v>
      </c>
      <c r="H1889">
        <v>4</v>
      </c>
      <c r="I1889" t="s">
        <v>23</v>
      </c>
      <c r="J1889" t="s">
        <v>110</v>
      </c>
      <c r="K1889" t="s">
        <v>25</v>
      </c>
      <c r="L1889" t="s">
        <v>218</v>
      </c>
      <c r="M1889">
        <v>4</v>
      </c>
      <c r="S1889" s="3">
        <v>49800</v>
      </c>
      <c r="T1889" s="2">
        <v>46137.60546875</v>
      </c>
      <c r="U1889" s="2">
        <v>44117.145204977278</v>
      </c>
      <c r="V1889" s="2">
        <v>50907.746776166401</v>
      </c>
      <c r="W1889" s="2">
        <v>48631.30859375</v>
      </c>
      <c r="X1889" s="4">
        <f t="shared" si="116"/>
        <v>1.079379813799193</v>
      </c>
      <c r="Y1889" s="4">
        <f t="shared" si="117"/>
        <v>1.1288128406454909</v>
      </c>
      <c r="Z1889" s="4">
        <f t="shared" si="118"/>
        <v>0.97824011380749187</v>
      </c>
      <c r="AA1889" s="4">
        <f t="shared" si="119"/>
        <v>1.0240316668427096</v>
      </c>
    </row>
    <row r="1890" spans="1:27" x14ac:dyDescent="0.3">
      <c r="A1890" t="s">
        <v>589</v>
      </c>
      <c r="B1890">
        <v>51428</v>
      </c>
      <c r="C1890">
        <v>2023</v>
      </c>
      <c r="D1890" t="s">
        <v>100</v>
      </c>
      <c r="E1890" t="s">
        <v>549</v>
      </c>
      <c r="F1890">
        <v>8</v>
      </c>
      <c r="G1890" t="s">
        <v>36</v>
      </c>
      <c r="H1890">
        <v>4</v>
      </c>
      <c r="I1890" t="s">
        <v>23</v>
      </c>
      <c r="J1890" t="s">
        <v>24</v>
      </c>
      <c r="K1890" t="s">
        <v>27</v>
      </c>
      <c r="L1890" t="s">
        <v>115</v>
      </c>
      <c r="M1890">
        <v>4</v>
      </c>
      <c r="N1890">
        <v>0</v>
      </c>
      <c r="S1890" s="3">
        <v>31300</v>
      </c>
      <c r="T1890" s="2">
        <v>47209.72265625</v>
      </c>
      <c r="U1890" s="2">
        <v>51257.729778704292</v>
      </c>
      <c r="V1890" s="2">
        <v>58104.623078354423</v>
      </c>
      <c r="W1890" s="2">
        <v>51034.50390625</v>
      </c>
      <c r="X1890" s="4">
        <f t="shared" si="116"/>
        <v>0.66299902305942182</v>
      </c>
      <c r="Y1890" s="4">
        <f t="shared" si="117"/>
        <v>0.61063960762858449</v>
      </c>
      <c r="Z1890" s="4">
        <f t="shared" si="118"/>
        <v>0.53868347029446806</v>
      </c>
      <c r="AA1890" s="4">
        <f t="shared" si="119"/>
        <v>0.61331055666765888</v>
      </c>
    </row>
    <row r="1891" spans="1:27" x14ac:dyDescent="0.3">
      <c r="A1891" t="s">
        <v>135</v>
      </c>
      <c r="B1891">
        <v>88102</v>
      </c>
      <c r="C1891">
        <v>2021</v>
      </c>
      <c r="D1891" t="s">
        <v>44</v>
      </c>
      <c r="E1891" t="s">
        <v>590</v>
      </c>
      <c r="F1891">
        <v>6</v>
      </c>
      <c r="G1891" t="s">
        <v>36</v>
      </c>
      <c r="H1891">
        <v>4</v>
      </c>
      <c r="I1891" t="s">
        <v>23</v>
      </c>
      <c r="J1891" t="s">
        <v>62</v>
      </c>
      <c r="L1891" t="s">
        <v>235</v>
      </c>
      <c r="M1891" t="s">
        <v>23</v>
      </c>
      <c r="N1891">
        <v>3.9</v>
      </c>
      <c r="O1891" t="s">
        <v>27</v>
      </c>
      <c r="S1891" s="3">
        <v>7500</v>
      </c>
      <c r="T1891" s="2">
        <v>13406.3486328125</v>
      </c>
      <c r="U1891" s="2">
        <v>16466.150796533318</v>
      </c>
      <c r="V1891" s="2">
        <v>14777.51847678288</v>
      </c>
      <c r="W1891" s="2">
        <v>16431.71484375</v>
      </c>
      <c r="X1891" s="4">
        <f t="shared" si="116"/>
        <v>0.55943644354015165</v>
      </c>
      <c r="Y1891" s="4">
        <f t="shared" si="117"/>
        <v>0.45547985638386135</v>
      </c>
      <c r="Z1891" s="4">
        <f t="shared" si="118"/>
        <v>0.5075277024206285</v>
      </c>
      <c r="AA1891" s="4">
        <f t="shared" si="119"/>
        <v>0.4564344057402332</v>
      </c>
    </row>
    <row r="1892" spans="1:27" x14ac:dyDescent="0.3">
      <c r="A1892" t="s">
        <v>135</v>
      </c>
      <c r="B1892">
        <v>207795</v>
      </c>
      <c r="C1892">
        <v>2013</v>
      </c>
      <c r="D1892" t="s">
        <v>44</v>
      </c>
      <c r="E1892" t="s">
        <v>610</v>
      </c>
      <c r="F1892">
        <v>8</v>
      </c>
      <c r="G1892" t="s">
        <v>36</v>
      </c>
      <c r="H1892">
        <v>4</v>
      </c>
      <c r="I1892" t="s">
        <v>23</v>
      </c>
      <c r="J1892" t="s">
        <v>62</v>
      </c>
      <c r="K1892" t="s">
        <v>27</v>
      </c>
      <c r="L1892" t="s">
        <v>604</v>
      </c>
      <c r="M1892" t="s">
        <v>78</v>
      </c>
      <c r="N1892">
        <v>2.5</v>
      </c>
      <c r="O1892" t="s">
        <v>39</v>
      </c>
      <c r="S1892" s="3">
        <v>600</v>
      </c>
      <c r="T1892" s="2">
        <v>1844.373168945312</v>
      </c>
      <c r="U1892" s="2">
        <v>6721.4377609545008</v>
      </c>
      <c r="V1892" s="2">
        <v>-754.91630225978224</v>
      </c>
      <c r="W1892" s="2">
        <v>3143.8173828125</v>
      </c>
      <c r="X1892" s="4">
        <f t="shared" si="116"/>
        <v>0.32531377603107536</v>
      </c>
      <c r="Y1892" s="4">
        <f t="shared" si="117"/>
        <v>8.9266615468115998E-2</v>
      </c>
      <c r="Z1892" s="4">
        <f t="shared" si="118"/>
        <v>-0.79479009554297275</v>
      </c>
      <c r="AA1892" s="4">
        <f t="shared" si="119"/>
        <v>0.19085078009945736</v>
      </c>
    </row>
    <row r="1893" spans="1:27" x14ac:dyDescent="0.3">
      <c r="A1893" t="s">
        <v>135</v>
      </c>
      <c r="B1893">
        <v>121231</v>
      </c>
      <c r="C1893">
        <v>2022</v>
      </c>
      <c r="D1893" t="s">
        <v>40</v>
      </c>
      <c r="E1893" t="s">
        <v>150</v>
      </c>
      <c r="F1893">
        <v>6</v>
      </c>
      <c r="G1893" t="s">
        <v>36</v>
      </c>
      <c r="H1893">
        <v>4</v>
      </c>
      <c r="I1893" t="s">
        <v>23</v>
      </c>
      <c r="J1893" t="s">
        <v>24</v>
      </c>
      <c r="K1893" t="s">
        <v>27</v>
      </c>
      <c r="L1893" t="s">
        <v>26</v>
      </c>
      <c r="M1893" t="s">
        <v>33</v>
      </c>
      <c r="N1893">
        <v>3.6</v>
      </c>
      <c r="O1893" t="s">
        <v>27</v>
      </c>
      <c r="S1893" s="3">
        <v>13000</v>
      </c>
      <c r="T1893" s="2">
        <v>22566.310546875</v>
      </c>
      <c r="U1893" s="2">
        <v>19479.066194027331</v>
      </c>
      <c r="V1893" s="2">
        <v>15697.392746015579</v>
      </c>
      <c r="W1893" s="2">
        <v>23611.451171875</v>
      </c>
      <c r="X1893" s="4">
        <f t="shared" si="116"/>
        <v>0.57607999203043181</v>
      </c>
      <c r="Y1893" s="4">
        <f t="shared" si="117"/>
        <v>0.66738312147561052</v>
      </c>
      <c r="Z1893" s="4">
        <f t="shared" si="118"/>
        <v>0.82816300836326784</v>
      </c>
      <c r="AA1893" s="4">
        <f t="shared" si="119"/>
        <v>0.55058030552078352</v>
      </c>
    </row>
    <row r="1894" spans="1:27" x14ac:dyDescent="0.3">
      <c r="A1894" t="s">
        <v>135</v>
      </c>
      <c r="B1894">
        <v>201845</v>
      </c>
      <c r="C1894">
        <v>2016</v>
      </c>
      <c r="D1894" t="s">
        <v>44</v>
      </c>
      <c r="E1894" t="s">
        <v>611</v>
      </c>
      <c r="F1894">
        <v>8</v>
      </c>
      <c r="G1894" t="s">
        <v>47</v>
      </c>
      <c r="H1894">
        <v>2</v>
      </c>
      <c r="I1894" t="s">
        <v>23</v>
      </c>
      <c r="J1894" t="s">
        <v>612</v>
      </c>
      <c r="L1894" t="s">
        <v>604</v>
      </c>
      <c r="M1894" t="s">
        <v>78</v>
      </c>
      <c r="N1894">
        <v>3.7</v>
      </c>
      <c r="O1894" t="s">
        <v>27</v>
      </c>
      <c r="S1894" s="3">
        <v>3000</v>
      </c>
      <c r="T1894" s="2">
        <v>9531.9599609375</v>
      </c>
      <c r="U1894" s="2">
        <v>17733.702127128621</v>
      </c>
      <c r="V1894" s="2">
        <v>8966.6756064076944</v>
      </c>
      <c r="W1894" s="2">
        <v>11343.2607421875</v>
      </c>
      <c r="X1894" s="4">
        <f t="shared" si="116"/>
        <v>0.31473065479651258</v>
      </c>
      <c r="Y1894" s="4">
        <f t="shared" si="117"/>
        <v>0.16916941417498307</v>
      </c>
      <c r="Z1894" s="4">
        <f t="shared" si="118"/>
        <v>0.3345721571388357</v>
      </c>
      <c r="AA1894" s="4">
        <f t="shared" si="119"/>
        <v>0.26447421673403787</v>
      </c>
    </row>
    <row r="1895" spans="1:27" x14ac:dyDescent="0.3">
      <c r="A1895" t="s">
        <v>135</v>
      </c>
      <c r="B1895">
        <v>30688</v>
      </c>
      <c r="C1895">
        <v>2019</v>
      </c>
      <c r="D1895" t="s">
        <v>44</v>
      </c>
      <c r="E1895" t="s">
        <v>117</v>
      </c>
      <c r="F1895">
        <v>4</v>
      </c>
      <c r="G1895" t="s">
        <v>47</v>
      </c>
      <c r="H1895">
        <v>4</v>
      </c>
      <c r="I1895" t="s">
        <v>23</v>
      </c>
      <c r="J1895" t="s">
        <v>62</v>
      </c>
      <c r="L1895" t="s">
        <v>128</v>
      </c>
      <c r="M1895" t="s">
        <v>33</v>
      </c>
      <c r="N1895">
        <v>1.6</v>
      </c>
      <c r="O1895" t="s">
        <v>27</v>
      </c>
      <c r="S1895" s="3">
        <v>4200</v>
      </c>
      <c r="T1895" s="2">
        <v>11899.4755859375</v>
      </c>
      <c r="U1895" s="2">
        <v>15919.720284850649</v>
      </c>
      <c r="V1895" s="2">
        <v>12648.69036931809</v>
      </c>
      <c r="W1895" s="2">
        <v>12445.48046875</v>
      </c>
      <c r="X1895" s="4">
        <f t="shared" si="116"/>
        <v>0.35295673071202011</v>
      </c>
      <c r="Y1895" s="4">
        <f t="shared" si="117"/>
        <v>0.26382373087275651</v>
      </c>
      <c r="Z1895" s="4">
        <f t="shared" si="118"/>
        <v>0.33205018680731829</v>
      </c>
      <c r="AA1895" s="4">
        <f t="shared" si="119"/>
        <v>0.33747190480480016</v>
      </c>
    </row>
    <row r="1896" spans="1:27" x14ac:dyDescent="0.3">
      <c r="A1896" t="s">
        <v>135</v>
      </c>
      <c r="B1896">
        <v>133525</v>
      </c>
      <c r="C1896">
        <v>2016</v>
      </c>
      <c r="D1896" t="s">
        <v>44</v>
      </c>
      <c r="E1896" t="s">
        <v>267</v>
      </c>
      <c r="F1896">
        <v>8</v>
      </c>
      <c r="G1896" t="s">
        <v>47</v>
      </c>
      <c r="H1896">
        <v>4</v>
      </c>
      <c r="I1896" t="s">
        <v>23</v>
      </c>
      <c r="J1896" t="s">
        <v>46</v>
      </c>
      <c r="K1896" t="s">
        <v>27</v>
      </c>
      <c r="L1896" t="s">
        <v>313</v>
      </c>
      <c r="M1896">
        <v>4</v>
      </c>
      <c r="N1896">
        <v>2.2999999999999901</v>
      </c>
      <c r="O1896" t="s">
        <v>27</v>
      </c>
      <c r="S1896" s="3">
        <v>3000</v>
      </c>
      <c r="T1896" s="2">
        <v>11287.1630859375</v>
      </c>
      <c r="U1896" s="2">
        <v>19814.025159709901</v>
      </c>
      <c r="V1896" s="2">
        <v>15679.60978421658</v>
      </c>
      <c r="W1896" s="2">
        <v>13349.7802734375</v>
      </c>
      <c r="X1896" s="4">
        <f t="shared" si="116"/>
        <v>0.26578866426920444</v>
      </c>
      <c r="Y1896" s="4">
        <f t="shared" si="117"/>
        <v>0.15140790302922597</v>
      </c>
      <c r="Z1896" s="4">
        <f t="shared" si="118"/>
        <v>0.19133129212308983</v>
      </c>
      <c r="AA1896" s="4">
        <f t="shared" si="119"/>
        <v>0.22472279981785165</v>
      </c>
    </row>
    <row r="1897" spans="1:27" x14ac:dyDescent="0.3">
      <c r="A1897" t="s">
        <v>135</v>
      </c>
      <c r="B1897">
        <v>87674</v>
      </c>
      <c r="C1897">
        <v>2009</v>
      </c>
      <c r="D1897" t="s">
        <v>454</v>
      </c>
      <c r="E1897" t="s">
        <v>613</v>
      </c>
      <c r="F1897">
        <v>4</v>
      </c>
      <c r="G1897" t="s">
        <v>272</v>
      </c>
      <c r="H1897">
        <v>2</v>
      </c>
      <c r="I1897" t="s">
        <v>23</v>
      </c>
      <c r="J1897" t="s">
        <v>209</v>
      </c>
      <c r="K1897" t="s">
        <v>27</v>
      </c>
      <c r="L1897" t="s">
        <v>60</v>
      </c>
      <c r="M1897" t="s">
        <v>78</v>
      </c>
      <c r="N1897">
        <v>0</v>
      </c>
      <c r="O1897" t="s">
        <v>27</v>
      </c>
      <c r="S1897" s="3">
        <v>2000</v>
      </c>
      <c r="T1897" s="2">
        <v>6089.66162109375</v>
      </c>
      <c r="U1897" s="2">
        <v>4795.527589944918</v>
      </c>
      <c r="V1897" s="2">
        <v>5048.8630295611256</v>
      </c>
      <c r="W1897" s="2">
        <v>5317.84912109375</v>
      </c>
      <c r="X1897" s="4">
        <f t="shared" si="116"/>
        <v>0.32842547327626137</v>
      </c>
      <c r="Y1897" s="4">
        <f t="shared" si="117"/>
        <v>0.41705525877768379</v>
      </c>
      <c r="Z1897" s="4">
        <f t="shared" si="118"/>
        <v>0.39612878945021623</v>
      </c>
      <c r="AA1897" s="4">
        <f t="shared" si="119"/>
        <v>0.37609190378621526</v>
      </c>
    </row>
    <row r="1898" spans="1:27" x14ac:dyDescent="0.3">
      <c r="A1898" t="s">
        <v>135</v>
      </c>
      <c r="B1898">
        <v>153799</v>
      </c>
      <c r="C1898">
        <v>2017</v>
      </c>
      <c r="D1898" t="s">
        <v>28</v>
      </c>
      <c r="E1898" t="s">
        <v>58</v>
      </c>
      <c r="F1898">
        <v>4</v>
      </c>
      <c r="G1898" t="s">
        <v>47</v>
      </c>
      <c r="H1898">
        <v>4</v>
      </c>
      <c r="I1898" t="s">
        <v>23</v>
      </c>
      <c r="J1898" t="s">
        <v>24</v>
      </c>
      <c r="L1898" t="s">
        <v>60</v>
      </c>
      <c r="M1898" t="s">
        <v>23</v>
      </c>
      <c r="N1898">
        <v>2.6</v>
      </c>
      <c r="O1898" t="s">
        <v>27</v>
      </c>
      <c r="S1898" s="3">
        <v>7300</v>
      </c>
      <c r="T1898" s="2">
        <v>11402.880859375</v>
      </c>
      <c r="U1898" s="2">
        <v>12347.0414296947</v>
      </c>
      <c r="V1898" s="2">
        <v>9246.1436110832492</v>
      </c>
      <c r="W1898" s="2">
        <v>10861.0791015625</v>
      </c>
      <c r="X1898" s="4">
        <f t="shared" si="116"/>
        <v>0.64018909695072601</v>
      </c>
      <c r="Y1898" s="4">
        <f t="shared" si="117"/>
        <v>0.59123475381263901</v>
      </c>
      <c r="Z1898" s="4">
        <f t="shared" si="118"/>
        <v>0.78951834484266192</v>
      </c>
      <c r="AA1898" s="4">
        <f t="shared" si="119"/>
        <v>0.67212474301469782</v>
      </c>
    </row>
    <row r="1899" spans="1:27" x14ac:dyDescent="0.3">
      <c r="A1899" t="s">
        <v>556</v>
      </c>
      <c r="B1899">
        <v>193505</v>
      </c>
      <c r="C1899">
        <v>2018</v>
      </c>
      <c r="D1899" t="s">
        <v>44</v>
      </c>
      <c r="E1899" t="s">
        <v>68</v>
      </c>
      <c r="F1899">
        <v>6</v>
      </c>
      <c r="G1899" t="s">
        <v>36</v>
      </c>
      <c r="H1899">
        <v>4</v>
      </c>
      <c r="I1899" t="s">
        <v>23</v>
      </c>
      <c r="J1899" t="s">
        <v>62</v>
      </c>
      <c r="K1899" t="s">
        <v>27</v>
      </c>
      <c r="L1899" t="s">
        <v>38</v>
      </c>
      <c r="M1899" t="s">
        <v>33</v>
      </c>
      <c r="N1899">
        <v>0</v>
      </c>
      <c r="S1899" s="3">
        <v>5000</v>
      </c>
      <c r="T1899" s="2">
        <v>6028.72607421875</v>
      </c>
      <c r="U1899" s="2">
        <v>6077.1462960592289</v>
      </c>
      <c r="V1899" s="2">
        <v>4944.249818024774</v>
      </c>
      <c r="W1899" s="2">
        <v>6203.3134765625</v>
      </c>
      <c r="X1899" s="4">
        <f t="shared" si="116"/>
        <v>0.8293626113453727</v>
      </c>
      <c r="Y1899" s="4">
        <f t="shared" si="117"/>
        <v>0.82275458848872662</v>
      </c>
      <c r="Z1899" s="4">
        <f t="shared" si="118"/>
        <v>1.0112757615466725</v>
      </c>
      <c r="AA1899" s="4">
        <f t="shared" si="119"/>
        <v>0.80602084980730282</v>
      </c>
    </row>
    <row r="1900" spans="1:27" x14ac:dyDescent="0.3">
      <c r="A1900" t="s">
        <v>556</v>
      </c>
      <c r="B1900">
        <v>95314</v>
      </c>
      <c r="C1900">
        <v>2018</v>
      </c>
      <c r="D1900" t="s">
        <v>222</v>
      </c>
      <c r="E1900" t="s">
        <v>614</v>
      </c>
      <c r="F1900">
        <v>6</v>
      </c>
      <c r="G1900" t="s">
        <v>22</v>
      </c>
      <c r="H1900">
        <v>4</v>
      </c>
      <c r="I1900" t="s">
        <v>23</v>
      </c>
      <c r="J1900" t="s">
        <v>24</v>
      </c>
      <c r="K1900" t="s">
        <v>27</v>
      </c>
      <c r="L1900" t="s">
        <v>218</v>
      </c>
      <c r="M1900" t="s">
        <v>23</v>
      </c>
      <c r="N1900">
        <v>0</v>
      </c>
      <c r="S1900" s="3">
        <v>21000</v>
      </c>
      <c r="T1900" s="2">
        <v>19948.697265625</v>
      </c>
      <c r="U1900" s="2">
        <v>18087.363659842689</v>
      </c>
      <c r="V1900" s="2">
        <v>12247.491760006351</v>
      </c>
      <c r="W1900" s="2">
        <v>16957.845703125</v>
      </c>
      <c r="X1900" s="4">
        <f t="shared" si="116"/>
        <v>1.0527003202453011</v>
      </c>
      <c r="Y1900" s="4">
        <f t="shared" si="117"/>
        <v>1.1610315574416135</v>
      </c>
      <c r="Z1900" s="4">
        <f t="shared" si="118"/>
        <v>1.7146367935167413</v>
      </c>
      <c r="AA1900" s="4">
        <f t="shared" si="119"/>
        <v>1.238364847023588</v>
      </c>
    </row>
    <row r="1901" spans="1:27" x14ac:dyDescent="0.3">
      <c r="A1901" t="s">
        <v>587</v>
      </c>
      <c r="B1901">
        <v>93923</v>
      </c>
      <c r="C1901">
        <v>2016</v>
      </c>
      <c r="D1901" t="s">
        <v>44</v>
      </c>
      <c r="E1901" t="s">
        <v>267</v>
      </c>
      <c r="F1901">
        <v>8</v>
      </c>
      <c r="G1901" t="s">
        <v>36</v>
      </c>
      <c r="H1901">
        <v>4</v>
      </c>
      <c r="I1901" t="s">
        <v>23</v>
      </c>
      <c r="J1901" t="s">
        <v>46</v>
      </c>
      <c r="K1901" t="s">
        <v>27</v>
      </c>
      <c r="L1901" t="s">
        <v>140</v>
      </c>
      <c r="M1901">
        <v>4</v>
      </c>
      <c r="N1901">
        <v>4.2</v>
      </c>
      <c r="O1901" t="s">
        <v>27</v>
      </c>
      <c r="S1901" s="3">
        <v>33500</v>
      </c>
      <c r="T1901" s="2">
        <v>26702.029296875</v>
      </c>
      <c r="U1901" s="2">
        <v>33930.172398023184</v>
      </c>
      <c r="V1901" s="2">
        <v>33232.089421751079</v>
      </c>
      <c r="W1901" s="2">
        <v>29238.28515625</v>
      </c>
      <c r="X1901" s="4">
        <f t="shared" si="116"/>
        <v>1.2545862948296811</v>
      </c>
      <c r="Y1901" s="4">
        <f t="shared" si="117"/>
        <v>0.98732183282251029</v>
      </c>
      <c r="Z1901" s="4">
        <f t="shared" si="118"/>
        <v>1.0080618036034041</v>
      </c>
      <c r="AA1901" s="4">
        <f t="shared" si="119"/>
        <v>1.145758029958847</v>
      </c>
    </row>
    <row r="1902" spans="1:27" x14ac:dyDescent="0.3">
      <c r="A1902" t="s">
        <v>135</v>
      </c>
      <c r="B1902">
        <v>86445</v>
      </c>
      <c r="C1902">
        <v>2021</v>
      </c>
      <c r="D1902" t="s">
        <v>44</v>
      </c>
      <c r="E1902" t="s">
        <v>590</v>
      </c>
      <c r="F1902">
        <v>6</v>
      </c>
      <c r="G1902" t="s">
        <v>36</v>
      </c>
      <c r="H1902">
        <v>4</v>
      </c>
      <c r="I1902" t="s">
        <v>23</v>
      </c>
      <c r="J1902" t="s">
        <v>62</v>
      </c>
      <c r="L1902" t="s">
        <v>235</v>
      </c>
      <c r="M1902" t="s">
        <v>23</v>
      </c>
      <c r="N1902">
        <v>2.8</v>
      </c>
      <c r="O1902" t="s">
        <v>27</v>
      </c>
      <c r="S1902" s="3">
        <v>8250</v>
      </c>
      <c r="T1902" s="2">
        <v>15163.8017578125</v>
      </c>
      <c r="U1902" s="2">
        <v>17278.463769180518</v>
      </c>
      <c r="V1902" s="2">
        <v>13731.39808109552</v>
      </c>
      <c r="W1902" s="2">
        <v>14061.169921875</v>
      </c>
      <c r="X1902" s="4">
        <f t="shared" si="116"/>
        <v>0.54405881399429012</v>
      </c>
      <c r="Y1902" s="4">
        <f t="shared" si="117"/>
        <v>0.47747300397825126</v>
      </c>
      <c r="Z1902" s="4">
        <f t="shared" si="118"/>
        <v>0.60081281973450718</v>
      </c>
      <c r="AA1902" s="4">
        <f t="shared" si="119"/>
        <v>0.58672216080437611</v>
      </c>
    </row>
    <row r="1903" spans="1:27" x14ac:dyDescent="0.3">
      <c r="A1903" t="s">
        <v>135</v>
      </c>
      <c r="B1903">
        <v>86501</v>
      </c>
      <c r="C1903">
        <v>2021</v>
      </c>
      <c r="D1903" t="s">
        <v>44</v>
      </c>
      <c r="E1903" t="s">
        <v>590</v>
      </c>
      <c r="F1903">
        <v>6</v>
      </c>
      <c r="G1903" t="s">
        <v>36</v>
      </c>
      <c r="H1903">
        <v>4</v>
      </c>
      <c r="I1903" t="s">
        <v>23</v>
      </c>
      <c r="J1903" t="s">
        <v>62</v>
      </c>
      <c r="L1903" t="s">
        <v>235</v>
      </c>
      <c r="M1903" t="s">
        <v>23</v>
      </c>
      <c r="N1903">
        <v>1.9</v>
      </c>
      <c r="O1903" t="s">
        <v>27</v>
      </c>
      <c r="S1903" s="3">
        <v>8000</v>
      </c>
      <c r="T1903" s="2">
        <v>12698.9599609375</v>
      </c>
      <c r="U1903" s="2">
        <v>12068.44348652695</v>
      </c>
      <c r="V1903" s="2">
        <v>10358.467364168549</v>
      </c>
      <c r="W1903" s="2">
        <v>13494.447265625</v>
      </c>
      <c r="X1903" s="4">
        <f t="shared" si="116"/>
        <v>0.62997285010806514</v>
      </c>
      <c r="Y1903" s="4">
        <f t="shared" si="117"/>
        <v>0.66288581530261903</v>
      </c>
      <c r="Z1903" s="4">
        <f t="shared" si="118"/>
        <v>0.77231502680340214</v>
      </c>
      <c r="AA1903" s="4">
        <f t="shared" si="119"/>
        <v>0.59283643431463495</v>
      </c>
    </row>
    <row r="1904" spans="1:27" x14ac:dyDescent="0.3">
      <c r="A1904" t="s">
        <v>135</v>
      </c>
      <c r="B1904">
        <v>100131</v>
      </c>
      <c r="C1904">
        <v>2019</v>
      </c>
      <c r="D1904" t="s">
        <v>34</v>
      </c>
      <c r="E1904" t="s">
        <v>317</v>
      </c>
      <c r="F1904">
        <v>4</v>
      </c>
      <c r="G1904" t="s">
        <v>47</v>
      </c>
      <c r="H1904">
        <v>4</v>
      </c>
      <c r="I1904" t="s">
        <v>23</v>
      </c>
      <c r="J1904" t="s">
        <v>156</v>
      </c>
      <c r="L1904" t="s">
        <v>242</v>
      </c>
      <c r="M1904" t="s">
        <v>78</v>
      </c>
      <c r="N1904">
        <v>3</v>
      </c>
      <c r="O1904" t="s">
        <v>27</v>
      </c>
      <c r="S1904" s="3">
        <v>12500</v>
      </c>
      <c r="T1904" s="2">
        <v>13475.0302734375</v>
      </c>
      <c r="U1904" s="2">
        <v>13584.84616537888</v>
      </c>
      <c r="V1904" s="2">
        <v>12021.4551001935</v>
      </c>
      <c r="W1904" s="2">
        <v>13360.8037109375</v>
      </c>
      <c r="X1904" s="4">
        <f t="shared" si="116"/>
        <v>0.9276417007122042</v>
      </c>
      <c r="Y1904" s="4">
        <f t="shared" si="117"/>
        <v>0.92014291864830822</v>
      </c>
      <c r="Z1904" s="4">
        <f t="shared" si="118"/>
        <v>1.0398075687026271</v>
      </c>
      <c r="AA1904" s="4">
        <f t="shared" si="119"/>
        <v>0.93557246034287411</v>
      </c>
    </row>
    <row r="1905" spans="1:27" x14ac:dyDescent="0.3">
      <c r="A1905" t="s">
        <v>135</v>
      </c>
      <c r="B1905">
        <v>232882</v>
      </c>
      <c r="C1905">
        <v>2017</v>
      </c>
      <c r="D1905" t="s">
        <v>20</v>
      </c>
      <c r="E1905" t="s">
        <v>390</v>
      </c>
      <c r="F1905">
        <v>8</v>
      </c>
      <c r="G1905" t="s">
        <v>30</v>
      </c>
      <c r="H1905">
        <v>4</v>
      </c>
      <c r="I1905" t="s">
        <v>23</v>
      </c>
      <c r="J1905" t="s">
        <v>24</v>
      </c>
      <c r="K1905" t="s">
        <v>27</v>
      </c>
      <c r="L1905" t="s">
        <v>43</v>
      </c>
      <c r="M1905">
        <v>4</v>
      </c>
      <c r="N1905">
        <v>1.6</v>
      </c>
      <c r="O1905" t="s">
        <v>27</v>
      </c>
      <c r="S1905" s="3">
        <v>4600</v>
      </c>
      <c r="T1905" s="2">
        <v>7422.75244140625</v>
      </c>
      <c r="U1905" s="2">
        <v>8351.6026854178326</v>
      </c>
      <c r="V1905" s="2">
        <v>7780.3352998207783</v>
      </c>
      <c r="W1905" s="2">
        <v>9133.0205078125</v>
      </c>
      <c r="X1905" s="4">
        <f t="shared" si="116"/>
        <v>0.61971620855087062</v>
      </c>
      <c r="Y1905" s="4">
        <f t="shared" si="117"/>
        <v>0.55079248537909353</v>
      </c>
      <c r="Z1905" s="4">
        <f t="shared" si="118"/>
        <v>0.59123415929207601</v>
      </c>
      <c r="AA1905" s="4">
        <f t="shared" si="119"/>
        <v>0.50366688611561772</v>
      </c>
    </row>
    <row r="1906" spans="1:27" x14ac:dyDescent="0.3">
      <c r="A1906" t="s">
        <v>135</v>
      </c>
      <c r="B1906">
        <v>158539</v>
      </c>
      <c r="C1906">
        <v>2008</v>
      </c>
      <c r="D1906" t="s">
        <v>100</v>
      </c>
      <c r="E1906" t="s">
        <v>192</v>
      </c>
      <c r="F1906">
        <v>4</v>
      </c>
      <c r="G1906" t="s">
        <v>171</v>
      </c>
      <c r="H1906">
        <v>4</v>
      </c>
      <c r="I1906" t="s">
        <v>23</v>
      </c>
      <c r="J1906" t="s">
        <v>31</v>
      </c>
      <c r="K1906" t="s">
        <v>27</v>
      </c>
      <c r="L1906" t="s">
        <v>127</v>
      </c>
      <c r="M1906" t="s">
        <v>33</v>
      </c>
      <c r="N1906">
        <v>1.3</v>
      </c>
      <c r="O1906" t="s">
        <v>27</v>
      </c>
      <c r="S1906" s="3">
        <v>800</v>
      </c>
      <c r="T1906" s="2">
        <v>750.61590576171875</v>
      </c>
      <c r="U1906" s="2">
        <v>1314.289143428548</v>
      </c>
      <c r="V1906" s="2">
        <v>1962.102640501254</v>
      </c>
      <c r="W1906" s="2">
        <v>1276.619018554688</v>
      </c>
      <c r="X1906" s="4">
        <f t="shared" si="116"/>
        <v>1.0657914305561733</v>
      </c>
      <c r="Y1906" s="4">
        <f t="shared" si="117"/>
        <v>0.608694064011716</v>
      </c>
      <c r="Z1906" s="4">
        <f t="shared" si="118"/>
        <v>0.40772586687698753</v>
      </c>
      <c r="AA1906" s="4">
        <f t="shared" si="119"/>
        <v>0.62665524198888434</v>
      </c>
    </row>
    <row r="1907" spans="1:27" x14ac:dyDescent="0.3">
      <c r="A1907" t="s">
        <v>135</v>
      </c>
      <c r="B1907">
        <v>61637</v>
      </c>
      <c r="C1907">
        <v>2022</v>
      </c>
      <c r="D1907" t="s">
        <v>74</v>
      </c>
      <c r="E1907" t="s">
        <v>93</v>
      </c>
      <c r="F1907">
        <v>8</v>
      </c>
      <c r="G1907" t="s">
        <v>47</v>
      </c>
      <c r="H1907">
        <v>4</v>
      </c>
      <c r="I1907" t="s">
        <v>23</v>
      </c>
      <c r="J1907" t="s">
        <v>42</v>
      </c>
      <c r="L1907" t="s">
        <v>84</v>
      </c>
      <c r="M1907">
        <v>4</v>
      </c>
      <c r="N1907">
        <v>2.9</v>
      </c>
      <c r="O1907" t="s">
        <v>27</v>
      </c>
      <c r="S1907" s="3">
        <v>22000</v>
      </c>
      <c r="T1907" s="2">
        <v>33403.44140625</v>
      </c>
      <c r="U1907" s="2">
        <v>36041.295177307737</v>
      </c>
      <c r="V1907" s="2">
        <v>29805.194735089601</v>
      </c>
      <c r="W1907" s="2">
        <v>34537.5078125</v>
      </c>
      <c r="X1907" s="4">
        <f t="shared" si="116"/>
        <v>0.65861477362280574</v>
      </c>
      <c r="Y1907" s="4">
        <f t="shared" si="117"/>
        <v>0.61041091591657348</v>
      </c>
      <c r="Z1907" s="4">
        <f t="shared" si="118"/>
        <v>0.7381263633919305</v>
      </c>
      <c r="AA1907" s="4">
        <f t="shared" si="119"/>
        <v>0.63698863622225932</v>
      </c>
    </row>
    <row r="1908" spans="1:27" x14ac:dyDescent="0.3">
      <c r="A1908" t="s">
        <v>135</v>
      </c>
      <c r="B1908">
        <v>149425</v>
      </c>
      <c r="C1908">
        <v>2014</v>
      </c>
      <c r="D1908" t="s">
        <v>40</v>
      </c>
      <c r="E1908" t="s">
        <v>150</v>
      </c>
      <c r="F1908">
        <v>6</v>
      </c>
      <c r="G1908" t="s">
        <v>47</v>
      </c>
      <c r="H1908">
        <v>4</v>
      </c>
      <c r="I1908" t="s">
        <v>23</v>
      </c>
      <c r="J1908" t="s">
        <v>24</v>
      </c>
      <c r="L1908" t="s">
        <v>26</v>
      </c>
      <c r="M1908" t="s">
        <v>33</v>
      </c>
      <c r="N1908">
        <v>2</v>
      </c>
      <c r="O1908" t="s">
        <v>27</v>
      </c>
      <c r="S1908" s="3">
        <v>2800</v>
      </c>
      <c r="T1908" s="2">
        <v>5103.4814453125</v>
      </c>
      <c r="U1908" s="2">
        <v>5411.6018374009936</v>
      </c>
      <c r="V1908" s="2">
        <v>4011.6712129753491</v>
      </c>
      <c r="W1908" s="2">
        <v>5553.02294921875</v>
      </c>
      <c r="X1908" s="4">
        <f t="shared" si="116"/>
        <v>0.54864508277418622</v>
      </c>
      <c r="Y1908" s="4">
        <f t="shared" si="117"/>
        <v>0.51740687584376011</v>
      </c>
      <c r="Z1908" s="4">
        <f t="shared" si="118"/>
        <v>0.69796347989428453</v>
      </c>
      <c r="AA1908" s="4">
        <f t="shared" si="119"/>
        <v>0.50422986283424776</v>
      </c>
    </row>
    <row r="1909" spans="1:27" x14ac:dyDescent="0.3">
      <c r="A1909" t="s">
        <v>135</v>
      </c>
      <c r="B1909">
        <v>78584</v>
      </c>
      <c r="C1909">
        <v>2021</v>
      </c>
      <c r="D1909" t="s">
        <v>34</v>
      </c>
      <c r="E1909" t="s">
        <v>61</v>
      </c>
      <c r="F1909">
        <v>4</v>
      </c>
      <c r="G1909" t="s">
        <v>36</v>
      </c>
      <c r="H1909">
        <v>4</v>
      </c>
      <c r="I1909" t="s">
        <v>23</v>
      </c>
      <c r="J1909" t="s">
        <v>62</v>
      </c>
      <c r="K1909" t="s">
        <v>27</v>
      </c>
      <c r="L1909" t="s">
        <v>128</v>
      </c>
      <c r="M1909" t="s">
        <v>33</v>
      </c>
      <c r="N1909">
        <v>4.4000000000000004</v>
      </c>
      <c r="O1909" t="s">
        <v>27</v>
      </c>
      <c r="S1909" s="3">
        <v>25750</v>
      </c>
      <c r="T1909" s="2">
        <v>21530.44140625</v>
      </c>
      <c r="U1909" s="2">
        <v>22172.688745446601</v>
      </c>
      <c r="V1909" s="2">
        <v>18107.025078404658</v>
      </c>
      <c r="W1909" s="2">
        <v>24357.9765625</v>
      </c>
      <c r="X1909" s="4">
        <f t="shared" si="116"/>
        <v>1.1959810537151885</v>
      </c>
      <c r="Y1909" s="4">
        <f t="shared" si="117"/>
        <v>1.1613386313055081</v>
      </c>
      <c r="Z1909" s="4">
        <f t="shared" si="118"/>
        <v>1.4220999798973457</v>
      </c>
      <c r="AA1909" s="4">
        <f t="shared" si="119"/>
        <v>1.0571485662582938</v>
      </c>
    </row>
    <row r="1910" spans="1:27" x14ac:dyDescent="0.3">
      <c r="A1910" t="s">
        <v>135</v>
      </c>
      <c r="B1910">
        <v>136891</v>
      </c>
      <c r="C1910">
        <v>2020</v>
      </c>
      <c r="D1910" t="s">
        <v>44</v>
      </c>
      <c r="E1910" t="s">
        <v>45</v>
      </c>
      <c r="F1910">
        <v>6</v>
      </c>
      <c r="G1910" t="s">
        <v>47</v>
      </c>
      <c r="H1910">
        <v>4</v>
      </c>
      <c r="I1910" t="s">
        <v>23</v>
      </c>
      <c r="J1910" t="s">
        <v>156</v>
      </c>
      <c r="K1910" t="s">
        <v>27</v>
      </c>
      <c r="L1910" t="s">
        <v>38</v>
      </c>
      <c r="M1910">
        <v>4</v>
      </c>
      <c r="N1910">
        <v>2.2000000000000002</v>
      </c>
      <c r="O1910" t="s">
        <v>27</v>
      </c>
      <c r="S1910" s="3">
        <v>8600</v>
      </c>
      <c r="T1910" s="2">
        <v>11019.5986328125</v>
      </c>
      <c r="U1910" s="2">
        <v>9349.2606432823923</v>
      </c>
      <c r="V1910" s="2">
        <v>14233.36096175638</v>
      </c>
      <c r="W1910" s="2">
        <v>10501.5263671875</v>
      </c>
      <c r="X1910" s="4">
        <f t="shared" si="116"/>
        <v>0.78042769855448424</v>
      </c>
      <c r="Y1910" s="4">
        <f t="shared" si="117"/>
        <v>0.91985883463193963</v>
      </c>
      <c r="Z1910" s="4">
        <f t="shared" si="118"/>
        <v>0.60421428382989384</v>
      </c>
      <c r="AA1910" s="4">
        <f t="shared" si="119"/>
        <v>0.81892857279024633</v>
      </c>
    </row>
    <row r="1911" spans="1:27" x14ac:dyDescent="0.3">
      <c r="A1911" t="s">
        <v>135</v>
      </c>
      <c r="B1911">
        <v>158540</v>
      </c>
      <c r="C1911">
        <v>2012</v>
      </c>
      <c r="D1911" t="s">
        <v>40</v>
      </c>
      <c r="E1911" t="s">
        <v>41</v>
      </c>
      <c r="F1911">
        <v>8</v>
      </c>
      <c r="G1911" t="s">
        <v>47</v>
      </c>
      <c r="H1911">
        <v>2</v>
      </c>
      <c r="I1911" t="s">
        <v>23</v>
      </c>
      <c r="J1911" t="s">
        <v>49</v>
      </c>
      <c r="K1911" t="s">
        <v>27</v>
      </c>
      <c r="L1911" t="s">
        <v>43</v>
      </c>
      <c r="M1911" t="s">
        <v>78</v>
      </c>
      <c r="N1911">
        <v>2.6</v>
      </c>
      <c r="O1911" t="s">
        <v>27</v>
      </c>
      <c r="S1911" s="3">
        <v>4800</v>
      </c>
      <c r="T1911" s="2">
        <v>4566.1513671875</v>
      </c>
      <c r="U1911" s="2">
        <v>13556.202216474579</v>
      </c>
      <c r="V1911" s="2">
        <v>7604.2270626419959</v>
      </c>
      <c r="W1911" s="2">
        <v>6767.0078125</v>
      </c>
      <c r="X1911" s="4">
        <f t="shared" si="116"/>
        <v>1.0512135087095322</v>
      </c>
      <c r="Y1911" s="4">
        <f t="shared" si="117"/>
        <v>0.35408146937839691</v>
      </c>
      <c r="Z1911" s="4">
        <f t="shared" si="118"/>
        <v>0.63122786319485558</v>
      </c>
      <c r="AA1911" s="4">
        <f t="shared" si="119"/>
        <v>0.70932384489544287</v>
      </c>
    </row>
    <row r="1912" spans="1:27" x14ac:dyDescent="0.3">
      <c r="A1912" t="s">
        <v>135</v>
      </c>
      <c r="B1912">
        <v>92414</v>
      </c>
      <c r="C1912">
        <v>2016</v>
      </c>
      <c r="D1912" t="s">
        <v>463</v>
      </c>
      <c r="E1912" t="s">
        <v>464</v>
      </c>
      <c r="F1912">
        <v>0</v>
      </c>
      <c r="G1912" t="s">
        <v>66</v>
      </c>
      <c r="H1912">
        <v>4</v>
      </c>
      <c r="I1912" t="s">
        <v>23</v>
      </c>
      <c r="J1912" t="s">
        <v>31</v>
      </c>
      <c r="K1912" t="s">
        <v>27</v>
      </c>
      <c r="L1912" t="s">
        <v>465</v>
      </c>
      <c r="M1912" t="s">
        <v>78</v>
      </c>
      <c r="N1912">
        <v>3.7</v>
      </c>
      <c r="O1912" t="s">
        <v>27</v>
      </c>
      <c r="S1912" s="3">
        <v>14500</v>
      </c>
      <c r="T1912" s="2">
        <v>12206.177734375</v>
      </c>
      <c r="U1912" s="2">
        <v>12952.17686348616</v>
      </c>
      <c r="V1912" s="2">
        <v>9747.9536039452614</v>
      </c>
      <c r="W1912" s="2">
        <v>13528.478515625</v>
      </c>
      <c r="X1912" s="4">
        <f t="shared" si="116"/>
        <v>1.1879230595803258</v>
      </c>
      <c r="Y1912" s="4">
        <f t="shared" si="117"/>
        <v>1.1195029339722307</v>
      </c>
      <c r="Z1912" s="4">
        <f t="shared" si="118"/>
        <v>1.4874916920133325</v>
      </c>
      <c r="AA1912" s="4">
        <f t="shared" si="119"/>
        <v>1.0718130633280691</v>
      </c>
    </row>
    <row r="1913" spans="1:27" x14ac:dyDescent="0.3">
      <c r="A1913" t="s">
        <v>135</v>
      </c>
      <c r="B1913">
        <v>154648</v>
      </c>
      <c r="C1913">
        <v>2015</v>
      </c>
      <c r="D1913" t="s">
        <v>125</v>
      </c>
      <c r="E1913" t="s">
        <v>126</v>
      </c>
      <c r="F1913">
        <v>4</v>
      </c>
      <c r="G1913" t="s">
        <v>36</v>
      </c>
      <c r="H1913">
        <v>4</v>
      </c>
      <c r="I1913" t="s">
        <v>23</v>
      </c>
      <c r="J1913" t="s">
        <v>31</v>
      </c>
      <c r="K1913" t="s">
        <v>27</v>
      </c>
      <c r="L1913" t="s">
        <v>32</v>
      </c>
      <c r="M1913" t="s">
        <v>33</v>
      </c>
      <c r="N1913">
        <v>1.9</v>
      </c>
      <c r="O1913" t="s">
        <v>27</v>
      </c>
      <c r="S1913" s="3">
        <v>2000</v>
      </c>
      <c r="T1913" s="2">
        <v>3522.070068359375</v>
      </c>
      <c r="U1913" s="2">
        <v>3817.3311813909472</v>
      </c>
      <c r="V1913" s="2">
        <v>2582.884183394619</v>
      </c>
      <c r="W1913" s="2">
        <v>4765.4404296875</v>
      </c>
      <c r="X1913" s="4">
        <f t="shared" si="116"/>
        <v>0.56784787388730895</v>
      </c>
      <c r="Y1913" s="4">
        <f t="shared" si="117"/>
        <v>0.52392624715135305</v>
      </c>
      <c r="Z1913" s="4">
        <f t="shared" si="118"/>
        <v>0.77432817656247011</v>
      </c>
      <c r="AA1913" s="4">
        <f t="shared" si="119"/>
        <v>0.41968838547230619</v>
      </c>
    </row>
    <row r="1914" spans="1:27" x14ac:dyDescent="0.3">
      <c r="A1914" t="s">
        <v>135</v>
      </c>
      <c r="B1914">
        <v>72393</v>
      </c>
      <c r="C1914">
        <v>2008</v>
      </c>
      <c r="D1914" t="s">
        <v>489</v>
      </c>
      <c r="E1914" t="s">
        <v>615</v>
      </c>
      <c r="F1914">
        <v>6</v>
      </c>
      <c r="G1914" t="s">
        <v>59</v>
      </c>
      <c r="H1914">
        <v>4</v>
      </c>
      <c r="I1914" t="s">
        <v>23</v>
      </c>
      <c r="J1914" t="s">
        <v>52</v>
      </c>
      <c r="K1914" t="s">
        <v>27</v>
      </c>
      <c r="L1914" t="s">
        <v>301</v>
      </c>
      <c r="M1914" t="s">
        <v>23</v>
      </c>
      <c r="N1914">
        <v>0</v>
      </c>
      <c r="O1914" t="s">
        <v>27</v>
      </c>
      <c r="S1914" s="3">
        <v>2400</v>
      </c>
      <c r="T1914" s="2">
        <v>6732.80810546875</v>
      </c>
      <c r="U1914" s="2">
        <v>4895.6374857308156</v>
      </c>
      <c r="V1914" s="2">
        <v>5422.993685148921</v>
      </c>
      <c r="W1914" s="2">
        <v>5969.91064453125</v>
      </c>
      <c r="X1914" s="4">
        <f t="shared" si="116"/>
        <v>0.35646344918854744</v>
      </c>
      <c r="Y1914" s="4">
        <f t="shared" si="117"/>
        <v>0.49023237668132419</v>
      </c>
      <c r="Z1914" s="4">
        <f t="shared" si="118"/>
        <v>0.44255998427077159</v>
      </c>
      <c r="AA1914" s="4">
        <f t="shared" si="119"/>
        <v>0.40201606739265444</v>
      </c>
    </row>
    <row r="1915" spans="1:27" x14ac:dyDescent="0.3">
      <c r="A1915" t="s">
        <v>135</v>
      </c>
      <c r="B1915">
        <v>350214</v>
      </c>
      <c r="C1915">
        <v>2011</v>
      </c>
      <c r="D1915" t="s">
        <v>44</v>
      </c>
      <c r="E1915" t="s">
        <v>267</v>
      </c>
      <c r="F1915">
        <v>8</v>
      </c>
      <c r="G1915" t="s">
        <v>99</v>
      </c>
      <c r="H1915">
        <v>4</v>
      </c>
      <c r="I1915" t="s">
        <v>23</v>
      </c>
      <c r="J1915" t="s">
        <v>46</v>
      </c>
      <c r="K1915" t="s">
        <v>27</v>
      </c>
      <c r="L1915" t="s">
        <v>140</v>
      </c>
      <c r="M1915">
        <v>4</v>
      </c>
      <c r="N1915">
        <v>0</v>
      </c>
      <c r="O1915" t="s">
        <v>27</v>
      </c>
      <c r="S1915" s="3">
        <v>3000</v>
      </c>
      <c r="T1915" s="2">
        <v>6604.64501953125</v>
      </c>
      <c r="U1915" s="2">
        <v>14814.76370501891</v>
      </c>
      <c r="V1915" s="2">
        <v>4265.1156444916815</v>
      </c>
      <c r="W1915" s="2">
        <v>8612.955078125</v>
      </c>
      <c r="X1915" s="4">
        <f t="shared" si="116"/>
        <v>0.4542257746068718</v>
      </c>
      <c r="Y1915" s="4">
        <f t="shared" si="117"/>
        <v>0.20250069860943293</v>
      </c>
      <c r="Z1915" s="4">
        <f t="shared" si="118"/>
        <v>0.70338069352807464</v>
      </c>
      <c r="AA1915" s="4">
        <f t="shared" si="119"/>
        <v>0.34831250979345474</v>
      </c>
    </row>
    <row r="1916" spans="1:27" x14ac:dyDescent="0.3">
      <c r="A1916" t="s">
        <v>135</v>
      </c>
      <c r="B1916">
        <v>55424</v>
      </c>
      <c r="C1916">
        <v>2014</v>
      </c>
      <c r="D1916" t="s">
        <v>74</v>
      </c>
      <c r="E1916" t="s">
        <v>75</v>
      </c>
      <c r="F1916">
        <v>6</v>
      </c>
      <c r="G1916" t="s">
        <v>47</v>
      </c>
      <c r="H1916">
        <v>2</v>
      </c>
      <c r="I1916" t="s">
        <v>23</v>
      </c>
      <c r="J1916" t="s">
        <v>76</v>
      </c>
      <c r="L1916" t="s">
        <v>26</v>
      </c>
      <c r="M1916">
        <v>4</v>
      </c>
      <c r="N1916">
        <v>0</v>
      </c>
      <c r="O1916" t="s">
        <v>27</v>
      </c>
      <c r="S1916" s="3">
        <v>15000</v>
      </c>
      <c r="T1916" s="2">
        <v>12553.81640625</v>
      </c>
      <c r="U1916" s="2">
        <v>10350.57968919369</v>
      </c>
      <c r="V1916" s="2">
        <v>17403.885106780861</v>
      </c>
      <c r="W1916" s="2">
        <v>11367.9345703125</v>
      </c>
      <c r="X1916" s="4">
        <f t="shared" si="116"/>
        <v>1.1948557725069289</v>
      </c>
      <c r="Y1916" s="4">
        <f t="shared" si="117"/>
        <v>1.449194194955133</v>
      </c>
      <c r="Z1916" s="4">
        <f t="shared" si="118"/>
        <v>0.86187652400415671</v>
      </c>
      <c r="AA1916" s="4">
        <f t="shared" si="119"/>
        <v>1.3195009090897376</v>
      </c>
    </row>
    <row r="1917" spans="1:27" x14ac:dyDescent="0.3">
      <c r="A1917" t="s">
        <v>135</v>
      </c>
      <c r="B1917">
        <v>195481</v>
      </c>
      <c r="C1917">
        <v>2007</v>
      </c>
      <c r="D1917" t="s">
        <v>103</v>
      </c>
      <c r="E1917" t="s">
        <v>616</v>
      </c>
      <c r="F1917">
        <v>6</v>
      </c>
      <c r="G1917" t="s">
        <v>59</v>
      </c>
      <c r="H1917">
        <v>4</v>
      </c>
      <c r="I1917" t="s">
        <v>23</v>
      </c>
      <c r="J1917" t="s">
        <v>31</v>
      </c>
      <c r="K1917" t="s">
        <v>27</v>
      </c>
      <c r="L1917" t="s">
        <v>53</v>
      </c>
      <c r="M1917" t="s">
        <v>78</v>
      </c>
      <c r="N1917">
        <v>2.5</v>
      </c>
      <c r="O1917" t="s">
        <v>27</v>
      </c>
      <c r="S1917" s="3">
        <v>800</v>
      </c>
      <c r="T1917" s="2">
        <v>1513.789916992188</v>
      </c>
      <c r="U1917" s="2">
        <v>5023.7895664067828</v>
      </c>
      <c r="V1917" s="2">
        <v>782.19364500648953</v>
      </c>
      <c r="W1917" s="2">
        <v>1517.908569335938</v>
      </c>
      <c r="X1917" s="4">
        <f t="shared" si="116"/>
        <v>0.52847491651255896</v>
      </c>
      <c r="Y1917" s="4">
        <f t="shared" si="117"/>
        <v>0.15924233876145261</v>
      </c>
      <c r="Z1917" s="4">
        <f t="shared" si="118"/>
        <v>1.022764637768647</v>
      </c>
      <c r="AA1917" s="4">
        <f t="shared" si="119"/>
        <v>0.52704096686797675</v>
      </c>
    </row>
    <row r="1918" spans="1:27" x14ac:dyDescent="0.3">
      <c r="A1918" t="s">
        <v>135</v>
      </c>
      <c r="B1918">
        <v>142000</v>
      </c>
      <c r="C1918">
        <v>2018</v>
      </c>
      <c r="D1918" t="s">
        <v>40</v>
      </c>
      <c r="E1918" t="s">
        <v>214</v>
      </c>
      <c r="F1918">
        <v>8</v>
      </c>
      <c r="G1918" t="s">
        <v>30</v>
      </c>
      <c r="H1918">
        <v>4</v>
      </c>
      <c r="I1918" t="s">
        <v>23</v>
      </c>
      <c r="J1918" t="s">
        <v>24</v>
      </c>
      <c r="K1918" t="s">
        <v>27</v>
      </c>
      <c r="L1918" t="s">
        <v>43</v>
      </c>
      <c r="M1918">
        <v>4</v>
      </c>
      <c r="N1918">
        <v>0</v>
      </c>
      <c r="O1918" t="s">
        <v>27</v>
      </c>
      <c r="S1918" s="3">
        <v>11000</v>
      </c>
      <c r="T1918" s="2">
        <v>16045.4521484375</v>
      </c>
      <c r="U1918" s="2">
        <v>22672.62585873179</v>
      </c>
      <c r="V1918" s="2">
        <v>17587.205033482689</v>
      </c>
      <c r="W1918" s="2">
        <v>18618.6875</v>
      </c>
      <c r="X1918" s="4">
        <f t="shared" si="116"/>
        <v>0.68555251034612796</v>
      </c>
      <c r="Y1918" s="4">
        <f t="shared" si="117"/>
        <v>0.48516656467312663</v>
      </c>
      <c r="Z1918" s="4">
        <f t="shared" si="118"/>
        <v>0.62545469726759284</v>
      </c>
      <c r="AA1918" s="4">
        <f t="shared" si="119"/>
        <v>0.59080426587534707</v>
      </c>
    </row>
    <row r="1919" spans="1:27" x14ac:dyDescent="0.3">
      <c r="A1919" t="s">
        <v>135</v>
      </c>
      <c r="B1919">
        <v>9971</v>
      </c>
      <c r="C1919">
        <v>2022</v>
      </c>
      <c r="D1919" t="s">
        <v>81</v>
      </c>
      <c r="E1919" t="s">
        <v>207</v>
      </c>
      <c r="F1919">
        <v>6</v>
      </c>
      <c r="G1919" t="s">
        <v>246</v>
      </c>
      <c r="H1919">
        <v>4</v>
      </c>
      <c r="I1919" t="s">
        <v>23</v>
      </c>
      <c r="J1919" t="s">
        <v>31</v>
      </c>
      <c r="L1919" t="s">
        <v>26</v>
      </c>
      <c r="M1919" t="s">
        <v>78</v>
      </c>
      <c r="N1919">
        <v>4.4000000000000004</v>
      </c>
      <c r="O1919" t="s">
        <v>27</v>
      </c>
      <c r="S1919" s="3">
        <v>26750</v>
      </c>
      <c r="T1919" s="2">
        <v>36553.76171875</v>
      </c>
      <c r="U1919" s="2">
        <v>39858.296876113527</v>
      </c>
      <c r="V1919" s="2">
        <v>39130.041917923118</v>
      </c>
      <c r="W1919" s="2">
        <v>42246.41796875</v>
      </c>
      <c r="X1919" s="4">
        <f t="shared" si="116"/>
        <v>0.73179882841657773</v>
      </c>
      <c r="Y1919" s="4">
        <f t="shared" si="117"/>
        <v>0.67112752165863032</v>
      </c>
      <c r="Z1919" s="4">
        <f t="shared" si="118"/>
        <v>0.68361797455032713</v>
      </c>
      <c r="AA1919" s="4">
        <f t="shared" si="119"/>
        <v>0.63318977764664408</v>
      </c>
    </row>
    <row r="1920" spans="1:27" x14ac:dyDescent="0.3">
      <c r="A1920" t="s">
        <v>135</v>
      </c>
      <c r="B1920">
        <v>89903</v>
      </c>
      <c r="C1920">
        <v>2019</v>
      </c>
      <c r="D1920" t="s">
        <v>74</v>
      </c>
      <c r="E1920" t="s">
        <v>75</v>
      </c>
      <c r="F1920">
        <v>8</v>
      </c>
      <c r="G1920" t="s">
        <v>47</v>
      </c>
      <c r="H1920">
        <v>4</v>
      </c>
      <c r="I1920" t="s">
        <v>23</v>
      </c>
      <c r="J1920" t="s">
        <v>42</v>
      </c>
      <c r="L1920" t="s">
        <v>84</v>
      </c>
      <c r="M1920" t="s">
        <v>78</v>
      </c>
      <c r="N1920">
        <v>0</v>
      </c>
      <c r="O1920" t="s">
        <v>27</v>
      </c>
      <c r="S1920" s="3">
        <v>22500</v>
      </c>
      <c r="T1920" s="2">
        <v>23308.373046875</v>
      </c>
      <c r="U1920" s="2">
        <v>24735.775984653799</v>
      </c>
      <c r="V1920" s="2">
        <v>28151.004104977848</v>
      </c>
      <c r="W1920" s="2">
        <v>25266.447265625</v>
      </c>
      <c r="X1920" s="4">
        <f t="shared" si="116"/>
        <v>0.96531834095630364</v>
      </c>
      <c r="Y1920" s="4">
        <f t="shared" si="117"/>
        <v>0.90961367106328561</v>
      </c>
      <c r="Z1920" s="4">
        <f t="shared" si="118"/>
        <v>0.79926101094281754</v>
      </c>
      <c r="AA1920" s="4">
        <f t="shared" si="119"/>
        <v>0.8905090519240213</v>
      </c>
    </row>
    <row r="1921" spans="1:27" x14ac:dyDescent="0.3">
      <c r="A1921" t="s">
        <v>135</v>
      </c>
      <c r="B1921">
        <v>80913</v>
      </c>
      <c r="C1921">
        <v>2008</v>
      </c>
      <c r="D1921" t="s">
        <v>282</v>
      </c>
      <c r="E1921" t="s">
        <v>525</v>
      </c>
      <c r="F1921">
        <v>8</v>
      </c>
      <c r="G1921" t="s">
        <v>47</v>
      </c>
      <c r="H1921">
        <v>4</v>
      </c>
      <c r="I1921" t="s">
        <v>23</v>
      </c>
      <c r="J1921" t="s">
        <v>62</v>
      </c>
      <c r="K1921" t="s">
        <v>27</v>
      </c>
      <c r="L1921" t="s">
        <v>263</v>
      </c>
      <c r="M1921">
        <v>4</v>
      </c>
      <c r="N1921">
        <v>0</v>
      </c>
      <c r="O1921" t="s">
        <v>27</v>
      </c>
      <c r="S1921" s="3">
        <v>17400</v>
      </c>
      <c r="T1921" s="2">
        <v>11124.3046875</v>
      </c>
      <c r="U1921" s="2">
        <v>10681.88471172635</v>
      </c>
      <c r="V1921" s="2">
        <v>10063.25225741213</v>
      </c>
      <c r="W1921" s="2">
        <v>11211.912109375</v>
      </c>
      <c r="X1921" s="4">
        <f t="shared" si="116"/>
        <v>1.5641427027391459</v>
      </c>
      <c r="Y1921" s="4">
        <f t="shared" si="117"/>
        <v>1.6289260247209598</v>
      </c>
      <c r="Z1921" s="4">
        <f t="shared" si="118"/>
        <v>1.7290632844052933</v>
      </c>
      <c r="AA1921" s="4">
        <f t="shared" si="119"/>
        <v>1.5519208347566997</v>
      </c>
    </row>
    <row r="1922" spans="1:27" x14ac:dyDescent="0.3">
      <c r="A1922" t="s">
        <v>591</v>
      </c>
      <c r="B1922">
        <v>287555</v>
      </c>
      <c r="C1922">
        <v>2018</v>
      </c>
      <c r="D1922" t="s">
        <v>44</v>
      </c>
      <c r="E1922" t="s">
        <v>280</v>
      </c>
      <c r="F1922">
        <v>6</v>
      </c>
      <c r="G1922" t="s">
        <v>47</v>
      </c>
      <c r="H1922">
        <v>3</v>
      </c>
      <c r="I1922" t="s">
        <v>23</v>
      </c>
      <c r="J1922" t="s">
        <v>197</v>
      </c>
      <c r="K1922" t="s">
        <v>27</v>
      </c>
      <c r="L1922" t="s">
        <v>198</v>
      </c>
      <c r="M1922" t="s">
        <v>78</v>
      </c>
      <c r="N1922">
        <v>2.6</v>
      </c>
      <c r="O1922" t="s">
        <v>27</v>
      </c>
      <c r="S1922" s="3">
        <v>6200</v>
      </c>
      <c r="T1922" s="2">
        <v>5035.90625</v>
      </c>
      <c r="U1922" s="2">
        <v>5952.1103584523489</v>
      </c>
      <c r="V1922" s="2">
        <v>3542.3613472206171</v>
      </c>
      <c r="W1922" s="2">
        <v>5334.5009765625</v>
      </c>
      <c r="X1922" s="4">
        <f t="shared" ref="X1922:X1985" si="120">S1922/T1922</f>
        <v>1.2311587412891176</v>
      </c>
      <c r="Y1922" s="4">
        <f t="shared" ref="Y1922:Y1985" si="121">S1922/U1922</f>
        <v>1.0416473530595132</v>
      </c>
      <c r="Z1922" s="4">
        <f t="shared" ref="Z1922:Z1985" si="122">S1922/V1922</f>
        <v>1.7502449333308701</v>
      </c>
      <c r="AA1922" s="4">
        <f t="shared" ref="AA1922:AA1985" si="123">S1922/W1922</f>
        <v>1.1622455459733028</v>
      </c>
    </row>
    <row r="1923" spans="1:27" x14ac:dyDescent="0.3">
      <c r="A1923" t="s">
        <v>593</v>
      </c>
      <c r="B1923">
        <v>90956</v>
      </c>
      <c r="C1923">
        <v>2014</v>
      </c>
      <c r="D1923" t="s">
        <v>100</v>
      </c>
      <c r="E1923" t="s">
        <v>549</v>
      </c>
      <c r="F1923">
        <v>8</v>
      </c>
      <c r="G1923" t="s">
        <v>47</v>
      </c>
      <c r="H1923">
        <v>4</v>
      </c>
      <c r="I1923" t="s">
        <v>23</v>
      </c>
      <c r="J1923" t="s">
        <v>24</v>
      </c>
      <c r="K1923" t="s">
        <v>27</v>
      </c>
      <c r="L1923" t="s">
        <v>115</v>
      </c>
      <c r="M1923" t="s">
        <v>78</v>
      </c>
      <c r="N1923">
        <v>0</v>
      </c>
      <c r="S1923" s="3">
        <v>1750</v>
      </c>
      <c r="T1923" s="2">
        <v>12547.6708984375</v>
      </c>
      <c r="U1923" s="2">
        <v>11614.76387960508</v>
      </c>
      <c r="V1923" s="2">
        <v>13014.233998194321</v>
      </c>
      <c r="W1923" s="2">
        <v>12597.560546875</v>
      </c>
      <c r="X1923" s="4">
        <f t="shared" si="120"/>
        <v>0.13946811437474974</v>
      </c>
      <c r="Y1923" s="4">
        <f t="shared" si="121"/>
        <v>0.15067030360151434</v>
      </c>
      <c r="Z1923" s="4">
        <f t="shared" si="122"/>
        <v>0.13446815235094178</v>
      </c>
      <c r="AA1923" s="4">
        <f t="shared" si="123"/>
        <v>0.13891578401138241</v>
      </c>
    </row>
    <row r="1924" spans="1:27" x14ac:dyDescent="0.3">
      <c r="A1924" t="s">
        <v>556</v>
      </c>
      <c r="B1924">
        <v>94259</v>
      </c>
      <c r="C1924">
        <v>2021</v>
      </c>
      <c r="D1924" t="s">
        <v>28</v>
      </c>
      <c r="E1924" t="s">
        <v>137</v>
      </c>
      <c r="F1924">
        <v>4</v>
      </c>
      <c r="G1924" t="s">
        <v>59</v>
      </c>
      <c r="H1924">
        <v>4</v>
      </c>
      <c r="I1924" t="s">
        <v>23</v>
      </c>
      <c r="J1924" t="s">
        <v>31</v>
      </c>
      <c r="K1924" t="s">
        <v>27</v>
      </c>
      <c r="L1924" t="s">
        <v>107</v>
      </c>
      <c r="M1924" t="s">
        <v>33</v>
      </c>
      <c r="N1924">
        <v>0</v>
      </c>
      <c r="S1924" s="3">
        <v>17000</v>
      </c>
      <c r="T1924" s="2">
        <v>16227.5244140625</v>
      </c>
      <c r="U1924" s="2">
        <v>18275.778457413471</v>
      </c>
      <c r="V1924" s="2">
        <v>15580.938278826339</v>
      </c>
      <c r="W1924" s="2">
        <v>18463.44921875</v>
      </c>
      <c r="X1924" s="4">
        <f t="shared" si="120"/>
        <v>1.0476027991840879</v>
      </c>
      <c r="Y1924" s="4">
        <f t="shared" si="121"/>
        <v>0.93019293485165011</v>
      </c>
      <c r="Z1924" s="4">
        <f t="shared" si="122"/>
        <v>1.0910767821410403</v>
      </c>
      <c r="AA1924" s="4">
        <f t="shared" si="123"/>
        <v>0.92073803754588612</v>
      </c>
    </row>
    <row r="1925" spans="1:27" x14ac:dyDescent="0.3">
      <c r="A1925" t="s">
        <v>556</v>
      </c>
      <c r="B1925">
        <v>54083</v>
      </c>
      <c r="C1925">
        <v>2018</v>
      </c>
      <c r="D1925" t="s">
        <v>90</v>
      </c>
      <c r="E1925" t="s">
        <v>195</v>
      </c>
      <c r="F1925">
        <v>4</v>
      </c>
      <c r="G1925" t="s">
        <v>22</v>
      </c>
      <c r="H1925">
        <v>4</v>
      </c>
      <c r="I1925" t="s">
        <v>23</v>
      </c>
      <c r="J1925" t="s">
        <v>24</v>
      </c>
      <c r="L1925" t="s">
        <v>127</v>
      </c>
      <c r="M1925" t="s">
        <v>33</v>
      </c>
      <c r="N1925">
        <v>0</v>
      </c>
      <c r="S1925" s="3">
        <v>12200</v>
      </c>
      <c r="T1925" s="2">
        <v>12506.0400390625</v>
      </c>
      <c r="U1925" s="2">
        <v>12437.54856494259</v>
      </c>
      <c r="V1925" s="2">
        <v>13893.139963213211</v>
      </c>
      <c r="W1925" s="2">
        <v>13784.1806640625</v>
      </c>
      <c r="X1925" s="4">
        <f t="shared" si="120"/>
        <v>0.97552862152155384</v>
      </c>
      <c r="Y1925" s="4">
        <f t="shared" si="121"/>
        <v>0.98090069247149214</v>
      </c>
      <c r="Z1925" s="4">
        <f t="shared" si="122"/>
        <v>0.87813122392084353</v>
      </c>
      <c r="AA1925" s="4">
        <f t="shared" si="123"/>
        <v>0.88507255507810445</v>
      </c>
    </row>
    <row r="1926" spans="1:27" x14ac:dyDescent="0.3">
      <c r="A1926" t="s">
        <v>556</v>
      </c>
      <c r="B1926">
        <v>85988</v>
      </c>
      <c r="C1926">
        <v>2018</v>
      </c>
      <c r="D1926" t="s">
        <v>40</v>
      </c>
      <c r="E1926" t="s">
        <v>150</v>
      </c>
      <c r="F1926">
        <v>6</v>
      </c>
      <c r="G1926" t="s">
        <v>22</v>
      </c>
      <c r="H1926">
        <v>4</v>
      </c>
      <c r="I1926" t="s">
        <v>23</v>
      </c>
      <c r="J1926" t="s">
        <v>24</v>
      </c>
      <c r="L1926" t="s">
        <v>26</v>
      </c>
      <c r="M1926" t="s">
        <v>33</v>
      </c>
      <c r="N1926">
        <v>0</v>
      </c>
      <c r="S1926" s="3">
        <v>13600</v>
      </c>
      <c r="T1926" s="2">
        <v>18124.134765625</v>
      </c>
      <c r="U1926" s="2">
        <v>17711.220397859171</v>
      </c>
      <c r="V1926" s="2">
        <v>13864.3421265953</v>
      </c>
      <c r="W1926" s="2">
        <v>18120.88671875</v>
      </c>
      <c r="X1926" s="4">
        <f t="shared" si="120"/>
        <v>0.75038064855897757</v>
      </c>
      <c r="Y1926" s="4">
        <f t="shared" si="121"/>
        <v>0.76787481012002357</v>
      </c>
      <c r="Z1926" s="4">
        <f t="shared" si="122"/>
        <v>0.98093366968431739</v>
      </c>
      <c r="AA1926" s="4">
        <f t="shared" si="123"/>
        <v>0.7505151492353761</v>
      </c>
    </row>
    <row r="1927" spans="1:27" x14ac:dyDescent="0.3">
      <c r="A1927" t="s">
        <v>556</v>
      </c>
      <c r="B1927">
        <v>96270</v>
      </c>
      <c r="C1927">
        <v>2019</v>
      </c>
      <c r="D1927" t="s">
        <v>40</v>
      </c>
      <c r="E1927" t="s">
        <v>506</v>
      </c>
      <c r="F1927">
        <v>6</v>
      </c>
      <c r="G1927" t="s">
        <v>22</v>
      </c>
      <c r="H1927">
        <v>4</v>
      </c>
      <c r="I1927" t="s">
        <v>23</v>
      </c>
      <c r="J1927" t="s">
        <v>24</v>
      </c>
      <c r="K1927" t="s">
        <v>27</v>
      </c>
      <c r="L1927" t="s">
        <v>26</v>
      </c>
      <c r="M1927" t="s">
        <v>33</v>
      </c>
      <c r="N1927">
        <v>0</v>
      </c>
      <c r="S1927" s="3">
        <v>17000</v>
      </c>
      <c r="T1927" s="2">
        <v>15662.470703125</v>
      </c>
      <c r="U1927" s="2">
        <v>16485.981865775171</v>
      </c>
      <c r="V1927" s="2">
        <v>17657.198036436112</v>
      </c>
      <c r="W1927" s="2">
        <v>17398.283203125</v>
      </c>
      <c r="X1927" s="4">
        <f t="shared" si="120"/>
        <v>1.0853970821224352</v>
      </c>
      <c r="Y1927" s="4">
        <f t="shared" si="121"/>
        <v>1.0311791034595232</v>
      </c>
      <c r="Z1927" s="4">
        <f t="shared" si="122"/>
        <v>0.96278016279366829</v>
      </c>
      <c r="AA1927" s="4">
        <f t="shared" si="123"/>
        <v>0.97710790205705689</v>
      </c>
    </row>
    <row r="1928" spans="1:27" x14ac:dyDescent="0.3">
      <c r="A1928" t="s">
        <v>556</v>
      </c>
      <c r="B1928">
        <v>101093</v>
      </c>
      <c r="C1928">
        <v>2016</v>
      </c>
      <c r="D1928" t="s">
        <v>239</v>
      </c>
      <c r="E1928" t="s">
        <v>438</v>
      </c>
      <c r="F1928">
        <v>4</v>
      </c>
      <c r="G1928" t="s">
        <v>30</v>
      </c>
      <c r="H1928">
        <v>4</v>
      </c>
      <c r="I1928" t="s">
        <v>23</v>
      </c>
      <c r="J1928" t="s">
        <v>31</v>
      </c>
      <c r="K1928" t="s">
        <v>27</v>
      </c>
      <c r="L1928" t="s">
        <v>127</v>
      </c>
      <c r="M1928" t="s">
        <v>23</v>
      </c>
      <c r="N1928">
        <v>0</v>
      </c>
      <c r="S1928" s="3">
        <v>8000</v>
      </c>
      <c r="T1928" s="2">
        <v>9755.33984375</v>
      </c>
      <c r="U1928" s="2">
        <v>7867.4899888916316</v>
      </c>
      <c r="V1928" s="2">
        <v>8631.7575479565512</v>
      </c>
      <c r="W1928" s="2">
        <v>7825.5859375</v>
      </c>
      <c r="X1928" s="4">
        <f t="shared" si="120"/>
        <v>0.82006369107944488</v>
      </c>
      <c r="Y1928" s="4">
        <f t="shared" si="121"/>
        <v>1.0168427301840184</v>
      </c>
      <c r="Z1928" s="4">
        <f t="shared" si="122"/>
        <v>0.92681009117243907</v>
      </c>
      <c r="AA1928" s="4">
        <f t="shared" si="123"/>
        <v>1.022287668155839</v>
      </c>
    </row>
    <row r="1929" spans="1:27" x14ac:dyDescent="0.3">
      <c r="A1929" t="s">
        <v>556</v>
      </c>
      <c r="B1929">
        <v>101304</v>
      </c>
      <c r="C1929">
        <v>2015</v>
      </c>
      <c r="D1929" t="s">
        <v>40</v>
      </c>
      <c r="E1929" t="s">
        <v>150</v>
      </c>
      <c r="F1929">
        <v>6</v>
      </c>
      <c r="G1929" t="s">
        <v>47</v>
      </c>
      <c r="H1929">
        <v>4</v>
      </c>
      <c r="I1929" t="s">
        <v>23</v>
      </c>
      <c r="J1929" t="s">
        <v>24</v>
      </c>
      <c r="L1929" t="s">
        <v>26</v>
      </c>
      <c r="M1929" t="s">
        <v>33</v>
      </c>
      <c r="N1929">
        <v>0</v>
      </c>
      <c r="S1929" s="3">
        <v>7000</v>
      </c>
      <c r="T1929" s="2">
        <v>10166.5703125</v>
      </c>
      <c r="U1929" s="2">
        <v>10677.572294034861</v>
      </c>
      <c r="V1929" s="2">
        <v>8094.4087841432101</v>
      </c>
      <c r="W1929" s="2">
        <v>9935.9609375</v>
      </c>
      <c r="X1929" s="4">
        <f t="shared" si="120"/>
        <v>0.68853111568936487</v>
      </c>
      <c r="Y1929" s="4">
        <f t="shared" si="121"/>
        <v>0.65557973359830346</v>
      </c>
      <c r="Z1929" s="4">
        <f t="shared" si="122"/>
        <v>0.86479447562777712</v>
      </c>
      <c r="AA1929" s="4">
        <f t="shared" si="123"/>
        <v>0.70451162640754894</v>
      </c>
    </row>
    <row r="1930" spans="1:27" x14ac:dyDescent="0.3">
      <c r="A1930" t="s">
        <v>556</v>
      </c>
      <c r="B1930">
        <v>110284</v>
      </c>
      <c r="C1930">
        <v>2020</v>
      </c>
      <c r="D1930" t="s">
        <v>54</v>
      </c>
      <c r="E1930" t="s">
        <v>219</v>
      </c>
      <c r="F1930">
        <v>8</v>
      </c>
      <c r="G1930" t="s">
        <v>36</v>
      </c>
      <c r="H1930">
        <v>4</v>
      </c>
      <c r="I1930" t="s">
        <v>23</v>
      </c>
      <c r="J1930" t="s">
        <v>24</v>
      </c>
      <c r="K1930" t="s">
        <v>27</v>
      </c>
      <c r="L1930" t="s">
        <v>84</v>
      </c>
      <c r="M1930">
        <v>4</v>
      </c>
      <c r="N1930">
        <v>0</v>
      </c>
      <c r="S1930" s="3">
        <v>16500</v>
      </c>
      <c r="T1930" s="2">
        <v>23347.009765625</v>
      </c>
      <c r="U1930" s="2">
        <v>25883.10006921013</v>
      </c>
      <c r="V1930" s="2">
        <v>23559.703811723601</v>
      </c>
      <c r="W1930" s="2">
        <v>30707.17578125</v>
      </c>
      <c r="X1930" s="4">
        <f t="shared" si="120"/>
        <v>0.70672862030896122</v>
      </c>
      <c r="Y1930" s="4">
        <f t="shared" si="121"/>
        <v>0.63748159825831585</v>
      </c>
      <c r="Z1930" s="4">
        <f t="shared" si="122"/>
        <v>0.70034836311436965</v>
      </c>
      <c r="AA1930" s="4">
        <f t="shared" si="123"/>
        <v>0.53733368765469491</v>
      </c>
    </row>
    <row r="1931" spans="1:27" x14ac:dyDescent="0.3">
      <c r="A1931" t="s">
        <v>556</v>
      </c>
      <c r="B1931">
        <v>114284</v>
      </c>
      <c r="C1931">
        <v>2019</v>
      </c>
      <c r="D1931" t="s">
        <v>40</v>
      </c>
      <c r="E1931" t="s">
        <v>150</v>
      </c>
      <c r="F1931">
        <v>6</v>
      </c>
      <c r="G1931" t="s">
        <v>256</v>
      </c>
      <c r="H1931">
        <v>4</v>
      </c>
      <c r="I1931" t="s">
        <v>23</v>
      </c>
      <c r="J1931" t="s">
        <v>24</v>
      </c>
      <c r="K1931" t="s">
        <v>27</v>
      </c>
      <c r="L1931" t="s">
        <v>26</v>
      </c>
      <c r="M1931" t="s">
        <v>23</v>
      </c>
      <c r="N1931">
        <v>0</v>
      </c>
      <c r="S1931" s="3">
        <v>8200</v>
      </c>
      <c r="T1931" s="2">
        <v>15257.5654296875</v>
      </c>
      <c r="U1931" s="2">
        <v>15950.746418856501</v>
      </c>
      <c r="V1931" s="2">
        <v>13866.958725401229</v>
      </c>
      <c r="W1931" s="2">
        <v>15106.3857421875</v>
      </c>
      <c r="X1931" s="4">
        <f t="shared" si="120"/>
        <v>0.53743829825201339</v>
      </c>
      <c r="Y1931" s="4">
        <f t="shared" si="121"/>
        <v>0.51408252533600574</v>
      </c>
      <c r="Z1931" s="4">
        <f t="shared" si="122"/>
        <v>0.59133369921837275</v>
      </c>
      <c r="AA1931" s="4">
        <f t="shared" si="123"/>
        <v>0.54281680210905225</v>
      </c>
    </row>
    <row r="1932" spans="1:27" x14ac:dyDescent="0.3">
      <c r="A1932" t="s">
        <v>556</v>
      </c>
      <c r="B1932">
        <v>117606</v>
      </c>
      <c r="C1932">
        <v>2012</v>
      </c>
      <c r="D1932" t="s">
        <v>187</v>
      </c>
      <c r="E1932" t="s">
        <v>617</v>
      </c>
      <c r="F1932">
        <v>4</v>
      </c>
      <c r="G1932" t="s">
        <v>22</v>
      </c>
      <c r="H1932">
        <v>4</v>
      </c>
      <c r="I1932" t="s">
        <v>23</v>
      </c>
      <c r="J1932" t="s">
        <v>52</v>
      </c>
      <c r="L1932" t="s">
        <v>127</v>
      </c>
      <c r="M1932" t="s">
        <v>23</v>
      </c>
      <c r="N1932">
        <v>0</v>
      </c>
      <c r="O1932" t="s">
        <v>27</v>
      </c>
      <c r="S1932" s="3">
        <v>3400</v>
      </c>
      <c r="T1932" s="2">
        <v>4464.01171875</v>
      </c>
      <c r="U1932" s="2">
        <v>4284.2516140643147</v>
      </c>
      <c r="V1932" s="2">
        <v>3131.768963204262</v>
      </c>
      <c r="W1932" s="2">
        <v>4202.16943359375</v>
      </c>
      <c r="X1932" s="4">
        <f t="shared" si="120"/>
        <v>0.76164674606904004</v>
      </c>
      <c r="Y1932" s="4">
        <f t="shared" si="121"/>
        <v>0.7936041825457919</v>
      </c>
      <c r="Z1932" s="4">
        <f t="shared" si="122"/>
        <v>1.0856484114719938</v>
      </c>
      <c r="AA1932" s="4">
        <f t="shared" si="123"/>
        <v>0.80910588060041067</v>
      </c>
    </row>
    <row r="1933" spans="1:27" x14ac:dyDescent="0.3">
      <c r="A1933" t="s">
        <v>556</v>
      </c>
      <c r="B1933">
        <v>236235</v>
      </c>
      <c r="C1933">
        <v>2013</v>
      </c>
      <c r="D1933" t="s">
        <v>141</v>
      </c>
      <c r="E1933" t="s">
        <v>259</v>
      </c>
      <c r="F1933">
        <v>4</v>
      </c>
      <c r="G1933" t="s">
        <v>36</v>
      </c>
      <c r="H1933">
        <v>4</v>
      </c>
      <c r="I1933" t="s">
        <v>23</v>
      </c>
      <c r="J1933" t="s">
        <v>31</v>
      </c>
      <c r="K1933" t="s">
        <v>27</v>
      </c>
      <c r="L1933" t="s">
        <v>60</v>
      </c>
      <c r="M1933" t="s">
        <v>33</v>
      </c>
      <c r="N1933">
        <v>0</v>
      </c>
      <c r="S1933" s="3">
        <v>1000</v>
      </c>
      <c r="T1933" s="2">
        <v>2620.374267578125</v>
      </c>
      <c r="U1933" s="2">
        <v>1611.073845192092</v>
      </c>
      <c r="V1933" s="2">
        <v>1275.805160674505</v>
      </c>
      <c r="W1933" s="2">
        <v>1538.892944335938</v>
      </c>
      <c r="X1933" s="4">
        <f t="shared" si="120"/>
        <v>0.38162487411550094</v>
      </c>
      <c r="Y1933" s="4">
        <f t="shared" si="121"/>
        <v>0.62070401241028639</v>
      </c>
      <c r="Z1933" s="4">
        <f t="shared" si="122"/>
        <v>0.78381874507492222</v>
      </c>
      <c r="AA1933" s="4">
        <f t="shared" si="123"/>
        <v>0.64981778211447927</v>
      </c>
    </row>
    <row r="1934" spans="1:27" x14ac:dyDescent="0.3">
      <c r="A1934" t="s">
        <v>556</v>
      </c>
      <c r="B1934">
        <v>172168</v>
      </c>
      <c r="C1934">
        <v>2017</v>
      </c>
      <c r="D1934" t="s">
        <v>44</v>
      </c>
      <c r="E1934" t="s">
        <v>267</v>
      </c>
      <c r="F1934">
        <v>8</v>
      </c>
      <c r="G1934" t="s">
        <v>36</v>
      </c>
      <c r="H1934">
        <v>4</v>
      </c>
      <c r="I1934" t="s">
        <v>23</v>
      </c>
      <c r="J1934" t="s">
        <v>46</v>
      </c>
      <c r="L1934" t="s">
        <v>313</v>
      </c>
      <c r="M1934">
        <v>4</v>
      </c>
      <c r="N1934">
        <v>0</v>
      </c>
      <c r="S1934" s="3">
        <v>8400</v>
      </c>
      <c r="T1934" s="2">
        <v>17867.091796875</v>
      </c>
      <c r="U1934" s="2">
        <v>21779.317603851461</v>
      </c>
      <c r="V1934" s="2">
        <v>20836.035494150081</v>
      </c>
      <c r="W1934" s="2">
        <v>15938.568359375</v>
      </c>
      <c r="X1934" s="4">
        <f t="shared" si="120"/>
        <v>0.47013806698352451</v>
      </c>
      <c r="Y1934" s="4">
        <f t="shared" si="121"/>
        <v>0.38568701521275128</v>
      </c>
      <c r="Z1934" s="4">
        <f t="shared" si="122"/>
        <v>0.40314771024259299</v>
      </c>
      <c r="AA1934" s="4">
        <f t="shared" si="123"/>
        <v>0.52702349487111588</v>
      </c>
    </row>
    <row r="1935" spans="1:27" x14ac:dyDescent="0.3">
      <c r="A1935" t="s">
        <v>556</v>
      </c>
      <c r="B1935">
        <v>100753</v>
      </c>
      <c r="C1935">
        <v>2019</v>
      </c>
      <c r="D1935" t="s">
        <v>54</v>
      </c>
      <c r="E1935" t="s">
        <v>124</v>
      </c>
      <c r="F1935">
        <v>4</v>
      </c>
      <c r="G1935" t="s">
        <v>22</v>
      </c>
      <c r="H1935">
        <v>4</v>
      </c>
      <c r="I1935" t="s">
        <v>23</v>
      </c>
      <c r="J1935" t="s">
        <v>24</v>
      </c>
      <c r="L1935" t="s">
        <v>60</v>
      </c>
      <c r="M1935" t="s">
        <v>33</v>
      </c>
      <c r="N1935">
        <v>0</v>
      </c>
      <c r="S1935" s="3">
        <v>8400</v>
      </c>
      <c r="T1935" s="2">
        <v>13183.6474609375</v>
      </c>
      <c r="U1935" s="2">
        <v>12904.53692473776</v>
      </c>
      <c r="V1935" s="2">
        <v>9132.4173444768385</v>
      </c>
      <c r="W1935" s="2">
        <v>13105.041015625</v>
      </c>
      <c r="X1935" s="4">
        <f t="shared" si="120"/>
        <v>0.63715295974720099</v>
      </c>
      <c r="Y1935" s="4">
        <f t="shared" si="121"/>
        <v>0.65093385752551525</v>
      </c>
      <c r="Z1935" s="4">
        <f t="shared" si="122"/>
        <v>0.91980027665733055</v>
      </c>
      <c r="AA1935" s="4">
        <f t="shared" si="123"/>
        <v>0.64097472033737013</v>
      </c>
    </row>
    <row r="1936" spans="1:27" x14ac:dyDescent="0.3">
      <c r="A1936" t="s">
        <v>135</v>
      </c>
      <c r="B1936">
        <v>157853</v>
      </c>
      <c r="C1936">
        <v>2013</v>
      </c>
      <c r="D1936" t="s">
        <v>40</v>
      </c>
      <c r="E1936" t="s">
        <v>136</v>
      </c>
      <c r="F1936">
        <v>4</v>
      </c>
      <c r="G1936" t="s">
        <v>22</v>
      </c>
      <c r="H1936">
        <v>4</v>
      </c>
      <c r="I1936" t="s">
        <v>23</v>
      </c>
      <c r="J1936" t="s">
        <v>31</v>
      </c>
      <c r="K1936" t="s">
        <v>27</v>
      </c>
      <c r="L1936" t="s">
        <v>32</v>
      </c>
      <c r="M1936" t="s">
        <v>33</v>
      </c>
      <c r="N1936">
        <v>2.5</v>
      </c>
      <c r="O1936" t="s">
        <v>27</v>
      </c>
      <c r="S1936" s="3">
        <v>1000</v>
      </c>
      <c r="T1936" s="2">
        <v>3808.671142578125</v>
      </c>
      <c r="U1936" s="2">
        <v>3017.3158579723831</v>
      </c>
      <c r="V1936" s="2">
        <v>2023.668098972928</v>
      </c>
      <c r="W1936" s="2">
        <v>2939.7275390625</v>
      </c>
      <c r="X1936" s="4">
        <f t="shared" si="120"/>
        <v>0.2625587672353068</v>
      </c>
      <c r="Y1936" s="4">
        <f t="shared" si="121"/>
        <v>0.33142039052947991</v>
      </c>
      <c r="Z1936" s="4">
        <f t="shared" si="122"/>
        <v>0.49415217866384803</v>
      </c>
      <c r="AA1936" s="4">
        <f t="shared" si="123"/>
        <v>0.34016757903996336</v>
      </c>
    </row>
    <row r="1937" spans="1:27" x14ac:dyDescent="0.3">
      <c r="A1937" t="s">
        <v>135</v>
      </c>
      <c r="B1937">
        <v>88714</v>
      </c>
      <c r="C1937">
        <v>2021</v>
      </c>
      <c r="D1937" t="s">
        <v>44</v>
      </c>
      <c r="E1937" t="s">
        <v>590</v>
      </c>
      <c r="F1937">
        <v>6</v>
      </c>
      <c r="G1937" t="s">
        <v>36</v>
      </c>
      <c r="H1937">
        <v>4</v>
      </c>
      <c r="I1937" t="s">
        <v>23</v>
      </c>
      <c r="J1937" t="s">
        <v>62</v>
      </c>
      <c r="L1937" t="s">
        <v>235</v>
      </c>
      <c r="M1937" t="s">
        <v>23</v>
      </c>
      <c r="N1937">
        <v>1.9</v>
      </c>
      <c r="O1937" t="s">
        <v>27</v>
      </c>
      <c r="S1937" s="3">
        <v>6500</v>
      </c>
      <c r="T1937" s="2">
        <v>12698.9599609375</v>
      </c>
      <c r="U1937" s="2">
        <v>11219.66191867111</v>
      </c>
      <c r="V1937" s="2">
        <v>9675.3414695146257</v>
      </c>
      <c r="W1937" s="2">
        <v>12653.400390625</v>
      </c>
      <c r="X1937" s="4">
        <f t="shared" si="120"/>
        <v>0.51185294071280285</v>
      </c>
      <c r="Y1937" s="4">
        <f t="shared" si="121"/>
        <v>0.57934009483682192</v>
      </c>
      <c r="Z1937" s="4">
        <f t="shared" si="122"/>
        <v>0.67181091442409624</v>
      </c>
      <c r="AA1937" s="4">
        <f t="shared" si="123"/>
        <v>0.51369590776688767</v>
      </c>
    </row>
    <row r="1938" spans="1:27" x14ac:dyDescent="0.3">
      <c r="A1938" t="s">
        <v>135</v>
      </c>
      <c r="B1938">
        <v>324061</v>
      </c>
      <c r="C1938">
        <v>2018</v>
      </c>
      <c r="D1938" t="s">
        <v>162</v>
      </c>
      <c r="E1938" t="s">
        <v>618</v>
      </c>
      <c r="F1938">
        <v>6</v>
      </c>
      <c r="G1938" t="s">
        <v>47</v>
      </c>
      <c r="H1938">
        <v>0</v>
      </c>
      <c r="I1938" t="s">
        <v>23</v>
      </c>
      <c r="J1938" t="s">
        <v>619</v>
      </c>
      <c r="L1938" t="s">
        <v>620</v>
      </c>
      <c r="M1938">
        <v>4</v>
      </c>
      <c r="N1938">
        <v>0</v>
      </c>
      <c r="O1938" t="s">
        <v>39</v>
      </c>
      <c r="S1938" s="3">
        <v>4200</v>
      </c>
      <c r="T1938" s="2">
        <v>5854.47412109375</v>
      </c>
      <c r="U1938" s="2">
        <v>20171.985223055159</v>
      </c>
      <c r="V1938" s="2">
        <v>11984.497942279349</v>
      </c>
      <c r="W1938" s="2">
        <v>7817.98193359375</v>
      </c>
      <c r="X1938" s="4">
        <f t="shared" si="120"/>
        <v>0.717400045354602</v>
      </c>
      <c r="Y1938" s="4">
        <f t="shared" si="121"/>
        <v>0.20820955169051461</v>
      </c>
      <c r="Z1938" s="4">
        <f t="shared" si="122"/>
        <v>0.35045272820174522</v>
      </c>
      <c r="AA1938" s="4">
        <f t="shared" si="123"/>
        <v>0.53722303731000753</v>
      </c>
    </row>
    <row r="1939" spans="1:27" x14ac:dyDescent="0.3">
      <c r="A1939" t="s">
        <v>135</v>
      </c>
      <c r="B1939">
        <v>211247</v>
      </c>
      <c r="C1939">
        <v>2019</v>
      </c>
      <c r="D1939" t="s">
        <v>40</v>
      </c>
      <c r="E1939" t="s">
        <v>502</v>
      </c>
      <c r="F1939">
        <v>8</v>
      </c>
      <c r="G1939" t="s">
        <v>47</v>
      </c>
      <c r="H1939">
        <v>3</v>
      </c>
      <c r="I1939" t="s">
        <v>23</v>
      </c>
      <c r="J1939" t="s">
        <v>448</v>
      </c>
      <c r="K1939" t="s">
        <v>27</v>
      </c>
      <c r="L1939" t="s">
        <v>80</v>
      </c>
      <c r="M1939" t="s">
        <v>78</v>
      </c>
      <c r="N1939">
        <v>1.4</v>
      </c>
      <c r="O1939" t="s">
        <v>27</v>
      </c>
      <c r="S1939" s="3">
        <v>5600</v>
      </c>
      <c r="T1939" s="2">
        <v>8333.87890625</v>
      </c>
      <c r="U1939" s="2">
        <v>16843.240589437399</v>
      </c>
      <c r="V1939" s="2">
        <v>4199.8634105150704</v>
      </c>
      <c r="W1939" s="2">
        <v>11576.880859375</v>
      </c>
      <c r="X1939" s="4">
        <f t="shared" si="120"/>
        <v>0.67195600788010912</v>
      </c>
      <c r="Y1939" s="4">
        <f t="shared" si="121"/>
        <v>0.33247758768653035</v>
      </c>
      <c r="Z1939" s="4">
        <f t="shared" si="122"/>
        <v>1.3333766964848071</v>
      </c>
      <c r="AA1939" s="4">
        <f t="shared" si="123"/>
        <v>0.48372269422338399</v>
      </c>
    </row>
    <row r="1940" spans="1:27" x14ac:dyDescent="0.3">
      <c r="A1940" t="s">
        <v>135</v>
      </c>
      <c r="B1940">
        <v>87765</v>
      </c>
      <c r="C1940">
        <v>2021</v>
      </c>
      <c r="D1940" t="s">
        <v>44</v>
      </c>
      <c r="E1940" t="s">
        <v>590</v>
      </c>
      <c r="F1940">
        <v>6</v>
      </c>
      <c r="G1940" t="s">
        <v>36</v>
      </c>
      <c r="H1940">
        <v>4</v>
      </c>
      <c r="I1940" t="s">
        <v>23</v>
      </c>
      <c r="J1940" t="s">
        <v>62</v>
      </c>
      <c r="L1940" t="s">
        <v>235</v>
      </c>
      <c r="M1940" t="s">
        <v>23</v>
      </c>
      <c r="N1940">
        <v>2.8</v>
      </c>
      <c r="O1940" t="s">
        <v>27</v>
      </c>
      <c r="S1940" s="3">
        <v>7000</v>
      </c>
      <c r="T1940" s="2">
        <v>15163.8017578125</v>
      </c>
      <c r="U1940" s="2">
        <v>16429.682201324671</v>
      </c>
      <c r="V1940" s="2">
        <v>13758.61767766615</v>
      </c>
      <c r="W1940" s="2">
        <v>16197.2275390625</v>
      </c>
      <c r="X1940" s="4">
        <f t="shared" si="120"/>
        <v>0.4616256603587916</v>
      </c>
      <c r="Y1940" s="4">
        <f t="shared" si="121"/>
        <v>0.42605814976966583</v>
      </c>
      <c r="Z1940" s="4">
        <f t="shared" si="122"/>
        <v>0.50877204120315356</v>
      </c>
      <c r="AA1940" s="4">
        <f t="shared" si="123"/>
        <v>0.43217272728423756</v>
      </c>
    </row>
    <row r="1941" spans="1:27" x14ac:dyDescent="0.3">
      <c r="A1941" t="s">
        <v>135</v>
      </c>
      <c r="B1941">
        <v>48681</v>
      </c>
      <c r="C1941">
        <v>2023</v>
      </c>
      <c r="D1941" t="s">
        <v>40</v>
      </c>
      <c r="E1941" t="s">
        <v>150</v>
      </c>
      <c r="F1941">
        <v>6</v>
      </c>
      <c r="G1941" t="s">
        <v>47</v>
      </c>
      <c r="H1941">
        <v>4</v>
      </c>
      <c r="I1941" t="s">
        <v>23</v>
      </c>
      <c r="J1941" t="s">
        <v>24</v>
      </c>
      <c r="K1941" t="s">
        <v>27</v>
      </c>
      <c r="L1941" t="s">
        <v>26</v>
      </c>
      <c r="M1941" t="s">
        <v>23</v>
      </c>
      <c r="N1941">
        <v>1.5</v>
      </c>
      <c r="O1941" t="s">
        <v>27</v>
      </c>
      <c r="S1941" s="3">
        <v>20000</v>
      </c>
      <c r="T1941" s="2">
        <v>28069.1015625</v>
      </c>
      <c r="U1941" s="2">
        <v>29449.628787510381</v>
      </c>
      <c r="V1941" s="2">
        <v>20411.76917271112</v>
      </c>
      <c r="W1941" s="2">
        <v>30949.044921875</v>
      </c>
      <c r="X1941" s="4">
        <f t="shared" si="120"/>
        <v>0.71252725903845004</v>
      </c>
      <c r="Y1941" s="4">
        <f t="shared" si="121"/>
        <v>0.67912570797775285</v>
      </c>
      <c r="Z1941" s="4">
        <f t="shared" si="122"/>
        <v>0.97982687491579012</v>
      </c>
      <c r="AA1941" s="4">
        <f t="shared" si="123"/>
        <v>0.64622349576493265</v>
      </c>
    </row>
    <row r="1942" spans="1:27" x14ac:dyDescent="0.3">
      <c r="A1942" t="s">
        <v>135</v>
      </c>
      <c r="B1942">
        <v>91014</v>
      </c>
      <c r="C1942">
        <v>2019</v>
      </c>
      <c r="D1942" t="s">
        <v>44</v>
      </c>
      <c r="E1942" t="s">
        <v>117</v>
      </c>
      <c r="F1942">
        <v>4</v>
      </c>
      <c r="G1942" t="s">
        <v>22</v>
      </c>
      <c r="H1942">
        <v>4</v>
      </c>
      <c r="I1942" t="s">
        <v>23</v>
      </c>
      <c r="J1942" t="s">
        <v>62</v>
      </c>
      <c r="L1942" t="s">
        <v>128</v>
      </c>
      <c r="M1942" t="s">
        <v>33</v>
      </c>
      <c r="N1942">
        <v>2.1</v>
      </c>
      <c r="O1942" t="s">
        <v>27</v>
      </c>
      <c r="S1942" s="3">
        <v>3000</v>
      </c>
      <c r="T1942" s="2">
        <v>9504.791015625</v>
      </c>
      <c r="U1942" s="2">
        <v>9548.9606948811306</v>
      </c>
      <c r="V1942" s="2">
        <v>7346.9155814096121</v>
      </c>
      <c r="W1942" s="2">
        <v>9271.5068359375</v>
      </c>
      <c r="X1942" s="4">
        <f t="shared" si="120"/>
        <v>0.31563029582326185</v>
      </c>
      <c r="Y1942" s="4">
        <f t="shared" si="121"/>
        <v>0.3141703161065682</v>
      </c>
      <c r="Z1942" s="4">
        <f t="shared" si="122"/>
        <v>0.40833462243544749</v>
      </c>
      <c r="AA1942" s="4">
        <f t="shared" si="123"/>
        <v>0.32357199893027433</v>
      </c>
    </row>
    <row r="1943" spans="1:27" x14ac:dyDescent="0.3">
      <c r="A1943" t="s">
        <v>135</v>
      </c>
      <c r="B1943">
        <v>102632</v>
      </c>
      <c r="C1943">
        <v>2009</v>
      </c>
      <c r="D1943" t="s">
        <v>20</v>
      </c>
      <c r="E1943" t="s">
        <v>410</v>
      </c>
      <c r="F1943">
        <v>8</v>
      </c>
      <c r="G1943" t="s">
        <v>47</v>
      </c>
      <c r="H1943">
        <v>2</v>
      </c>
      <c r="I1943" t="s">
        <v>23</v>
      </c>
      <c r="J1943" t="s">
        <v>561</v>
      </c>
      <c r="K1943" t="s">
        <v>27</v>
      </c>
      <c r="L1943" t="s">
        <v>130</v>
      </c>
      <c r="M1943" t="s">
        <v>78</v>
      </c>
      <c r="N1943">
        <v>0</v>
      </c>
      <c r="O1943" t="s">
        <v>27</v>
      </c>
      <c r="S1943" s="3">
        <v>11500</v>
      </c>
      <c r="T1943" s="2">
        <v>12430.7412109375</v>
      </c>
      <c r="U1943" s="2">
        <v>13134.232578190749</v>
      </c>
      <c r="V1943" s="2">
        <v>10458.60912537345</v>
      </c>
      <c r="W1943" s="2">
        <v>12872.615234375</v>
      </c>
      <c r="X1943" s="4">
        <f t="shared" si="120"/>
        <v>0.92512584767523243</v>
      </c>
      <c r="Y1943" s="4">
        <f t="shared" si="121"/>
        <v>0.87557456680762802</v>
      </c>
      <c r="Z1943" s="4">
        <f t="shared" si="122"/>
        <v>1.0995725972873438</v>
      </c>
      <c r="AA1943" s="4">
        <f t="shared" si="123"/>
        <v>0.89336935740069578</v>
      </c>
    </row>
    <row r="1944" spans="1:27" x14ac:dyDescent="0.3">
      <c r="A1944" t="s">
        <v>135</v>
      </c>
      <c r="B1944">
        <v>205211</v>
      </c>
      <c r="C1944">
        <v>2014</v>
      </c>
      <c r="D1944" t="s">
        <v>40</v>
      </c>
      <c r="E1944" t="s">
        <v>252</v>
      </c>
      <c r="F1944">
        <v>8</v>
      </c>
      <c r="G1944" t="s">
        <v>47</v>
      </c>
      <c r="H1944">
        <v>2</v>
      </c>
      <c r="I1944" t="s">
        <v>23</v>
      </c>
      <c r="J1944" t="s">
        <v>253</v>
      </c>
      <c r="L1944" t="s">
        <v>80</v>
      </c>
      <c r="M1944" t="s">
        <v>78</v>
      </c>
      <c r="N1944">
        <v>2.5</v>
      </c>
      <c r="O1944" t="s">
        <v>27</v>
      </c>
      <c r="S1944" s="3">
        <v>4000</v>
      </c>
      <c r="T1944" s="2">
        <v>5271.53466796875</v>
      </c>
      <c r="U1944" s="2">
        <v>14347.461524083559</v>
      </c>
      <c r="V1944" s="2">
        <v>6117.3041191668763</v>
      </c>
      <c r="W1944" s="2">
        <v>6719.7822265625</v>
      </c>
      <c r="X1944" s="4">
        <f t="shared" si="120"/>
        <v>0.75879231607923714</v>
      </c>
      <c r="Y1944" s="4">
        <f t="shared" si="121"/>
        <v>0.27879496266887527</v>
      </c>
      <c r="Z1944" s="4">
        <f t="shared" si="122"/>
        <v>0.65388280884501215</v>
      </c>
      <c r="AA1944" s="4">
        <f t="shared" si="123"/>
        <v>0.59525738560224106</v>
      </c>
    </row>
    <row r="1945" spans="1:27" x14ac:dyDescent="0.3">
      <c r="A1945" t="s">
        <v>135</v>
      </c>
      <c r="B1945">
        <v>229981</v>
      </c>
      <c r="C1945">
        <v>2012</v>
      </c>
      <c r="D1945" t="s">
        <v>100</v>
      </c>
      <c r="E1945" t="s">
        <v>101</v>
      </c>
      <c r="F1945">
        <v>6</v>
      </c>
      <c r="G1945" t="s">
        <v>47</v>
      </c>
      <c r="H1945">
        <v>4</v>
      </c>
      <c r="I1945" t="s">
        <v>23</v>
      </c>
      <c r="J1945" t="s">
        <v>31</v>
      </c>
      <c r="K1945" t="s">
        <v>27</v>
      </c>
      <c r="L1945" t="s">
        <v>53</v>
      </c>
      <c r="M1945" t="s">
        <v>33</v>
      </c>
      <c r="N1945">
        <v>3.2</v>
      </c>
      <c r="O1945" t="s">
        <v>27</v>
      </c>
      <c r="S1945" s="3">
        <v>1000</v>
      </c>
      <c r="T1945" s="2">
        <v>1764.194702148438</v>
      </c>
      <c r="U1945" s="2">
        <v>2195.305227479208</v>
      </c>
      <c r="V1945" s="2">
        <v>1688.6837002363991</v>
      </c>
      <c r="W1945" s="2">
        <v>2404.515869140625</v>
      </c>
      <c r="X1945" s="4">
        <f t="shared" si="120"/>
        <v>0.56683085987175852</v>
      </c>
      <c r="Y1945" s="4">
        <f t="shared" si="121"/>
        <v>0.4555175232504069</v>
      </c>
      <c r="Z1945" s="4">
        <f t="shared" si="122"/>
        <v>0.59217720870996138</v>
      </c>
      <c r="AA1945" s="4">
        <f t="shared" si="123"/>
        <v>0.41588413403044017</v>
      </c>
    </row>
    <row r="1946" spans="1:27" x14ac:dyDescent="0.3">
      <c r="A1946" t="s">
        <v>135</v>
      </c>
      <c r="B1946">
        <v>90750</v>
      </c>
      <c r="C1946">
        <v>2020</v>
      </c>
      <c r="D1946" t="s">
        <v>44</v>
      </c>
      <c r="E1946" t="s">
        <v>68</v>
      </c>
      <c r="F1946">
        <v>4</v>
      </c>
      <c r="G1946" t="s">
        <v>22</v>
      </c>
      <c r="H1946">
        <v>4</v>
      </c>
      <c r="I1946" t="s">
        <v>23</v>
      </c>
      <c r="J1946" t="s">
        <v>62</v>
      </c>
      <c r="K1946" t="s">
        <v>27</v>
      </c>
      <c r="L1946" t="s">
        <v>69</v>
      </c>
      <c r="M1946" t="s">
        <v>78</v>
      </c>
      <c r="N1946">
        <v>1.3</v>
      </c>
      <c r="O1946" t="s">
        <v>27</v>
      </c>
      <c r="S1946" s="3">
        <v>9500</v>
      </c>
      <c r="T1946" s="2">
        <v>10982.146484375</v>
      </c>
      <c r="U1946" s="2">
        <v>11408.65901938242</v>
      </c>
      <c r="V1946" s="2">
        <v>14866.193407100151</v>
      </c>
      <c r="W1946" s="2">
        <v>11573.6572265625</v>
      </c>
      <c r="X1946" s="4">
        <f t="shared" si="120"/>
        <v>0.86504036469703405</v>
      </c>
      <c r="Y1946" s="4">
        <f t="shared" si="121"/>
        <v>0.83270084449541726</v>
      </c>
      <c r="Z1946" s="4">
        <f t="shared" si="122"/>
        <v>0.63903379566303531</v>
      </c>
      <c r="AA1946" s="4">
        <f t="shared" si="123"/>
        <v>0.82082956268971874</v>
      </c>
    </row>
    <row r="1947" spans="1:27" x14ac:dyDescent="0.3">
      <c r="A1947" t="s">
        <v>135</v>
      </c>
      <c r="B1947">
        <v>105334</v>
      </c>
      <c r="C1947">
        <v>2017</v>
      </c>
      <c r="D1947" t="s">
        <v>40</v>
      </c>
      <c r="E1947" t="s">
        <v>150</v>
      </c>
      <c r="F1947">
        <v>6</v>
      </c>
      <c r="G1947" t="s">
        <v>22</v>
      </c>
      <c r="H1947">
        <v>4</v>
      </c>
      <c r="I1947" t="s">
        <v>23</v>
      </c>
      <c r="J1947" t="s">
        <v>24</v>
      </c>
      <c r="L1947" t="s">
        <v>26</v>
      </c>
      <c r="M1947" t="s">
        <v>23</v>
      </c>
      <c r="N1947">
        <v>4.4000000000000004</v>
      </c>
      <c r="O1947" t="s">
        <v>27</v>
      </c>
      <c r="S1947" s="3">
        <v>7250</v>
      </c>
      <c r="T1947" s="2">
        <v>15479.3583984375</v>
      </c>
      <c r="U1947" s="2">
        <v>15480.199608271419</v>
      </c>
      <c r="V1947" s="2">
        <v>11427.38495315631</v>
      </c>
      <c r="W1947" s="2">
        <v>15202.3388671875</v>
      </c>
      <c r="X1947" s="4">
        <f t="shared" si="120"/>
        <v>0.46836566564230603</v>
      </c>
      <c r="Y1947" s="4">
        <f t="shared" si="121"/>
        <v>0.46834021417438065</v>
      </c>
      <c r="Z1947" s="4">
        <f t="shared" si="122"/>
        <v>0.63444086549280965</v>
      </c>
      <c r="AA1947" s="4">
        <f t="shared" si="123"/>
        <v>0.4769003022060172</v>
      </c>
    </row>
    <row r="1948" spans="1:27" x14ac:dyDescent="0.3">
      <c r="A1948" t="s">
        <v>135</v>
      </c>
      <c r="B1948">
        <v>118513</v>
      </c>
      <c r="C1948">
        <v>2016</v>
      </c>
      <c r="D1948" t="s">
        <v>20</v>
      </c>
      <c r="E1948" t="s">
        <v>151</v>
      </c>
      <c r="F1948">
        <v>8</v>
      </c>
      <c r="G1948" t="s">
        <v>47</v>
      </c>
      <c r="H1948">
        <v>4</v>
      </c>
      <c r="I1948" t="s">
        <v>23</v>
      </c>
      <c r="J1948" t="s">
        <v>42</v>
      </c>
      <c r="K1948" t="s">
        <v>27</v>
      </c>
      <c r="L1948" t="s">
        <v>43</v>
      </c>
      <c r="M1948" t="s">
        <v>78</v>
      </c>
      <c r="N1948">
        <v>0</v>
      </c>
      <c r="O1948" t="s">
        <v>27</v>
      </c>
      <c r="S1948" s="3">
        <v>18000</v>
      </c>
      <c r="T1948" s="2">
        <v>17194.5234375</v>
      </c>
      <c r="U1948" s="2">
        <v>16824.636400554209</v>
      </c>
      <c r="V1948" s="2">
        <v>17312.64832502609</v>
      </c>
      <c r="W1948" s="2">
        <v>20909.421875</v>
      </c>
      <c r="X1948" s="4">
        <f t="shared" si="120"/>
        <v>1.0468449483597384</v>
      </c>
      <c r="Y1948" s="4">
        <f t="shared" si="121"/>
        <v>1.0698596731283343</v>
      </c>
      <c r="Z1948" s="4">
        <f t="shared" si="122"/>
        <v>1.0397022836754743</v>
      </c>
      <c r="AA1948" s="4">
        <f t="shared" si="123"/>
        <v>0.86085593889716283</v>
      </c>
    </row>
    <row r="1949" spans="1:27" x14ac:dyDescent="0.3">
      <c r="A1949" t="s">
        <v>556</v>
      </c>
      <c r="B1949">
        <v>158071</v>
      </c>
      <c r="C1949">
        <v>2016</v>
      </c>
      <c r="D1949" t="s">
        <v>100</v>
      </c>
      <c r="E1949" t="s">
        <v>138</v>
      </c>
      <c r="F1949">
        <v>4</v>
      </c>
      <c r="G1949" t="s">
        <v>66</v>
      </c>
      <c r="H1949">
        <v>4</v>
      </c>
      <c r="I1949" t="s">
        <v>23</v>
      </c>
      <c r="J1949" t="s">
        <v>24</v>
      </c>
      <c r="K1949" t="s">
        <v>27</v>
      </c>
      <c r="L1949" t="s">
        <v>102</v>
      </c>
      <c r="M1949" t="s">
        <v>33</v>
      </c>
      <c r="N1949">
        <v>0</v>
      </c>
      <c r="S1949" s="3">
        <v>2000</v>
      </c>
      <c r="T1949" s="2">
        <v>3295.84912109375</v>
      </c>
      <c r="U1949" s="2">
        <v>3480.6227620037862</v>
      </c>
      <c r="V1949" s="2">
        <v>5240.3119084706468</v>
      </c>
      <c r="W1949" s="2">
        <v>3660.573486328125</v>
      </c>
      <c r="X1949" s="4">
        <f t="shared" si="120"/>
        <v>0.60682389469827624</v>
      </c>
      <c r="Y1949" s="4">
        <f t="shared" si="121"/>
        <v>0.57460981460932725</v>
      </c>
      <c r="Z1949" s="4">
        <f t="shared" si="122"/>
        <v>0.38165667138383902</v>
      </c>
      <c r="AA1949" s="4">
        <f t="shared" si="123"/>
        <v>0.54636247775650437</v>
      </c>
    </row>
    <row r="1950" spans="1:27" x14ac:dyDescent="0.3">
      <c r="A1950" t="s">
        <v>556</v>
      </c>
      <c r="B1950">
        <v>159945</v>
      </c>
      <c r="C1950">
        <v>2014</v>
      </c>
      <c r="D1950" t="s">
        <v>54</v>
      </c>
      <c r="E1950" t="s">
        <v>124</v>
      </c>
      <c r="F1950">
        <v>4</v>
      </c>
      <c r="G1950" t="s">
        <v>47</v>
      </c>
      <c r="H1950">
        <v>4</v>
      </c>
      <c r="I1950" t="s">
        <v>23</v>
      </c>
      <c r="J1950" t="s">
        <v>24</v>
      </c>
      <c r="L1950" t="s">
        <v>127</v>
      </c>
      <c r="M1950" t="s">
        <v>33</v>
      </c>
      <c r="N1950">
        <v>0</v>
      </c>
      <c r="S1950" s="3">
        <v>1100</v>
      </c>
      <c r="T1950" s="2">
        <v>3408.70263671875</v>
      </c>
      <c r="U1950" s="2">
        <v>3648.823353469098</v>
      </c>
      <c r="V1950" s="2">
        <v>2455.777626567165</v>
      </c>
      <c r="W1950" s="2">
        <v>3916.67138671875</v>
      </c>
      <c r="X1950" s="4">
        <f t="shared" si="120"/>
        <v>0.32270342040127931</v>
      </c>
      <c r="Y1950" s="4">
        <f t="shared" si="121"/>
        <v>0.30146704661769425</v>
      </c>
      <c r="Z1950" s="4">
        <f t="shared" si="122"/>
        <v>0.447923292443073</v>
      </c>
      <c r="AA1950" s="4">
        <f t="shared" si="123"/>
        <v>0.28085072537105071</v>
      </c>
    </row>
    <row r="1951" spans="1:27" x14ac:dyDescent="0.3">
      <c r="A1951" t="s">
        <v>556</v>
      </c>
      <c r="B1951">
        <v>141681</v>
      </c>
      <c r="C1951">
        <v>2014</v>
      </c>
      <c r="D1951" t="s">
        <v>81</v>
      </c>
      <c r="E1951" t="s">
        <v>207</v>
      </c>
      <c r="F1951">
        <v>6</v>
      </c>
      <c r="G1951" t="s">
        <v>22</v>
      </c>
      <c r="H1951">
        <v>4</v>
      </c>
      <c r="I1951" t="s">
        <v>23</v>
      </c>
      <c r="J1951" t="s">
        <v>31</v>
      </c>
      <c r="L1951" t="s">
        <v>26</v>
      </c>
      <c r="M1951" t="s">
        <v>78</v>
      </c>
      <c r="N1951">
        <v>0</v>
      </c>
      <c r="S1951" s="3">
        <v>3200</v>
      </c>
      <c r="T1951" s="2">
        <v>7739.23486328125</v>
      </c>
      <c r="U1951" s="2">
        <v>9242.7613389387534</v>
      </c>
      <c r="V1951" s="2">
        <v>3940.295865411495</v>
      </c>
      <c r="W1951" s="2">
        <v>6439.681640625</v>
      </c>
      <c r="X1951" s="4">
        <f t="shared" si="120"/>
        <v>0.41347756677890463</v>
      </c>
      <c r="Y1951" s="4">
        <f t="shared" si="121"/>
        <v>0.34621688071926582</v>
      </c>
      <c r="Z1951" s="4">
        <f t="shared" si="122"/>
        <v>0.81212175666555331</v>
      </c>
      <c r="AA1951" s="4">
        <f t="shared" si="123"/>
        <v>0.49691897497116422</v>
      </c>
    </row>
    <row r="1952" spans="1:27" x14ac:dyDescent="0.3">
      <c r="A1952" t="s">
        <v>556</v>
      </c>
      <c r="B1952">
        <v>129987</v>
      </c>
      <c r="C1952">
        <v>2016</v>
      </c>
      <c r="D1952" t="s">
        <v>20</v>
      </c>
      <c r="E1952" t="s">
        <v>21</v>
      </c>
      <c r="F1952">
        <v>4</v>
      </c>
      <c r="G1952" t="s">
        <v>59</v>
      </c>
      <c r="H1952">
        <v>4</v>
      </c>
      <c r="I1952" t="s">
        <v>23</v>
      </c>
      <c r="J1952" t="s">
        <v>24</v>
      </c>
      <c r="K1952" t="s">
        <v>27</v>
      </c>
      <c r="L1952" t="s">
        <v>60</v>
      </c>
      <c r="M1952" t="s">
        <v>33</v>
      </c>
      <c r="N1952">
        <v>0</v>
      </c>
      <c r="O1952" t="s">
        <v>199</v>
      </c>
      <c r="S1952" s="3">
        <v>1600</v>
      </c>
      <c r="T1952" s="2">
        <v>2940.7646484375</v>
      </c>
      <c r="U1952" s="2">
        <v>2989.9292799795012</v>
      </c>
      <c r="V1952" s="2">
        <v>2299.1425672966402</v>
      </c>
      <c r="W1952" s="2">
        <v>3114.00634765625</v>
      </c>
      <c r="X1952" s="4">
        <f t="shared" si="120"/>
        <v>0.54407618129186874</v>
      </c>
      <c r="Y1952" s="4">
        <f t="shared" si="121"/>
        <v>0.53512971384091379</v>
      </c>
      <c r="Z1952" s="4">
        <f t="shared" si="122"/>
        <v>0.69591160755259274</v>
      </c>
      <c r="AA1952" s="4">
        <f t="shared" si="123"/>
        <v>0.51380755893585006</v>
      </c>
    </row>
    <row r="1953" spans="1:27" x14ac:dyDescent="0.3">
      <c r="A1953" t="s">
        <v>556</v>
      </c>
      <c r="B1953">
        <v>181075</v>
      </c>
      <c r="C1953">
        <v>2011</v>
      </c>
      <c r="D1953" t="s">
        <v>100</v>
      </c>
      <c r="E1953" t="s">
        <v>192</v>
      </c>
      <c r="F1953">
        <v>4</v>
      </c>
      <c r="G1953" t="s">
        <v>59</v>
      </c>
      <c r="H1953">
        <v>4</v>
      </c>
      <c r="I1953" t="s">
        <v>23</v>
      </c>
      <c r="J1953" t="s">
        <v>31</v>
      </c>
      <c r="L1953" t="s">
        <v>127</v>
      </c>
      <c r="M1953" t="s">
        <v>33</v>
      </c>
      <c r="N1953">
        <v>0</v>
      </c>
      <c r="S1953" s="3">
        <v>600</v>
      </c>
      <c r="T1953" s="2">
        <v>1013.518493652344</v>
      </c>
      <c r="U1953" s="2">
        <v>1525.1861713123601</v>
      </c>
      <c r="V1953" s="2">
        <v>2184.8222565019282</v>
      </c>
      <c r="W1953" s="2">
        <v>1709.597778320312</v>
      </c>
      <c r="X1953" s="4">
        <f t="shared" si="120"/>
        <v>0.59199709108200183</v>
      </c>
      <c r="Y1953" s="4">
        <f t="shared" si="121"/>
        <v>0.39339459751574107</v>
      </c>
      <c r="Z1953" s="4">
        <f t="shared" si="122"/>
        <v>0.27462188203842591</v>
      </c>
      <c r="AA1953" s="4">
        <f t="shared" si="123"/>
        <v>0.35095974480588227</v>
      </c>
    </row>
    <row r="1954" spans="1:27" x14ac:dyDescent="0.3">
      <c r="A1954" t="s">
        <v>556</v>
      </c>
      <c r="B1954">
        <v>30117</v>
      </c>
      <c r="C1954">
        <v>2022</v>
      </c>
      <c r="D1954" t="s">
        <v>226</v>
      </c>
      <c r="E1954" t="s">
        <v>227</v>
      </c>
      <c r="F1954">
        <v>4</v>
      </c>
      <c r="G1954" t="s">
        <v>22</v>
      </c>
      <c r="H1954">
        <v>4</v>
      </c>
      <c r="I1954" t="s">
        <v>23</v>
      </c>
      <c r="J1954" t="s">
        <v>31</v>
      </c>
      <c r="L1954" t="s">
        <v>127</v>
      </c>
      <c r="M1954" t="s">
        <v>33</v>
      </c>
      <c r="N1954">
        <v>2.7</v>
      </c>
      <c r="O1954" t="s">
        <v>27</v>
      </c>
      <c r="S1954" s="3">
        <v>19000</v>
      </c>
      <c r="T1954" s="2">
        <v>15776.7001953125</v>
      </c>
      <c r="U1954" s="2">
        <v>23360.252905987381</v>
      </c>
      <c r="V1954" s="2">
        <v>21595.697894928129</v>
      </c>
      <c r="W1954" s="2">
        <v>21675.0859375</v>
      </c>
      <c r="X1954" s="4">
        <f t="shared" si="120"/>
        <v>1.2043076032873588</v>
      </c>
      <c r="Y1954" s="4">
        <f t="shared" si="121"/>
        <v>0.8133473587150325</v>
      </c>
      <c r="Z1954" s="4">
        <f t="shared" si="122"/>
        <v>0.87980486171101036</v>
      </c>
      <c r="AA1954" s="4">
        <f t="shared" si="123"/>
        <v>0.87658245299632964</v>
      </c>
    </row>
    <row r="1955" spans="1:27" x14ac:dyDescent="0.3">
      <c r="A1955" t="s">
        <v>556</v>
      </c>
      <c r="B1955">
        <v>92500</v>
      </c>
      <c r="C1955">
        <v>2021</v>
      </c>
      <c r="D1955" t="s">
        <v>40</v>
      </c>
      <c r="E1955" t="s">
        <v>150</v>
      </c>
      <c r="F1955">
        <v>6</v>
      </c>
      <c r="G1955" t="s">
        <v>47</v>
      </c>
      <c r="H1955">
        <v>4</v>
      </c>
      <c r="I1955" t="s">
        <v>23</v>
      </c>
      <c r="J1955" t="s">
        <v>24</v>
      </c>
      <c r="K1955" t="s">
        <v>27</v>
      </c>
      <c r="L1955" t="s">
        <v>26</v>
      </c>
      <c r="M1955" t="s">
        <v>33</v>
      </c>
      <c r="N1955">
        <v>0</v>
      </c>
      <c r="S1955" s="3">
        <v>15000</v>
      </c>
      <c r="T1955" s="2">
        <v>22377.15625</v>
      </c>
      <c r="U1955" s="2">
        <v>21797.83529721075</v>
      </c>
      <c r="V1955" s="2">
        <v>16931.912869637541</v>
      </c>
      <c r="W1955" s="2">
        <v>23144.244140625</v>
      </c>
      <c r="X1955" s="4">
        <f t="shared" si="120"/>
        <v>0.67032646295259257</v>
      </c>
      <c r="Y1955" s="4">
        <f t="shared" si="121"/>
        <v>0.68814172579418464</v>
      </c>
      <c r="Z1955" s="4">
        <f t="shared" si="122"/>
        <v>0.88590108604315676</v>
      </c>
      <c r="AA1955" s="4">
        <f t="shared" si="123"/>
        <v>0.64810930565974112</v>
      </c>
    </row>
    <row r="1956" spans="1:27" x14ac:dyDescent="0.3">
      <c r="A1956" t="s">
        <v>556</v>
      </c>
      <c r="B1956">
        <v>105526</v>
      </c>
      <c r="C1956">
        <v>2020</v>
      </c>
      <c r="D1956" t="s">
        <v>100</v>
      </c>
      <c r="E1956" t="s">
        <v>360</v>
      </c>
      <c r="F1956">
        <v>4</v>
      </c>
      <c r="G1956" t="s">
        <v>47</v>
      </c>
      <c r="H1956">
        <v>4</v>
      </c>
      <c r="I1956" t="s">
        <v>23</v>
      </c>
      <c r="J1956" t="s">
        <v>24</v>
      </c>
      <c r="K1956" t="s">
        <v>27</v>
      </c>
      <c r="L1956" t="s">
        <v>127</v>
      </c>
      <c r="M1956" t="s">
        <v>33</v>
      </c>
      <c r="N1956">
        <v>2.8</v>
      </c>
      <c r="O1956" t="s">
        <v>27</v>
      </c>
      <c r="S1956" s="3">
        <v>11250</v>
      </c>
      <c r="T1956" s="2">
        <v>6275.7119140625</v>
      </c>
      <c r="U1956" s="2">
        <v>9467.0368438570276</v>
      </c>
      <c r="V1956" s="2">
        <v>11252.00605084408</v>
      </c>
      <c r="W1956" s="2">
        <v>8813.716796875</v>
      </c>
      <c r="X1956" s="4">
        <f t="shared" si="120"/>
        <v>1.7926253075433891</v>
      </c>
      <c r="Y1956" s="4">
        <f t="shared" si="121"/>
        <v>1.1883338140064281</v>
      </c>
      <c r="Z1956" s="4">
        <f t="shared" si="122"/>
        <v>0.99982171616021043</v>
      </c>
      <c r="AA1956" s="4">
        <f t="shared" si="123"/>
        <v>1.2764195014739765</v>
      </c>
    </row>
    <row r="1957" spans="1:27" x14ac:dyDescent="0.3">
      <c r="A1957" t="s">
        <v>556</v>
      </c>
      <c r="B1957">
        <v>91768</v>
      </c>
      <c r="C1957">
        <v>2014</v>
      </c>
      <c r="D1957" t="s">
        <v>20</v>
      </c>
      <c r="E1957" t="s">
        <v>453</v>
      </c>
      <c r="F1957">
        <v>8</v>
      </c>
      <c r="G1957" t="s">
        <v>47</v>
      </c>
      <c r="H1957">
        <v>2</v>
      </c>
      <c r="I1957" t="s">
        <v>23</v>
      </c>
      <c r="J1957" t="s">
        <v>76</v>
      </c>
      <c r="L1957" t="s">
        <v>80</v>
      </c>
      <c r="M1957" t="s">
        <v>78</v>
      </c>
      <c r="N1957">
        <v>2.2000000000000002</v>
      </c>
      <c r="O1957" t="s">
        <v>27</v>
      </c>
      <c r="S1957" s="3">
        <v>7000</v>
      </c>
      <c r="T1957" s="2">
        <v>11325.0166015625</v>
      </c>
      <c r="U1957" s="2">
        <v>11894.88539201705</v>
      </c>
      <c r="V1957" s="2">
        <v>9419.7113665246197</v>
      </c>
      <c r="W1957" s="2">
        <v>10115.1044921875</v>
      </c>
      <c r="X1957" s="4">
        <f t="shared" si="120"/>
        <v>0.6181006391667645</v>
      </c>
      <c r="Y1957" s="4">
        <f t="shared" si="121"/>
        <v>0.58848822576280324</v>
      </c>
      <c r="Z1957" s="4">
        <f t="shared" si="122"/>
        <v>0.74312255732976173</v>
      </c>
      <c r="AA1957" s="4">
        <f t="shared" si="123"/>
        <v>0.69203437348635588</v>
      </c>
    </row>
    <row r="1958" spans="1:27" x14ac:dyDescent="0.3">
      <c r="A1958" t="s">
        <v>556</v>
      </c>
      <c r="B1958">
        <v>160198</v>
      </c>
      <c r="C1958">
        <v>2018</v>
      </c>
      <c r="D1958" t="s">
        <v>20</v>
      </c>
      <c r="E1958" t="s">
        <v>21</v>
      </c>
      <c r="F1958">
        <v>4</v>
      </c>
      <c r="G1958" t="s">
        <v>30</v>
      </c>
      <c r="H1958">
        <v>4</v>
      </c>
      <c r="I1958" t="s">
        <v>23</v>
      </c>
      <c r="J1958" t="s">
        <v>24</v>
      </c>
      <c r="K1958" t="s">
        <v>27</v>
      </c>
      <c r="L1958" t="s">
        <v>127</v>
      </c>
      <c r="M1958" t="s">
        <v>33</v>
      </c>
      <c r="N1958">
        <v>1.5</v>
      </c>
      <c r="O1958" t="s">
        <v>27</v>
      </c>
      <c r="S1958" s="3">
        <v>3700</v>
      </c>
      <c r="T1958" s="2">
        <v>4882.236328125</v>
      </c>
      <c r="U1958" s="2">
        <v>5008.738903915214</v>
      </c>
      <c r="V1958" s="2">
        <v>5271.2375081993887</v>
      </c>
      <c r="W1958" s="2">
        <v>4492.0341796875</v>
      </c>
      <c r="X1958" s="4">
        <f t="shared" si="120"/>
        <v>0.75784942623229545</v>
      </c>
      <c r="Y1958" s="4">
        <f t="shared" si="121"/>
        <v>0.73870889878244539</v>
      </c>
      <c r="Z1958" s="4">
        <f t="shared" si="122"/>
        <v>0.70192246018978743</v>
      </c>
      <c r="AA1958" s="4">
        <f t="shared" si="123"/>
        <v>0.82368028647934288</v>
      </c>
    </row>
    <row r="1959" spans="1:27" x14ac:dyDescent="0.3">
      <c r="A1959" t="s">
        <v>556</v>
      </c>
      <c r="B1959">
        <v>243004</v>
      </c>
      <c r="C1959">
        <v>2015</v>
      </c>
      <c r="D1959" t="s">
        <v>28</v>
      </c>
      <c r="E1959" t="s">
        <v>216</v>
      </c>
      <c r="F1959">
        <v>6</v>
      </c>
      <c r="G1959" t="s">
        <v>22</v>
      </c>
      <c r="H1959">
        <v>4</v>
      </c>
      <c r="I1959" t="s">
        <v>23</v>
      </c>
      <c r="J1959" t="s">
        <v>106</v>
      </c>
      <c r="K1959" t="s">
        <v>27</v>
      </c>
      <c r="L1959" t="s">
        <v>53</v>
      </c>
      <c r="M1959" t="s">
        <v>33</v>
      </c>
      <c r="N1959">
        <v>2</v>
      </c>
      <c r="O1959" t="s">
        <v>27</v>
      </c>
      <c r="S1959" s="3">
        <v>1900</v>
      </c>
      <c r="T1959" s="2">
        <v>3765.16259765625</v>
      </c>
      <c r="U1959" s="2">
        <v>4099.1379609425148</v>
      </c>
      <c r="V1959" s="2">
        <v>2752.4673428946389</v>
      </c>
      <c r="W1959" s="2">
        <v>4066.525146484375</v>
      </c>
      <c r="X1959" s="4">
        <f t="shared" si="120"/>
        <v>0.50462628126145681</v>
      </c>
      <c r="Y1959" s="4">
        <f t="shared" si="121"/>
        <v>0.46351208915230874</v>
      </c>
      <c r="Z1959" s="4">
        <f t="shared" si="122"/>
        <v>0.69028975217626398</v>
      </c>
      <c r="AA1959" s="4">
        <f t="shared" si="123"/>
        <v>0.46722937435726991</v>
      </c>
    </row>
    <row r="1960" spans="1:27" x14ac:dyDescent="0.3">
      <c r="A1960" t="s">
        <v>556</v>
      </c>
      <c r="B1960">
        <v>57554</v>
      </c>
      <c r="C1960">
        <v>2021</v>
      </c>
      <c r="D1960" t="s">
        <v>40</v>
      </c>
      <c r="E1960" t="s">
        <v>63</v>
      </c>
      <c r="F1960">
        <v>4</v>
      </c>
      <c r="G1960" t="s">
        <v>47</v>
      </c>
      <c r="H1960">
        <v>4</v>
      </c>
      <c r="I1960" t="s">
        <v>23</v>
      </c>
      <c r="J1960" t="s">
        <v>24</v>
      </c>
      <c r="K1960" t="s">
        <v>27</v>
      </c>
      <c r="L1960" t="s">
        <v>107</v>
      </c>
      <c r="M1960" t="s">
        <v>33</v>
      </c>
      <c r="N1960">
        <v>3.1</v>
      </c>
      <c r="O1960" t="s">
        <v>27</v>
      </c>
      <c r="S1960" s="3">
        <v>18500</v>
      </c>
      <c r="T1960" s="2">
        <v>20280.18359375</v>
      </c>
      <c r="U1960" s="2">
        <v>18700.014391903791</v>
      </c>
      <c r="V1960" s="2">
        <v>14220.128926548459</v>
      </c>
      <c r="W1960" s="2">
        <v>16969.23828125</v>
      </c>
      <c r="X1960" s="4">
        <f t="shared" si="120"/>
        <v>0.91222053856067542</v>
      </c>
      <c r="Y1960" s="4">
        <f t="shared" si="121"/>
        <v>0.98930405144552258</v>
      </c>
      <c r="Z1960" s="4">
        <f t="shared" si="122"/>
        <v>1.3009727334793131</v>
      </c>
      <c r="AA1960" s="4">
        <f t="shared" si="123"/>
        <v>1.0902080395937042</v>
      </c>
    </row>
    <row r="1961" spans="1:27" x14ac:dyDescent="0.3">
      <c r="A1961" t="s">
        <v>556</v>
      </c>
      <c r="B1961">
        <v>168458</v>
      </c>
      <c r="C1961">
        <v>2018</v>
      </c>
      <c r="D1961" t="s">
        <v>20</v>
      </c>
      <c r="E1961" t="s">
        <v>175</v>
      </c>
      <c r="F1961">
        <v>8</v>
      </c>
      <c r="G1961" t="s">
        <v>36</v>
      </c>
      <c r="H1961">
        <v>4</v>
      </c>
      <c r="I1961" t="s">
        <v>23</v>
      </c>
      <c r="J1961" t="s">
        <v>24</v>
      </c>
      <c r="K1961" t="s">
        <v>27</v>
      </c>
      <c r="L1961" t="s">
        <v>43</v>
      </c>
      <c r="M1961" t="s">
        <v>78</v>
      </c>
      <c r="N1961">
        <v>0</v>
      </c>
      <c r="S1961" s="3">
        <v>8500</v>
      </c>
      <c r="T1961" s="2">
        <v>14384.2880859375</v>
      </c>
      <c r="U1961" s="2">
        <v>13585.63401221481</v>
      </c>
      <c r="V1961" s="2">
        <v>9662.9713778132464</v>
      </c>
      <c r="W1961" s="2">
        <v>14812.10546875</v>
      </c>
      <c r="X1961" s="4">
        <f t="shared" si="120"/>
        <v>0.59092253639649006</v>
      </c>
      <c r="Y1961" s="4">
        <f t="shared" si="121"/>
        <v>0.62566089976792183</v>
      </c>
      <c r="Z1961" s="4">
        <f t="shared" si="122"/>
        <v>0.87964660844556597</v>
      </c>
      <c r="AA1961" s="4">
        <f t="shared" si="123"/>
        <v>0.5738549470858797</v>
      </c>
    </row>
    <row r="1962" spans="1:27" x14ac:dyDescent="0.3">
      <c r="A1962" t="s">
        <v>556</v>
      </c>
      <c r="B1962">
        <v>129638</v>
      </c>
      <c r="C1962">
        <v>2017</v>
      </c>
      <c r="D1962" t="s">
        <v>40</v>
      </c>
      <c r="E1962" t="s">
        <v>172</v>
      </c>
      <c r="F1962">
        <v>6</v>
      </c>
      <c r="G1962" t="s">
        <v>36</v>
      </c>
      <c r="H1962">
        <v>4</v>
      </c>
      <c r="I1962" t="s">
        <v>23</v>
      </c>
      <c r="J1962" t="s">
        <v>31</v>
      </c>
      <c r="K1962" t="s">
        <v>27</v>
      </c>
      <c r="L1962" t="s">
        <v>26</v>
      </c>
      <c r="M1962" t="s">
        <v>33</v>
      </c>
      <c r="N1962">
        <v>2.2000000000000002</v>
      </c>
      <c r="O1962" t="s">
        <v>27</v>
      </c>
      <c r="S1962" s="3">
        <v>4000</v>
      </c>
      <c r="T1962" s="2">
        <v>6672.0771484375</v>
      </c>
      <c r="U1962" s="2">
        <v>5917.1776514514577</v>
      </c>
      <c r="V1962" s="2">
        <v>6040.5528066900097</v>
      </c>
      <c r="W1962" s="2">
        <v>6273.32763671875</v>
      </c>
      <c r="X1962" s="4">
        <f t="shared" si="120"/>
        <v>0.59951345150988544</v>
      </c>
      <c r="Y1962" s="4">
        <f t="shared" si="121"/>
        <v>0.6759979563937577</v>
      </c>
      <c r="Z1962" s="4">
        <f t="shared" si="122"/>
        <v>0.66219104906589599</v>
      </c>
      <c r="AA1962" s="4">
        <f t="shared" si="123"/>
        <v>0.63762013266888629</v>
      </c>
    </row>
    <row r="1963" spans="1:27" x14ac:dyDescent="0.3">
      <c r="A1963" t="s">
        <v>556</v>
      </c>
      <c r="B1963">
        <v>173162</v>
      </c>
      <c r="C1963">
        <v>2015</v>
      </c>
      <c r="D1963" t="s">
        <v>71</v>
      </c>
      <c r="E1963" t="s">
        <v>170</v>
      </c>
      <c r="F1963">
        <v>6</v>
      </c>
      <c r="G1963" t="s">
        <v>30</v>
      </c>
      <c r="H1963">
        <v>4</v>
      </c>
      <c r="I1963" t="s">
        <v>23</v>
      </c>
      <c r="J1963" t="s">
        <v>24</v>
      </c>
      <c r="K1963" t="s">
        <v>27</v>
      </c>
      <c r="L1963" t="s">
        <v>26</v>
      </c>
      <c r="M1963" t="s">
        <v>33</v>
      </c>
      <c r="N1963">
        <v>2.5</v>
      </c>
      <c r="O1963" t="s">
        <v>27</v>
      </c>
      <c r="S1963" s="3">
        <v>1600</v>
      </c>
      <c r="T1963" s="2">
        <v>3869.619384765625</v>
      </c>
      <c r="U1963" s="2">
        <v>3875.5968935539308</v>
      </c>
      <c r="V1963" s="2">
        <v>3836.9998456541311</v>
      </c>
      <c r="W1963" s="2">
        <v>3321.060302734375</v>
      </c>
      <c r="X1963" s="4">
        <f t="shared" si="120"/>
        <v>0.41347735808308927</v>
      </c>
      <c r="Y1963" s="4">
        <f t="shared" si="121"/>
        <v>0.41283963320880784</v>
      </c>
      <c r="Z1963" s="4">
        <f t="shared" si="122"/>
        <v>0.41699245878578667</v>
      </c>
      <c r="AA1963" s="4">
        <f t="shared" si="123"/>
        <v>0.48177384755183444</v>
      </c>
    </row>
    <row r="1964" spans="1:27" x14ac:dyDescent="0.3">
      <c r="A1964" t="s">
        <v>556</v>
      </c>
      <c r="B1964">
        <v>179935</v>
      </c>
      <c r="C1964">
        <v>2013</v>
      </c>
      <c r="D1964" t="s">
        <v>85</v>
      </c>
      <c r="E1964" t="s">
        <v>86</v>
      </c>
      <c r="F1964">
        <v>4</v>
      </c>
      <c r="G1964" t="s">
        <v>56</v>
      </c>
      <c r="H1964">
        <v>4</v>
      </c>
      <c r="I1964" t="s">
        <v>23</v>
      </c>
      <c r="J1964" t="s">
        <v>31</v>
      </c>
      <c r="L1964" t="s">
        <v>87</v>
      </c>
      <c r="M1964" t="s">
        <v>33</v>
      </c>
      <c r="N1964">
        <v>0</v>
      </c>
      <c r="S1964" s="3">
        <v>1500</v>
      </c>
      <c r="T1964" s="2">
        <v>4256.6181640625</v>
      </c>
      <c r="U1964" s="2">
        <v>2454.3371868403901</v>
      </c>
      <c r="V1964" s="2">
        <v>2035.3757161127651</v>
      </c>
      <c r="W1964" s="2">
        <v>3174.403076171875</v>
      </c>
      <c r="X1964" s="4">
        <f t="shared" si="120"/>
        <v>0.3523924256735318</v>
      </c>
      <c r="Y1964" s="4">
        <f t="shared" si="121"/>
        <v>0.61116296817025229</v>
      </c>
      <c r="Z1964" s="4">
        <f t="shared" si="122"/>
        <v>0.73696467346321437</v>
      </c>
      <c r="AA1964" s="4">
        <f t="shared" si="123"/>
        <v>0.47252978402758578</v>
      </c>
    </row>
    <row r="1965" spans="1:27" x14ac:dyDescent="0.3">
      <c r="A1965" t="s">
        <v>556</v>
      </c>
      <c r="B1965">
        <v>133752</v>
      </c>
      <c r="C1965">
        <v>2018</v>
      </c>
      <c r="D1965" t="s">
        <v>40</v>
      </c>
      <c r="E1965" t="s">
        <v>122</v>
      </c>
      <c r="F1965">
        <v>4</v>
      </c>
      <c r="G1965" t="s">
        <v>30</v>
      </c>
      <c r="H1965">
        <v>4</v>
      </c>
      <c r="I1965" t="s">
        <v>23</v>
      </c>
      <c r="J1965" t="s">
        <v>24</v>
      </c>
      <c r="K1965" t="s">
        <v>27</v>
      </c>
      <c r="L1965" t="s">
        <v>73</v>
      </c>
      <c r="M1965" t="s">
        <v>33</v>
      </c>
      <c r="N1965">
        <v>2.2999999999999901</v>
      </c>
      <c r="O1965" t="s">
        <v>27</v>
      </c>
      <c r="S1965" s="3">
        <v>2300</v>
      </c>
      <c r="T1965" s="2">
        <v>4698.7822265625</v>
      </c>
      <c r="U1965" s="2">
        <v>3754.2111520572789</v>
      </c>
      <c r="V1965" s="2">
        <v>2499.642371819657</v>
      </c>
      <c r="W1965" s="2">
        <v>3745.600341796875</v>
      </c>
      <c r="X1965" s="4">
        <f t="shared" si="120"/>
        <v>0.48948852896351758</v>
      </c>
      <c r="Y1965" s="4">
        <f t="shared" si="121"/>
        <v>0.61264534860795394</v>
      </c>
      <c r="Z1965" s="4">
        <f t="shared" si="122"/>
        <v>0.92013162599963294</v>
      </c>
      <c r="AA1965" s="4">
        <f t="shared" si="123"/>
        <v>0.61405376711830983</v>
      </c>
    </row>
    <row r="1966" spans="1:27" x14ac:dyDescent="0.3">
      <c r="A1966" t="s">
        <v>556</v>
      </c>
      <c r="B1966">
        <v>159938</v>
      </c>
      <c r="C1966">
        <v>2014</v>
      </c>
      <c r="D1966" t="s">
        <v>100</v>
      </c>
      <c r="E1966" t="s">
        <v>358</v>
      </c>
      <c r="F1966">
        <v>6</v>
      </c>
      <c r="G1966" t="s">
        <v>66</v>
      </c>
      <c r="H1966">
        <v>4</v>
      </c>
      <c r="I1966" t="s">
        <v>23</v>
      </c>
      <c r="J1966" t="s">
        <v>24</v>
      </c>
      <c r="K1966" t="s">
        <v>27</v>
      </c>
      <c r="L1966" t="s">
        <v>53</v>
      </c>
      <c r="M1966" t="s">
        <v>23</v>
      </c>
      <c r="N1966">
        <v>0</v>
      </c>
      <c r="S1966" s="3">
        <v>800</v>
      </c>
      <c r="T1966" s="2">
        <v>2927.154296875</v>
      </c>
      <c r="U1966" s="2">
        <v>3315.1794186030211</v>
      </c>
      <c r="V1966" s="2">
        <v>3999.0608833377878</v>
      </c>
      <c r="W1966" s="2">
        <v>4570.2236328125</v>
      </c>
      <c r="X1966" s="4">
        <f t="shared" si="120"/>
        <v>0.27330298264566094</v>
      </c>
      <c r="Y1966" s="4">
        <f t="shared" si="121"/>
        <v>0.24131423943778912</v>
      </c>
      <c r="Z1966" s="4">
        <f t="shared" si="122"/>
        <v>0.2000469668599508</v>
      </c>
      <c r="AA1966" s="4">
        <f t="shared" si="123"/>
        <v>0.17504613871765456</v>
      </c>
    </row>
    <row r="1967" spans="1:27" x14ac:dyDescent="0.3">
      <c r="A1967" t="s">
        <v>556</v>
      </c>
      <c r="B1967">
        <v>151697</v>
      </c>
      <c r="C1967">
        <v>2015</v>
      </c>
      <c r="D1967" t="s">
        <v>159</v>
      </c>
      <c r="E1967" t="s">
        <v>510</v>
      </c>
      <c r="F1967">
        <v>4</v>
      </c>
      <c r="G1967" t="s">
        <v>148</v>
      </c>
      <c r="H1967">
        <v>4</v>
      </c>
      <c r="I1967" t="s">
        <v>23</v>
      </c>
      <c r="J1967" t="s">
        <v>37</v>
      </c>
      <c r="K1967" t="s">
        <v>27</v>
      </c>
      <c r="L1967" t="s">
        <v>96</v>
      </c>
      <c r="M1967" t="s">
        <v>33</v>
      </c>
      <c r="N1967">
        <v>2.8</v>
      </c>
      <c r="O1967" t="s">
        <v>199</v>
      </c>
      <c r="S1967" s="3">
        <v>1750</v>
      </c>
      <c r="T1967" s="2">
        <v>1076.96630859375</v>
      </c>
      <c r="U1967" s="2">
        <v>880.6256434907209</v>
      </c>
      <c r="V1967" s="2">
        <v>1462.6201405127811</v>
      </c>
      <c r="W1967" s="2">
        <v>1668.796264648438</v>
      </c>
      <c r="X1967" s="4">
        <f t="shared" si="120"/>
        <v>1.6249347691155396</v>
      </c>
      <c r="Y1967" s="4">
        <f t="shared" si="121"/>
        <v>1.987223530151992</v>
      </c>
      <c r="Z1967" s="4">
        <f t="shared" si="122"/>
        <v>1.1964829086699615</v>
      </c>
      <c r="AA1967" s="4">
        <f t="shared" si="123"/>
        <v>1.0486600653847156</v>
      </c>
    </row>
    <row r="1968" spans="1:27" x14ac:dyDescent="0.3">
      <c r="A1968" t="s">
        <v>556</v>
      </c>
      <c r="B1968">
        <v>164603</v>
      </c>
      <c r="C1968">
        <v>2006</v>
      </c>
      <c r="D1968" t="s">
        <v>20</v>
      </c>
      <c r="E1968" t="s">
        <v>621</v>
      </c>
      <c r="F1968">
        <v>6</v>
      </c>
      <c r="G1968" t="s">
        <v>22</v>
      </c>
      <c r="H1968">
        <v>4</v>
      </c>
      <c r="I1968" t="s">
        <v>23</v>
      </c>
      <c r="J1968" t="s">
        <v>24</v>
      </c>
      <c r="L1968" t="s">
        <v>149</v>
      </c>
      <c r="M1968" t="s">
        <v>78</v>
      </c>
      <c r="N1968">
        <v>0</v>
      </c>
      <c r="S1968" s="3">
        <v>900</v>
      </c>
      <c r="T1968" s="2">
        <v>2878.5576171875</v>
      </c>
      <c r="U1968" s="2">
        <v>6703.2775681527582</v>
      </c>
      <c r="V1968" s="2">
        <v>670.98845471227833</v>
      </c>
      <c r="W1968" s="2">
        <v>2089.853515625</v>
      </c>
      <c r="X1968" s="4">
        <f t="shared" si="120"/>
        <v>0.31265658697474558</v>
      </c>
      <c r="Y1968" s="4">
        <f t="shared" si="121"/>
        <v>0.13426267834646979</v>
      </c>
      <c r="Z1968" s="4">
        <f t="shared" si="122"/>
        <v>1.341304747763391</v>
      </c>
      <c r="AA1968" s="4">
        <f t="shared" si="123"/>
        <v>0.4306521932140504</v>
      </c>
    </row>
    <row r="1969" spans="1:27" x14ac:dyDescent="0.3">
      <c r="A1969" t="s">
        <v>556</v>
      </c>
      <c r="B1969">
        <v>195660</v>
      </c>
      <c r="C1969">
        <v>2014</v>
      </c>
      <c r="D1969" t="s">
        <v>396</v>
      </c>
      <c r="E1969" t="s">
        <v>397</v>
      </c>
      <c r="F1969">
        <v>6</v>
      </c>
      <c r="G1969" t="s">
        <v>30</v>
      </c>
      <c r="H1969">
        <v>4</v>
      </c>
      <c r="I1969" t="s">
        <v>23</v>
      </c>
      <c r="J1969" t="s">
        <v>24</v>
      </c>
      <c r="K1969" t="s">
        <v>27</v>
      </c>
      <c r="L1969" t="s">
        <v>53</v>
      </c>
      <c r="M1969" t="s">
        <v>33</v>
      </c>
      <c r="N1969">
        <v>0</v>
      </c>
      <c r="S1969" s="3">
        <v>3400</v>
      </c>
      <c r="T1969" s="2">
        <v>-850.7196044921875</v>
      </c>
      <c r="U1969" s="2">
        <v>4811.9988897972953</v>
      </c>
      <c r="V1969" s="2">
        <v>4218.4766418700647</v>
      </c>
      <c r="W1969" s="2">
        <v>3850.419677734375</v>
      </c>
      <c r="X1969" s="4">
        <f t="shared" si="120"/>
        <v>-3.9966164903764407</v>
      </c>
      <c r="Y1969" s="4">
        <f t="shared" si="121"/>
        <v>0.70656707905916094</v>
      </c>
      <c r="Z1969" s="4">
        <f t="shared" si="122"/>
        <v>0.80597815008708185</v>
      </c>
      <c r="AA1969" s="4">
        <f t="shared" si="123"/>
        <v>0.88302062750743926</v>
      </c>
    </row>
    <row r="1970" spans="1:27" x14ac:dyDescent="0.3">
      <c r="A1970" t="s">
        <v>556</v>
      </c>
      <c r="B1970">
        <v>185512</v>
      </c>
      <c r="C1970">
        <v>2017</v>
      </c>
      <c r="D1970" t="s">
        <v>100</v>
      </c>
      <c r="E1970" t="s">
        <v>192</v>
      </c>
      <c r="F1970">
        <v>4</v>
      </c>
      <c r="G1970" t="s">
        <v>22</v>
      </c>
      <c r="H1970">
        <v>4</v>
      </c>
      <c r="I1970" t="s">
        <v>23</v>
      </c>
      <c r="J1970" t="s">
        <v>31</v>
      </c>
      <c r="K1970" t="s">
        <v>27</v>
      </c>
      <c r="L1970" t="s">
        <v>32</v>
      </c>
      <c r="M1970" t="s">
        <v>33</v>
      </c>
      <c r="N1970">
        <v>0</v>
      </c>
      <c r="S1970" s="3">
        <v>1200</v>
      </c>
      <c r="T1970" s="2">
        <v>1399.872436523438</v>
      </c>
      <c r="U1970" s="2">
        <v>2059.438059646714</v>
      </c>
      <c r="V1970" s="2">
        <v>3849.3887130139292</v>
      </c>
      <c r="W1970" s="2">
        <v>1977.750122070312</v>
      </c>
      <c r="X1970" s="4">
        <f t="shared" si="120"/>
        <v>0.85722096434742434</v>
      </c>
      <c r="Y1970" s="4">
        <f t="shared" si="121"/>
        <v>0.58268322000704109</v>
      </c>
      <c r="Z1970" s="4">
        <f t="shared" si="122"/>
        <v>0.31173780812082352</v>
      </c>
      <c r="AA1970" s="4">
        <f t="shared" si="123"/>
        <v>0.60675005735498988</v>
      </c>
    </row>
    <row r="1971" spans="1:27" x14ac:dyDescent="0.3">
      <c r="A1971" t="s">
        <v>556</v>
      </c>
      <c r="B1971">
        <v>156909</v>
      </c>
      <c r="C1971">
        <v>2012</v>
      </c>
      <c r="D1971" t="s">
        <v>20</v>
      </c>
      <c r="E1971" t="s">
        <v>21</v>
      </c>
      <c r="F1971">
        <v>4</v>
      </c>
      <c r="G1971" t="s">
        <v>22</v>
      </c>
      <c r="H1971">
        <v>4</v>
      </c>
      <c r="I1971" t="s">
        <v>23</v>
      </c>
      <c r="J1971" t="s">
        <v>24</v>
      </c>
      <c r="L1971" t="s">
        <v>60</v>
      </c>
      <c r="M1971" t="s">
        <v>33</v>
      </c>
      <c r="N1971">
        <v>0</v>
      </c>
      <c r="S1971" s="3">
        <v>1700</v>
      </c>
      <c r="T1971" s="2">
        <v>3645.21484375</v>
      </c>
      <c r="U1971" s="2">
        <v>4092.2324617284021</v>
      </c>
      <c r="V1971" s="2">
        <v>2699.0150233603858</v>
      </c>
      <c r="W1971" s="2">
        <v>3764.07080078125</v>
      </c>
      <c r="X1971" s="4">
        <f t="shared" si="120"/>
        <v>0.46636482974790366</v>
      </c>
      <c r="Y1971" s="4">
        <f t="shared" si="121"/>
        <v>0.41542117069321743</v>
      </c>
      <c r="Z1971" s="4">
        <f t="shared" si="122"/>
        <v>0.62985940622272985</v>
      </c>
      <c r="AA1971" s="4">
        <f t="shared" si="123"/>
        <v>0.45163868853028943</v>
      </c>
    </row>
    <row r="1972" spans="1:27" x14ac:dyDescent="0.3">
      <c r="A1972" t="s">
        <v>556</v>
      </c>
      <c r="B1972">
        <v>139865</v>
      </c>
      <c r="C1972">
        <v>2013</v>
      </c>
      <c r="D1972" t="s">
        <v>187</v>
      </c>
      <c r="E1972" t="s">
        <v>411</v>
      </c>
      <c r="F1972">
        <v>4</v>
      </c>
      <c r="G1972" t="s">
        <v>47</v>
      </c>
      <c r="H1972">
        <v>4</v>
      </c>
      <c r="I1972" t="s">
        <v>23</v>
      </c>
      <c r="J1972" t="s">
        <v>52</v>
      </c>
      <c r="K1972" t="s">
        <v>27</v>
      </c>
      <c r="L1972" t="s">
        <v>102</v>
      </c>
      <c r="M1972" t="s">
        <v>23</v>
      </c>
      <c r="N1972">
        <v>2.6</v>
      </c>
      <c r="O1972" t="s">
        <v>199</v>
      </c>
      <c r="S1972" s="3">
        <v>1400</v>
      </c>
      <c r="T1972" s="2">
        <v>2108.454833984375</v>
      </c>
      <c r="U1972" s="2">
        <v>1310.761304961572</v>
      </c>
      <c r="V1972" s="2">
        <v>1548.1000046585921</v>
      </c>
      <c r="W1972" s="2">
        <v>2128.05615234375</v>
      </c>
      <c r="X1972" s="4">
        <f t="shared" si="120"/>
        <v>0.66399335543479554</v>
      </c>
      <c r="Y1972" s="4">
        <f t="shared" si="121"/>
        <v>1.0680815757229301</v>
      </c>
      <c r="Z1972" s="4">
        <f t="shared" si="122"/>
        <v>0.90433434260517742</v>
      </c>
      <c r="AA1972" s="4">
        <f t="shared" si="123"/>
        <v>0.65787737718203532</v>
      </c>
    </row>
    <row r="1973" spans="1:27" x14ac:dyDescent="0.3">
      <c r="A1973" t="s">
        <v>556</v>
      </c>
      <c r="B1973">
        <v>120895</v>
      </c>
      <c r="C1973">
        <v>2012</v>
      </c>
      <c r="D1973" t="s">
        <v>50</v>
      </c>
      <c r="E1973" t="s">
        <v>369</v>
      </c>
      <c r="F1973">
        <v>4</v>
      </c>
      <c r="G1973" t="s">
        <v>36</v>
      </c>
      <c r="H1973">
        <v>4</v>
      </c>
      <c r="I1973" t="s">
        <v>23</v>
      </c>
      <c r="J1973" t="s">
        <v>31</v>
      </c>
      <c r="K1973" t="s">
        <v>27</v>
      </c>
      <c r="L1973" t="s">
        <v>32</v>
      </c>
      <c r="M1973" t="s">
        <v>78</v>
      </c>
      <c r="N1973">
        <v>2</v>
      </c>
      <c r="O1973" t="s">
        <v>27</v>
      </c>
      <c r="S1973" s="3">
        <v>1700</v>
      </c>
      <c r="T1973" s="2">
        <v>3082.174560546875</v>
      </c>
      <c r="U1973" s="2">
        <v>2758.868052417321</v>
      </c>
      <c r="V1973" s="2">
        <v>2619.338591375024</v>
      </c>
      <c r="W1973" s="2">
        <v>2952.492431640625</v>
      </c>
      <c r="X1973" s="4">
        <f t="shared" si="120"/>
        <v>0.55155863712610953</v>
      </c>
      <c r="Y1973" s="4">
        <f t="shared" si="121"/>
        <v>0.61619474643249417</v>
      </c>
      <c r="Z1973" s="4">
        <f t="shared" si="122"/>
        <v>0.64901880405907497</v>
      </c>
      <c r="AA1973" s="4">
        <f t="shared" si="123"/>
        <v>0.57578471049809032</v>
      </c>
    </row>
    <row r="1974" spans="1:27" x14ac:dyDescent="0.3">
      <c r="A1974" t="s">
        <v>556</v>
      </c>
      <c r="B1974">
        <v>172717</v>
      </c>
      <c r="C1974">
        <v>2013</v>
      </c>
      <c r="D1974" t="s">
        <v>81</v>
      </c>
      <c r="E1974" t="s">
        <v>201</v>
      </c>
      <c r="F1974">
        <v>4</v>
      </c>
      <c r="G1974" t="s">
        <v>47</v>
      </c>
      <c r="H1974">
        <v>4</v>
      </c>
      <c r="I1974" t="s">
        <v>23</v>
      </c>
      <c r="J1974" t="s">
        <v>31</v>
      </c>
      <c r="L1974" t="s">
        <v>60</v>
      </c>
      <c r="M1974" t="s">
        <v>33</v>
      </c>
      <c r="N1974">
        <v>0</v>
      </c>
      <c r="S1974" s="3">
        <v>900</v>
      </c>
      <c r="T1974" s="2">
        <v>4655.5537109375</v>
      </c>
      <c r="U1974" s="2">
        <v>2969.1003245006841</v>
      </c>
      <c r="V1974" s="2">
        <v>2428.4115390653151</v>
      </c>
      <c r="W1974" s="2">
        <v>3524.8876953125</v>
      </c>
      <c r="X1974" s="4">
        <f t="shared" si="120"/>
        <v>0.19331749903037093</v>
      </c>
      <c r="Y1974" s="4">
        <f t="shared" si="121"/>
        <v>0.30312212510075881</v>
      </c>
      <c r="Z1974" s="4">
        <f t="shared" si="122"/>
        <v>0.37061263526461663</v>
      </c>
      <c r="AA1974" s="4">
        <f t="shared" si="123"/>
        <v>0.25532728353213824</v>
      </c>
    </row>
    <row r="1975" spans="1:27" x14ac:dyDescent="0.3">
      <c r="A1975" t="s">
        <v>556</v>
      </c>
      <c r="B1975">
        <v>1</v>
      </c>
      <c r="C1975">
        <v>2006</v>
      </c>
      <c r="D1975" t="s">
        <v>40</v>
      </c>
      <c r="E1975" t="s">
        <v>371</v>
      </c>
      <c r="F1975">
        <v>8</v>
      </c>
      <c r="G1975" t="s">
        <v>47</v>
      </c>
      <c r="H1975">
        <v>3</v>
      </c>
      <c r="I1975" t="s">
        <v>23</v>
      </c>
      <c r="J1975" t="s">
        <v>113</v>
      </c>
      <c r="L1975" t="s">
        <v>334</v>
      </c>
      <c r="M1975" t="s">
        <v>78</v>
      </c>
      <c r="N1975">
        <v>0</v>
      </c>
      <c r="S1975" s="3">
        <v>500</v>
      </c>
      <c r="T1975" s="2">
        <v>93691.0703125</v>
      </c>
      <c r="U1975" s="2">
        <v>54957.460587762442</v>
      </c>
      <c r="V1975" s="2">
        <v>45106.629439032033</v>
      </c>
      <c r="W1975" s="2">
        <v>64098.5</v>
      </c>
      <c r="X1975" s="4">
        <f t="shared" si="120"/>
        <v>5.3366878863939224E-3</v>
      </c>
      <c r="Y1975" s="4">
        <f t="shared" si="121"/>
        <v>9.0979458412482877E-3</v>
      </c>
      <c r="Z1975" s="4">
        <f t="shared" si="122"/>
        <v>1.1084845093021647E-2</v>
      </c>
      <c r="AA1975" s="4">
        <f t="shared" si="123"/>
        <v>7.8004945513545556E-3</v>
      </c>
    </row>
    <row r="1976" spans="1:27" x14ac:dyDescent="0.3">
      <c r="A1976" t="s">
        <v>587</v>
      </c>
      <c r="B1976">
        <v>205018</v>
      </c>
      <c r="C1976">
        <v>2012</v>
      </c>
      <c r="D1976" t="s">
        <v>34</v>
      </c>
      <c r="E1976" t="s">
        <v>330</v>
      </c>
      <c r="F1976">
        <v>6</v>
      </c>
      <c r="G1976" t="s">
        <v>22</v>
      </c>
      <c r="H1976">
        <v>4</v>
      </c>
      <c r="I1976" t="s">
        <v>23</v>
      </c>
      <c r="J1976" t="s">
        <v>62</v>
      </c>
      <c r="K1976" t="s">
        <v>27</v>
      </c>
      <c r="L1976" t="s">
        <v>319</v>
      </c>
      <c r="M1976">
        <v>4</v>
      </c>
      <c r="N1976">
        <v>4.4000000000000004</v>
      </c>
      <c r="O1976" t="s">
        <v>27</v>
      </c>
      <c r="S1976" s="3">
        <v>12000</v>
      </c>
      <c r="T1976" s="2">
        <v>9967.4951171875</v>
      </c>
      <c r="U1976" s="2">
        <v>7395.3923627458817</v>
      </c>
      <c r="V1976" s="2">
        <v>5235.0610860226943</v>
      </c>
      <c r="W1976" s="2">
        <v>8625.56640625</v>
      </c>
      <c r="X1976" s="4">
        <f t="shared" si="120"/>
        <v>1.2039133060930967</v>
      </c>
      <c r="Y1976" s="4">
        <f t="shared" si="121"/>
        <v>1.6226319593872698</v>
      </c>
      <c r="Z1976" s="4">
        <f t="shared" si="122"/>
        <v>2.2922368627253071</v>
      </c>
      <c r="AA1976" s="4">
        <f t="shared" si="123"/>
        <v>1.3912129864660157</v>
      </c>
    </row>
    <row r="1977" spans="1:27" x14ac:dyDescent="0.3">
      <c r="A1977" t="s">
        <v>589</v>
      </c>
      <c r="B1977">
        <v>52015</v>
      </c>
      <c r="C1977">
        <v>2021</v>
      </c>
      <c r="D1977" t="s">
        <v>20</v>
      </c>
      <c r="E1977" t="s">
        <v>390</v>
      </c>
      <c r="F1977">
        <v>8</v>
      </c>
      <c r="G1977" t="s">
        <v>36</v>
      </c>
      <c r="H1977">
        <v>4</v>
      </c>
      <c r="I1977" t="s">
        <v>23</v>
      </c>
      <c r="J1977" t="s">
        <v>24</v>
      </c>
      <c r="K1977" t="s">
        <v>27</v>
      </c>
      <c r="L1977" t="s">
        <v>43</v>
      </c>
      <c r="M1977" t="s">
        <v>78</v>
      </c>
      <c r="N1977">
        <v>0</v>
      </c>
      <c r="S1977" s="3">
        <v>45100</v>
      </c>
      <c r="T1977" s="2">
        <v>66711.375</v>
      </c>
      <c r="U1977" s="2">
        <v>64794.083425563302</v>
      </c>
      <c r="V1977" s="2">
        <v>43666.916169721531</v>
      </c>
      <c r="W1977" s="2">
        <v>64722.8828125</v>
      </c>
      <c r="X1977" s="4">
        <f t="shared" si="120"/>
        <v>0.67604662623128364</v>
      </c>
      <c r="Y1977" s="4">
        <f t="shared" si="121"/>
        <v>0.69605120738858439</v>
      </c>
      <c r="Z1977" s="4">
        <f t="shared" si="122"/>
        <v>1.0328185261516627</v>
      </c>
      <c r="AA1977" s="4">
        <f t="shared" si="123"/>
        <v>0.69681692224144542</v>
      </c>
    </row>
    <row r="1978" spans="1:27" x14ac:dyDescent="0.3">
      <c r="A1978" t="s">
        <v>135</v>
      </c>
      <c r="B1978">
        <v>95160</v>
      </c>
      <c r="C1978">
        <v>2021</v>
      </c>
      <c r="D1978" t="s">
        <v>44</v>
      </c>
      <c r="E1978" t="s">
        <v>590</v>
      </c>
      <c r="F1978">
        <v>6</v>
      </c>
      <c r="G1978" t="s">
        <v>36</v>
      </c>
      <c r="H1978">
        <v>4</v>
      </c>
      <c r="I1978" t="s">
        <v>23</v>
      </c>
      <c r="J1978" t="s">
        <v>62</v>
      </c>
      <c r="L1978" t="s">
        <v>235</v>
      </c>
      <c r="M1978" t="s">
        <v>23</v>
      </c>
      <c r="N1978">
        <v>2.1</v>
      </c>
      <c r="O1978" t="s">
        <v>27</v>
      </c>
      <c r="S1978" s="3">
        <v>6000</v>
      </c>
      <c r="T1978" s="2">
        <v>14358.3515625</v>
      </c>
      <c r="U1978" s="2">
        <v>10856.98289550687</v>
      </c>
      <c r="V1978" s="2">
        <v>9360.549160165252</v>
      </c>
      <c r="W1978" s="2">
        <v>14308.3408203125</v>
      </c>
      <c r="X1978" s="4">
        <f t="shared" si="120"/>
        <v>0.41787526749730258</v>
      </c>
      <c r="Y1978" s="4">
        <f t="shared" si="121"/>
        <v>0.55263972115891258</v>
      </c>
      <c r="Z1978" s="4">
        <f t="shared" si="122"/>
        <v>0.64098803364375212</v>
      </c>
      <c r="AA1978" s="4">
        <f t="shared" si="123"/>
        <v>0.41933583183049716</v>
      </c>
    </row>
    <row r="1979" spans="1:27" x14ac:dyDescent="0.3">
      <c r="A1979" t="s">
        <v>135</v>
      </c>
      <c r="B1979">
        <v>279057</v>
      </c>
      <c r="C1979">
        <v>2016</v>
      </c>
      <c r="D1979" t="s">
        <v>44</v>
      </c>
      <c r="E1979" t="s">
        <v>267</v>
      </c>
      <c r="F1979">
        <v>8</v>
      </c>
      <c r="G1979" t="s">
        <v>47</v>
      </c>
      <c r="H1979">
        <v>4</v>
      </c>
      <c r="I1979" t="s">
        <v>23</v>
      </c>
      <c r="J1979" t="s">
        <v>46</v>
      </c>
      <c r="K1979" t="s">
        <v>27</v>
      </c>
      <c r="L1979" t="s">
        <v>140</v>
      </c>
      <c r="M1979">
        <v>4</v>
      </c>
      <c r="N1979">
        <v>1.7</v>
      </c>
      <c r="O1979" t="s">
        <v>27</v>
      </c>
      <c r="S1979" s="3">
        <v>6000</v>
      </c>
      <c r="T1979" s="2">
        <v>5354.1767578125</v>
      </c>
      <c r="U1979" s="2">
        <v>13474.85583073029</v>
      </c>
      <c r="V1979" s="2">
        <v>4091.500116204526</v>
      </c>
      <c r="W1979" s="2">
        <v>6281.83837890625</v>
      </c>
      <c r="X1979" s="4">
        <f t="shared" si="120"/>
        <v>1.1206204560290529</v>
      </c>
      <c r="Y1979" s="4">
        <f t="shared" si="121"/>
        <v>0.44527378068985402</v>
      </c>
      <c r="Z1979" s="4">
        <f t="shared" si="122"/>
        <v>1.4664548037617779</v>
      </c>
      <c r="AA1979" s="4">
        <f t="shared" si="123"/>
        <v>0.95513441099461682</v>
      </c>
    </row>
    <row r="1980" spans="1:27" x14ac:dyDescent="0.3">
      <c r="A1980" t="s">
        <v>135</v>
      </c>
      <c r="B1980">
        <v>172794</v>
      </c>
      <c r="C1980">
        <v>2009</v>
      </c>
      <c r="D1980" t="s">
        <v>44</v>
      </c>
      <c r="E1980" t="s">
        <v>352</v>
      </c>
      <c r="F1980">
        <v>8</v>
      </c>
      <c r="G1980" t="s">
        <v>36</v>
      </c>
      <c r="H1980">
        <v>4</v>
      </c>
      <c r="I1980" t="s">
        <v>23</v>
      </c>
      <c r="J1980" t="s">
        <v>24</v>
      </c>
      <c r="K1980" t="s">
        <v>27</v>
      </c>
      <c r="L1980" t="s">
        <v>311</v>
      </c>
      <c r="M1980" t="s">
        <v>78</v>
      </c>
      <c r="N1980">
        <v>2.8</v>
      </c>
      <c r="O1980" t="s">
        <v>27</v>
      </c>
      <c r="S1980" s="3">
        <v>2500</v>
      </c>
      <c r="T1980" s="2">
        <v>2534.832275390625</v>
      </c>
      <c r="U1980" s="2">
        <v>9949.962299366518</v>
      </c>
      <c r="V1980" s="2">
        <v>3401.910101064168</v>
      </c>
      <c r="W1980" s="2">
        <v>4280.43115234375</v>
      </c>
      <c r="X1980" s="4">
        <f t="shared" si="120"/>
        <v>0.98625854825631121</v>
      </c>
      <c r="Y1980" s="4">
        <f t="shared" si="121"/>
        <v>0.25125723342280071</v>
      </c>
      <c r="Z1980" s="4">
        <f t="shared" si="122"/>
        <v>0.73488126544495191</v>
      </c>
      <c r="AA1980" s="4">
        <f t="shared" si="123"/>
        <v>0.5840533140291545</v>
      </c>
    </row>
    <row r="1981" spans="1:27" x14ac:dyDescent="0.3">
      <c r="A1981" t="s">
        <v>135</v>
      </c>
      <c r="B1981">
        <v>27070</v>
      </c>
      <c r="C1981">
        <v>2023</v>
      </c>
      <c r="D1981" t="s">
        <v>74</v>
      </c>
      <c r="E1981" t="s">
        <v>112</v>
      </c>
      <c r="F1981">
        <v>6</v>
      </c>
      <c r="G1981" t="s">
        <v>47</v>
      </c>
      <c r="H1981">
        <v>3</v>
      </c>
      <c r="I1981" t="s">
        <v>23</v>
      </c>
      <c r="J1981" t="s">
        <v>113</v>
      </c>
      <c r="L1981" t="s">
        <v>26</v>
      </c>
      <c r="M1981" t="s">
        <v>33</v>
      </c>
      <c r="N1981">
        <v>3.7</v>
      </c>
      <c r="O1981" t="s">
        <v>27</v>
      </c>
      <c r="S1981" s="3">
        <v>24800</v>
      </c>
      <c r="T1981" s="2">
        <v>32413.7421875</v>
      </c>
      <c r="U1981" s="2">
        <v>30939.875975545001</v>
      </c>
      <c r="V1981" s="2">
        <v>34132.322553857557</v>
      </c>
      <c r="W1981" s="2">
        <v>32571.501953125</v>
      </c>
      <c r="X1981" s="4">
        <f t="shared" si="120"/>
        <v>0.76510758481826402</v>
      </c>
      <c r="Y1981" s="4">
        <f t="shared" si="121"/>
        <v>0.80155460285626279</v>
      </c>
      <c r="Z1981" s="4">
        <f t="shared" si="122"/>
        <v>0.72658401609992873</v>
      </c>
      <c r="AA1981" s="4">
        <f t="shared" si="123"/>
        <v>0.76140179337418057</v>
      </c>
    </row>
    <row r="1982" spans="1:27" x14ac:dyDescent="0.3">
      <c r="A1982" t="s">
        <v>135</v>
      </c>
      <c r="B1982">
        <v>83427</v>
      </c>
      <c r="C1982">
        <v>2022</v>
      </c>
      <c r="D1982" t="s">
        <v>44</v>
      </c>
      <c r="E1982" t="s">
        <v>45</v>
      </c>
      <c r="F1982">
        <v>8</v>
      </c>
      <c r="G1982" t="s">
        <v>47</v>
      </c>
      <c r="H1982">
        <v>4</v>
      </c>
      <c r="I1982" t="s">
        <v>23</v>
      </c>
      <c r="J1982" t="s">
        <v>156</v>
      </c>
      <c r="K1982" t="s">
        <v>27</v>
      </c>
      <c r="L1982" t="s">
        <v>48</v>
      </c>
      <c r="M1982">
        <v>4</v>
      </c>
      <c r="N1982">
        <v>2.5</v>
      </c>
      <c r="O1982" t="s">
        <v>27</v>
      </c>
      <c r="S1982" s="3">
        <v>17200</v>
      </c>
      <c r="T1982" s="2">
        <v>28049.63671875</v>
      </c>
      <c r="U1982" s="2">
        <v>33363.532924429514</v>
      </c>
      <c r="V1982" s="2">
        <v>19889.555599296829</v>
      </c>
      <c r="W1982" s="2">
        <v>27395.70703125</v>
      </c>
      <c r="X1982" s="4">
        <f t="shared" si="120"/>
        <v>0.61319867249840443</v>
      </c>
      <c r="Y1982" s="4">
        <f t="shared" si="121"/>
        <v>0.51553293348636298</v>
      </c>
      <c r="Z1982" s="4">
        <f t="shared" si="122"/>
        <v>0.86477548048424391</v>
      </c>
      <c r="AA1982" s="4">
        <f t="shared" si="123"/>
        <v>0.62783559410896528</v>
      </c>
    </row>
    <row r="1983" spans="1:27" x14ac:dyDescent="0.3">
      <c r="A1983" t="s">
        <v>135</v>
      </c>
      <c r="B1983">
        <v>114800</v>
      </c>
      <c r="C1983">
        <v>2021</v>
      </c>
      <c r="D1983" t="s">
        <v>44</v>
      </c>
      <c r="E1983" t="s">
        <v>45</v>
      </c>
      <c r="F1983">
        <v>6</v>
      </c>
      <c r="G1983" t="s">
        <v>59</v>
      </c>
      <c r="H1983">
        <v>4</v>
      </c>
      <c r="I1983" t="s">
        <v>23</v>
      </c>
      <c r="J1983" t="s">
        <v>46</v>
      </c>
      <c r="K1983" t="s">
        <v>27</v>
      </c>
      <c r="L1983" t="s">
        <v>38</v>
      </c>
      <c r="M1983">
        <v>4</v>
      </c>
      <c r="N1983">
        <v>4</v>
      </c>
      <c r="O1983" t="s">
        <v>27</v>
      </c>
      <c r="S1983" s="3">
        <v>33000</v>
      </c>
      <c r="T1983" s="2">
        <v>24223.71875</v>
      </c>
      <c r="U1983" s="2">
        <v>23503.755672755218</v>
      </c>
      <c r="V1983" s="2">
        <v>28768.839778568941</v>
      </c>
      <c r="W1983" s="2">
        <v>22100.251953125</v>
      </c>
      <c r="X1983" s="4">
        <f t="shared" si="120"/>
        <v>1.3623011536987895</v>
      </c>
      <c r="Y1983" s="4">
        <f t="shared" si="121"/>
        <v>1.4040309327352529</v>
      </c>
      <c r="Z1983" s="4">
        <f t="shared" si="122"/>
        <v>1.147074412941151</v>
      </c>
      <c r="AA1983" s="4">
        <f t="shared" si="123"/>
        <v>1.4931956463660934</v>
      </c>
    </row>
    <row r="1984" spans="1:27" x14ac:dyDescent="0.3">
      <c r="A1984" t="s">
        <v>135</v>
      </c>
      <c r="B1984">
        <v>99421</v>
      </c>
      <c r="C1984">
        <v>2015</v>
      </c>
      <c r="D1984" t="s">
        <v>34</v>
      </c>
      <c r="E1984" t="s">
        <v>116</v>
      </c>
      <c r="F1984">
        <v>4</v>
      </c>
      <c r="G1984" t="s">
        <v>30</v>
      </c>
      <c r="H1984">
        <v>4</v>
      </c>
      <c r="I1984" t="s">
        <v>23</v>
      </c>
      <c r="J1984" t="s">
        <v>37</v>
      </c>
      <c r="L1984" t="s">
        <v>128</v>
      </c>
      <c r="M1984" t="s">
        <v>33</v>
      </c>
      <c r="N1984">
        <v>3</v>
      </c>
      <c r="O1984" t="s">
        <v>27</v>
      </c>
      <c r="S1984" s="3">
        <v>9400</v>
      </c>
      <c r="T1984" s="2">
        <v>8700.9072265625</v>
      </c>
      <c r="U1984" s="2">
        <v>8160.5664199949433</v>
      </c>
      <c r="V1984" s="2">
        <v>7877.1170335310899</v>
      </c>
      <c r="W1984" s="2">
        <v>8625.56640625</v>
      </c>
      <c r="X1984" s="4">
        <f t="shared" si="120"/>
        <v>1.0803471126899595</v>
      </c>
      <c r="Y1984" s="4">
        <f t="shared" si="121"/>
        <v>1.1518808274102406</v>
      </c>
      <c r="Z1984" s="4">
        <f t="shared" si="122"/>
        <v>1.1933299911612769</v>
      </c>
      <c r="AA1984" s="4">
        <f t="shared" si="123"/>
        <v>1.0897835060650456</v>
      </c>
    </row>
    <row r="1985" spans="1:27" x14ac:dyDescent="0.3">
      <c r="A1985" t="s">
        <v>135</v>
      </c>
      <c r="B1985">
        <v>132777</v>
      </c>
      <c r="C1985">
        <v>2019</v>
      </c>
      <c r="D1985" t="s">
        <v>44</v>
      </c>
      <c r="E1985" t="s">
        <v>45</v>
      </c>
      <c r="F1985">
        <v>8</v>
      </c>
      <c r="G1985" t="s">
        <v>22</v>
      </c>
      <c r="H1985">
        <v>4</v>
      </c>
      <c r="I1985" t="s">
        <v>23</v>
      </c>
      <c r="J1985" t="s">
        <v>46</v>
      </c>
      <c r="K1985" t="s">
        <v>27</v>
      </c>
      <c r="L1985" t="s">
        <v>48</v>
      </c>
      <c r="M1985">
        <v>4</v>
      </c>
      <c r="N1985">
        <v>0</v>
      </c>
      <c r="O1985" t="s">
        <v>27</v>
      </c>
      <c r="S1985" s="3">
        <v>17500</v>
      </c>
      <c r="T1985" s="2">
        <v>16236.6845703125</v>
      </c>
      <c r="U1985" s="2">
        <v>24866.770307681771</v>
      </c>
      <c r="V1985" s="2">
        <v>16060.65862629826</v>
      </c>
      <c r="W1985" s="2">
        <v>16593.36328125</v>
      </c>
      <c r="X1985" s="4">
        <f t="shared" si="120"/>
        <v>1.0778062432768678</v>
      </c>
      <c r="Y1985" s="4">
        <f t="shared" si="121"/>
        <v>0.70375041806671412</v>
      </c>
      <c r="Z1985" s="4">
        <f t="shared" si="122"/>
        <v>1.0896190752317538</v>
      </c>
      <c r="AA1985" s="4">
        <f t="shared" si="123"/>
        <v>1.0546385144098227</v>
      </c>
    </row>
    <row r="1986" spans="1:27" x14ac:dyDescent="0.3">
      <c r="A1986" t="s">
        <v>135</v>
      </c>
      <c r="B1986">
        <v>121019</v>
      </c>
      <c r="C1986">
        <v>2019</v>
      </c>
      <c r="D1986" t="s">
        <v>74</v>
      </c>
      <c r="E1986" t="s">
        <v>399</v>
      </c>
      <c r="F1986">
        <v>6</v>
      </c>
      <c r="G1986" t="s">
        <v>36</v>
      </c>
      <c r="H1986">
        <v>4</v>
      </c>
      <c r="I1986" t="s">
        <v>23</v>
      </c>
      <c r="J1986" t="s">
        <v>42</v>
      </c>
      <c r="L1986" t="s">
        <v>255</v>
      </c>
      <c r="M1986">
        <v>4</v>
      </c>
      <c r="N1986">
        <v>0</v>
      </c>
      <c r="O1986" t="s">
        <v>27</v>
      </c>
      <c r="S1986" s="3">
        <v>34000</v>
      </c>
      <c r="T1986" s="2">
        <v>20270.208984375</v>
      </c>
      <c r="U1986" s="2">
        <v>24269.10098486413</v>
      </c>
      <c r="V1986" s="2">
        <v>33135.110816445303</v>
      </c>
      <c r="W1986" s="2">
        <v>24542.169921875</v>
      </c>
      <c r="X1986" s="4">
        <f t="shared" ref="X1986:X2049" si="124">S1986/T1986</f>
        <v>1.6773384046611661</v>
      </c>
      <c r="Y1986" s="4">
        <f t="shared" ref="Y1986:Y2049" si="125">S1986/U1986</f>
        <v>1.4009583635258975</v>
      </c>
      <c r="Z1986" s="4">
        <f t="shared" ref="Z1986:Z2049" si="126">S1986/V1986</f>
        <v>1.0261018950063521</v>
      </c>
      <c r="AA1986" s="4">
        <f t="shared" ref="AA1986:AA2049" si="127">S1986/W1986</f>
        <v>1.3853705727012759</v>
      </c>
    </row>
    <row r="1987" spans="1:27" x14ac:dyDescent="0.3">
      <c r="A1987" t="s">
        <v>593</v>
      </c>
      <c r="B1987">
        <v>98757</v>
      </c>
      <c r="C1987">
        <v>2019</v>
      </c>
      <c r="D1987" t="s">
        <v>74</v>
      </c>
      <c r="E1987" t="s">
        <v>93</v>
      </c>
      <c r="F1987">
        <v>8</v>
      </c>
      <c r="G1987" t="s">
        <v>47</v>
      </c>
      <c r="H1987">
        <v>4</v>
      </c>
      <c r="I1987" t="s">
        <v>23</v>
      </c>
      <c r="J1987" t="s">
        <v>42</v>
      </c>
      <c r="L1987" t="s">
        <v>84</v>
      </c>
      <c r="M1987" t="s">
        <v>78</v>
      </c>
      <c r="N1987">
        <v>0</v>
      </c>
      <c r="O1987" t="s">
        <v>27</v>
      </c>
      <c r="S1987" s="3">
        <v>11500</v>
      </c>
      <c r="T1987" s="2">
        <v>21094.39453125</v>
      </c>
      <c r="U1987" s="2">
        <v>18262.90321673271</v>
      </c>
      <c r="V1987" s="2">
        <v>23275.01392995111</v>
      </c>
      <c r="W1987" s="2">
        <v>18825.7109375</v>
      </c>
      <c r="X1987" s="4">
        <f t="shared" si="124"/>
        <v>0.54516852725796339</v>
      </c>
      <c r="Y1987" s="4">
        <f t="shared" si="125"/>
        <v>0.62969177811025967</v>
      </c>
      <c r="Z1987" s="4">
        <f t="shared" si="126"/>
        <v>0.4940920780804085</v>
      </c>
      <c r="AA1987" s="4">
        <f t="shared" si="127"/>
        <v>0.61086670448617686</v>
      </c>
    </row>
    <row r="1988" spans="1:27" x14ac:dyDescent="0.3">
      <c r="A1988" t="s">
        <v>595</v>
      </c>
      <c r="B1988">
        <v>137211</v>
      </c>
      <c r="C1988">
        <v>1999</v>
      </c>
      <c r="D1988" t="s">
        <v>50</v>
      </c>
      <c r="E1988" t="s">
        <v>369</v>
      </c>
      <c r="F1988">
        <v>4</v>
      </c>
      <c r="G1988" t="s">
        <v>47</v>
      </c>
      <c r="H1988">
        <v>4</v>
      </c>
      <c r="I1988" t="s">
        <v>23</v>
      </c>
      <c r="J1988" t="s">
        <v>31</v>
      </c>
      <c r="K1988" t="s">
        <v>25</v>
      </c>
      <c r="L1988" t="s">
        <v>205</v>
      </c>
      <c r="M1988" t="s">
        <v>78</v>
      </c>
      <c r="N1988">
        <v>0</v>
      </c>
      <c r="O1988" t="s">
        <v>27</v>
      </c>
      <c r="S1988" s="3">
        <v>1600</v>
      </c>
      <c r="T1988" s="2">
        <v>1240.759033203125</v>
      </c>
      <c r="U1988" s="2">
        <v>1297.2864357212379</v>
      </c>
      <c r="V1988" s="2">
        <v>-480.3873800272977</v>
      </c>
      <c r="W1988" s="2">
        <v>1565.286010742188</v>
      </c>
      <c r="X1988" s="4">
        <f t="shared" si="124"/>
        <v>1.289533226987245</v>
      </c>
      <c r="Y1988" s="4">
        <f t="shared" si="125"/>
        <v>1.233343659459806</v>
      </c>
      <c r="Z1988" s="4">
        <f t="shared" si="126"/>
        <v>-3.3306453635586371</v>
      </c>
      <c r="AA1988" s="4">
        <f t="shared" si="127"/>
        <v>1.0221774097638248</v>
      </c>
    </row>
    <row r="1989" spans="1:27" x14ac:dyDescent="0.3">
      <c r="A1989" t="s">
        <v>596</v>
      </c>
      <c r="B1989">
        <v>143496</v>
      </c>
      <c r="C1989">
        <v>2018</v>
      </c>
      <c r="D1989" t="s">
        <v>44</v>
      </c>
      <c r="E1989" t="s">
        <v>424</v>
      </c>
      <c r="F1989">
        <v>6</v>
      </c>
      <c r="G1989" t="s">
        <v>36</v>
      </c>
      <c r="H1989">
        <v>4</v>
      </c>
      <c r="I1989" t="s">
        <v>23</v>
      </c>
      <c r="J1989" t="s">
        <v>37</v>
      </c>
      <c r="K1989" t="s">
        <v>25</v>
      </c>
      <c r="L1989" t="s">
        <v>38</v>
      </c>
      <c r="M1989" t="s">
        <v>33</v>
      </c>
      <c r="N1989">
        <v>3.7</v>
      </c>
      <c r="O1989" t="s">
        <v>27</v>
      </c>
      <c r="S1989" s="3">
        <v>7400</v>
      </c>
      <c r="T1989" s="2">
        <v>7502.435546875</v>
      </c>
      <c r="U1989" s="2">
        <v>7965.9074185475638</v>
      </c>
      <c r="V1989" s="2">
        <v>7008.7433340922234</v>
      </c>
      <c r="W1989" s="2">
        <v>7670.17724609375</v>
      </c>
      <c r="X1989" s="4">
        <f t="shared" si="124"/>
        <v>0.98634636096038608</v>
      </c>
      <c r="Y1989" s="4">
        <f t="shared" si="125"/>
        <v>0.92895882555326681</v>
      </c>
      <c r="Z1989" s="4">
        <f t="shared" si="126"/>
        <v>1.0558240824720473</v>
      </c>
      <c r="AA1989" s="4">
        <f t="shared" si="127"/>
        <v>0.9647756189426594</v>
      </c>
    </row>
    <row r="1990" spans="1:27" x14ac:dyDescent="0.3">
      <c r="A1990" t="s">
        <v>596</v>
      </c>
      <c r="B1990">
        <v>127028</v>
      </c>
      <c r="C1990">
        <v>2019</v>
      </c>
      <c r="D1990" t="s">
        <v>187</v>
      </c>
      <c r="E1990" t="s">
        <v>543</v>
      </c>
      <c r="F1990">
        <v>4</v>
      </c>
      <c r="G1990" t="s">
        <v>66</v>
      </c>
      <c r="H1990">
        <v>4</v>
      </c>
      <c r="I1990" t="s">
        <v>23</v>
      </c>
      <c r="J1990" t="s">
        <v>24</v>
      </c>
      <c r="K1990" t="s">
        <v>25</v>
      </c>
      <c r="L1990" t="s">
        <v>60</v>
      </c>
      <c r="M1990" t="s">
        <v>23</v>
      </c>
      <c r="N1990">
        <v>4.2</v>
      </c>
      <c r="O1990" t="s">
        <v>27</v>
      </c>
      <c r="S1990" s="3">
        <v>12700</v>
      </c>
      <c r="T1990" s="2">
        <v>9437.1484375</v>
      </c>
      <c r="U1990" s="2">
        <v>11410.775646026579</v>
      </c>
      <c r="V1990" s="2">
        <v>12853.48563697087</v>
      </c>
      <c r="W1990" s="2">
        <v>11561.21484375</v>
      </c>
      <c r="X1990" s="4">
        <f t="shared" si="124"/>
        <v>1.3457454954861729</v>
      </c>
      <c r="Y1990" s="4">
        <f t="shared" si="125"/>
        <v>1.1129830603954036</v>
      </c>
      <c r="Z1990" s="4">
        <f t="shared" si="126"/>
        <v>0.98805883156477059</v>
      </c>
      <c r="AA1990" s="4">
        <f t="shared" si="127"/>
        <v>1.0985004752217391</v>
      </c>
    </row>
    <row r="1991" spans="1:27" x14ac:dyDescent="0.3">
      <c r="A1991" t="s">
        <v>596</v>
      </c>
      <c r="B1991">
        <v>164397</v>
      </c>
      <c r="C1991">
        <v>2016</v>
      </c>
      <c r="D1991" t="s">
        <v>85</v>
      </c>
      <c r="E1991" t="s">
        <v>372</v>
      </c>
      <c r="F1991">
        <v>4</v>
      </c>
      <c r="G1991" t="s">
        <v>59</v>
      </c>
      <c r="H1991">
        <v>4</v>
      </c>
      <c r="I1991" t="s">
        <v>23</v>
      </c>
      <c r="J1991" t="s">
        <v>31</v>
      </c>
      <c r="K1991" t="s">
        <v>25</v>
      </c>
      <c r="L1991" t="s">
        <v>127</v>
      </c>
      <c r="M1991" t="s">
        <v>33</v>
      </c>
      <c r="N1991">
        <v>2.8</v>
      </c>
      <c r="O1991" t="s">
        <v>27</v>
      </c>
      <c r="S1991" s="3">
        <v>2850</v>
      </c>
      <c r="T1991" s="2">
        <v>3131.7275390625</v>
      </c>
      <c r="U1991" s="2">
        <v>3074.4230654648618</v>
      </c>
      <c r="V1991" s="2">
        <v>3116.1770263612252</v>
      </c>
      <c r="W1991" s="2">
        <v>4585.037109375</v>
      </c>
      <c r="X1991" s="4">
        <f t="shared" si="124"/>
        <v>0.91004085267684665</v>
      </c>
      <c r="Y1991" s="4">
        <f t="shared" si="125"/>
        <v>0.92700319354684246</v>
      </c>
      <c r="Z1991" s="4">
        <f t="shared" si="126"/>
        <v>0.91458218704858329</v>
      </c>
      <c r="AA1991" s="4">
        <f t="shared" si="127"/>
        <v>0.62158711740252237</v>
      </c>
    </row>
    <row r="1992" spans="1:27" x14ac:dyDescent="0.3">
      <c r="A1992" t="s">
        <v>596</v>
      </c>
      <c r="B1992">
        <v>79035</v>
      </c>
      <c r="C1992">
        <v>2013</v>
      </c>
      <c r="D1992" t="s">
        <v>100</v>
      </c>
      <c r="E1992" t="s">
        <v>192</v>
      </c>
      <c r="F1992">
        <v>4</v>
      </c>
      <c r="G1992" t="s">
        <v>47</v>
      </c>
      <c r="H1992">
        <v>4</v>
      </c>
      <c r="I1992" t="s">
        <v>23</v>
      </c>
      <c r="J1992" t="s">
        <v>31</v>
      </c>
      <c r="K1992" t="s">
        <v>25</v>
      </c>
      <c r="L1992" t="s">
        <v>32</v>
      </c>
      <c r="M1992" t="s">
        <v>33</v>
      </c>
      <c r="N1992">
        <v>3.9</v>
      </c>
      <c r="O1992" t="s">
        <v>27</v>
      </c>
      <c r="S1992" s="3">
        <v>4200</v>
      </c>
      <c r="T1992" s="2">
        <v>3548.90283203125</v>
      </c>
      <c r="U1992" s="2">
        <v>5377.7681432803729</v>
      </c>
      <c r="V1992" s="2">
        <v>7024.707510029948</v>
      </c>
      <c r="W1992" s="2">
        <v>4710.48095703125</v>
      </c>
      <c r="X1992" s="4">
        <f t="shared" si="124"/>
        <v>1.1834643546991925</v>
      </c>
      <c r="Y1992" s="4">
        <f t="shared" si="125"/>
        <v>0.78099313471667287</v>
      </c>
      <c r="Z1992" s="4">
        <f t="shared" si="126"/>
        <v>0.59788966216788353</v>
      </c>
      <c r="AA1992" s="4">
        <f t="shared" si="127"/>
        <v>0.89162869743284612</v>
      </c>
    </row>
    <row r="1993" spans="1:27" x14ac:dyDescent="0.3">
      <c r="A1993" t="s">
        <v>596</v>
      </c>
      <c r="B1993">
        <v>155738</v>
      </c>
      <c r="C1993">
        <v>2021</v>
      </c>
      <c r="D1993" t="s">
        <v>20</v>
      </c>
      <c r="E1993" t="s">
        <v>175</v>
      </c>
      <c r="F1993">
        <v>8</v>
      </c>
      <c r="G1993" t="s">
        <v>47</v>
      </c>
      <c r="H1993">
        <v>4</v>
      </c>
      <c r="I1993" t="s">
        <v>23</v>
      </c>
      <c r="J1993" t="s">
        <v>24</v>
      </c>
      <c r="K1993" t="s">
        <v>25</v>
      </c>
      <c r="L1993" t="s">
        <v>166</v>
      </c>
      <c r="M1993">
        <v>4</v>
      </c>
      <c r="N1993">
        <v>2.8</v>
      </c>
      <c r="O1993" t="s">
        <v>27</v>
      </c>
      <c r="S1993" s="3">
        <v>32500</v>
      </c>
      <c r="T1993" s="2">
        <v>24520.36328125</v>
      </c>
      <c r="U1993" s="2">
        <v>25164.232242859522</v>
      </c>
      <c r="V1993" s="2">
        <v>28146.764402029268</v>
      </c>
      <c r="W1993" s="2">
        <v>29885.833984375</v>
      </c>
      <c r="X1993" s="4">
        <f t="shared" si="124"/>
        <v>1.3254289762032927</v>
      </c>
      <c r="Y1993" s="4">
        <f t="shared" si="125"/>
        <v>1.2915156594623323</v>
      </c>
      <c r="Z1993" s="4">
        <f t="shared" si="126"/>
        <v>1.1546620256521165</v>
      </c>
      <c r="AA1993" s="4">
        <f t="shared" si="127"/>
        <v>1.0874717438700805</v>
      </c>
    </row>
    <row r="1994" spans="1:27" x14ac:dyDescent="0.3">
      <c r="A1994" t="s">
        <v>622</v>
      </c>
      <c r="B1994">
        <v>31684</v>
      </c>
      <c r="C1994">
        <v>2023</v>
      </c>
      <c r="D1994" t="s">
        <v>125</v>
      </c>
      <c r="E1994" t="s">
        <v>264</v>
      </c>
      <c r="F1994">
        <v>4</v>
      </c>
      <c r="G1994" t="s">
        <v>47</v>
      </c>
      <c r="H1994">
        <v>4</v>
      </c>
      <c r="I1994" t="s">
        <v>23</v>
      </c>
      <c r="J1994" t="s">
        <v>24</v>
      </c>
      <c r="K1994" t="s">
        <v>27</v>
      </c>
      <c r="L1994" t="s">
        <v>102</v>
      </c>
      <c r="M1994" t="s">
        <v>23</v>
      </c>
      <c r="N1994">
        <v>0</v>
      </c>
      <c r="O1994" t="s">
        <v>27</v>
      </c>
      <c r="S1994" s="3">
        <v>19800</v>
      </c>
      <c r="T1994" s="2">
        <v>28653.212890625</v>
      </c>
      <c r="U1994" s="2">
        <v>29090.716641044291</v>
      </c>
      <c r="V1994" s="2">
        <v>24777.534561345528</v>
      </c>
      <c r="W1994" s="2">
        <v>30635.52734375</v>
      </c>
      <c r="X1994" s="4">
        <f t="shared" si="124"/>
        <v>0.69102198331407128</v>
      </c>
      <c r="Y1994" s="4">
        <f t="shared" si="125"/>
        <v>0.68062950268004208</v>
      </c>
      <c r="Z1994" s="4">
        <f t="shared" si="126"/>
        <v>0.79911098301479977</v>
      </c>
      <c r="AA1994" s="4">
        <f t="shared" si="127"/>
        <v>0.64630844371737006</v>
      </c>
    </row>
    <row r="1995" spans="1:27" x14ac:dyDescent="0.3">
      <c r="A1995" t="s">
        <v>623</v>
      </c>
      <c r="B1995">
        <v>78860</v>
      </c>
      <c r="C1995">
        <v>2014</v>
      </c>
      <c r="D1995" t="s">
        <v>100</v>
      </c>
      <c r="E1995" t="s">
        <v>358</v>
      </c>
      <c r="F1995">
        <v>6</v>
      </c>
      <c r="G1995" t="s">
        <v>59</v>
      </c>
      <c r="H1995">
        <v>4</v>
      </c>
      <c r="I1995" t="s">
        <v>23</v>
      </c>
      <c r="J1995" t="s">
        <v>24</v>
      </c>
      <c r="K1995" t="s">
        <v>27</v>
      </c>
      <c r="L1995" t="s">
        <v>53</v>
      </c>
      <c r="M1995" t="s">
        <v>23</v>
      </c>
      <c r="N1995">
        <v>4.3</v>
      </c>
      <c r="O1995" t="s">
        <v>27</v>
      </c>
      <c r="S1995" s="3">
        <v>6300</v>
      </c>
      <c r="T1995" s="2">
        <v>9440.8193359375</v>
      </c>
      <c r="U1995" s="2">
        <v>8139.4734053368829</v>
      </c>
      <c r="V1995" s="2">
        <v>9490.7303894876204</v>
      </c>
      <c r="W1995" s="2">
        <v>8910.1845703125</v>
      </c>
      <c r="X1995" s="4">
        <f t="shared" si="124"/>
        <v>0.66731496238026378</v>
      </c>
      <c r="Y1995" s="4">
        <f t="shared" si="125"/>
        <v>0.77400584611152135</v>
      </c>
      <c r="Z1995" s="4">
        <f t="shared" si="126"/>
        <v>0.66380560204072137</v>
      </c>
      <c r="AA1995" s="4">
        <f t="shared" si="127"/>
        <v>0.70705606043119762</v>
      </c>
    </row>
    <row r="1996" spans="1:27" x14ac:dyDescent="0.3">
      <c r="A1996" t="s">
        <v>623</v>
      </c>
      <c r="B1996">
        <v>61904</v>
      </c>
      <c r="C1996">
        <v>2021</v>
      </c>
      <c r="D1996" t="s">
        <v>40</v>
      </c>
      <c r="E1996" t="s">
        <v>63</v>
      </c>
      <c r="F1996">
        <v>4</v>
      </c>
      <c r="G1996" t="s">
        <v>59</v>
      </c>
      <c r="H1996">
        <v>4</v>
      </c>
      <c r="I1996" t="s">
        <v>23</v>
      </c>
      <c r="J1996" t="s">
        <v>24</v>
      </c>
      <c r="K1996" t="s">
        <v>27</v>
      </c>
      <c r="L1996" t="s">
        <v>107</v>
      </c>
      <c r="M1996" t="s">
        <v>33</v>
      </c>
      <c r="N1996">
        <v>4.5</v>
      </c>
      <c r="O1996" t="s">
        <v>27</v>
      </c>
      <c r="S1996" s="3">
        <v>14800</v>
      </c>
      <c r="T1996" s="2">
        <v>19552.740234375</v>
      </c>
      <c r="U1996" s="2">
        <v>18486.49227157986</v>
      </c>
      <c r="V1996" s="2">
        <v>14419.853514545221</v>
      </c>
      <c r="W1996" s="2">
        <v>16800.328125</v>
      </c>
      <c r="X1996" s="4">
        <f t="shared" si="124"/>
        <v>0.75692715305349523</v>
      </c>
      <c r="Y1996" s="4">
        <f t="shared" si="125"/>
        <v>0.80058454478964214</v>
      </c>
      <c r="Z1996" s="4">
        <f t="shared" si="126"/>
        <v>1.026362714785648</v>
      </c>
      <c r="AA1996" s="4">
        <f t="shared" si="127"/>
        <v>0.88093517518724063</v>
      </c>
    </row>
    <row r="1997" spans="1:27" x14ac:dyDescent="0.3">
      <c r="A1997" t="s">
        <v>623</v>
      </c>
      <c r="B1997">
        <v>195798</v>
      </c>
      <c r="C1997">
        <v>2005</v>
      </c>
      <c r="D1997" t="s">
        <v>187</v>
      </c>
      <c r="E1997" t="s">
        <v>624</v>
      </c>
      <c r="F1997">
        <v>4</v>
      </c>
      <c r="G1997" t="s">
        <v>30</v>
      </c>
      <c r="H1997">
        <v>4</v>
      </c>
      <c r="I1997" t="s">
        <v>233</v>
      </c>
      <c r="J1997" t="s">
        <v>52</v>
      </c>
      <c r="L1997" t="s">
        <v>102</v>
      </c>
      <c r="M1997" t="s">
        <v>23</v>
      </c>
      <c r="N1997">
        <v>2.6</v>
      </c>
      <c r="O1997" t="s">
        <v>27</v>
      </c>
      <c r="S1997" s="3">
        <v>350</v>
      </c>
      <c r="T1997" s="2">
        <v>1009.597412109375</v>
      </c>
      <c r="U1997" s="2">
        <v>740.29482872645895</v>
      </c>
      <c r="V1997" s="2">
        <v>712.44879531956212</v>
      </c>
      <c r="W1997" s="2">
        <v>1203.663330078125</v>
      </c>
      <c r="X1997" s="4">
        <f t="shared" si="124"/>
        <v>0.34667283790747538</v>
      </c>
      <c r="Y1997" s="4">
        <f t="shared" si="125"/>
        <v>0.47278460745445244</v>
      </c>
      <c r="Z1997" s="4">
        <f t="shared" si="126"/>
        <v>0.49126337541634951</v>
      </c>
      <c r="AA1997" s="4">
        <f t="shared" si="127"/>
        <v>0.29077898383535777</v>
      </c>
    </row>
    <row r="1998" spans="1:27" x14ac:dyDescent="0.3">
      <c r="A1998" t="s">
        <v>623</v>
      </c>
      <c r="B1998">
        <v>69929</v>
      </c>
      <c r="C1998">
        <v>2005</v>
      </c>
      <c r="D1998" t="s">
        <v>226</v>
      </c>
      <c r="E1998" t="s">
        <v>625</v>
      </c>
      <c r="F1998">
        <v>4</v>
      </c>
      <c r="G1998" t="s">
        <v>30</v>
      </c>
      <c r="H1998">
        <v>2</v>
      </c>
      <c r="I1998" t="s">
        <v>337</v>
      </c>
      <c r="J1998" t="s">
        <v>209</v>
      </c>
      <c r="K1998" t="s">
        <v>27</v>
      </c>
      <c r="L1998" t="s">
        <v>32</v>
      </c>
      <c r="M1998" t="s">
        <v>23</v>
      </c>
      <c r="N1998">
        <v>3.5</v>
      </c>
      <c r="O1998" t="s">
        <v>27</v>
      </c>
      <c r="S1998" s="3">
        <v>5000</v>
      </c>
      <c r="T1998" s="2">
        <v>-604.60223388671875</v>
      </c>
      <c r="U1998" s="2">
        <v>5713.5637427569927</v>
      </c>
      <c r="V1998" s="2">
        <v>4199.1705371531316</v>
      </c>
      <c r="W1998" s="2">
        <v>5588.79443359375</v>
      </c>
      <c r="X1998" s="4">
        <f t="shared" si="124"/>
        <v>-8.2698999768115726</v>
      </c>
      <c r="Y1998" s="4">
        <f t="shared" si="125"/>
        <v>0.87511056585978098</v>
      </c>
      <c r="Z1998" s="4">
        <f t="shared" si="126"/>
        <v>1.1907113454339004</v>
      </c>
      <c r="AA1998" s="4">
        <f t="shared" si="127"/>
        <v>0.89464732679116654</v>
      </c>
    </row>
    <row r="1999" spans="1:27" x14ac:dyDescent="0.3">
      <c r="A1999" t="s">
        <v>596</v>
      </c>
      <c r="B1999">
        <v>127725</v>
      </c>
      <c r="C1999">
        <v>2016</v>
      </c>
      <c r="D1999" t="s">
        <v>54</v>
      </c>
      <c r="E1999" t="s">
        <v>180</v>
      </c>
      <c r="F1999">
        <v>4</v>
      </c>
      <c r="G1999" t="s">
        <v>22</v>
      </c>
      <c r="H1999">
        <v>4</v>
      </c>
      <c r="I1999" t="s">
        <v>23</v>
      </c>
      <c r="J1999" t="s">
        <v>24</v>
      </c>
      <c r="K1999" t="s">
        <v>25</v>
      </c>
      <c r="L1999" t="s">
        <v>60</v>
      </c>
      <c r="M1999">
        <v>4</v>
      </c>
      <c r="N1999">
        <v>3.9</v>
      </c>
      <c r="O1999" t="s">
        <v>27</v>
      </c>
      <c r="S1999" s="3">
        <v>6300</v>
      </c>
      <c r="T1999" s="2">
        <v>6470.24755859375</v>
      </c>
      <c r="U1999" s="2">
        <v>7737.1149850750098</v>
      </c>
      <c r="V1999" s="2">
        <v>7974.4221360065494</v>
      </c>
      <c r="W1999" s="2">
        <v>7184.64013671875</v>
      </c>
      <c r="X1999" s="4">
        <f t="shared" si="124"/>
        <v>0.9736876283245719</v>
      </c>
      <c r="Y1999" s="4">
        <f t="shared" si="125"/>
        <v>0.81425699529511686</v>
      </c>
      <c r="Z1999" s="4">
        <f t="shared" si="126"/>
        <v>0.79002589686767311</v>
      </c>
      <c r="AA1999" s="4">
        <f t="shared" si="127"/>
        <v>0.87687064071621434</v>
      </c>
    </row>
    <row r="2000" spans="1:27" x14ac:dyDescent="0.3">
      <c r="A2000" t="s">
        <v>596</v>
      </c>
      <c r="B2000">
        <v>148786</v>
      </c>
      <c r="C2000">
        <v>2014</v>
      </c>
      <c r="D2000" t="s">
        <v>187</v>
      </c>
      <c r="E2000" t="s">
        <v>411</v>
      </c>
      <c r="F2000">
        <v>4</v>
      </c>
      <c r="G2000" t="s">
        <v>56</v>
      </c>
      <c r="H2000">
        <v>4</v>
      </c>
      <c r="I2000" t="s">
        <v>23</v>
      </c>
      <c r="J2000" t="s">
        <v>24</v>
      </c>
      <c r="K2000" t="s">
        <v>25</v>
      </c>
      <c r="L2000" t="s">
        <v>102</v>
      </c>
      <c r="M2000" t="s">
        <v>23</v>
      </c>
      <c r="N2000">
        <v>3.6</v>
      </c>
      <c r="O2000" t="s">
        <v>27</v>
      </c>
      <c r="S2000" s="3">
        <v>4700</v>
      </c>
      <c r="T2000" s="2">
        <v>3598.372314453125</v>
      </c>
      <c r="U2000" s="2">
        <v>4314.0558060812155</v>
      </c>
      <c r="V2000" s="2">
        <v>4295.4013654817691</v>
      </c>
      <c r="W2000" s="2">
        <v>3993.3359375</v>
      </c>
      <c r="X2000" s="4">
        <f t="shared" si="124"/>
        <v>1.3061461097624909</v>
      </c>
      <c r="Y2000" s="4">
        <f t="shared" si="125"/>
        <v>1.0894620309210528</v>
      </c>
      <c r="Z2000" s="4">
        <f t="shared" si="126"/>
        <v>1.0941934408666958</v>
      </c>
      <c r="AA2000" s="4">
        <f t="shared" si="127"/>
        <v>1.1769608351413585</v>
      </c>
    </row>
    <row r="2001" spans="1:27" x14ac:dyDescent="0.3">
      <c r="A2001" t="s">
        <v>596</v>
      </c>
      <c r="B2001">
        <v>99849</v>
      </c>
      <c r="C2001">
        <v>2018</v>
      </c>
      <c r="D2001" t="s">
        <v>40</v>
      </c>
      <c r="E2001" t="s">
        <v>146</v>
      </c>
      <c r="F2001">
        <v>8</v>
      </c>
      <c r="G2001" t="s">
        <v>22</v>
      </c>
      <c r="H2001">
        <v>4</v>
      </c>
      <c r="I2001" t="s">
        <v>23</v>
      </c>
      <c r="J2001" t="s">
        <v>24</v>
      </c>
      <c r="K2001" t="s">
        <v>25</v>
      </c>
      <c r="L2001" t="s">
        <v>43</v>
      </c>
      <c r="M2001">
        <v>4</v>
      </c>
      <c r="N2001">
        <v>3.3</v>
      </c>
      <c r="O2001" t="s">
        <v>27</v>
      </c>
      <c r="S2001" s="3">
        <v>20000</v>
      </c>
      <c r="T2001" s="2">
        <v>22104.564453125</v>
      </c>
      <c r="U2001" s="2">
        <v>29302.083939786651</v>
      </c>
      <c r="V2001" s="2">
        <v>24556.23721521502</v>
      </c>
      <c r="W2001" s="2">
        <v>25093.458984375</v>
      </c>
      <c r="X2001" s="4">
        <f t="shared" si="124"/>
        <v>0.904790503446112</v>
      </c>
      <c r="Y2001" s="4">
        <f t="shared" si="125"/>
        <v>0.68254531114914352</v>
      </c>
      <c r="Z2001" s="4">
        <f t="shared" si="126"/>
        <v>0.8144570287669326</v>
      </c>
      <c r="AA2001" s="4">
        <f t="shared" si="127"/>
        <v>0.79702045112447206</v>
      </c>
    </row>
    <row r="2002" spans="1:27" x14ac:dyDescent="0.3">
      <c r="A2002" t="s">
        <v>596</v>
      </c>
      <c r="B2002">
        <v>184060</v>
      </c>
      <c r="C2002">
        <v>2016</v>
      </c>
      <c r="D2002" t="s">
        <v>44</v>
      </c>
      <c r="E2002" t="s">
        <v>45</v>
      </c>
      <c r="F2002">
        <v>6</v>
      </c>
      <c r="G2002" t="s">
        <v>47</v>
      </c>
      <c r="H2002">
        <v>4</v>
      </c>
      <c r="I2002" t="s">
        <v>23</v>
      </c>
      <c r="J2002" t="s">
        <v>46</v>
      </c>
      <c r="K2002" t="s">
        <v>25</v>
      </c>
      <c r="L2002" t="s">
        <v>38</v>
      </c>
      <c r="M2002">
        <v>4</v>
      </c>
      <c r="N2002">
        <v>4.4000000000000004</v>
      </c>
      <c r="O2002" t="s">
        <v>27</v>
      </c>
      <c r="S2002" s="3">
        <v>9800</v>
      </c>
      <c r="T2002" s="2">
        <v>7299.06298828125</v>
      </c>
      <c r="U2002" s="2">
        <v>8171.852542561207</v>
      </c>
      <c r="V2002" s="2">
        <v>10956.705361548709</v>
      </c>
      <c r="W2002" s="2">
        <v>8978.0322265625</v>
      </c>
      <c r="X2002" s="4">
        <f t="shared" si="124"/>
        <v>1.34263809145558</v>
      </c>
      <c r="Y2002" s="4">
        <f t="shared" si="125"/>
        <v>1.1992384773169809</v>
      </c>
      <c r="Z2002" s="4">
        <f t="shared" si="126"/>
        <v>0.89442945453219602</v>
      </c>
      <c r="AA2002" s="4">
        <f t="shared" si="127"/>
        <v>1.091553221540642</v>
      </c>
    </row>
    <row r="2003" spans="1:27" x14ac:dyDescent="0.3">
      <c r="A2003" t="s">
        <v>622</v>
      </c>
      <c r="B2003">
        <v>64005</v>
      </c>
      <c r="C2003">
        <v>2022</v>
      </c>
      <c r="D2003" t="s">
        <v>44</v>
      </c>
      <c r="E2003" t="s">
        <v>68</v>
      </c>
      <c r="F2003">
        <v>4</v>
      </c>
      <c r="G2003" t="s">
        <v>59</v>
      </c>
      <c r="H2003">
        <v>4</v>
      </c>
      <c r="I2003" t="s">
        <v>23</v>
      </c>
      <c r="J2003" t="s">
        <v>62</v>
      </c>
      <c r="K2003" t="s">
        <v>27</v>
      </c>
      <c r="L2003" t="s">
        <v>69</v>
      </c>
      <c r="M2003">
        <v>4</v>
      </c>
      <c r="N2003">
        <v>0</v>
      </c>
      <c r="S2003" s="3">
        <v>27800</v>
      </c>
      <c r="T2003" s="2">
        <v>24217.466796875</v>
      </c>
      <c r="U2003" s="2">
        <v>30113.899855413041</v>
      </c>
      <c r="V2003" s="2">
        <v>33899.810870798821</v>
      </c>
      <c r="W2003" s="2">
        <v>28194.0703125</v>
      </c>
      <c r="X2003" s="4">
        <f t="shared" si="124"/>
        <v>1.147931789611756</v>
      </c>
      <c r="Y2003" s="4">
        <f t="shared" si="125"/>
        <v>0.92316173373349675</v>
      </c>
      <c r="Z2003" s="4">
        <f t="shared" si="126"/>
        <v>0.82006357221145509</v>
      </c>
      <c r="AA2003" s="4">
        <f t="shared" si="127"/>
        <v>0.98602293644968009</v>
      </c>
    </row>
    <row r="2004" spans="1:27" x14ac:dyDescent="0.3">
      <c r="A2004" t="s">
        <v>623</v>
      </c>
      <c r="B2004">
        <v>77229</v>
      </c>
      <c r="C2004">
        <v>1999</v>
      </c>
      <c r="D2004" t="s">
        <v>324</v>
      </c>
      <c r="E2004" t="s">
        <v>626</v>
      </c>
      <c r="F2004">
        <v>8</v>
      </c>
      <c r="G2004" t="s">
        <v>36</v>
      </c>
      <c r="H2004">
        <v>2</v>
      </c>
      <c r="I2004" t="s">
        <v>23</v>
      </c>
      <c r="J2004" t="s">
        <v>83</v>
      </c>
      <c r="K2004" t="s">
        <v>27</v>
      </c>
      <c r="L2004" t="s">
        <v>161</v>
      </c>
      <c r="M2004" t="s">
        <v>33</v>
      </c>
      <c r="N2004">
        <v>3</v>
      </c>
      <c r="O2004" t="s">
        <v>27</v>
      </c>
      <c r="S2004" s="3">
        <v>400</v>
      </c>
      <c r="T2004" s="2">
        <v>2650.166015625</v>
      </c>
      <c r="U2004" s="2">
        <v>10385.926969597571</v>
      </c>
      <c r="V2004" s="2">
        <v>3723.430028037033</v>
      </c>
      <c r="W2004" s="2">
        <v>5844.7978515625</v>
      </c>
      <c r="X2004" s="4">
        <f t="shared" si="124"/>
        <v>0.15093394060661</v>
      </c>
      <c r="Y2004" s="4">
        <f t="shared" si="125"/>
        <v>3.8513654214102279E-2</v>
      </c>
      <c r="Z2004" s="4">
        <f t="shared" si="126"/>
        <v>0.10742782783295038</v>
      </c>
      <c r="AA2004" s="4">
        <f t="shared" si="127"/>
        <v>6.8436926333229356E-2</v>
      </c>
    </row>
    <row r="2005" spans="1:27" x14ac:dyDescent="0.3">
      <c r="A2005" t="s">
        <v>623</v>
      </c>
      <c r="B2005">
        <v>108789</v>
      </c>
      <c r="C2005">
        <v>2021</v>
      </c>
      <c r="D2005" t="s">
        <v>239</v>
      </c>
      <c r="E2005" t="s">
        <v>304</v>
      </c>
      <c r="F2005">
        <v>6</v>
      </c>
      <c r="G2005" t="s">
        <v>22</v>
      </c>
      <c r="H2005">
        <v>4</v>
      </c>
      <c r="I2005" t="s">
        <v>23</v>
      </c>
      <c r="J2005" t="s">
        <v>24</v>
      </c>
      <c r="K2005" t="s">
        <v>27</v>
      </c>
      <c r="L2005" t="s">
        <v>218</v>
      </c>
      <c r="M2005" t="s">
        <v>23</v>
      </c>
      <c r="N2005">
        <v>2.2000000000000002</v>
      </c>
      <c r="O2005" t="s">
        <v>27</v>
      </c>
      <c r="S2005" s="3">
        <v>18700</v>
      </c>
      <c r="T2005" s="2">
        <v>18333.017578125</v>
      </c>
      <c r="U2005" s="2">
        <v>17311.814093591762</v>
      </c>
      <c r="V2005" s="2">
        <v>19344.69362790119</v>
      </c>
      <c r="W2005" s="2">
        <v>17094.064453125</v>
      </c>
      <c r="X2005" s="4">
        <f t="shared" si="124"/>
        <v>1.020017567774161</v>
      </c>
      <c r="Y2005" s="4">
        <f t="shared" si="125"/>
        <v>1.0801872004229816</v>
      </c>
      <c r="Z2005" s="4">
        <f t="shared" si="126"/>
        <v>0.96667336064855858</v>
      </c>
      <c r="AA2005" s="4">
        <f t="shared" si="127"/>
        <v>1.0939469692113752</v>
      </c>
    </row>
    <row r="2006" spans="1:27" x14ac:dyDescent="0.3">
      <c r="A2006" t="s">
        <v>623</v>
      </c>
      <c r="B2006">
        <v>30013</v>
      </c>
      <c r="C2006">
        <v>2024</v>
      </c>
      <c r="D2006" t="s">
        <v>71</v>
      </c>
      <c r="E2006" t="s">
        <v>627</v>
      </c>
      <c r="F2006">
        <v>3</v>
      </c>
      <c r="G2006" t="s">
        <v>22</v>
      </c>
      <c r="H2006">
        <v>4</v>
      </c>
      <c r="I2006" t="s">
        <v>23</v>
      </c>
      <c r="J2006" t="s">
        <v>24</v>
      </c>
      <c r="K2006" t="s">
        <v>27</v>
      </c>
      <c r="L2006" t="s">
        <v>121</v>
      </c>
      <c r="M2006" t="s">
        <v>33</v>
      </c>
      <c r="N2006">
        <v>2.2000000000000002</v>
      </c>
      <c r="O2006" t="s">
        <v>27</v>
      </c>
      <c r="S2006" s="3">
        <v>16800</v>
      </c>
      <c r="T2006" s="2">
        <v>24758.748046875</v>
      </c>
      <c r="U2006" s="2">
        <v>18589.890550333181</v>
      </c>
      <c r="V2006" s="2">
        <v>19717.907262397421</v>
      </c>
      <c r="W2006" s="2">
        <v>22253.322265625</v>
      </c>
      <c r="X2006" s="4">
        <f t="shared" si="124"/>
        <v>0.67854804161313242</v>
      </c>
      <c r="Y2006" s="4">
        <f t="shared" si="125"/>
        <v>0.90371699362688818</v>
      </c>
      <c r="Z2006" s="4">
        <f t="shared" si="126"/>
        <v>0.85201739598593462</v>
      </c>
      <c r="AA2006" s="4">
        <f t="shared" si="127"/>
        <v>0.75494345516000461</v>
      </c>
    </row>
    <row r="2007" spans="1:27" x14ac:dyDescent="0.3">
      <c r="A2007" t="s">
        <v>623</v>
      </c>
      <c r="B2007">
        <v>66404</v>
      </c>
      <c r="C2007">
        <v>2005</v>
      </c>
      <c r="D2007" t="s">
        <v>28</v>
      </c>
      <c r="E2007" t="s">
        <v>29</v>
      </c>
      <c r="F2007">
        <v>4</v>
      </c>
      <c r="G2007" t="s">
        <v>22</v>
      </c>
      <c r="H2007">
        <v>4</v>
      </c>
      <c r="I2007" t="s">
        <v>23</v>
      </c>
      <c r="J2007" t="s">
        <v>31</v>
      </c>
      <c r="L2007" t="s">
        <v>446</v>
      </c>
      <c r="M2007" t="s">
        <v>33</v>
      </c>
      <c r="N2007">
        <v>2.9</v>
      </c>
      <c r="O2007" t="s">
        <v>27</v>
      </c>
      <c r="S2007" s="3">
        <v>1000</v>
      </c>
      <c r="T2007" s="2">
        <v>5004.1474609375</v>
      </c>
      <c r="U2007" s="2">
        <v>4457.120803374959</v>
      </c>
      <c r="V2007" s="2">
        <v>4721.3930558088869</v>
      </c>
      <c r="W2007" s="2">
        <v>5099.7138671875</v>
      </c>
      <c r="X2007" s="4">
        <f t="shared" si="124"/>
        <v>0.1998342390599048</v>
      </c>
      <c r="Y2007" s="4">
        <f t="shared" si="125"/>
        <v>0.22436008448386544</v>
      </c>
      <c r="Z2007" s="4">
        <f t="shared" si="126"/>
        <v>0.21180189579210457</v>
      </c>
      <c r="AA2007" s="4">
        <f t="shared" si="127"/>
        <v>0.19608943286684857</v>
      </c>
    </row>
    <row r="2008" spans="1:27" x14ac:dyDescent="0.3">
      <c r="A2008" t="s">
        <v>623</v>
      </c>
      <c r="B2008">
        <v>64063</v>
      </c>
      <c r="C2008">
        <v>2014</v>
      </c>
      <c r="D2008" t="s">
        <v>44</v>
      </c>
      <c r="E2008" t="s">
        <v>45</v>
      </c>
      <c r="F2008">
        <v>6</v>
      </c>
      <c r="G2008" t="s">
        <v>36</v>
      </c>
      <c r="H2008">
        <v>4</v>
      </c>
      <c r="I2008" t="s">
        <v>23</v>
      </c>
      <c r="J2008" t="s">
        <v>46</v>
      </c>
      <c r="K2008" t="s">
        <v>27</v>
      </c>
      <c r="L2008" t="s">
        <v>38</v>
      </c>
      <c r="M2008">
        <v>4</v>
      </c>
      <c r="N2008">
        <v>3</v>
      </c>
      <c r="O2008" t="s">
        <v>27</v>
      </c>
      <c r="S2008" s="3">
        <v>10000</v>
      </c>
      <c r="T2008" s="2">
        <v>15575.3720703125</v>
      </c>
      <c r="U2008" s="2">
        <v>15007.52885910998</v>
      </c>
      <c r="V2008" s="2">
        <v>18830.597496722748</v>
      </c>
      <c r="W2008" s="2">
        <v>13495.4912109375</v>
      </c>
      <c r="X2008" s="4">
        <f t="shared" si="124"/>
        <v>0.64203923699906595</v>
      </c>
      <c r="Y2008" s="4">
        <f t="shared" si="125"/>
        <v>0.66633221857372793</v>
      </c>
      <c r="Z2008" s="4">
        <f t="shared" si="126"/>
        <v>0.53105059474296479</v>
      </c>
      <c r="AA2008" s="4">
        <f t="shared" si="127"/>
        <v>0.74098821922802194</v>
      </c>
    </row>
    <row r="2009" spans="1:27" x14ac:dyDescent="0.3">
      <c r="A2009" t="s">
        <v>623</v>
      </c>
      <c r="B2009">
        <v>95773</v>
      </c>
      <c r="C2009">
        <v>2017</v>
      </c>
      <c r="D2009" t="s">
        <v>85</v>
      </c>
      <c r="E2009" t="s">
        <v>86</v>
      </c>
      <c r="F2009">
        <v>4</v>
      </c>
      <c r="G2009" t="s">
        <v>47</v>
      </c>
      <c r="H2009">
        <v>4</v>
      </c>
      <c r="I2009" t="s">
        <v>23</v>
      </c>
      <c r="J2009" t="s">
        <v>31</v>
      </c>
      <c r="L2009" t="s">
        <v>127</v>
      </c>
      <c r="M2009" t="s">
        <v>33</v>
      </c>
      <c r="N2009">
        <v>3.4</v>
      </c>
      <c r="O2009" t="s">
        <v>27</v>
      </c>
      <c r="S2009" s="3">
        <v>5100</v>
      </c>
      <c r="T2009" s="2">
        <v>8251.703125</v>
      </c>
      <c r="U2009" s="2">
        <v>7898.7852821909291</v>
      </c>
      <c r="V2009" s="2">
        <v>6432.3389116364006</v>
      </c>
      <c r="W2009" s="2">
        <v>7914.07470703125</v>
      </c>
      <c r="X2009" s="4">
        <f t="shared" si="124"/>
        <v>0.61805422744168348</v>
      </c>
      <c r="Y2009" s="4">
        <f t="shared" si="125"/>
        <v>0.64566889943175987</v>
      </c>
      <c r="Z2009" s="4">
        <f t="shared" si="126"/>
        <v>0.79286867033294262</v>
      </c>
      <c r="AA2009" s="4">
        <f t="shared" si="127"/>
        <v>0.64442151341696474</v>
      </c>
    </row>
    <row r="2010" spans="1:27" x14ac:dyDescent="0.3">
      <c r="A2010" t="s">
        <v>623</v>
      </c>
      <c r="B2010">
        <v>164160</v>
      </c>
      <c r="C2010">
        <v>2007</v>
      </c>
      <c r="D2010" t="s">
        <v>119</v>
      </c>
      <c r="E2010" t="s">
        <v>491</v>
      </c>
      <c r="F2010">
        <v>4</v>
      </c>
      <c r="G2010" t="s">
        <v>47</v>
      </c>
      <c r="H2010">
        <v>4</v>
      </c>
      <c r="I2010" t="s">
        <v>23</v>
      </c>
      <c r="J2010" t="s">
        <v>31</v>
      </c>
      <c r="L2010" t="s">
        <v>60</v>
      </c>
      <c r="M2010" t="s">
        <v>33</v>
      </c>
      <c r="N2010">
        <v>2.9</v>
      </c>
      <c r="O2010" t="s">
        <v>27</v>
      </c>
      <c r="S2010" s="3">
        <v>500</v>
      </c>
      <c r="T2010" s="2">
        <v>1256.526611328125</v>
      </c>
      <c r="U2010" s="2">
        <v>1404.4660058980371</v>
      </c>
      <c r="V2010" s="2">
        <v>1894.5881063231741</v>
      </c>
      <c r="W2010" s="2">
        <v>1403.014038085938</v>
      </c>
      <c r="X2010" s="4">
        <f t="shared" si="124"/>
        <v>0.39792233247770964</v>
      </c>
      <c r="Y2010" s="4">
        <f t="shared" si="125"/>
        <v>0.35600719269833259</v>
      </c>
      <c r="Z2010" s="4">
        <f t="shared" si="126"/>
        <v>0.26390960564528704</v>
      </c>
      <c r="AA2010" s="4">
        <f t="shared" si="127"/>
        <v>0.35637562164532938</v>
      </c>
    </row>
    <row r="2011" spans="1:27" x14ac:dyDescent="0.3">
      <c r="A2011" t="s">
        <v>623</v>
      </c>
      <c r="B2011">
        <v>166118</v>
      </c>
      <c r="C2011">
        <v>2007</v>
      </c>
      <c r="D2011" t="s">
        <v>44</v>
      </c>
      <c r="E2011" t="s">
        <v>117</v>
      </c>
      <c r="F2011">
        <v>6</v>
      </c>
      <c r="G2011" t="s">
        <v>30</v>
      </c>
      <c r="H2011">
        <v>4</v>
      </c>
      <c r="I2011" t="s">
        <v>23</v>
      </c>
      <c r="J2011" t="s">
        <v>24</v>
      </c>
      <c r="K2011" t="s">
        <v>27</v>
      </c>
      <c r="L2011" t="s">
        <v>218</v>
      </c>
      <c r="M2011">
        <v>4</v>
      </c>
      <c r="N2011">
        <v>3.1</v>
      </c>
      <c r="O2011" t="s">
        <v>27</v>
      </c>
      <c r="S2011" s="3">
        <v>1000</v>
      </c>
      <c r="T2011" s="2">
        <v>1264.864379882812</v>
      </c>
      <c r="U2011" s="2">
        <v>1419.3333978771409</v>
      </c>
      <c r="V2011" s="2">
        <v>657.26083012410527</v>
      </c>
      <c r="W2011" s="2">
        <v>1517.908569335938</v>
      </c>
      <c r="X2011" s="4">
        <f t="shared" si="124"/>
        <v>0.79059859373433272</v>
      </c>
      <c r="Y2011" s="4">
        <f t="shared" si="125"/>
        <v>0.70455609759882587</v>
      </c>
      <c r="Z2011" s="4">
        <f t="shared" si="126"/>
        <v>1.5214659906192463</v>
      </c>
      <c r="AA2011" s="4">
        <f t="shared" si="127"/>
        <v>0.65880120858497093</v>
      </c>
    </row>
    <row r="2012" spans="1:27" x14ac:dyDescent="0.3">
      <c r="A2012" t="s">
        <v>623</v>
      </c>
      <c r="B2012">
        <v>286402</v>
      </c>
      <c r="C2012">
        <v>2006</v>
      </c>
      <c r="D2012" t="s">
        <v>396</v>
      </c>
      <c r="E2012" t="s">
        <v>428</v>
      </c>
      <c r="F2012">
        <v>6</v>
      </c>
      <c r="G2012" t="s">
        <v>36</v>
      </c>
      <c r="H2012">
        <v>4</v>
      </c>
      <c r="I2012" t="s">
        <v>23</v>
      </c>
      <c r="J2012" t="s">
        <v>31</v>
      </c>
      <c r="K2012" t="s">
        <v>27</v>
      </c>
      <c r="L2012" t="s">
        <v>301</v>
      </c>
      <c r="M2012" t="s">
        <v>33</v>
      </c>
      <c r="N2012">
        <v>2.6</v>
      </c>
      <c r="O2012" t="s">
        <v>27</v>
      </c>
      <c r="S2012" s="3">
        <v>1100</v>
      </c>
      <c r="T2012" s="2">
        <v>483.30328369140619</v>
      </c>
      <c r="U2012" s="2">
        <v>1014.3456596107681</v>
      </c>
      <c r="V2012" s="2">
        <v>620.77205086845242</v>
      </c>
      <c r="W2012" s="2">
        <v>991.62640380859375</v>
      </c>
      <c r="X2012" s="4">
        <f t="shared" si="124"/>
        <v>2.2760035719152296</v>
      </c>
      <c r="Y2012" s="4">
        <f t="shared" si="125"/>
        <v>1.084442950563913</v>
      </c>
      <c r="Z2012" s="4">
        <f t="shared" si="126"/>
        <v>1.7719869933917185</v>
      </c>
      <c r="AA2012" s="4">
        <f t="shared" si="127"/>
        <v>1.1092887359343901</v>
      </c>
    </row>
    <row r="2013" spans="1:27" x14ac:dyDescent="0.3">
      <c r="A2013" t="s">
        <v>623</v>
      </c>
      <c r="B2013">
        <v>223379</v>
      </c>
      <c r="C2013">
        <v>2001</v>
      </c>
      <c r="D2013" t="s">
        <v>44</v>
      </c>
      <c r="E2013" t="s">
        <v>117</v>
      </c>
      <c r="F2013">
        <v>6</v>
      </c>
      <c r="G2013" t="s">
        <v>36</v>
      </c>
      <c r="H2013">
        <v>4</v>
      </c>
      <c r="I2013" t="s">
        <v>23</v>
      </c>
      <c r="J2013" t="s">
        <v>24</v>
      </c>
      <c r="L2013" t="s">
        <v>218</v>
      </c>
      <c r="M2013">
        <v>4</v>
      </c>
      <c r="N2013">
        <v>2.2999999999999901</v>
      </c>
      <c r="O2013" t="s">
        <v>27</v>
      </c>
      <c r="S2013" s="3">
        <v>500</v>
      </c>
      <c r="T2013" s="2">
        <v>492.91439819335938</v>
      </c>
      <c r="U2013" s="2">
        <v>1105.2736450998759</v>
      </c>
      <c r="V2013" s="2">
        <v>-122.5436081376029</v>
      </c>
      <c r="W2013" s="2">
        <v>930.7379150390625</v>
      </c>
      <c r="X2013" s="4">
        <f t="shared" si="124"/>
        <v>1.014374913438542</v>
      </c>
      <c r="Y2013" s="4">
        <f t="shared" si="125"/>
        <v>0.4523766600395312</v>
      </c>
      <c r="Z2013" s="4">
        <f t="shared" si="126"/>
        <v>-4.08018017095233</v>
      </c>
      <c r="AA2013" s="4">
        <f t="shared" si="127"/>
        <v>0.53720815701272395</v>
      </c>
    </row>
    <row r="2014" spans="1:27" x14ac:dyDescent="0.3">
      <c r="A2014" t="s">
        <v>623</v>
      </c>
      <c r="B2014">
        <v>143379</v>
      </c>
      <c r="C2014">
        <v>2005</v>
      </c>
      <c r="D2014" t="s">
        <v>81</v>
      </c>
      <c r="E2014" t="s">
        <v>401</v>
      </c>
      <c r="F2014">
        <v>6</v>
      </c>
      <c r="G2014" t="s">
        <v>36</v>
      </c>
      <c r="H2014">
        <v>2</v>
      </c>
      <c r="I2014" t="s">
        <v>23</v>
      </c>
      <c r="J2014" t="s">
        <v>49</v>
      </c>
      <c r="L2014" t="s">
        <v>57</v>
      </c>
      <c r="M2014">
        <v>4</v>
      </c>
      <c r="N2014">
        <v>2.2999999999999901</v>
      </c>
      <c r="O2014" t="s">
        <v>27</v>
      </c>
      <c r="S2014" s="3">
        <v>400</v>
      </c>
      <c r="T2014" s="2">
        <v>1945.916137695312</v>
      </c>
      <c r="U2014" s="2">
        <v>1570.6110723538841</v>
      </c>
      <c r="V2014" s="2">
        <v>2038.520828772977</v>
      </c>
      <c r="W2014" s="2">
        <v>2020.140258789062</v>
      </c>
      <c r="X2014" s="4">
        <f t="shared" si="124"/>
        <v>0.20555870433026402</v>
      </c>
      <c r="Y2014" s="4">
        <f t="shared" si="125"/>
        <v>0.25467794480814249</v>
      </c>
      <c r="Z2014" s="4">
        <f t="shared" si="126"/>
        <v>0.19622070785549312</v>
      </c>
      <c r="AA2014" s="4">
        <f t="shared" si="127"/>
        <v>0.1980060534211486</v>
      </c>
    </row>
    <row r="2015" spans="1:27" x14ac:dyDescent="0.3">
      <c r="A2015" t="s">
        <v>623</v>
      </c>
      <c r="B2015">
        <v>153157</v>
      </c>
      <c r="C2015">
        <v>2010</v>
      </c>
      <c r="D2015" t="s">
        <v>28</v>
      </c>
      <c r="E2015" t="s">
        <v>220</v>
      </c>
      <c r="F2015">
        <v>6</v>
      </c>
      <c r="G2015" t="s">
        <v>272</v>
      </c>
      <c r="H2015">
        <v>4</v>
      </c>
      <c r="I2015" t="s">
        <v>23</v>
      </c>
      <c r="J2015" t="s">
        <v>24</v>
      </c>
      <c r="K2015" t="s">
        <v>27</v>
      </c>
      <c r="L2015" t="s">
        <v>53</v>
      </c>
      <c r="M2015">
        <v>4</v>
      </c>
      <c r="N2015">
        <v>2.9</v>
      </c>
      <c r="O2015" t="s">
        <v>27</v>
      </c>
      <c r="S2015" s="3">
        <v>1000</v>
      </c>
      <c r="T2015" s="2">
        <v>3226.150146484375</v>
      </c>
      <c r="U2015" s="2">
        <v>3874.1624190104139</v>
      </c>
      <c r="V2015" s="2">
        <v>2558.282274446909</v>
      </c>
      <c r="W2015" s="2">
        <v>3460.234130859375</v>
      </c>
      <c r="X2015" s="4">
        <f t="shared" si="124"/>
        <v>0.30996697444157323</v>
      </c>
      <c r="Y2015" s="4">
        <f t="shared" si="125"/>
        <v>0.25812030881643633</v>
      </c>
      <c r="Z2015" s="4">
        <f t="shared" si="126"/>
        <v>0.39088728010524021</v>
      </c>
      <c r="AA2015" s="4">
        <f t="shared" si="127"/>
        <v>0.28899778517346819</v>
      </c>
    </row>
    <row r="2016" spans="1:27" x14ac:dyDescent="0.3">
      <c r="A2016" t="s">
        <v>623</v>
      </c>
      <c r="B2016">
        <v>105887</v>
      </c>
      <c r="C2016">
        <v>2017</v>
      </c>
      <c r="D2016" t="s">
        <v>40</v>
      </c>
      <c r="E2016" t="s">
        <v>41</v>
      </c>
      <c r="F2016">
        <v>8</v>
      </c>
      <c r="G2016" t="s">
        <v>47</v>
      </c>
      <c r="H2016">
        <v>4</v>
      </c>
      <c r="I2016" t="s">
        <v>23</v>
      </c>
      <c r="J2016" t="s">
        <v>42</v>
      </c>
      <c r="K2016" t="s">
        <v>27</v>
      </c>
      <c r="L2016" t="s">
        <v>43</v>
      </c>
      <c r="M2016" t="s">
        <v>78</v>
      </c>
      <c r="N2016">
        <v>2.2000000000000002</v>
      </c>
      <c r="O2016" t="s">
        <v>27</v>
      </c>
      <c r="S2016" s="3">
        <v>10000</v>
      </c>
      <c r="T2016" s="2">
        <v>14832.35546875</v>
      </c>
      <c r="U2016" s="2">
        <v>21331.996649038501</v>
      </c>
      <c r="V2016" s="2">
        <v>11291.83345794884</v>
      </c>
      <c r="W2016" s="2">
        <v>15479.3017578125</v>
      </c>
      <c r="X2016" s="4">
        <f t="shared" si="124"/>
        <v>0.67420174907949071</v>
      </c>
      <c r="Y2016" s="4">
        <f t="shared" si="125"/>
        <v>0.46877937234491035</v>
      </c>
      <c r="Z2016" s="4">
        <f t="shared" si="126"/>
        <v>0.88559577479072193</v>
      </c>
      <c r="AA2016" s="4">
        <f t="shared" si="127"/>
        <v>0.64602397165317471</v>
      </c>
    </row>
    <row r="2017" spans="1:27" x14ac:dyDescent="0.3">
      <c r="A2017" t="s">
        <v>623</v>
      </c>
      <c r="B2017">
        <v>32046</v>
      </c>
      <c r="C2017">
        <v>2022</v>
      </c>
      <c r="D2017" t="s">
        <v>44</v>
      </c>
      <c r="E2017" t="s">
        <v>485</v>
      </c>
      <c r="F2017">
        <v>3</v>
      </c>
      <c r="G2017" t="s">
        <v>22</v>
      </c>
      <c r="H2017">
        <v>4</v>
      </c>
      <c r="I2017" t="s">
        <v>23</v>
      </c>
      <c r="J2017" t="s">
        <v>62</v>
      </c>
      <c r="K2017" t="s">
        <v>27</v>
      </c>
      <c r="L2017" t="s">
        <v>200</v>
      </c>
      <c r="M2017">
        <v>4</v>
      </c>
      <c r="N2017">
        <v>4.4000000000000004</v>
      </c>
      <c r="O2017" t="s">
        <v>27</v>
      </c>
      <c r="S2017" s="3">
        <v>24700</v>
      </c>
      <c r="T2017" s="2">
        <v>24047.8828125</v>
      </c>
      <c r="U2017" s="2">
        <v>26601.116293154038</v>
      </c>
      <c r="V2017" s="2">
        <v>23397.452048096831</v>
      </c>
      <c r="W2017" s="2">
        <v>23358.865234375</v>
      </c>
      <c r="X2017" s="4">
        <f t="shared" si="124"/>
        <v>1.0271174469945867</v>
      </c>
      <c r="Y2017" s="4">
        <f t="shared" si="125"/>
        <v>0.92853246186351579</v>
      </c>
      <c r="Z2017" s="4">
        <f t="shared" si="126"/>
        <v>1.0556705041739414</v>
      </c>
      <c r="AA2017" s="4">
        <f t="shared" si="127"/>
        <v>1.0574143800295308</v>
      </c>
    </row>
    <row r="2018" spans="1:27" x14ac:dyDescent="0.3">
      <c r="A2018" t="s">
        <v>623</v>
      </c>
      <c r="B2018">
        <v>101248</v>
      </c>
      <c r="C2018">
        <v>2020</v>
      </c>
      <c r="D2018" t="s">
        <v>85</v>
      </c>
      <c r="E2018" t="s">
        <v>228</v>
      </c>
      <c r="F2018">
        <v>4</v>
      </c>
      <c r="G2018" t="s">
        <v>66</v>
      </c>
      <c r="H2018">
        <v>4</v>
      </c>
      <c r="I2018" t="s">
        <v>23</v>
      </c>
      <c r="J2018" t="s">
        <v>31</v>
      </c>
      <c r="K2018" t="s">
        <v>27</v>
      </c>
      <c r="L2018" t="s">
        <v>60</v>
      </c>
      <c r="M2018" t="s">
        <v>33</v>
      </c>
      <c r="N2018">
        <v>1.3</v>
      </c>
      <c r="O2018" t="s">
        <v>27</v>
      </c>
      <c r="S2018" s="3">
        <v>5000</v>
      </c>
      <c r="T2018" s="2">
        <v>6755.20263671875</v>
      </c>
      <c r="U2018" s="2">
        <v>6358.0576645696883</v>
      </c>
      <c r="V2018" s="2">
        <v>5872.7431393568459</v>
      </c>
      <c r="W2018" s="2">
        <v>7621.30517578125</v>
      </c>
      <c r="X2018" s="4">
        <f t="shared" si="124"/>
        <v>0.74017024638489359</v>
      </c>
      <c r="Y2018" s="4">
        <f t="shared" si="125"/>
        <v>0.78640368863946108</v>
      </c>
      <c r="Z2018" s="4">
        <f t="shared" si="126"/>
        <v>0.85139088861079926</v>
      </c>
      <c r="AA2018" s="4">
        <f t="shared" si="127"/>
        <v>0.6560556078883768</v>
      </c>
    </row>
    <row r="2019" spans="1:27" x14ac:dyDescent="0.3">
      <c r="A2019" t="s">
        <v>623</v>
      </c>
      <c r="B2019">
        <v>102037</v>
      </c>
      <c r="C2019">
        <v>2017</v>
      </c>
      <c r="D2019" t="s">
        <v>34</v>
      </c>
      <c r="E2019" t="s">
        <v>88</v>
      </c>
      <c r="F2019">
        <v>4</v>
      </c>
      <c r="G2019" t="s">
        <v>47</v>
      </c>
      <c r="H2019">
        <v>4</v>
      </c>
      <c r="I2019" t="s">
        <v>23</v>
      </c>
      <c r="J2019" t="s">
        <v>37</v>
      </c>
      <c r="L2019" t="s">
        <v>89</v>
      </c>
      <c r="M2019" t="s">
        <v>33</v>
      </c>
      <c r="N2019">
        <v>2.7</v>
      </c>
      <c r="O2019" t="s">
        <v>27</v>
      </c>
      <c r="S2019" s="3">
        <v>9700</v>
      </c>
      <c r="T2019" s="2">
        <v>6244.71337890625</v>
      </c>
      <c r="U2019" s="2">
        <v>5897.3594586377822</v>
      </c>
      <c r="V2019" s="2">
        <v>5990.6497679294316</v>
      </c>
      <c r="W2019" s="2">
        <v>6936.61572265625</v>
      </c>
      <c r="X2019" s="4">
        <f t="shared" si="124"/>
        <v>1.5533138851120396</v>
      </c>
      <c r="Y2019" s="4">
        <f t="shared" si="125"/>
        <v>1.644803927593822</v>
      </c>
      <c r="Z2019" s="4">
        <f t="shared" si="126"/>
        <v>1.6191899669929533</v>
      </c>
      <c r="AA2019" s="4">
        <f t="shared" si="127"/>
        <v>1.3983764400149823</v>
      </c>
    </row>
    <row r="2020" spans="1:27" x14ac:dyDescent="0.3">
      <c r="A2020" t="s">
        <v>623</v>
      </c>
      <c r="B2020">
        <v>206828</v>
      </c>
      <c r="C2020">
        <v>2004</v>
      </c>
      <c r="D2020" t="s">
        <v>44</v>
      </c>
      <c r="E2020" t="s">
        <v>628</v>
      </c>
      <c r="F2020">
        <v>6</v>
      </c>
      <c r="G2020" t="s">
        <v>59</v>
      </c>
      <c r="H2020">
        <v>4</v>
      </c>
      <c r="I2020" t="s">
        <v>23</v>
      </c>
      <c r="J2020" t="s">
        <v>106</v>
      </c>
      <c r="L2020" t="s">
        <v>524</v>
      </c>
      <c r="M2020" t="s">
        <v>33</v>
      </c>
      <c r="N2020">
        <v>2.2000000000000002</v>
      </c>
      <c r="O2020" t="s">
        <v>27</v>
      </c>
      <c r="S2020" s="3">
        <v>500</v>
      </c>
      <c r="T2020" s="2">
        <v>1222.88623046875</v>
      </c>
      <c r="U2020" s="2">
        <v>1099.9187031601541</v>
      </c>
      <c r="V2020" s="2">
        <v>532.47202539996397</v>
      </c>
      <c r="W2020" s="2">
        <v>1371.916870117188</v>
      </c>
      <c r="X2020" s="4">
        <f t="shared" si="124"/>
        <v>0.4088687790755014</v>
      </c>
      <c r="Y2020" s="4">
        <f t="shared" si="125"/>
        <v>0.45457905076389749</v>
      </c>
      <c r="Z2020" s="4">
        <f t="shared" si="126"/>
        <v>0.93901646687340479</v>
      </c>
      <c r="AA2020" s="4">
        <f t="shared" si="127"/>
        <v>0.36445356922922773</v>
      </c>
    </row>
    <row r="2021" spans="1:27" x14ac:dyDescent="0.3">
      <c r="A2021" t="s">
        <v>623</v>
      </c>
      <c r="B2021">
        <v>235188</v>
      </c>
      <c r="C2021">
        <v>2007</v>
      </c>
      <c r="D2021" t="s">
        <v>44</v>
      </c>
      <c r="E2021" t="s">
        <v>388</v>
      </c>
      <c r="F2021">
        <v>8</v>
      </c>
      <c r="G2021" t="s">
        <v>36</v>
      </c>
      <c r="H2021">
        <v>4</v>
      </c>
      <c r="I2021" t="s">
        <v>23</v>
      </c>
      <c r="J2021" t="s">
        <v>31</v>
      </c>
      <c r="L2021" t="s">
        <v>161</v>
      </c>
      <c r="M2021" t="s">
        <v>78</v>
      </c>
      <c r="N2021">
        <v>2.9</v>
      </c>
      <c r="O2021" t="s">
        <v>27</v>
      </c>
      <c r="S2021" s="3">
        <v>850</v>
      </c>
      <c r="T2021" s="2">
        <v>1217.504028320312</v>
      </c>
      <c r="U2021" s="2">
        <v>7589.6815418413416</v>
      </c>
      <c r="V2021" s="2">
        <v>2087.897990462307</v>
      </c>
      <c r="W2021" s="2">
        <v>3398.84228515625</v>
      </c>
      <c r="X2021" s="4">
        <f t="shared" si="124"/>
        <v>0.69814964076354924</v>
      </c>
      <c r="Y2021" s="4">
        <f t="shared" si="125"/>
        <v>0.111994158821291</v>
      </c>
      <c r="Z2021" s="4">
        <f t="shared" si="126"/>
        <v>0.40710801192532931</v>
      </c>
      <c r="AA2021" s="4">
        <f t="shared" si="127"/>
        <v>0.25008515508713114</v>
      </c>
    </row>
    <row r="2022" spans="1:27" x14ac:dyDescent="0.3">
      <c r="A2022" t="s">
        <v>623</v>
      </c>
      <c r="B2022">
        <v>102052</v>
      </c>
      <c r="C2022">
        <v>2002</v>
      </c>
      <c r="D2022" t="s">
        <v>40</v>
      </c>
      <c r="E2022" t="s">
        <v>629</v>
      </c>
      <c r="F2022">
        <v>8</v>
      </c>
      <c r="G2022" t="s">
        <v>580</v>
      </c>
      <c r="H2022">
        <v>3</v>
      </c>
      <c r="I2022" t="s">
        <v>23</v>
      </c>
      <c r="J2022" t="s">
        <v>448</v>
      </c>
      <c r="L2022" t="s">
        <v>84</v>
      </c>
      <c r="M2022" t="s">
        <v>78</v>
      </c>
      <c r="N2022">
        <v>2.1</v>
      </c>
      <c r="O2022" t="s">
        <v>27</v>
      </c>
      <c r="S2022" s="3">
        <v>500</v>
      </c>
      <c r="T2022" s="2">
        <v>3315.892822265625</v>
      </c>
      <c r="U2022" s="2">
        <v>12469.05981138895</v>
      </c>
      <c r="V2022" s="2">
        <v>1187.9832503275679</v>
      </c>
      <c r="W2022" s="2">
        <v>4316.31201171875</v>
      </c>
      <c r="X2022" s="4">
        <f t="shared" si="124"/>
        <v>0.15078895091017108</v>
      </c>
      <c r="Y2022" s="4">
        <f t="shared" si="125"/>
        <v>4.0099254279244982E-2</v>
      </c>
      <c r="Z2022" s="4">
        <f t="shared" si="126"/>
        <v>0.42088135490305334</v>
      </c>
      <c r="AA2022" s="4">
        <f t="shared" si="127"/>
        <v>0.11583963315036176</v>
      </c>
    </row>
    <row r="2023" spans="1:27" x14ac:dyDescent="0.3">
      <c r="A2023" t="s">
        <v>623</v>
      </c>
      <c r="B2023">
        <v>19258</v>
      </c>
      <c r="C2023">
        <v>2022</v>
      </c>
      <c r="D2023" t="s">
        <v>100</v>
      </c>
      <c r="E2023" t="s">
        <v>300</v>
      </c>
      <c r="F2023">
        <v>4</v>
      </c>
      <c r="G2023" t="s">
        <v>22</v>
      </c>
      <c r="H2023">
        <v>4</v>
      </c>
      <c r="I2023" t="s">
        <v>23</v>
      </c>
      <c r="J2023" t="s">
        <v>24</v>
      </c>
      <c r="L2023" t="s">
        <v>87</v>
      </c>
      <c r="M2023" t="s">
        <v>33</v>
      </c>
      <c r="N2023">
        <v>4.5999999999999899</v>
      </c>
      <c r="O2023" t="s">
        <v>27</v>
      </c>
      <c r="S2023" s="3">
        <v>16800</v>
      </c>
      <c r="T2023" s="2">
        <v>19261.9140625</v>
      </c>
      <c r="U2023" s="2">
        <v>23162.765789475841</v>
      </c>
      <c r="V2023" s="2">
        <v>22888.92288772227</v>
      </c>
      <c r="W2023" s="2">
        <v>22057.04296875</v>
      </c>
      <c r="X2023" s="4">
        <f t="shared" si="124"/>
        <v>0.87218746514434042</v>
      </c>
      <c r="Y2023" s="4">
        <f t="shared" si="125"/>
        <v>0.72530198477563479</v>
      </c>
      <c r="Z2023" s="4">
        <f t="shared" si="126"/>
        <v>0.7339794922814652</v>
      </c>
      <c r="AA2023" s="4">
        <f t="shared" si="127"/>
        <v>0.76166148036261805</v>
      </c>
    </row>
    <row r="2024" spans="1:27" x14ac:dyDescent="0.3">
      <c r="A2024" t="s">
        <v>623</v>
      </c>
      <c r="B2024">
        <v>102544</v>
      </c>
      <c r="C2024">
        <v>2018</v>
      </c>
      <c r="D2024" t="s">
        <v>141</v>
      </c>
      <c r="E2024" t="s">
        <v>258</v>
      </c>
      <c r="F2024">
        <v>6</v>
      </c>
      <c r="G2024" t="s">
        <v>59</v>
      </c>
      <c r="H2024">
        <v>4</v>
      </c>
      <c r="I2024" t="s">
        <v>23</v>
      </c>
      <c r="J2024" t="s">
        <v>106</v>
      </c>
      <c r="K2024" t="s">
        <v>27</v>
      </c>
      <c r="L2024" t="s">
        <v>26</v>
      </c>
      <c r="M2024" t="s">
        <v>33</v>
      </c>
      <c r="N2024">
        <v>3.4</v>
      </c>
      <c r="O2024" t="s">
        <v>27</v>
      </c>
      <c r="S2024" s="3">
        <v>6800</v>
      </c>
      <c r="T2024" s="2">
        <v>12473.763671875</v>
      </c>
      <c r="U2024" s="2">
        <v>12055.502751041169</v>
      </c>
      <c r="V2024" s="2">
        <v>11258.769618619241</v>
      </c>
      <c r="W2024" s="2">
        <v>11402.7529296875</v>
      </c>
      <c r="X2024" s="4">
        <f t="shared" si="124"/>
        <v>0.54514420658234697</v>
      </c>
      <c r="Y2024" s="4">
        <f t="shared" si="125"/>
        <v>0.56405777016746317</v>
      </c>
      <c r="Z2024" s="4">
        <f t="shared" si="126"/>
        <v>0.60397363391773018</v>
      </c>
      <c r="AA2024" s="4">
        <f t="shared" si="127"/>
        <v>0.59634721912600086</v>
      </c>
    </row>
    <row r="2025" spans="1:27" x14ac:dyDescent="0.3">
      <c r="A2025" t="s">
        <v>623</v>
      </c>
      <c r="B2025">
        <v>56659</v>
      </c>
      <c r="C2025">
        <v>2017</v>
      </c>
      <c r="D2025" t="s">
        <v>100</v>
      </c>
      <c r="E2025" t="s">
        <v>192</v>
      </c>
      <c r="F2025">
        <v>4</v>
      </c>
      <c r="G2025" t="s">
        <v>30</v>
      </c>
      <c r="H2025">
        <v>4</v>
      </c>
      <c r="I2025" t="s">
        <v>23</v>
      </c>
      <c r="J2025" t="s">
        <v>31</v>
      </c>
      <c r="K2025" t="s">
        <v>27</v>
      </c>
      <c r="L2025" t="s">
        <v>32</v>
      </c>
      <c r="M2025" t="s">
        <v>33</v>
      </c>
      <c r="N2025">
        <v>3</v>
      </c>
      <c r="O2025" t="s">
        <v>27</v>
      </c>
      <c r="S2025" s="3">
        <v>3900</v>
      </c>
      <c r="T2025" s="2">
        <v>7325.63427734375</v>
      </c>
      <c r="U2025" s="2">
        <v>7324.0021009293268</v>
      </c>
      <c r="V2025" s="2">
        <v>9991.7986329908381</v>
      </c>
      <c r="W2025" s="2">
        <v>8581.41015625</v>
      </c>
      <c r="X2025" s="4">
        <f t="shared" si="124"/>
        <v>0.53237710925068549</v>
      </c>
      <c r="Y2025" s="4">
        <f t="shared" si="125"/>
        <v>0.53249575112835335</v>
      </c>
      <c r="Z2025" s="4">
        <f t="shared" si="126"/>
        <v>0.39032011585211618</v>
      </c>
      <c r="AA2025" s="4">
        <f t="shared" si="127"/>
        <v>0.45447076051475732</v>
      </c>
    </row>
    <row r="2026" spans="1:27" x14ac:dyDescent="0.3">
      <c r="A2026" t="s">
        <v>630</v>
      </c>
      <c r="B2026">
        <v>32149</v>
      </c>
      <c r="C2026">
        <v>2020</v>
      </c>
      <c r="D2026" t="s">
        <v>85</v>
      </c>
      <c r="E2026" t="s">
        <v>86</v>
      </c>
      <c r="F2026">
        <v>4</v>
      </c>
      <c r="G2026" t="s">
        <v>47</v>
      </c>
      <c r="H2026">
        <v>4</v>
      </c>
      <c r="I2026" t="s">
        <v>23</v>
      </c>
      <c r="J2026" t="s">
        <v>31</v>
      </c>
      <c r="L2026" t="s">
        <v>127</v>
      </c>
      <c r="M2026" t="s">
        <v>33</v>
      </c>
      <c r="N2026">
        <v>0</v>
      </c>
      <c r="S2026" s="3">
        <v>13200</v>
      </c>
      <c r="T2026" s="2">
        <v>22422.755859375</v>
      </c>
      <c r="U2026" s="2">
        <v>19394.00225364594</v>
      </c>
      <c r="V2026" s="2">
        <v>17923.76685868459</v>
      </c>
      <c r="W2026" s="2">
        <v>19296.40625</v>
      </c>
      <c r="X2026" s="4">
        <f t="shared" si="124"/>
        <v>0.58868767437794911</v>
      </c>
      <c r="Y2026" s="4">
        <f t="shared" si="125"/>
        <v>0.68062279396293723</v>
      </c>
      <c r="Z2026" s="4">
        <f t="shared" si="126"/>
        <v>0.73645233750651096</v>
      </c>
      <c r="AA2026" s="4">
        <f t="shared" si="127"/>
        <v>0.68406519996437165</v>
      </c>
    </row>
    <row r="2027" spans="1:27" x14ac:dyDescent="0.3">
      <c r="A2027" t="s">
        <v>556</v>
      </c>
      <c r="B2027">
        <v>174972</v>
      </c>
      <c r="C2027">
        <v>2017</v>
      </c>
      <c r="D2027" t="s">
        <v>40</v>
      </c>
      <c r="E2027" t="s">
        <v>136</v>
      </c>
      <c r="F2027">
        <v>4</v>
      </c>
      <c r="G2027" t="s">
        <v>36</v>
      </c>
      <c r="H2027">
        <v>4</v>
      </c>
      <c r="I2027" t="s">
        <v>23</v>
      </c>
      <c r="J2027" t="s">
        <v>31</v>
      </c>
      <c r="K2027" t="s">
        <v>27</v>
      </c>
      <c r="L2027" t="s">
        <v>73</v>
      </c>
      <c r="M2027" t="s">
        <v>33</v>
      </c>
      <c r="N2027">
        <v>0</v>
      </c>
      <c r="S2027" s="3">
        <v>2400</v>
      </c>
      <c r="T2027" s="2">
        <v>4257.037109375</v>
      </c>
      <c r="U2027" s="2">
        <v>3654.719124107783</v>
      </c>
      <c r="V2027" s="2">
        <v>2761.9601760096389</v>
      </c>
      <c r="W2027" s="2">
        <v>3648.685546875</v>
      </c>
      <c r="X2027" s="4">
        <f t="shared" si="124"/>
        <v>0.56377239341292884</v>
      </c>
      <c r="Y2027" s="4">
        <f t="shared" si="125"/>
        <v>0.65668521122971546</v>
      </c>
      <c r="Z2027" s="4">
        <f t="shared" si="126"/>
        <v>0.86894808290372116</v>
      </c>
      <c r="AA2027" s="4">
        <f t="shared" si="127"/>
        <v>0.65777112583887498</v>
      </c>
    </row>
    <row r="2028" spans="1:27" x14ac:dyDescent="0.3">
      <c r="A2028" t="s">
        <v>587</v>
      </c>
      <c r="B2028">
        <v>98746</v>
      </c>
      <c r="C2028">
        <v>2021</v>
      </c>
      <c r="D2028" t="s">
        <v>74</v>
      </c>
      <c r="E2028" t="s">
        <v>75</v>
      </c>
      <c r="F2028">
        <v>8</v>
      </c>
      <c r="G2028" t="s">
        <v>47</v>
      </c>
      <c r="H2028">
        <v>4</v>
      </c>
      <c r="I2028" t="s">
        <v>23</v>
      </c>
      <c r="J2028" t="s">
        <v>110</v>
      </c>
      <c r="K2028" t="s">
        <v>25</v>
      </c>
      <c r="L2028" t="s">
        <v>84</v>
      </c>
      <c r="M2028">
        <v>4</v>
      </c>
      <c r="S2028" s="3">
        <v>26700</v>
      </c>
      <c r="T2028" s="2">
        <v>36329.4921875</v>
      </c>
      <c r="U2028" s="2">
        <v>32517.165712202361</v>
      </c>
      <c r="V2028" s="2">
        <v>36636.503837016833</v>
      </c>
      <c r="W2028" s="2">
        <v>36521.75390625</v>
      </c>
      <c r="X2028" s="4">
        <f t="shared" si="124"/>
        <v>0.73494008290010593</v>
      </c>
      <c r="Y2028" s="4">
        <f t="shared" si="125"/>
        <v>0.82110477390040737</v>
      </c>
      <c r="Z2028" s="4">
        <f t="shared" si="126"/>
        <v>0.72878133019403513</v>
      </c>
      <c r="AA2028" s="4">
        <f t="shared" si="127"/>
        <v>0.73107113279767233</v>
      </c>
    </row>
    <row r="2029" spans="1:27" x14ac:dyDescent="0.3">
      <c r="A2029" t="s">
        <v>589</v>
      </c>
      <c r="B2029">
        <v>105393</v>
      </c>
      <c r="C2029">
        <v>2015</v>
      </c>
      <c r="D2029" t="s">
        <v>226</v>
      </c>
      <c r="E2029" t="s">
        <v>631</v>
      </c>
      <c r="F2029">
        <v>6</v>
      </c>
      <c r="G2029" t="s">
        <v>22</v>
      </c>
      <c r="H2029">
        <v>4</v>
      </c>
      <c r="I2029" t="s">
        <v>23</v>
      </c>
      <c r="J2029" t="s">
        <v>31</v>
      </c>
      <c r="K2029" t="s">
        <v>27</v>
      </c>
      <c r="L2029" t="s">
        <v>218</v>
      </c>
      <c r="M2029" t="s">
        <v>23</v>
      </c>
      <c r="N2029">
        <v>0</v>
      </c>
      <c r="S2029" s="3">
        <v>14560</v>
      </c>
      <c r="T2029" s="2">
        <v>5643.87353515625</v>
      </c>
      <c r="U2029" s="2">
        <v>9850.6915431895577</v>
      </c>
      <c r="V2029" s="2">
        <v>12345.253732757779</v>
      </c>
      <c r="W2029" s="2">
        <v>10681.3544921875</v>
      </c>
      <c r="X2029" s="4">
        <f t="shared" si="124"/>
        <v>2.5797884926556756</v>
      </c>
      <c r="Y2029" s="4">
        <f t="shared" si="125"/>
        <v>1.4780688174188443</v>
      </c>
      <c r="Z2029" s="4">
        <f t="shared" si="126"/>
        <v>1.179400627576042</v>
      </c>
      <c r="AA2029" s="4">
        <f t="shared" si="127"/>
        <v>1.3631230019235294</v>
      </c>
    </row>
    <row r="2030" spans="1:27" x14ac:dyDescent="0.3">
      <c r="A2030" t="s">
        <v>135</v>
      </c>
      <c r="B2030">
        <v>87040</v>
      </c>
      <c r="C2030">
        <v>2021</v>
      </c>
      <c r="D2030" t="s">
        <v>44</v>
      </c>
      <c r="E2030" t="s">
        <v>590</v>
      </c>
      <c r="F2030">
        <v>6</v>
      </c>
      <c r="G2030" t="s">
        <v>36</v>
      </c>
      <c r="H2030">
        <v>4</v>
      </c>
      <c r="I2030" t="s">
        <v>23</v>
      </c>
      <c r="J2030" t="s">
        <v>62</v>
      </c>
      <c r="L2030" t="s">
        <v>235</v>
      </c>
      <c r="M2030" t="s">
        <v>23</v>
      </c>
      <c r="N2030">
        <v>1.6</v>
      </c>
      <c r="O2030" t="s">
        <v>27</v>
      </c>
      <c r="S2030" s="3">
        <v>6000</v>
      </c>
      <c r="T2030" s="2">
        <v>12698.9599609375</v>
      </c>
      <c r="U2030" s="2">
        <v>12068.44348652695</v>
      </c>
      <c r="V2030" s="2">
        <v>10385.686960739171</v>
      </c>
      <c r="W2030" s="2">
        <v>13494.447265625</v>
      </c>
      <c r="X2030" s="4">
        <f t="shared" si="124"/>
        <v>0.47247963758104883</v>
      </c>
      <c r="Y2030" s="4">
        <f t="shared" si="125"/>
        <v>0.4971643614769643</v>
      </c>
      <c r="Z2030" s="4">
        <f t="shared" si="126"/>
        <v>0.57771816372683815</v>
      </c>
      <c r="AA2030" s="4">
        <f t="shared" si="127"/>
        <v>0.44462732573597619</v>
      </c>
    </row>
    <row r="2031" spans="1:27" x14ac:dyDescent="0.3">
      <c r="A2031" t="s">
        <v>135</v>
      </c>
      <c r="B2031">
        <v>271761</v>
      </c>
      <c r="C2031">
        <v>2014</v>
      </c>
      <c r="D2031" t="s">
        <v>40</v>
      </c>
      <c r="E2031" t="s">
        <v>371</v>
      </c>
      <c r="F2031">
        <v>6</v>
      </c>
      <c r="G2031" t="s">
        <v>47</v>
      </c>
      <c r="H2031">
        <v>3</v>
      </c>
      <c r="I2031" t="s">
        <v>23</v>
      </c>
      <c r="J2031" t="s">
        <v>113</v>
      </c>
      <c r="L2031" t="s">
        <v>308</v>
      </c>
      <c r="M2031" t="s">
        <v>78</v>
      </c>
      <c r="N2031">
        <v>1.3</v>
      </c>
      <c r="O2031" t="s">
        <v>199</v>
      </c>
      <c r="S2031" s="3">
        <v>1200</v>
      </c>
      <c r="T2031" s="2">
        <v>2545.957763671875</v>
      </c>
      <c r="U2031" s="2">
        <v>6031.6916583443899</v>
      </c>
      <c r="V2031" s="2">
        <v>-394.54823210501672</v>
      </c>
      <c r="W2031" s="2">
        <v>2335.79296875</v>
      </c>
      <c r="X2031" s="4">
        <f t="shared" si="124"/>
        <v>0.47133539178172201</v>
      </c>
      <c r="Y2031" s="4">
        <f t="shared" si="125"/>
        <v>0.19894916185576075</v>
      </c>
      <c r="Z2031" s="4">
        <f t="shared" si="126"/>
        <v>-3.0414532428587755</v>
      </c>
      <c r="AA2031" s="4">
        <f t="shared" si="127"/>
        <v>0.51374416142804824</v>
      </c>
    </row>
    <row r="2032" spans="1:27" x14ac:dyDescent="0.3">
      <c r="A2032" t="s">
        <v>135</v>
      </c>
      <c r="B2032">
        <v>1116</v>
      </c>
      <c r="C2032">
        <v>2024</v>
      </c>
      <c r="D2032" t="s">
        <v>44</v>
      </c>
      <c r="E2032" t="s">
        <v>45</v>
      </c>
      <c r="F2032">
        <v>6</v>
      </c>
      <c r="G2032" t="s">
        <v>47</v>
      </c>
      <c r="H2032">
        <v>4</v>
      </c>
      <c r="I2032" t="s">
        <v>23</v>
      </c>
      <c r="J2032" t="s">
        <v>156</v>
      </c>
      <c r="K2032" t="s">
        <v>27</v>
      </c>
      <c r="L2032" t="s">
        <v>242</v>
      </c>
      <c r="M2032">
        <v>4</v>
      </c>
      <c r="N2032">
        <v>5</v>
      </c>
      <c r="O2032" t="s">
        <v>27</v>
      </c>
      <c r="S2032" s="3">
        <v>35750</v>
      </c>
      <c r="T2032" s="2">
        <v>60852.11328125</v>
      </c>
      <c r="U2032" s="2">
        <v>57174.101623636743</v>
      </c>
      <c r="V2032" s="2">
        <v>51872.859712646132</v>
      </c>
      <c r="W2032" s="2">
        <v>54052.21484375</v>
      </c>
      <c r="X2032" s="4">
        <f t="shared" si="124"/>
        <v>0.58748986801441838</v>
      </c>
      <c r="Y2032" s="4">
        <f t="shared" si="125"/>
        <v>0.6252831086937507</v>
      </c>
      <c r="Z2032" s="4">
        <f t="shared" si="126"/>
        <v>0.68918506128329904</v>
      </c>
      <c r="AA2032" s="4">
        <f t="shared" si="127"/>
        <v>0.66139750430844246</v>
      </c>
    </row>
    <row r="2033" spans="1:27" x14ac:dyDescent="0.3">
      <c r="A2033" t="s">
        <v>135</v>
      </c>
      <c r="B2033">
        <v>133085</v>
      </c>
      <c r="C2033">
        <v>2017</v>
      </c>
      <c r="D2033" t="s">
        <v>44</v>
      </c>
      <c r="E2033" t="s">
        <v>139</v>
      </c>
      <c r="F2033">
        <v>8</v>
      </c>
      <c r="G2033" t="s">
        <v>47</v>
      </c>
      <c r="H2033">
        <v>4</v>
      </c>
      <c r="I2033" t="s">
        <v>23</v>
      </c>
      <c r="J2033" t="s">
        <v>46</v>
      </c>
      <c r="K2033" t="s">
        <v>27</v>
      </c>
      <c r="L2033" t="s">
        <v>140</v>
      </c>
      <c r="M2033" t="s">
        <v>78</v>
      </c>
      <c r="N2033">
        <v>2.5</v>
      </c>
      <c r="O2033" t="s">
        <v>27</v>
      </c>
      <c r="S2033" s="3">
        <v>19250</v>
      </c>
      <c r="T2033" s="2">
        <v>17960.255859375</v>
      </c>
      <c r="U2033" s="2">
        <v>22768.770595636212</v>
      </c>
      <c r="V2033" s="2">
        <v>10817.091270910771</v>
      </c>
      <c r="W2033" s="2">
        <v>19114.810546875</v>
      </c>
      <c r="X2033" s="4">
        <f t="shared" si="124"/>
        <v>1.0718110115314294</v>
      </c>
      <c r="Y2033" s="4">
        <f t="shared" si="125"/>
        <v>0.84545627613681484</v>
      </c>
      <c r="Z2033" s="4">
        <f t="shared" si="126"/>
        <v>1.7795911597572385</v>
      </c>
      <c r="AA2033" s="4">
        <f t="shared" si="127"/>
        <v>1.0070724976736483</v>
      </c>
    </row>
    <row r="2034" spans="1:27" x14ac:dyDescent="0.3">
      <c r="A2034" t="s">
        <v>135</v>
      </c>
      <c r="B2034">
        <v>90016</v>
      </c>
      <c r="C2034">
        <v>2014</v>
      </c>
      <c r="D2034" t="s">
        <v>226</v>
      </c>
      <c r="E2034" t="s">
        <v>353</v>
      </c>
      <c r="F2034">
        <v>4</v>
      </c>
      <c r="G2034" t="s">
        <v>36</v>
      </c>
      <c r="H2034">
        <v>4</v>
      </c>
      <c r="I2034" t="s">
        <v>23</v>
      </c>
      <c r="J2034" t="s">
        <v>31</v>
      </c>
      <c r="K2034" t="s">
        <v>27</v>
      </c>
      <c r="L2034" t="s">
        <v>127</v>
      </c>
      <c r="M2034" t="s">
        <v>23</v>
      </c>
      <c r="N2034">
        <v>3.9</v>
      </c>
      <c r="O2034" t="s">
        <v>27</v>
      </c>
      <c r="S2034" s="3">
        <v>6500</v>
      </c>
      <c r="T2034" s="2">
        <v>3905.359130859375</v>
      </c>
      <c r="U2034" s="2">
        <v>8635.6604425581245</v>
      </c>
      <c r="V2034" s="2">
        <v>8908.1777146635413</v>
      </c>
      <c r="W2034" s="2">
        <v>8517.9345703125</v>
      </c>
      <c r="X2034" s="4">
        <f t="shared" si="124"/>
        <v>1.6643795825685495</v>
      </c>
      <c r="Y2034" s="4">
        <f t="shared" si="125"/>
        <v>0.75269286503749078</v>
      </c>
      <c r="Z2034" s="4">
        <f t="shared" si="126"/>
        <v>0.72966662859683451</v>
      </c>
      <c r="AA2034" s="4">
        <f t="shared" si="127"/>
        <v>0.76309578881415763</v>
      </c>
    </row>
    <row r="2035" spans="1:27" x14ac:dyDescent="0.3">
      <c r="A2035" t="s">
        <v>135</v>
      </c>
      <c r="B2035">
        <v>96277</v>
      </c>
      <c r="C2035">
        <v>2016</v>
      </c>
      <c r="D2035" t="s">
        <v>44</v>
      </c>
      <c r="E2035" t="s">
        <v>182</v>
      </c>
      <c r="F2035">
        <v>8</v>
      </c>
      <c r="G2035" t="s">
        <v>22</v>
      </c>
      <c r="H2035">
        <v>2</v>
      </c>
      <c r="I2035" t="s">
        <v>337</v>
      </c>
      <c r="J2035" t="s">
        <v>183</v>
      </c>
      <c r="K2035" t="s">
        <v>27</v>
      </c>
      <c r="L2035" t="s">
        <v>48</v>
      </c>
      <c r="M2035" t="s">
        <v>78</v>
      </c>
      <c r="N2035">
        <v>2.8</v>
      </c>
      <c r="O2035" t="s">
        <v>27</v>
      </c>
      <c r="S2035" s="3">
        <v>18500</v>
      </c>
      <c r="T2035" s="2">
        <v>12214.9814453125</v>
      </c>
      <c r="U2035" s="2">
        <v>23819.216901404801</v>
      </c>
      <c r="V2035" s="2">
        <v>10211.71076872083</v>
      </c>
      <c r="W2035" s="2">
        <v>15851.6748046875</v>
      </c>
      <c r="X2035" s="4">
        <f t="shared" si="124"/>
        <v>1.5145336145475174</v>
      </c>
      <c r="Y2035" s="4">
        <f t="shared" si="125"/>
        <v>0.77668380436591578</v>
      </c>
      <c r="Z2035" s="4">
        <f t="shared" si="126"/>
        <v>1.8116455135673024</v>
      </c>
      <c r="AA2035" s="4">
        <f t="shared" si="127"/>
        <v>1.1670691096015522</v>
      </c>
    </row>
    <row r="2036" spans="1:27" x14ac:dyDescent="0.3">
      <c r="A2036" t="s">
        <v>135</v>
      </c>
      <c r="B2036">
        <v>88608</v>
      </c>
      <c r="C2036">
        <v>2016</v>
      </c>
      <c r="D2036" t="s">
        <v>71</v>
      </c>
      <c r="E2036" t="s">
        <v>269</v>
      </c>
      <c r="F2036">
        <v>4</v>
      </c>
      <c r="G2036" t="s">
        <v>99</v>
      </c>
      <c r="H2036">
        <v>4</v>
      </c>
      <c r="I2036" t="s">
        <v>23</v>
      </c>
      <c r="J2036" t="s">
        <v>24</v>
      </c>
      <c r="K2036" t="s">
        <v>27</v>
      </c>
      <c r="L2036" t="s">
        <v>127</v>
      </c>
      <c r="M2036" t="s">
        <v>23</v>
      </c>
      <c r="N2036">
        <v>3</v>
      </c>
      <c r="O2036" t="s">
        <v>27</v>
      </c>
      <c r="S2036" s="3">
        <v>10750</v>
      </c>
      <c r="T2036" s="2">
        <v>15117.7119140625</v>
      </c>
      <c r="U2036" s="2">
        <v>11596.890018969931</v>
      </c>
      <c r="V2036" s="2">
        <v>12590.887738789041</v>
      </c>
      <c r="W2036" s="2">
        <v>11386.2294921875</v>
      </c>
      <c r="X2036" s="4">
        <f t="shared" si="124"/>
        <v>0.71108644357750639</v>
      </c>
      <c r="Y2036" s="4">
        <f t="shared" si="125"/>
        <v>0.92697266098198683</v>
      </c>
      <c r="Z2036" s="4">
        <f t="shared" si="126"/>
        <v>0.85379206160993915</v>
      </c>
      <c r="AA2036" s="4">
        <f t="shared" si="127"/>
        <v>0.94412289927723314</v>
      </c>
    </row>
    <row r="2037" spans="1:27" x14ac:dyDescent="0.3">
      <c r="A2037" t="s">
        <v>135</v>
      </c>
      <c r="B2037">
        <v>22386</v>
      </c>
      <c r="C2037">
        <v>2023</v>
      </c>
      <c r="D2037" t="s">
        <v>34</v>
      </c>
      <c r="E2037" t="s">
        <v>61</v>
      </c>
      <c r="F2037">
        <v>4</v>
      </c>
      <c r="G2037" t="s">
        <v>30</v>
      </c>
      <c r="H2037">
        <v>4</v>
      </c>
      <c r="I2037" t="s">
        <v>23</v>
      </c>
      <c r="J2037" t="s">
        <v>62</v>
      </c>
      <c r="K2037" t="s">
        <v>27</v>
      </c>
      <c r="L2037" t="s">
        <v>295</v>
      </c>
      <c r="M2037" t="s">
        <v>33</v>
      </c>
      <c r="N2037">
        <v>3.8</v>
      </c>
      <c r="O2037" t="s">
        <v>27</v>
      </c>
      <c r="S2037" s="3">
        <v>30000</v>
      </c>
      <c r="T2037" s="2">
        <v>28857.810546875</v>
      </c>
      <c r="U2037" s="2">
        <v>29551.03016310123</v>
      </c>
      <c r="V2037" s="2">
        <v>26423.372912432678</v>
      </c>
      <c r="W2037" s="2">
        <v>34526.87109375</v>
      </c>
      <c r="X2037" s="4">
        <f t="shared" si="124"/>
        <v>1.0395799068425406</v>
      </c>
      <c r="Y2037" s="4">
        <f t="shared" si="125"/>
        <v>1.015193035045505</v>
      </c>
      <c r="Z2037" s="4">
        <f t="shared" si="126"/>
        <v>1.1353584608376948</v>
      </c>
      <c r="AA2037" s="4">
        <f t="shared" si="127"/>
        <v>0.86888846424982169</v>
      </c>
    </row>
    <row r="2038" spans="1:27" x14ac:dyDescent="0.3">
      <c r="A2038" t="s">
        <v>135</v>
      </c>
      <c r="B2038">
        <v>179629</v>
      </c>
      <c r="C2038">
        <v>2017</v>
      </c>
      <c r="D2038" t="s">
        <v>20</v>
      </c>
      <c r="E2038" t="s">
        <v>175</v>
      </c>
      <c r="F2038">
        <v>8</v>
      </c>
      <c r="G2038" t="s">
        <v>22</v>
      </c>
      <c r="H2038">
        <v>4</v>
      </c>
      <c r="I2038" t="s">
        <v>23</v>
      </c>
      <c r="J2038" t="s">
        <v>24</v>
      </c>
      <c r="K2038" t="s">
        <v>27</v>
      </c>
      <c r="L2038" t="s">
        <v>43</v>
      </c>
      <c r="M2038" t="s">
        <v>78</v>
      </c>
      <c r="N2038">
        <v>0</v>
      </c>
      <c r="O2038" t="s">
        <v>27</v>
      </c>
      <c r="S2038" s="3">
        <v>9450</v>
      </c>
      <c r="T2038" s="2">
        <v>11354.7470703125</v>
      </c>
      <c r="U2038" s="2">
        <v>12202.39833788746</v>
      </c>
      <c r="V2038" s="2">
        <v>11152.71971866051</v>
      </c>
      <c r="W2038" s="2">
        <v>12976.6396484375</v>
      </c>
      <c r="X2038" s="4">
        <f t="shared" si="124"/>
        <v>0.83225103487399144</v>
      </c>
      <c r="Y2038" s="4">
        <f t="shared" si="125"/>
        <v>0.7744379209993919</v>
      </c>
      <c r="Z2038" s="4">
        <f t="shared" si="126"/>
        <v>0.84732695148685988</v>
      </c>
      <c r="AA2038" s="4">
        <f t="shared" si="127"/>
        <v>0.72823167291524982</v>
      </c>
    </row>
    <row r="2039" spans="1:27" x14ac:dyDescent="0.3">
      <c r="A2039" t="s">
        <v>596</v>
      </c>
      <c r="B2039">
        <v>96302</v>
      </c>
      <c r="C2039">
        <v>2015</v>
      </c>
      <c r="D2039" t="s">
        <v>40</v>
      </c>
      <c r="E2039" t="s">
        <v>229</v>
      </c>
      <c r="F2039">
        <v>4</v>
      </c>
      <c r="G2039" t="s">
        <v>47</v>
      </c>
      <c r="H2039">
        <v>4</v>
      </c>
      <c r="I2039" t="s">
        <v>23</v>
      </c>
      <c r="J2039" t="s">
        <v>31</v>
      </c>
      <c r="K2039" t="s">
        <v>25</v>
      </c>
      <c r="L2039" t="s">
        <v>127</v>
      </c>
      <c r="M2039" t="s">
        <v>33</v>
      </c>
      <c r="N2039">
        <v>3.8</v>
      </c>
      <c r="O2039" t="s">
        <v>27</v>
      </c>
      <c r="S2039" s="3">
        <v>7000</v>
      </c>
      <c r="T2039" s="2">
        <v>7746.21240234375</v>
      </c>
      <c r="U2039" s="2">
        <v>8331.9023342140281</v>
      </c>
      <c r="V2039" s="2">
        <v>8406.4857048636568</v>
      </c>
      <c r="W2039" s="2">
        <v>7816.4560546875</v>
      </c>
      <c r="X2039" s="4">
        <f t="shared" si="124"/>
        <v>0.90366744886598116</v>
      </c>
      <c r="Y2039" s="4">
        <f t="shared" si="125"/>
        <v>0.84014426948516674</v>
      </c>
      <c r="Z2039" s="4">
        <f t="shared" si="126"/>
        <v>0.83269040664044425</v>
      </c>
      <c r="AA2039" s="4">
        <f t="shared" si="127"/>
        <v>0.895546517632134</v>
      </c>
    </row>
    <row r="2040" spans="1:27" x14ac:dyDescent="0.3">
      <c r="A2040" t="s">
        <v>596</v>
      </c>
      <c r="B2040">
        <v>126241</v>
      </c>
      <c r="C2040">
        <v>2017</v>
      </c>
      <c r="D2040" t="s">
        <v>125</v>
      </c>
      <c r="E2040" t="s">
        <v>306</v>
      </c>
      <c r="F2040">
        <v>4</v>
      </c>
      <c r="G2040" t="s">
        <v>47</v>
      </c>
      <c r="H2040">
        <v>4</v>
      </c>
      <c r="I2040" t="s">
        <v>23</v>
      </c>
      <c r="J2040" t="s">
        <v>24</v>
      </c>
      <c r="K2040" t="s">
        <v>25</v>
      </c>
      <c r="L2040" t="s">
        <v>60</v>
      </c>
      <c r="M2040" t="s">
        <v>33</v>
      </c>
      <c r="N2040">
        <v>3.7</v>
      </c>
      <c r="O2040" t="s">
        <v>27</v>
      </c>
      <c r="S2040" s="3">
        <v>5500</v>
      </c>
      <c r="T2040" s="2">
        <v>6107.37841796875</v>
      </c>
      <c r="U2040" s="2">
        <v>7568.0797373858859</v>
      </c>
      <c r="V2040" s="2">
        <v>6236.5838627796811</v>
      </c>
      <c r="W2040" s="2">
        <v>6703.31298828125</v>
      </c>
      <c r="X2040" s="4">
        <f t="shared" si="124"/>
        <v>0.90055005987810433</v>
      </c>
      <c r="Y2040" s="4">
        <f t="shared" si="125"/>
        <v>0.72673652906037856</v>
      </c>
      <c r="Z2040" s="4">
        <f t="shared" si="126"/>
        <v>0.88189305571986942</v>
      </c>
      <c r="AA2040" s="4">
        <f t="shared" si="127"/>
        <v>0.82048980998129062</v>
      </c>
    </row>
    <row r="2041" spans="1:27" x14ac:dyDescent="0.3">
      <c r="A2041" t="s">
        <v>596</v>
      </c>
      <c r="B2041">
        <v>119192</v>
      </c>
      <c r="C2041">
        <v>2014</v>
      </c>
      <c r="D2041" t="s">
        <v>44</v>
      </c>
      <c r="E2041" t="s">
        <v>45</v>
      </c>
      <c r="F2041">
        <v>8</v>
      </c>
      <c r="G2041" t="s">
        <v>36</v>
      </c>
      <c r="H2041">
        <v>4</v>
      </c>
      <c r="I2041" t="s">
        <v>23</v>
      </c>
      <c r="J2041" t="s">
        <v>156</v>
      </c>
      <c r="K2041" t="s">
        <v>25</v>
      </c>
      <c r="L2041" t="s">
        <v>48</v>
      </c>
      <c r="M2041">
        <v>4</v>
      </c>
      <c r="N2041">
        <v>4.4000000000000004</v>
      </c>
      <c r="O2041" t="s">
        <v>27</v>
      </c>
      <c r="S2041" s="3">
        <v>13000</v>
      </c>
      <c r="T2041" s="2">
        <v>10057.9951171875</v>
      </c>
      <c r="U2041" s="2">
        <v>15790.820656229709</v>
      </c>
      <c r="V2041" s="2">
        <v>10257.76656199245</v>
      </c>
      <c r="W2041" s="2">
        <v>11299.7578125</v>
      </c>
      <c r="X2041" s="4">
        <f t="shared" si="124"/>
        <v>1.2925041072832781</v>
      </c>
      <c r="Y2041" s="4">
        <f t="shared" si="125"/>
        <v>0.82326310221700294</v>
      </c>
      <c r="Z2041" s="4">
        <f t="shared" si="126"/>
        <v>1.2673324082230726</v>
      </c>
      <c r="AA2041" s="4">
        <f t="shared" si="127"/>
        <v>1.1504671352884361</v>
      </c>
    </row>
    <row r="2042" spans="1:27" x14ac:dyDescent="0.3">
      <c r="A2042" t="s">
        <v>596</v>
      </c>
      <c r="B2042">
        <v>141454</v>
      </c>
      <c r="C2042">
        <v>2014</v>
      </c>
      <c r="D2042" t="s">
        <v>90</v>
      </c>
      <c r="E2042" t="s">
        <v>91</v>
      </c>
      <c r="F2042">
        <v>4</v>
      </c>
      <c r="G2042" t="s">
        <v>47</v>
      </c>
      <c r="H2042">
        <v>4</v>
      </c>
      <c r="I2042" t="s">
        <v>23</v>
      </c>
      <c r="J2042" t="s">
        <v>31</v>
      </c>
      <c r="K2042" t="s">
        <v>25</v>
      </c>
      <c r="L2042" t="s">
        <v>32</v>
      </c>
      <c r="M2042" t="s">
        <v>33</v>
      </c>
      <c r="N2042">
        <v>3.7</v>
      </c>
      <c r="O2042" t="s">
        <v>27</v>
      </c>
      <c r="S2042" s="3">
        <v>2300</v>
      </c>
      <c r="T2042" s="2">
        <v>3238.9775390625</v>
      </c>
      <c r="U2042" s="2">
        <v>2949.712318288734</v>
      </c>
      <c r="V2042" s="2">
        <v>3834.6094163283069</v>
      </c>
      <c r="W2042" s="2">
        <v>2895.538330078125</v>
      </c>
      <c r="X2042" s="4">
        <f t="shared" si="124"/>
        <v>0.71010063276502966</v>
      </c>
      <c r="Y2042" s="4">
        <f t="shared" si="125"/>
        <v>0.77973705630193035</v>
      </c>
      <c r="Z2042" s="4">
        <f t="shared" si="126"/>
        <v>0.5998003317381625</v>
      </c>
      <c r="AA2042" s="4">
        <f t="shared" si="127"/>
        <v>0.79432552355055275</v>
      </c>
    </row>
    <row r="2043" spans="1:27" x14ac:dyDescent="0.3">
      <c r="A2043" t="s">
        <v>596</v>
      </c>
      <c r="B2043">
        <v>143451</v>
      </c>
      <c r="C2043">
        <v>2016</v>
      </c>
      <c r="D2043" t="s">
        <v>125</v>
      </c>
      <c r="E2043" t="s">
        <v>126</v>
      </c>
      <c r="F2043">
        <v>4</v>
      </c>
      <c r="G2043" t="s">
        <v>22</v>
      </c>
      <c r="H2043">
        <v>4</v>
      </c>
      <c r="I2043" t="s">
        <v>23</v>
      </c>
      <c r="J2043" t="s">
        <v>31</v>
      </c>
      <c r="K2043" t="s">
        <v>25</v>
      </c>
      <c r="L2043" t="s">
        <v>32</v>
      </c>
      <c r="M2043" t="s">
        <v>33</v>
      </c>
      <c r="N2043">
        <v>2.8</v>
      </c>
      <c r="O2043" t="s">
        <v>27</v>
      </c>
      <c r="S2043" s="3">
        <v>1500</v>
      </c>
      <c r="T2043" s="2">
        <v>3618.67333984375</v>
      </c>
      <c r="U2043" s="2">
        <v>4359.983241143389</v>
      </c>
      <c r="V2043" s="2">
        <v>3885.2494999720388</v>
      </c>
      <c r="W2043" s="2">
        <v>5205.31884765625</v>
      </c>
      <c r="X2043" s="4">
        <f t="shared" si="124"/>
        <v>0.41451655320310515</v>
      </c>
      <c r="Y2043" s="4">
        <f t="shared" si="125"/>
        <v>0.34403801965225689</v>
      </c>
      <c r="Z2043" s="4">
        <f t="shared" si="126"/>
        <v>0.38607559180196666</v>
      </c>
      <c r="AA2043" s="4">
        <f t="shared" si="127"/>
        <v>0.28816678553233888</v>
      </c>
    </row>
    <row r="2044" spans="1:27" x14ac:dyDescent="0.3">
      <c r="A2044" t="s">
        <v>596</v>
      </c>
      <c r="B2044">
        <v>118358</v>
      </c>
      <c r="C2044">
        <v>2018</v>
      </c>
      <c r="D2044" t="s">
        <v>40</v>
      </c>
      <c r="E2044" t="s">
        <v>122</v>
      </c>
      <c r="F2044">
        <v>4</v>
      </c>
      <c r="G2044" t="s">
        <v>36</v>
      </c>
      <c r="H2044">
        <v>4</v>
      </c>
      <c r="I2044" t="s">
        <v>23</v>
      </c>
      <c r="J2044" t="s">
        <v>24</v>
      </c>
      <c r="K2044" t="s">
        <v>25</v>
      </c>
      <c r="L2044" t="s">
        <v>73</v>
      </c>
      <c r="M2044" t="s">
        <v>33</v>
      </c>
      <c r="N2044">
        <v>2.1</v>
      </c>
      <c r="O2044" t="s">
        <v>27</v>
      </c>
      <c r="S2044" s="3">
        <v>4000</v>
      </c>
      <c r="T2044" s="2">
        <v>5629.78564453125</v>
      </c>
      <c r="U2044" s="2">
        <v>4529.1934090294444</v>
      </c>
      <c r="V2044" s="2">
        <v>3352.7227354879719</v>
      </c>
      <c r="W2044" s="2">
        <v>4591.3662109375</v>
      </c>
      <c r="X2044" s="4">
        <f t="shared" si="124"/>
        <v>0.71050662539622322</v>
      </c>
      <c r="Y2044" s="4">
        <f t="shared" si="125"/>
        <v>0.88315945881789037</v>
      </c>
      <c r="Z2044" s="4">
        <f t="shared" si="126"/>
        <v>1.1930601828957443</v>
      </c>
      <c r="AA2044" s="4">
        <f t="shared" si="127"/>
        <v>0.87120038268157429</v>
      </c>
    </row>
    <row r="2045" spans="1:27" x14ac:dyDescent="0.3">
      <c r="A2045" t="s">
        <v>623</v>
      </c>
      <c r="B2045">
        <v>186932</v>
      </c>
      <c r="C2045">
        <v>2002</v>
      </c>
      <c r="D2045" t="s">
        <v>81</v>
      </c>
      <c r="E2045" t="s">
        <v>632</v>
      </c>
      <c r="F2045">
        <v>6</v>
      </c>
      <c r="G2045" t="s">
        <v>22</v>
      </c>
      <c r="H2045">
        <v>4</v>
      </c>
      <c r="I2045" t="s">
        <v>23</v>
      </c>
      <c r="J2045" t="s">
        <v>106</v>
      </c>
      <c r="L2045" t="s">
        <v>194</v>
      </c>
      <c r="M2045" t="s">
        <v>33</v>
      </c>
      <c r="N2045">
        <v>2.4</v>
      </c>
      <c r="O2045" t="s">
        <v>27</v>
      </c>
      <c r="S2045" s="3">
        <v>400</v>
      </c>
      <c r="T2045" s="2">
        <v>1194.006591796875</v>
      </c>
      <c r="U2045" s="2">
        <v>836.60718626439666</v>
      </c>
      <c r="V2045" s="2">
        <v>678.57639663425834</v>
      </c>
      <c r="W2045" s="2">
        <v>1070.517333984375</v>
      </c>
      <c r="X2045" s="4">
        <f t="shared" si="124"/>
        <v>0.33500652571610612</v>
      </c>
      <c r="Y2045" s="4">
        <f t="shared" si="125"/>
        <v>0.47812164008066055</v>
      </c>
      <c r="Z2045" s="4">
        <f t="shared" si="126"/>
        <v>0.5894693684955763</v>
      </c>
      <c r="AA2045" s="4">
        <f t="shared" si="127"/>
        <v>0.37365111923151567</v>
      </c>
    </row>
    <row r="2046" spans="1:27" x14ac:dyDescent="0.3">
      <c r="A2046" t="s">
        <v>623</v>
      </c>
      <c r="B2046">
        <v>100322</v>
      </c>
      <c r="C2046">
        <v>2010</v>
      </c>
      <c r="D2046" t="s">
        <v>633</v>
      </c>
      <c r="E2046" t="s">
        <v>634</v>
      </c>
      <c r="F2046">
        <v>6</v>
      </c>
      <c r="G2046" t="s">
        <v>47</v>
      </c>
      <c r="H2046">
        <v>2</v>
      </c>
      <c r="I2046" t="s">
        <v>23</v>
      </c>
      <c r="M2046" t="s">
        <v>78</v>
      </c>
      <c r="N2046">
        <v>1.6</v>
      </c>
      <c r="O2046" t="s">
        <v>199</v>
      </c>
      <c r="S2046" s="3">
        <v>2000</v>
      </c>
      <c r="T2046" s="2">
        <v>3726.697265625</v>
      </c>
      <c r="U2046" s="2">
        <v>8536.853111080849</v>
      </c>
      <c r="V2046" s="2">
        <v>5654.9863511644398</v>
      </c>
      <c r="W2046" s="2">
        <v>3207.66259765625</v>
      </c>
      <c r="X2046" s="4">
        <f t="shared" si="124"/>
        <v>0.53666822321414998</v>
      </c>
      <c r="Y2046" s="4">
        <f t="shared" si="125"/>
        <v>0.23427836627574122</v>
      </c>
      <c r="Z2046" s="4">
        <f t="shared" si="126"/>
        <v>0.35367017280035917</v>
      </c>
      <c r="AA2046" s="4">
        <f t="shared" si="127"/>
        <v>0.62350697403814992</v>
      </c>
    </row>
    <row r="2047" spans="1:27" x14ac:dyDescent="0.3">
      <c r="A2047" t="s">
        <v>623</v>
      </c>
      <c r="B2047">
        <v>130042</v>
      </c>
      <c r="C2047">
        <v>2011</v>
      </c>
      <c r="D2047" t="s">
        <v>222</v>
      </c>
      <c r="E2047" t="s">
        <v>223</v>
      </c>
      <c r="F2047">
        <v>6</v>
      </c>
      <c r="G2047" t="s">
        <v>36</v>
      </c>
      <c r="H2047">
        <v>4</v>
      </c>
      <c r="I2047" t="s">
        <v>337</v>
      </c>
      <c r="J2047" t="s">
        <v>24</v>
      </c>
      <c r="K2047" t="s">
        <v>27</v>
      </c>
      <c r="L2047" t="s">
        <v>26</v>
      </c>
      <c r="M2047" t="s">
        <v>23</v>
      </c>
      <c r="N2047">
        <v>3</v>
      </c>
      <c r="O2047" t="s">
        <v>27</v>
      </c>
      <c r="S2047" s="3">
        <v>2500</v>
      </c>
      <c r="T2047" s="2">
        <v>5104.521484375</v>
      </c>
      <c r="U2047" s="2">
        <v>6381.5277791535864</v>
      </c>
      <c r="V2047" s="2">
        <v>3213.2222381343349</v>
      </c>
      <c r="W2047" s="2">
        <v>6272.12451171875</v>
      </c>
      <c r="X2047" s="4">
        <f t="shared" si="124"/>
        <v>0.4897618724208585</v>
      </c>
      <c r="Y2047" s="4">
        <f t="shared" si="125"/>
        <v>0.39175571846082091</v>
      </c>
      <c r="Z2047" s="4">
        <f t="shared" si="126"/>
        <v>0.77803519791757481</v>
      </c>
      <c r="AA2047" s="4">
        <f t="shared" si="127"/>
        <v>0.39858902598777096</v>
      </c>
    </row>
    <row r="2048" spans="1:27" x14ac:dyDescent="0.3">
      <c r="A2048" t="s">
        <v>623</v>
      </c>
      <c r="B2048">
        <v>163250</v>
      </c>
      <c r="C2048">
        <v>2003</v>
      </c>
      <c r="D2048" t="s">
        <v>81</v>
      </c>
      <c r="E2048" t="s">
        <v>632</v>
      </c>
      <c r="F2048">
        <v>6</v>
      </c>
      <c r="G2048" t="s">
        <v>30</v>
      </c>
      <c r="H2048">
        <v>4</v>
      </c>
      <c r="I2048" t="s">
        <v>23</v>
      </c>
      <c r="J2048" t="s">
        <v>106</v>
      </c>
      <c r="L2048" t="s">
        <v>194</v>
      </c>
      <c r="M2048" t="s">
        <v>33</v>
      </c>
      <c r="N2048">
        <v>2.2999999999999901</v>
      </c>
      <c r="O2048" t="s">
        <v>27</v>
      </c>
      <c r="S2048" s="3">
        <v>500</v>
      </c>
      <c r="T2048" s="2">
        <v>1541.898803710938</v>
      </c>
      <c r="U2048" s="2">
        <v>970.37049254929661</v>
      </c>
      <c r="V2048" s="2">
        <v>729.15534580534404</v>
      </c>
      <c r="W2048" s="2">
        <v>1203.663330078125</v>
      </c>
      <c r="X2048" s="4">
        <f t="shared" si="124"/>
        <v>0.32427549641820447</v>
      </c>
      <c r="Y2048" s="4">
        <f t="shared" si="125"/>
        <v>0.51526711069545339</v>
      </c>
      <c r="Z2048" s="4">
        <f t="shared" si="126"/>
        <v>0.68572493210998198</v>
      </c>
      <c r="AA2048" s="4">
        <f t="shared" si="127"/>
        <v>0.41539854833622536</v>
      </c>
    </row>
    <row r="2049" spans="1:27" x14ac:dyDescent="0.3">
      <c r="A2049" t="s">
        <v>623</v>
      </c>
      <c r="B2049">
        <v>234738</v>
      </c>
      <c r="C2049">
        <v>2002</v>
      </c>
      <c r="D2049" t="s">
        <v>90</v>
      </c>
      <c r="E2049" t="s">
        <v>635</v>
      </c>
      <c r="F2049">
        <v>4</v>
      </c>
      <c r="G2049" t="s">
        <v>59</v>
      </c>
      <c r="H2049">
        <v>4</v>
      </c>
      <c r="I2049" t="s">
        <v>23</v>
      </c>
      <c r="J2049" t="s">
        <v>31</v>
      </c>
      <c r="K2049" t="s">
        <v>27</v>
      </c>
      <c r="L2049" t="s">
        <v>238</v>
      </c>
      <c r="M2049" t="s">
        <v>33</v>
      </c>
      <c r="N2049">
        <v>1.5</v>
      </c>
      <c r="O2049" t="s">
        <v>199</v>
      </c>
      <c r="S2049" s="3">
        <v>350</v>
      </c>
      <c r="T2049" s="2">
        <v>-270.72940063476563</v>
      </c>
      <c r="U2049" s="2">
        <v>-563.16069567542399</v>
      </c>
      <c r="V2049" s="2">
        <v>511.40403978999888</v>
      </c>
      <c r="W2049" s="2">
        <v>699.314453125</v>
      </c>
      <c r="X2049" s="4">
        <f t="shared" si="124"/>
        <v>-1.2928038077112149</v>
      </c>
      <c r="Y2049" s="4">
        <f t="shared" si="125"/>
        <v>-0.62149223603083525</v>
      </c>
      <c r="Z2049" s="4">
        <f t="shared" si="126"/>
        <v>0.68439036997776304</v>
      </c>
      <c r="AA2049" s="4">
        <f t="shared" si="127"/>
        <v>0.50049015637524474</v>
      </c>
    </row>
    <row r="2050" spans="1:27" x14ac:dyDescent="0.3">
      <c r="A2050" t="s">
        <v>623</v>
      </c>
      <c r="B2050">
        <v>202165</v>
      </c>
      <c r="C2050">
        <v>2014</v>
      </c>
      <c r="D2050" t="s">
        <v>100</v>
      </c>
      <c r="E2050" t="s">
        <v>343</v>
      </c>
      <c r="F2050">
        <v>4</v>
      </c>
      <c r="G2050" t="s">
        <v>47</v>
      </c>
      <c r="H2050">
        <v>4</v>
      </c>
      <c r="I2050" t="s">
        <v>23</v>
      </c>
      <c r="J2050" t="s">
        <v>31</v>
      </c>
      <c r="L2050" t="s">
        <v>87</v>
      </c>
      <c r="M2050" t="s">
        <v>33</v>
      </c>
      <c r="N2050">
        <v>3.1</v>
      </c>
      <c r="O2050" t="s">
        <v>27</v>
      </c>
      <c r="S2050" s="3">
        <v>800</v>
      </c>
      <c r="T2050" s="2">
        <v>1030.119384765625</v>
      </c>
      <c r="U2050" s="2">
        <v>910.38539054664761</v>
      </c>
      <c r="V2050" s="2">
        <v>1773.2692442585069</v>
      </c>
      <c r="W2050" s="2">
        <v>1636.204467773438</v>
      </c>
      <c r="X2050" s="4">
        <f t="shared" ref="X2050:X2113" si="128">S2050/T2050</f>
        <v>0.77660901428625939</v>
      </c>
      <c r="Y2050" s="4">
        <f t="shared" ref="Y2050:Y2113" si="129">S2050/U2050</f>
        <v>0.87874872368023627</v>
      </c>
      <c r="Z2050" s="4">
        <f t="shared" ref="Z2050:Z2113" si="130">S2050/V2050</f>
        <v>0.45114412410311683</v>
      </c>
      <c r="AA2050" s="4">
        <f t="shared" ref="AA2050:AA2113" si="131">S2050/W2050</f>
        <v>0.48893644758753613</v>
      </c>
    </row>
    <row r="2051" spans="1:27" x14ac:dyDescent="0.3">
      <c r="A2051" t="s">
        <v>623</v>
      </c>
      <c r="B2051">
        <v>215040</v>
      </c>
      <c r="C2051">
        <v>2011</v>
      </c>
      <c r="D2051" t="s">
        <v>125</v>
      </c>
      <c r="E2051" t="s">
        <v>126</v>
      </c>
      <c r="F2051">
        <v>4</v>
      </c>
      <c r="G2051" t="s">
        <v>30</v>
      </c>
      <c r="H2051">
        <v>4</v>
      </c>
      <c r="I2051" t="s">
        <v>23</v>
      </c>
      <c r="J2051" t="s">
        <v>31</v>
      </c>
      <c r="K2051" t="s">
        <v>27</v>
      </c>
      <c r="L2051" t="s">
        <v>32</v>
      </c>
      <c r="M2051" t="s">
        <v>33</v>
      </c>
      <c r="N2051">
        <v>2.8</v>
      </c>
      <c r="O2051" t="s">
        <v>27</v>
      </c>
      <c r="S2051" s="3">
        <v>500</v>
      </c>
      <c r="T2051" s="2">
        <v>1450.384155273438</v>
      </c>
      <c r="U2051" s="2">
        <v>1323.2385055074881</v>
      </c>
      <c r="V2051" s="2">
        <v>1207.893532952588</v>
      </c>
      <c r="W2051" s="2">
        <v>1428.133666992188</v>
      </c>
      <c r="X2051" s="4">
        <f t="shared" si="128"/>
        <v>0.34473625362084576</v>
      </c>
      <c r="Y2051" s="4">
        <f t="shared" si="129"/>
        <v>0.3778608300158558</v>
      </c>
      <c r="Z2051" s="4">
        <f t="shared" si="130"/>
        <v>0.41394376769101049</v>
      </c>
      <c r="AA2051" s="4">
        <f t="shared" si="131"/>
        <v>0.35010728446242495</v>
      </c>
    </row>
    <row r="2052" spans="1:27" x14ac:dyDescent="0.3">
      <c r="A2052" t="s">
        <v>135</v>
      </c>
      <c r="B2052">
        <v>1</v>
      </c>
      <c r="C2052">
        <v>2002</v>
      </c>
      <c r="D2052" t="s">
        <v>44</v>
      </c>
      <c r="E2052" t="s">
        <v>636</v>
      </c>
      <c r="F2052">
        <v>8</v>
      </c>
      <c r="G2052" t="s">
        <v>36</v>
      </c>
      <c r="H2052">
        <v>4</v>
      </c>
      <c r="I2052" t="s">
        <v>23</v>
      </c>
      <c r="J2052" t="s">
        <v>24</v>
      </c>
      <c r="K2052" t="s">
        <v>27</v>
      </c>
      <c r="L2052" t="s">
        <v>637</v>
      </c>
      <c r="M2052">
        <v>4</v>
      </c>
      <c r="N2052">
        <v>0</v>
      </c>
      <c r="O2052" t="s">
        <v>39</v>
      </c>
      <c r="S2052" s="3">
        <v>5600</v>
      </c>
      <c r="T2052" s="2">
        <v>45691.20703125</v>
      </c>
      <c r="U2052" s="2">
        <v>14550.030179732021</v>
      </c>
      <c r="V2052" s="2">
        <v>20545.644407540309</v>
      </c>
      <c r="W2052" s="2">
        <v>31413.740234375</v>
      </c>
      <c r="X2052" s="4">
        <f t="shared" si="128"/>
        <v>0.12256187489575272</v>
      </c>
      <c r="Y2052" s="4">
        <f t="shared" si="129"/>
        <v>0.38487892676681307</v>
      </c>
      <c r="Z2052" s="4">
        <f t="shared" si="130"/>
        <v>0.27256385289841695</v>
      </c>
      <c r="AA2052" s="4">
        <f t="shared" si="131"/>
        <v>0.1782659421711302</v>
      </c>
    </row>
    <row r="2053" spans="1:27" x14ac:dyDescent="0.3">
      <c r="A2053" t="s">
        <v>135</v>
      </c>
      <c r="B2053">
        <v>107586</v>
      </c>
      <c r="C2053">
        <v>2018</v>
      </c>
      <c r="D2053" t="s">
        <v>141</v>
      </c>
      <c r="E2053" t="s">
        <v>215</v>
      </c>
      <c r="F2053">
        <v>6</v>
      </c>
      <c r="G2053" t="s">
        <v>47</v>
      </c>
      <c r="H2053">
        <v>4</v>
      </c>
      <c r="I2053" t="s">
        <v>23</v>
      </c>
      <c r="J2053" t="s">
        <v>31</v>
      </c>
      <c r="K2053" t="s">
        <v>27</v>
      </c>
      <c r="L2053" t="s">
        <v>26</v>
      </c>
      <c r="M2053" t="s">
        <v>23</v>
      </c>
      <c r="N2053">
        <v>0</v>
      </c>
      <c r="O2053" t="s">
        <v>27</v>
      </c>
      <c r="S2053" s="3">
        <v>12420</v>
      </c>
      <c r="T2053" s="2">
        <v>13199.46875</v>
      </c>
      <c r="U2053" s="2">
        <v>13124.708551361309</v>
      </c>
      <c r="V2053" s="2">
        <v>12211.012838732</v>
      </c>
      <c r="W2053" s="2">
        <v>13119.640625</v>
      </c>
      <c r="X2053" s="4">
        <f t="shared" si="128"/>
        <v>0.94094696046005644</v>
      </c>
      <c r="Y2053" s="4">
        <f t="shared" si="129"/>
        <v>0.94630672760438428</v>
      </c>
      <c r="Z2053" s="4">
        <f t="shared" si="130"/>
        <v>1.017114645937077</v>
      </c>
      <c r="AA2053" s="4">
        <f t="shared" si="131"/>
        <v>0.94667227213016747</v>
      </c>
    </row>
    <row r="2054" spans="1:27" x14ac:dyDescent="0.3">
      <c r="A2054" t="s">
        <v>135</v>
      </c>
      <c r="B2054">
        <v>115520</v>
      </c>
      <c r="C2054">
        <v>2018</v>
      </c>
      <c r="D2054" t="s">
        <v>44</v>
      </c>
      <c r="E2054" t="s">
        <v>117</v>
      </c>
      <c r="F2054">
        <v>4</v>
      </c>
      <c r="G2054" t="s">
        <v>36</v>
      </c>
      <c r="H2054">
        <v>4</v>
      </c>
      <c r="I2054" t="s">
        <v>23</v>
      </c>
      <c r="J2054" t="s">
        <v>62</v>
      </c>
      <c r="K2054" t="s">
        <v>27</v>
      </c>
      <c r="L2054" t="s">
        <v>96</v>
      </c>
      <c r="M2054" t="s">
        <v>33</v>
      </c>
      <c r="N2054">
        <v>0</v>
      </c>
      <c r="O2054" t="s">
        <v>27</v>
      </c>
      <c r="S2054" s="3">
        <v>3600</v>
      </c>
      <c r="T2054" s="2">
        <v>7902.3125</v>
      </c>
      <c r="U2054" s="2">
        <v>7150.8181016488206</v>
      </c>
      <c r="V2054" s="2">
        <v>6785.7543581546306</v>
      </c>
      <c r="W2054" s="2">
        <v>6419.8349609375</v>
      </c>
      <c r="X2054" s="4">
        <f t="shared" si="128"/>
        <v>0.45556284948235087</v>
      </c>
      <c r="Y2054" s="4">
        <f t="shared" si="129"/>
        <v>0.50343890011269055</v>
      </c>
      <c r="Z2054" s="4">
        <f t="shared" si="130"/>
        <v>0.5305231828313649</v>
      </c>
      <c r="AA2054" s="4">
        <f t="shared" si="131"/>
        <v>0.56076207907286846</v>
      </c>
    </row>
    <row r="2055" spans="1:27" x14ac:dyDescent="0.3">
      <c r="A2055" t="s">
        <v>135</v>
      </c>
      <c r="B2055">
        <v>85670</v>
      </c>
      <c r="C2055">
        <v>2013</v>
      </c>
      <c r="D2055" t="s">
        <v>74</v>
      </c>
      <c r="E2055" t="s">
        <v>75</v>
      </c>
      <c r="F2055">
        <v>8</v>
      </c>
      <c r="G2055" t="s">
        <v>47</v>
      </c>
      <c r="H2055">
        <v>4</v>
      </c>
      <c r="I2055" t="s">
        <v>23</v>
      </c>
      <c r="J2055" t="s">
        <v>94</v>
      </c>
      <c r="L2055" t="s">
        <v>84</v>
      </c>
      <c r="M2055" t="s">
        <v>78</v>
      </c>
      <c r="N2055">
        <v>0</v>
      </c>
      <c r="O2055" t="s">
        <v>27</v>
      </c>
      <c r="S2055" s="3">
        <v>13500</v>
      </c>
      <c r="T2055" s="2">
        <v>12907.888671875</v>
      </c>
      <c r="U2055" s="2">
        <v>11494.779602448099</v>
      </c>
      <c r="V2055" s="2">
        <v>13471.59033968678</v>
      </c>
      <c r="W2055" s="2">
        <v>12469.2001953125</v>
      </c>
      <c r="X2055" s="4">
        <f t="shared" si="128"/>
        <v>1.0458720510516295</v>
      </c>
      <c r="Y2055" s="4">
        <f t="shared" si="129"/>
        <v>1.1744461805187494</v>
      </c>
      <c r="Z2055" s="4">
        <f t="shared" si="130"/>
        <v>1.002108857202221</v>
      </c>
      <c r="AA2055" s="4">
        <f t="shared" si="131"/>
        <v>1.0826676762375669</v>
      </c>
    </row>
    <row r="2056" spans="1:27" x14ac:dyDescent="0.3">
      <c r="A2056" t="s">
        <v>135</v>
      </c>
      <c r="B2056">
        <v>89533</v>
      </c>
      <c r="C2056">
        <v>2018</v>
      </c>
      <c r="D2056" t="s">
        <v>40</v>
      </c>
      <c r="E2056" t="s">
        <v>229</v>
      </c>
      <c r="F2056">
        <v>4</v>
      </c>
      <c r="G2056" t="s">
        <v>30</v>
      </c>
      <c r="H2056">
        <v>4</v>
      </c>
      <c r="I2056" t="s">
        <v>23</v>
      </c>
      <c r="J2056" t="s">
        <v>31</v>
      </c>
      <c r="K2056" t="s">
        <v>27</v>
      </c>
      <c r="L2056" t="s">
        <v>107</v>
      </c>
      <c r="M2056" t="s">
        <v>33</v>
      </c>
      <c r="N2056">
        <v>0</v>
      </c>
      <c r="O2056" t="s">
        <v>27</v>
      </c>
      <c r="S2056" s="3">
        <v>9000</v>
      </c>
      <c r="T2056" s="2">
        <v>11293.708984375</v>
      </c>
      <c r="U2056" s="2">
        <v>11173.55828783811</v>
      </c>
      <c r="V2056" s="2">
        <v>11039.020210127201</v>
      </c>
      <c r="W2056" s="2">
        <v>10617.9775390625</v>
      </c>
      <c r="X2056" s="4">
        <f t="shared" si="128"/>
        <v>0.79690383490947236</v>
      </c>
      <c r="Y2056" s="4">
        <f t="shared" si="129"/>
        <v>0.80547304342575221</v>
      </c>
      <c r="Z2056" s="4">
        <f t="shared" si="130"/>
        <v>0.81528974752155969</v>
      </c>
      <c r="AA2056" s="4">
        <f t="shared" si="131"/>
        <v>0.8476190467431185</v>
      </c>
    </row>
    <row r="2057" spans="1:27" x14ac:dyDescent="0.3">
      <c r="A2057" t="s">
        <v>135</v>
      </c>
      <c r="B2057">
        <v>205213</v>
      </c>
      <c r="C2057">
        <v>2012</v>
      </c>
      <c r="D2057" t="s">
        <v>44</v>
      </c>
      <c r="E2057" t="s">
        <v>68</v>
      </c>
      <c r="F2057">
        <v>6</v>
      </c>
      <c r="G2057" t="s">
        <v>47</v>
      </c>
      <c r="H2057">
        <v>4</v>
      </c>
      <c r="I2057" t="s">
        <v>23</v>
      </c>
      <c r="J2057" t="s">
        <v>62</v>
      </c>
      <c r="K2057" t="s">
        <v>27</v>
      </c>
      <c r="L2057" t="s">
        <v>38</v>
      </c>
      <c r="M2057" t="s">
        <v>33</v>
      </c>
      <c r="N2057">
        <v>0</v>
      </c>
      <c r="O2057" t="s">
        <v>27</v>
      </c>
      <c r="S2057" s="3">
        <v>3100</v>
      </c>
      <c r="T2057" s="2">
        <v>3192.15283203125</v>
      </c>
      <c r="U2057" s="2">
        <v>3270.7501430720049</v>
      </c>
      <c r="V2057" s="2">
        <v>3075.674933790508</v>
      </c>
      <c r="W2057" s="2">
        <v>3449.70556640625</v>
      </c>
      <c r="X2057" s="4">
        <f t="shared" si="128"/>
        <v>0.97113144737101742</v>
      </c>
      <c r="Y2057" s="4">
        <f t="shared" si="129"/>
        <v>0.94779480681712047</v>
      </c>
      <c r="Z2057" s="4">
        <f t="shared" si="130"/>
        <v>1.0079088547174631</v>
      </c>
      <c r="AA2057" s="4">
        <f t="shared" si="131"/>
        <v>0.89862741626075704</v>
      </c>
    </row>
    <row r="2058" spans="1:27" x14ac:dyDescent="0.3">
      <c r="A2058" t="s">
        <v>591</v>
      </c>
      <c r="B2058">
        <v>26492</v>
      </c>
      <c r="C2058">
        <v>2024</v>
      </c>
      <c r="D2058" t="s">
        <v>125</v>
      </c>
      <c r="E2058" t="s">
        <v>297</v>
      </c>
      <c r="F2058">
        <v>4</v>
      </c>
      <c r="G2058" t="s">
        <v>30</v>
      </c>
      <c r="H2058">
        <v>4</v>
      </c>
      <c r="I2058" t="s">
        <v>23</v>
      </c>
      <c r="J2058" t="s">
        <v>24</v>
      </c>
      <c r="K2058" t="s">
        <v>27</v>
      </c>
      <c r="L2058" t="s">
        <v>102</v>
      </c>
      <c r="M2058" t="s">
        <v>23</v>
      </c>
      <c r="N2058">
        <v>3.5</v>
      </c>
      <c r="O2058" t="s">
        <v>27</v>
      </c>
      <c r="S2058" s="3">
        <v>21100</v>
      </c>
      <c r="T2058" s="2">
        <v>30135.546875</v>
      </c>
      <c r="U2058" s="2">
        <v>29662.78423963605</v>
      </c>
      <c r="V2058" s="2">
        <v>18177.889290519892</v>
      </c>
      <c r="W2058" s="2">
        <v>30635.52734375</v>
      </c>
      <c r="X2058" s="4">
        <f t="shared" si="128"/>
        <v>0.70016980569562004</v>
      </c>
      <c r="Y2058" s="4">
        <f t="shared" si="129"/>
        <v>0.71132904549822151</v>
      </c>
      <c r="Z2058" s="4">
        <f t="shared" si="130"/>
        <v>1.1607508255099805</v>
      </c>
      <c r="AA2058" s="4">
        <f t="shared" si="131"/>
        <v>0.68874283648669243</v>
      </c>
    </row>
    <row r="2059" spans="1:27" x14ac:dyDescent="0.3">
      <c r="A2059" t="s">
        <v>591</v>
      </c>
      <c r="B2059">
        <v>333</v>
      </c>
      <c r="C2059">
        <v>2024</v>
      </c>
      <c r="D2059" t="s">
        <v>40</v>
      </c>
      <c r="E2059" t="s">
        <v>502</v>
      </c>
      <c r="F2059">
        <v>6</v>
      </c>
      <c r="G2059" t="s">
        <v>47</v>
      </c>
      <c r="H2059">
        <v>3</v>
      </c>
      <c r="I2059" t="s">
        <v>23</v>
      </c>
      <c r="J2059" t="s">
        <v>448</v>
      </c>
      <c r="K2059" t="s">
        <v>25</v>
      </c>
      <c r="L2059" t="s">
        <v>308</v>
      </c>
      <c r="M2059" t="s">
        <v>78</v>
      </c>
      <c r="N2059">
        <v>4.9000000000000004</v>
      </c>
      <c r="O2059" t="s">
        <v>27</v>
      </c>
      <c r="S2059" s="3">
        <v>44500</v>
      </c>
      <c r="T2059" s="2">
        <v>52233.33984375</v>
      </c>
      <c r="U2059" s="2">
        <v>57113.727824024892</v>
      </c>
      <c r="V2059" s="2">
        <v>47947.166335779992</v>
      </c>
      <c r="W2059" s="2">
        <v>58443.43359375</v>
      </c>
      <c r="X2059" s="4">
        <f t="shared" si="128"/>
        <v>0.85194628819670748</v>
      </c>
      <c r="Y2059" s="4">
        <f t="shared" si="129"/>
        <v>0.77914718046614828</v>
      </c>
      <c r="Z2059" s="4">
        <f t="shared" si="130"/>
        <v>0.92810489963809217</v>
      </c>
      <c r="AA2059" s="4">
        <f t="shared" si="131"/>
        <v>0.76142001356947786</v>
      </c>
    </row>
    <row r="2060" spans="1:27" x14ac:dyDescent="0.3">
      <c r="A2060" t="s">
        <v>593</v>
      </c>
      <c r="B2060">
        <v>85643</v>
      </c>
      <c r="C2060">
        <v>2018</v>
      </c>
      <c r="D2060" t="s">
        <v>20</v>
      </c>
      <c r="E2060" t="s">
        <v>151</v>
      </c>
      <c r="F2060">
        <v>8</v>
      </c>
      <c r="G2060" t="s">
        <v>36</v>
      </c>
      <c r="H2060">
        <v>4</v>
      </c>
      <c r="I2060" t="s">
        <v>23</v>
      </c>
      <c r="J2060" t="s">
        <v>42</v>
      </c>
      <c r="K2060" t="s">
        <v>27</v>
      </c>
      <c r="L2060" t="s">
        <v>43</v>
      </c>
      <c r="M2060">
        <v>4</v>
      </c>
      <c r="N2060">
        <v>4.5</v>
      </c>
      <c r="O2060" t="s">
        <v>27</v>
      </c>
      <c r="S2060" s="3">
        <v>26800</v>
      </c>
      <c r="T2060" s="2">
        <v>31013.572265625</v>
      </c>
      <c r="U2060" s="2">
        <v>23998.121238292319</v>
      </c>
      <c r="V2060" s="2">
        <v>27973.909244768191</v>
      </c>
      <c r="W2060" s="2">
        <v>27566.349609375</v>
      </c>
      <c r="X2060" s="4">
        <f t="shared" si="128"/>
        <v>0.8641377965254502</v>
      </c>
      <c r="Y2060" s="4">
        <f t="shared" si="129"/>
        <v>1.1167540881174021</v>
      </c>
      <c r="Z2060" s="4">
        <f t="shared" si="130"/>
        <v>0.95803556683849111</v>
      </c>
      <c r="AA2060" s="4">
        <f t="shared" si="131"/>
        <v>0.97219981534608513</v>
      </c>
    </row>
    <row r="2061" spans="1:27" x14ac:dyDescent="0.3">
      <c r="A2061" t="s">
        <v>596</v>
      </c>
      <c r="B2061">
        <v>179440</v>
      </c>
      <c r="C2061">
        <v>2016</v>
      </c>
      <c r="D2061" t="s">
        <v>44</v>
      </c>
      <c r="E2061" t="s">
        <v>45</v>
      </c>
      <c r="F2061">
        <v>8</v>
      </c>
      <c r="G2061" t="s">
        <v>47</v>
      </c>
      <c r="H2061">
        <v>2</v>
      </c>
      <c r="I2061" t="s">
        <v>23</v>
      </c>
      <c r="J2061" t="s">
        <v>576</v>
      </c>
      <c r="K2061" t="s">
        <v>25</v>
      </c>
      <c r="L2061" t="s">
        <v>48</v>
      </c>
      <c r="M2061">
        <v>4</v>
      </c>
      <c r="N2061">
        <v>2.2999999999999901</v>
      </c>
      <c r="O2061" t="s">
        <v>27</v>
      </c>
      <c r="S2061" s="3">
        <v>7000</v>
      </c>
      <c r="T2061" s="2">
        <v>4674.0009765625</v>
      </c>
      <c r="U2061" s="2">
        <v>12835.39379138557</v>
      </c>
      <c r="V2061" s="2">
        <v>3525.0285105795028</v>
      </c>
      <c r="W2061" s="2">
        <v>5670.33203125</v>
      </c>
      <c r="X2061" s="4">
        <f t="shared" si="128"/>
        <v>1.4976462425021055</v>
      </c>
      <c r="Y2061" s="4">
        <f t="shared" si="129"/>
        <v>0.54536698396414029</v>
      </c>
      <c r="Z2061" s="4">
        <f t="shared" si="130"/>
        <v>1.985799541476396</v>
      </c>
      <c r="AA2061" s="4">
        <f t="shared" si="131"/>
        <v>1.2344956100316546</v>
      </c>
    </row>
    <row r="2062" spans="1:27" x14ac:dyDescent="0.3">
      <c r="A2062" t="s">
        <v>596</v>
      </c>
      <c r="B2062">
        <v>143195</v>
      </c>
      <c r="C2062">
        <v>2016</v>
      </c>
      <c r="D2062" t="s">
        <v>40</v>
      </c>
      <c r="E2062" t="s">
        <v>496</v>
      </c>
      <c r="F2062">
        <v>4</v>
      </c>
      <c r="G2062" t="s">
        <v>56</v>
      </c>
      <c r="H2062">
        <v>4</v>
      </c>
      <c r="I2062" t="s">
        <v>23</v>
      </c>
      <c r="J2062" t="s">
        <v>31</v>
      </c>
      <c r="K2062" t="s">
        <v>25</v>
      </c>
      <c r="L2062" t="s">
        <v>32</v>
      </c>
      <c r="M2062" t="s">
        <v>33</v>
      </c>
      <c r="N2062">
        <v>1.9</v>
      </c>
      <c r="O2062" t="s">
        <v>27</v>
      </c>
      <c r="S2062" s="3">
        <v>2000</v>
      </c>
      <c r="T2062" s="2">
        <v>3634.588134765625</v>
      </c>
      <c r="U2062" s="2">
        <v>2993.6116984668552</v>
      </c>
      <c r="V2062" s="2">
        <v>2329.5045631382959</v>
      </c>
      <c r="W2062" s="2">
        <v>2619.862548828125</v>
      </c>
      <c r="X2062" s="4">
        <f t="shared" si="128"/>
        <v>0.55026867580113559</v>
      </c>
      <c r="Y2062" s="4">
        <f t="shared" si="129"/>
        <v>0.66808931867291865</v>
      </c>
      <c r="Z2062" s="4">
        <f t="shared" si="130"/>
        <v>0.85855165585321325</v>
      </c>
      <c r="AA2062" s="4">
        <f t="shared" si="131"/>
        <v>0.76339882826853189</v>
      </c>
    </row>
    <row r="2063" spans="1:27" x14ac:dyDescent="0.3">
      <c r="A2063" t="s">
        <v>596</v>
      </c>
      <c r="B2063">
        <v>153160</v>
      </c>
      <c r="C2063">
        <v>2014</v>
      </c>
      <c r="D2063" t="s">
        <v>74</v>
      </c>
      <c r="E2063" t="s">
        <v>75</v>
      </c>
      <c r="F2063">
        <v>8</v>
      </c>
      <c r="G2063" t="s">
        <v>36</v>
      </c>
      <c r="H2063">
        <v>4</v>
      </c>
      <c r="I2063" t="s">
        <v>23</v>
      </c>
      <c r="J2063" t="s">
        <v>42</v>
      </c>
      <c r="K2063" t="s">
        <v>25</v>
      </c>
      <c r="L2063" t="s">
        <v>84</v>
      </c>
      <c r="M2063">
        <v>4</v>
      </c>
      <c r="N2063">
        <v>3.2</v>
      </c>
      <c r="O2063" t="s">
        <v>27</v>
      </c>
      <c r="S2063" s="3">
        <v>12900</v>
      </c>
      <c r="T2063" s="2">
        <v>7160.091796875</v>
      </c>
      <c r="U2063" s="2">
        <v>7971.8987850636349</v>
      </c>
      <c r="V2063" s="2">
        <v>11143.519369393031</v>
      </c>
      <c r="W2063" s="2">
        <v>8766.0068359375</v>
      </c>
      <c r="X2063" s="4">
        <f t="shared" si="128"/>
        <v>1.801652879035736</v>
      </c>
      <c r="Y2063" s="4">
        <f t="shared" si="129"/>
        <v>1.6181841174614244</v>
      </c>
      <c r="Z2063" s="4">
        <f t="shared" si="130"/>
        <v>1.1576235094481324</v>
      </c>
      <c r="AA2063" s="4">
        <f t="shared" si="131"/>
        <v>1.4715936504994045</v>
      </c>
    </row>
    <row r="2064" spans="1:27" x14ac:dyDescent="0.3">
      <c r="A2064" t="s">
        <v>596</v>
      </c>
      <c r="B2064">
        <v>196444</v>
      </c>
      <c r="C2064">
        <v>2008</v>
      </c>
      <c r="D2064" t="s">
        <v>40</v>
      </c>
      <c r="E2064" t="s">
        <v>169</v>
      </c>
      <c r="F2064">
        <v>8</v>
      </c>
      <c r="G2064" t="s">
        <v>59</v>
      </c>
      <c r="H2064">
        <v>4</v>
      </c>
      <c r="I2064" t="s">
        <v>23</v>
      </c>
      <c r="J2064" t="s">
        <v>42</v>
      </c>
      <c r="K2064" t="s">
        <v>25</v>
      </c>
      <c r="L2064" t="s">
        <v>43</v>
      </c>
      <c r="M2064">
        <v>4</v>
      </c>
      <c r="N2064">
        <v>2.2999999999999901</v>
      </c>
      <c r="O2064" t="s">
        <v>27</v>
      </c>
      <c r="S2064" s="3">
        <v>3500</v>
      </c>
      <c r="T2064" s="2">
        <v>2401.863037109375</v>
      </c>
      <c r="U2064" s="2">
        <v>9457.0463688770906</v>
      </c>
      <c r="V2064" s="2">
        <v>-320.66330243486658</v>
      </c>
      <c r="W2064" s="2">
        <v>5697.5205078125</v>
      </c>
      <c r="X2064" s="4">
        <f t="shared" si="128"/>
        <v>1.4572021576268666</v>
      </c>
      <c r="Y2064" s="4">
        <f t="shared" si="129"/>
        <v>0.37009441039841096</v>
      </c>
      <c r="Z2064" s="4">
        <f t="shared" si="130"/>
        <v>-10.914875426728704</v>
      </c>
      <c r="AA2064" s="4">
        <f t="shared" si="131"/>
        <v>0.61430230838147282</v>
      </c>
    </row>
    <row r="2065" spans="1:27" x14ac:dyDescent="0.3">
      <c r="A2065" t="s">
        <v>596</v>
      </c>
      <c r="B2065">
        <v>191265</v>
      </c>
      <c r="C2065">
        <v>2013</v>
      </c>
      <c r="D2065" t="s">
        <v>44</v>
      </c>
      <c r="E2065" t="s">
        <v>45</v>
      </c>
      <c r="F2065">
        <v>8</v>
      </c>
      <c r="G2065" t="s">
        <v>47</v>
      </c>
      <c r="H2065">
        <v>4</v>
      </c>
      <c r="I2065" t="s">
        <v>23</v>
      </c>
      <c r="J2065" t="s">
        <v>46</v>
      </c>
      <c r="K2065" t="s">
        <v>25</v>
      </c>
      <c r="L2065" t="s">
        <v>48</v>
      </c>
      <c r="M2065">
        <v>4</v>
      </c>
      <c r="N2065">
        <v>2.6</v>
      </c>
      <c r="O2065" t="s">
        <v>27</v>
      </c>
      <c r="S2065" s="3">
        <v>6600</v>
      </c>
      <c r="T2065" s="2">
        <v>4049.961181640625</v>
      </c>
      <c r="U2065" s="2">
        <v>11901.341137256801</v>
      </c>
      <c r="V2065" s="2">
        <v>2169.054777013785</v>
      </c>
      <c r="W2065" s="2">
        <v>4248.46630859375</v>
      </c>
      <c r="X2065" s="4">
        <f t="shared" si="128"/>
        <v>1.6296452494209743</v>
      </c>
      <c r="Y2065" s="4">
        <f t="shared" si="129"/>
        <v>0.55455934956262143</v>
      </c>
      <c r="Z2065" s="4">
        <f t="shared" si="130"/>
        <v>3.0428000573994054</v>
      </c>
      <c r="AA2065" s="4">
        <f t="shared" si="131"/>
        <v>1.5535017864328109</v>
      </c>
    </row>
    <row r="2066" spans="1:27" x14ac:dyDescent="0.3">
      <c r="A2066" t="s">
        <v>596</v>
      </c>
      <c r="B2066">
        <v>117751</v>
      </c>
      <c r="C2066">
        <v>2018</v>
      </c>
      <c r="D2066" t="s">
        <v>28</v>
      </c>
      <c r="E2066" t="s">
        <v>137</v>
      </c>
      <c r="F2066">
        <v>4</v>
      </c>
      <c r="G2066" t="s">
        <v>47</v>
      </c>
      <c r="H2066">
        <v>4</v>
      </c>
      <c r="I2066" t="s">
        <v>23</v>
      </c>
      <c r="J2066" t="s">
        <v>31</v>
      </c>
      <c r="K2066" t="s">
        <v>25</v>
      </c>
      <c r="L2066" t="s">
        <v>127</v>
      </c>
      <c r="M2066" t="s">
        <v>33</v>
      </c>
      <c r="N2066">
        <v>1.9</v>
      </c>
      <c r="O2066" t="s">
        <v>27</v>
      </c>
      <c r="S2066" s="3">
        <v>12000</v>
      </c>
      <c r="T2066" s="2">
        <v>8991.1513671875</v>
      </c>
      <c r="U2066" s="2">
        <v>9467.9589757027388</v>
      </c>
      <c r="V2066" s="2">
        <v>9758.5694617274185</v>
      </c>
      <c r="W2066" s="2">
        <v>10788.81640625</v>
      </c>
      <c r="X2066" s="4">
        <f t="shared" si="128"/>
        <v>1.3346455320275283</v>
      </c>
      <c r="Y2066" s="4">
        <f t="shared" si="129"/>
        <v>1.267432614652761</v>
      </c>
      <c r="Z2066" s="4">
        <f t="shared" si="130"/>
        <v>1.2296884340541256</v>
      </c>
      <c r="AA2066" s="4">
        <f t="shared" si="131"/>
        <v>1.112262879276392</v>
      </c>
    </row>
    <row r="2067" spans="1:27" x14ac:dyDescent="0.3">
      <c r="A2067" t="s">
        <v>596</v>
      </c>
      <c r="B2067">
        <v>195476</v>
      </c>
      <c r="C2067">
        <v>2013</v>
      </c>
      <c r="D2067" t="s">
        <v>100</v>
      </c>
      <c r="E2067" t="s">
        <v>101</v>
      </c>
      <c r="F2067">
        <v>4</v>
      </c>
      <c r="G2067" t="s">
        <v>36</v>
      </c>
      <c r="H2067">
        <v>4</v>
      </c>
      <c r="I2067" t="s">
        <v>23</v>
      </c>
      <c r="J2067" t="s">
        <v>31</v>
      </c>
      <c r="K2067" t="s">
        <v>25</v>
      </c>
      <c r="L2067" t="s">
        <v>102</v>
      </c>
      <c r="M2067" t="s">
        <v>33</v>
      </c>
      <c r="N2067">
        <v>2.7</v>
      </c>
      <c r="O2067" t="s">
        <v>27</v>
      </c>
      <c r="S2067" s="3">
        <v>2100</v>
      </c>
      <c r="T2067" s="2">
        <v>1309.702270507812</v>
      </c>
      <c r="U2067" s="2">
        <v>2079.283717188619</v>
      </c>
      <c r="V2067" s="2">
        <v>4025.357604663121</v>
      </c>
      <c r="W2067" s="2">
        <v>1854.522827148438</v>
      </c>
      <c r="X2067" s="4">
        <f t="shared" si="128"/>
        <v>1.603417850979036</v>
      </c>
      <c r="Y2067" s="4">
        <f t="shared" si="129"/>
        <v>1.0099631823402107</v>
      </c>
      <c r="Z2067" s="4">
        <f t="shared" si="130"/>
        <v>0.52169278018114051</v>
      </c>
      <c r="AA2067" s="4">
        <f t="shared" si="131"/>
        <v>1.1323667572369622</v>
      </c>
    </row>
    <row r="2068" spans="1:27" x14ac:dyDescent="0.3">
      <c r="A2068" t="s">
        <v>638</v>
      </c>
      <c r="B2068">
        <v>28278</v>
      </c>
      <c r="C2068">
        <v>2024</v>
      </c>
      <c r="D2068" t="s">
        <v>81</v>
      </c>
      <c r="E2068" t="s">
        <v>639</v>
      </c>
      <c r="F2068">
        <v>4</v>
      </c>
      <c r="G2068" t="s">
        <v>66</v>
      </c>
      <c r="H2068">
        <v>4</v>
      </c>
      <c r="I2068" t="s">
        <v>109</v>
      </c>
      <c r="J2068" t="s">
        <v>165</v>
      </c>
      <c r="K2068" t="s">
        <v>25</v>
      </c>
      <c r="L2068" t="s">
        <v>181</v>
      </c>
      <c r="M2068" t="s">
        <v>23</v>
      </c>
      <c r="S2068" s="3">
        <v>20600</v>
      </c>
      <c r="T2068" s="2">
        <v>35874.66796875</v>
      </c>
      <c r="U2068" s="2">
        <v>29960.29791682358</v>
      </c>
      <c r="V2068" s="2">
        <v>48771.577534509117</v>
      </c>
      <c r="W2068" s="2">
        <v>33163.30859375</v>
      </c>
      <c r="X2068" s="4">
        <f t="shared" si="128"/>
        <v>0.57422134242313871</v>
      </c>
      <c r="Y2068" s="4">
        <f t="shared" si="129"/>
        <v>0.68757660745531168</v>
      </c>
      <c r="Z2068" s="4">
        <f t="shared" si="130"/>
        <v>0.42237715163968476</v>
      </c>
      <c r="AA2068" s="4">
        <f t="shared" si="131"/>
        <v>0.62116841996525951</v>
      </c>
    </row>
    <row r="2069" spans="1:27" x14ac:dyDescent="0.3">
      <c r="A2069" t="s">
        <v>623</v>
      </c>
      <c r="B2069">
        <v>142596</v>
      </c>
      <c r="C2069">
        <v>2018</v>
      </c>
      <c r="D2069" t="s">
        <v>40</v>
      </c>
      <c r="E2069" t="s">
        <v>229</v>
      </c>
      <c r="F2069">
        <v>4</v>
      </c>
      <c r="G2069" t="s">
        <v>66</v>
      </c>
      <c r="H2069">
        <v>4</v>
      </c>
      <c r="I2069" t="s">
        <v>23</v>
      </c>
      <c r="J2069" t="s">
        <v>31</v>
      </c>
      <c r="K2069" t="s">
        <v>27</v>
      </c>
      <c r="L2069" t="s">
        <v>107</v>
      </c>
      <c r="M2069" t="s">
        <v>33</v>
      </c>
      <c r="N2069">
        <v>3.3</v>
      </c>
      <c r="O2069" t="s">
        <v>27</v>
      </c>
      <c r="S2069" s="3">
        <v>3000</v>
      </c>
      <c r="T2069" s="2">
        <v>6634.931640625</v>
      </c>
      <c r="U2069" s="2">
        <v>5798.1015829968828</v>
      </c>
      <c r="V2069" s="2">
        <v>5621.2359405169555</v>
      </c>
      <c r="W2069" s="2">
        <v>5815.75927734375</v>
      </c>
      <c r="X2069" s="4">
        <f t="shared" si="128"/>
        <v>0.45215236003809151</v>
      </c>
      <c r="Y2069" s="4">
        <f t="shared" si="129"/>
        <v>0.51741073471316812</v>
      </c>
      <c r="Z2069" s="4">
        <f t="shared" si="130"/>
        <v>0.53369046091385119</v>
      </c>
      <c r="AA2069" s="4">
        <f t="shared" si="131"/>
        <v>0.51583978238009176</v>
      </c>
    </row>
    <row r="2070" spans="1:27" x14ac:dyDescent="0.3">
      <c r="A2070" t="s">
        <v>623</v>
      </c>
      <c r="B2070">
        <v>68510</v>
      </c>
      <c r="C2070">
        <v>2009</v>
      </c>
      <c r="D2070" t="s">
        <v>44</v>
      </c>
      <c r="E2070" t="s">
        <v>605</v>
      </c>
      <c r="F2070">
        <v>8</v>
      </c>
      <c r="G2070" t="s">
        <v>30</v>
      </c>
      <c r="H2070">
        <v>3</v>
      </c>
      <c r="I2070" t="s">
        <v>23</v>
      </c>
      <c r="J2070" t="s">
        <v>113</v>
      </c>
      <c r="L2070" t="s">
        <v>311</v>
      </c>
      <c r="M2070" t="s">
        <v>78</v>
      </c>
      <c r="N2070">
        <v>2</v>
      </c>
      <c r="O2070" t="s">
        <v>39</v>
      </c>
      <c r="S2070" s="3">
        <v>1100</v>
      </c>
      <c r="T2070" s="2">
        <v>2901.80712890625</v>
      </c>
      <c r="U2070" s="2">
        <v>10971.16443415231</v>
      </c>
      <c r="V2070" s="2">
        <v>3687.3402125818452</v>
      </c>
      <c r="W2070" s="2">
        <v>5710.98876953125</v>
      </c>
      <c r="X2070" s="4">
        <f t="shared" si="128"/>
        <v>0.37907412558277515</v>
      </c>
      <c r="Y2070" s="4">
        <f t="shared" si="129"/>
        <v>0.10026283049552998</v>
      </c>
      <c r="Z2070" s="4">
        <f t="shared" si="130"/>
        <v>0.29831801151589132</v>
      </c>
      <c r="AA2070" s="4">
        <f t="shared" si="131"/>
        <v>0.19261112994454135</v>
      </c>
    </row>
    <row r="2071" spans="1:27" x14ac:dyDescent="0.3">
      <c r="A2071" t="s">
        <v>623</v>
      </c>
      <c r="B2071">
        <v>999999</v>
      </c>
      <c r="C2071">
        <v>2011</v>
      </c>
      <c r="D2071" t="s">
        <v>44</v>
      </c>
      <c r="E2071" t="s">
        <v>203</v>
      </c>
      <c r="F2071">
        <v>4</v>
      </c>
      <c r="G2071" t="s">
        <v>59</v>
      </c>
      <c r="H2071">
        <v>4</v>
      </c>
      <c r="I2071" t="s">
        <v>23</v>
      </c>
      <c r="J2071" t="s">
        <v>145</v>
      </c>
      <c r="K2071" t="s">
        <v>27</v>
      </c>
      <c r="L2071" t="s">
        <v>118</v>
      </c>
      <c r="M2071" t="s">
        <v>33</v>
      </c>
      <c r="N2071">
        <v>2.9</v>
      </c>
      <c r="O2071" t="s">
        <v>27</v>
      </c>
      <c r="S2071" s="3">
        <v>400</v>
      </c>
      <c r="T2071" s="2">
        <v>367.295654296875</v>
      </c>
      <c r="U2071" s="2">
        <v>-259.36525321194131</v>
      </c>
      <c r="V2071" s="2">
        <v>676.88071171456795</v>
      </c>
      <c r="W2071" s="2">
        <v>833.93072509765625</v>
      </c>
      <c r="X2071" s="4">
        <f t="shared" si="128"/>
        <v>1.0890409274395907</v>
      </c>
      <c r="Y2071" s="4">
        <f t="shared" si="129"/>
        <v>-1.5422266284571993</v>
      </c>
      <c r="Z2071" s="4">
        <f t="shared" si="130"/>
        <v>0.59094607524977749</v>
      </c>
      <c r="AA2071" s="4">
        <f t="shared" si="131"/>
        <v>0.47965614884037111</v>
      </c>
    </row>
    <row r="2072" spans="1:27" x14ac:dyDescent="0.3">
      <c r="A2072" t="s">
        <v>623</v>
      </c>
      <c r="B2072">
        <v>108343</v>
      </c>
      <c r="C2072">
        <v>2010</v>
      </c>
      <c r="D2072" t="s">
        <v>489</v>
      </c>
      <c r="E2072" t="s">
        <v>640</v>
      </c>
      <c r="F2072">
        <v>6</v>
      </c>
      <c r="G2072" t="s">
        <v>66</v>
      </c>
      <c r="H2072">
        <v>4</v>
      </c>
      <c r="I2072" t="s">
        <v>23</v>
      </c>
      <c r="J2072" t="s">
        <v>24</v>
      </c>
      <c r="K2072" t="s">
        <v>27</v>
      </c>
      <c r="L2072" t="s">
        <v>218</v>
      </c>
      <c r="M2072" t="s">
        <v>23</v>
      </c>
      <c r="N2072">
        <v>3</v>
      </c>
      <c r="O2072" t="s">
        <v>27</v>
      </c>
      <c r="S2072" s="3">
        <v>1800</v>
      </c>
      <c r="T2072" s="2">
        <v>3612.26953125</v>
      </c>
      <c r="U2072" s="2">
        <v>3118.3946172763522</v>
      </c>
      <c r="V2072" s="2">
        <v>3043.073483792039</v>
      </c>
      <c r="W2072" s="2">
        <v>3642.298583984375</v>
      </c>
      <c r="X2072" s="4">
        <f t="shared" si="128"/>
        <v>0.49830168663441982</v>
      </c>
      <c r="Y2072" s="4">
        <f t="shared" si="129"/>
        <v>0.57722008306060513</v>
      </c>
      <c r="Z2072" s="4">
        <f t="shared" si="130"/>
        <v>0.59150724081660411</v>
      </c>
      <c r="AA2072" s="4">
        <f t="shared" si="131"/>
        <v>0.49419342168014907</v>
      </c>
    </row>
    <row r="2073" spans="1:27" x14ac:dyDescent="0.3">
      <c r="A2073" t="s">
        <v>623</v>
      </c>
      <c r="B2073">
        <v>154859</v>
      </c>
      <c r="C2073">
        <v>2018</v>
      </c>
      <c r="D2073" t="s">
        <v>125</v>
      </c>
      <c r="E2073" t="s">
        <v>167</v>
      </c>
      <c r="F2073">
        <v>4</v>
      </c>
      <c r="G2073" t="s">
        <v>59</v>
      </c>
      <c r="H2073">
        <v>4</v>
      </c>
      <c r="I2073" t="s">
        <v>23</v>
      </c>
      <c r="J2073" t="s">
        <v>31</v>
      </c>
      <c r="K2073" t="s">
        <v>27</v>
      </c>
      <c r="L2073" t="s">
        <v>87</v>
      </c>
      <c r="M2073" t="s">
        <v>33</v>
      </c>
      <c r="N2073">
        <v>4.5</v>
      </c>
      <c r="O2073" t="s">
        <v>27</v>
      </c>
      <c r="S2073" s="3">
        <v>2700</v>
      </c>
      <c r="T2073" s="2">
        <v>4350.427734375</v>
      </c>
      <c r="U2073" s="2">
        <v>4341.8382793263781</v>
      </c>
      <c r="V2073" s="2">
        <v>4099.3715702386953</v>
      </c>
      <c r="W2073" s="2">
        <v>6217.60888671875</v>
      </c>
      <c r="X2073" s="4">
        <f t="shared" si="128"/>
        <v>0.6206286289198395</v>
      </c>
      <c r="Y2073" s="4">
        <f t="shared" si="129"/>
        <v>0.62185641801907376</v>
      </c>
      <c r="Z2073" s="4">
        <f t="shared" si="130"/>
        <v>0.65863753839781503</v>
      </c>
      <c r="AA2073" s="4">
        <f t="shared" si="131"/>
        <v>0.43425053733556479</v>
      </c>
    </row>
    <row r="2074" spans="1:27" x14ac:dyDescent="0.3">
      <c r="A2074" t="s">
        <v>623</v>
      </c>
      <c r="B2074">
        <v>139312</v>
      </c>
      <c r="C2074">
        <v>2006</v>
      </c>
      <c r="D2074" t="s">
        <v>141</v>
      </c>
      <c r="E2074" t="s">
        <v>215</v>
      </c>
      <c r="F2074">
        <v>6</v>
      </c>
      <c r="G2074" t="s">
        <v>36</v>
      </c>
      <c r="H2074">
        <v>4</v>
      </c>
      <c r="I2074" t="s">
        <v>23</v>
      </c>
      <c r="J2074" t="s">
        <v>31</v>
      </c>
      <c r="L2074" t="s">
        <v>53</v>
      </c>
      <c r="M2074" t="s">
        <v>23</v>
      </c>
      <c r="N2074">
        <v>2.4</v>
      </c>
      <c r="O2074" t="s">
        <v>199</v>
      </c>
      <c r="S2074" s="3">
        <v>500</v>
      </c>
      <c r="T2074" s="2">
        <v>1561.798217773438</v>
      </c>
      <c r="U2074" s="2">
        <v>-80.889450890319495</v>
      </c>
      <c r="V2074" s="2">
        <v>112.3758102835764</v>
      </c>
      <c r="W2074" s="2">
        <v>1126.867797851562</v>
      </c>
      <c r="X2074" s="4">
        <f t="shared" si="128"/>
        <v>0.3201437895817425</v>
      </c>
      <c r="Y2074" s="4">
        <f t="shared" si="129"/>
        <v>-6.1812757349282226</v>
      </c>
      <c r="Z2074" s="4">
        <f t="shared" si="130"/>
        <v>4.4493561268948145</v>
      </c>
      <c r="AA2074" s="4">
        <f t="shared" si="131"/>
        <v>0.44370777206809764</v>
      </c>
    </row>
    <row r="2075" spans="1:27" x14ac:dyDescent="0.3">
      <c r="A2075" t="s">
        <v>623</v>
      </c>
      <c r="B2075">
        <v>223151</v>
      </c>
      <c r="C2075">
        <v>2001</v>
      </c>
      <c r="D2075" t="s">
        <v>44</v>
      </c>
      <c r="E2075" t="s">
        <v>641</v>
      </c>
      <c r="F2075">
        <v>6</v>
      </c>
      <c r="G2075" t="s">
        <v>22</v>
      </c>
      <c r="H2075">
        <v>2</v>
      </c>
      <c r="I2075" t="s">
        <v>23</v>
      </c>
      <c r="J2075" t="s">
        <v>24</v>
      </c>
      <c r="L2075" t="s">
        <v>348</v>
      </c>
      <c r="M2075">
        <v>4</v>
      </c>
      <c r="N2075">
        <v>1</v>
      </c>
      <c r="O2075" t="s">
        <v>199</v>
      </c>
      <c r="S2075" s="3">
        <v>400</v>
      </c>
      <c r="T2075" s="2">
        <v>184.41780090332031</v>
      </c>
      <c r="U2075" s="2">
        <v>1114.9306750204121</v>
      </c>
      <c r="V2075" s="2">
        <v>1192.3964777198089</v>
      </c>
      <c r="W2075" s="2">
        <v>838.513427734375</v>
      </c>
      <c r="X2075" s="4">
        <f t="shared" si="128"/>
        <v>2.1689880154774053</v>
      </c>
      <c r="Y2075" s="4">
        <f t="shared" si="129"/>
        <v>0.35876670089167367</v>
      </c>
      <c r="Z2075" s="4">
        <f t="shared" si="130"/>
        <v>0.33545889095958281</v>
      </c>
      <c r="AA2075" s="4">
        <f t="shared" si="131"/>
        <v>0.47703469827642681</v>
      </c>
    </row>
    <row r="2076" spans="1:27" x14ac:dyDescent="0.3">
      <c r="A2076" t="s">
        <v>623</v>
      </c>
      <c r="B2076">
        <v>137146</v>
      </c>
      <c r="C2076">
        <v>2010</v>
      </c>
      <c r="D2076" t="s">
        <v>81</v>
      </c>
      <c r="E2076" t="s">
        <v>105</v>
      </c>
      <c r="F2076">
        <v>6</v>
      </c>
      <c r="G2076" t="s">
        <v>30</v>
      </c>
      <c r="H2076">
        <v>4</v>
      </c>
      <c r="I2076" t="s">
        <v>23</v>
      </c>
      <c r="J2076" t="s">
        <v>106</v>
      </c>
      <c r="L2076" t="s">
        <v>143</v>
      </c>
      <c r="M2076" t="s">
        <v>33</v>
      </c>
      <c r="N2076">
        <v>2.9</v>
      </c>
      <c r="O2076" t="s">
        <v>27</v>
      </c>
      <c r="S2076" s="3">
        <v>1000</v>
      </c>
      <c r="T2076" s="2">
        <v>2693.552490234375</v>
      </c>
      <c r="U2076" s="2">
        <v>2967.9504472477811</v>
      </c>
      <c r="V2076" s="2">
        <v>2060.7333188456032</v>
      </c>
      <c r="W2076" s="2">
        <v>2627.996826171875</v>
      </c>
      <c r="X2076" s="4">
        <f t="shared" si="128"/>
        <v>0.37125691948664669</v>
      </c>
      <c r="Y2076" s="4">
        <f t="shared" si="129"/>
        <v>0.33693284903975163</v>
      </c>
      <c r="Z2076" s="4">
        <f t="shared" si="130"/>
        <v>0.48526414886142927</v>
      </c>
      <c r="AA2076" s="4">
        <f t="shared" si="131"/>
        <v>0.38051796335563703</v>
      </c>
    </row>
    <row r="2077" spans="1:27" x14ac:dyDescent="0.3">
      <c r="A2077" t="s">
        <v>593</v>
      </c>
      <c r="B2077">
        <v>71266</v>
      </c>
      <c r="C2077">
        <v>2021</v>
      </c>
      <c r="D2077" t="s">
        <v>44</v>
      </c>
      <c r="E2077" t="s">
        <v>117</v>
      </c>
      <c r="F2077">
        <v>3</v>
      </c>
      <c r="G2077" t="s">
        <v>22</v>
      </c>
      <c r="H2077">
        <v>4</v>
      </c>
      <c r="I2077" t="s">
        <v>23</v>
      </c>
      <c r="J2077" t="s">
        <v>62</v>
      </c>
      <c r="L2077" t="s">
        <v>200</v>
      </c>
      <c r="M2077" t="s">
        <v>33</v>
      </c>
      <c r="N2077">
        <v>4.5</v>
      </c>
      <c r="O2077" t="s">
        <v>27</v>
      </c>
      <c r="S2077" s="3">
        <v>11500</v>
      </c>
      <c r="T2077" s="2">
        <v>17894.279296875</v>
      </c>
      <c r="U2077" s="2">
        <v>17746.272702847269</v>
      </c>
      <c r="V2077" s="2">
        <v>14361.01921359068</v>
      </c>
      <c r="W2077" s="2">
        <v>14854.1611328125</v>
      </c>
      <c r="X2077" s="4">
        <f t="shared" si="128"/>
        <v>0.64266349089612806</v>
      </c>
      <c r="Y2077" s="4">
        <f t="shared" si="129"/>
        <v>0.64802340145234572</v>
      </c>
      <c r="Z2077" s="4">
        <f t="shared" si="130"/>
        <v>0.80077881861733546</v>
      </c>
      <c r="AA2077" s="4">
        <f t="shared" si="131"/>
        <v>0.77419383680959031</v>
      </c>
    </row>
    <row r="2078" spans="1:27" x14ac:dyDescent="0.3">
      <c r="A2078" t="s">
        <v>593</v>
      </c>
      <c r="B2078">
        <v>3298</v>
      </c>
      <c r="C2078">
        <v>2023</v>
      </c>
      <c r="D2078" t="s">
        <v>159</v>
      </c>
      <c r="E2078" t="s">
        <v>414</v>
      </c>
      <c r="F2078">
        <v>6</v>
      </c>
      <c r="G2078" t="s">
        <v>36</v>
      </c>
      <c r="H2078">
        <v>4</v>
      </c>
      <c r="I2078" t="s">
        <v>23</v>
      </c>
      <c r="J2078" t="s">
        <v>62</v>
      </c>
      <c r="K2078" t="s">
        <v>27</v>
      </c>
      <c r="L2078" t="s">
        <v>38</v>
      </c>
      <c r="M2078">
        <v>4</v>
      </c>
      <c r="N2078">
        <v>0</v>
      </c>
      <c r="S2078" s="3">
        <v>67000</v>
      </c>
      <c r="T2078" s="2">
        <v>75457.578125</v>
      </c>
      <c r="U2078" s="2">
        <v>75472.339343412314</v>
      </c>
      <c r="V2078" s="2">
        <v>69045.136885669926</v>
      </c>
      <c r="W2078" s="2">
        <v>93241.7734375</v>
      </c>
      <c r="X2078" s="4">
        <f t="shared" si="128"/>
        <v>0.88791612008817045</v>
      </c>
      <c r="Y2078" s="4">
        <f t="shared" si="129"/>
        <v>0.88774245747356939</v>
      </c>
      <c r="Z2078" s="4">
        <f t="shared" si="130"/>
        <v>0.97037971133207523</v>
      </c>
      <c r="AA2078" s="4">
        <f t="shared" si="131"/>
        <v>0.71856205142762675</v>
      </c>
    </row>
    <row r="2079" spans="1:27" x14ac:dyDescent="0.3">
      <c r="A2079" t="s">
        <v>596</v>
      </c>
      <c r="B2079">
        <v>168589</v>
      </c>
      <c r="C2079">
        <v>2015</v>
      </c>
      <c r="D2079" t="s">
        <v>40</v>
      </c>
      <c r="E2079" t="s">
        <v>63</v>
      </c>
      <c r="F2079">
        <v>4</v>
      </c>
      <c r="G2079" t="s">
        <v>30</v>
      </c>
      <c r="H2079">
        <v>4</v>
      </c>
      <c r="I2079" t="s">
        <v>23</v>
      </c>
      <c r="J2079" t="s">
        <v>24</v>
      </c>
      <c r="K2079" t="s">
        <v>25</v>
      </c>
      <c r="L2079" t="s">
        <v>60</v>
      </c>
      <c r="M2079" t="s">
        <v>33</v>
      </c>
      <c r="N2079">
        <v>3.7</v>
      </c>
      <c r="O2079" t="s">
        <v>27</v>
      </c>
      <c r="S2079" s="3">
        <v>3400</v>
      </c>
      <c r="T2079" s="2">
        <v>4529.4326171875</v>
      </c>
      <c r="U2079" s="2">
        <v>4323.7221001238086</v>
      </c>
      <c r="V2079" s="2">
        <v>4242.2638919830779</v>
      </c>
      <c r="W2079" s="2">
        <v>3792.197998046875</v>
      </c>
      <c r="X2079" s="4">
        <f t="shared" si="128"/>
        <v>0.75064589482980137</v>
      </c>
      <c r="Y2079" s="4">
        <f t="shared" si="129"/>
        <v>0.78635951184342812</v>
      </c>
      <c r="Z2079" s="4">
        <f t="shared" si="130"/>
        <v>0.80145886408085865</v>
      </c>
      <c r="AA2079" s="4">
        <f t="shared" si="131"/>
        <v>0.89657765806298306</v>
      </c>
    </row>
    <row r="2080" spans="1:27" x14ac:dyDescent="0.3">
      <c r="A2080" t="s">
        <v>596</v>
      </c>
      <c r="B2080">
        <v>94321</v>
      </c>
      <c r="C2080">
        <v>2016</v>
      </c>
      <c r="D2080" t="s">
        <v>20</v>
      </c>
      <c r="E2080" t="s">
        <v>151</v>
      </c>
      <c r="F2080">
        <v>8</v>
      </c>
      <c r="G2080" t="s">
        <v>22</v>
      </c>
      <c r="H2080">
        <v>4</v>
      </c>
      <c r="I2080" t="s">
        <v>23</v>
      </c>
      <c r="J2080" t="s">
        <v>42</v>
      </c>
      <c r="K2080" t="s">
        <v>25</v>
      </c>
      <c r="L2080" t="s">
        <v>43</v>
      </c>
      <c r="M2080">
        <v>4</v>
      </c>
      <c r="N2080">
        <v>2.6</v>
      </c>
      <c r="O2080" t="s">
        <v>27</v>
      </c>
      <c r="S2080" s="3">
        <v>18500</v>
      </c>
      <c r="T2080" s="2">
        <v>16392.908203125</v>
      </c>
      <c r="U2080" s="2">
        <v>18407.236545834479</v>
      </c>
      <c r="V2080" s="2">
        <v>19903.24986265424</v>
      </c>
      <c r="W2080" s="2">
        <v>17471.978515625</v>
      </c>
      <c r="X2080" s="4">
        <f t="shared" si="128"/>
        <v>1.1285367898585148</v>
      </c>
      <c r="Y2080" s="4">
        <f t="shared" si="129"/>
        <v>1.0050395100825991</v>
      </c>
      <c r="Z2080" s="4">
        <f t="shared" si="130"/>
        <v>0.92949644543792576</v>
      </c>
      <c r="AA2080" s="4">
        <f t="shared" si="131"/>
        <v>1.0588382983332798</v>
      </c>
    </row>
    <row r="2081" spans="1:27" x14ac:dyDescent="0.3">
      <c r="A2081" t="s">
        <v>429</v>
      </c>
      <c r="B2081">
        <v>81503</v>
      </c>
      <c r="C2081">
        <v>2017</v>
      </c>
      <c r="D2081" t="s">
        <v>28</v>
      </c>
      <c r="E2081" t="s">
        <v>137</v>
      </c>
      <c r="F2081">
        <v>4</v>
      </c>
      <c r="G2081" t="s">
        <v>36</v>
      </c>
      <c r="H2081">
        <v>4</v>
      </c>
      <c r="I2081" t="s">
        <v>23</v>
      </c>
      <c r="J2081" t="s">
        <v>31</v>
      </c>
      <c r="K2081" t="s">
        <v>25</v>
      </c>
      <c r="L2081" t="s">
        <v>60</v>
      </c>
      <c r="M2081" t="s">
        <v>33</v>
      </c>
      <c r="N2081">
        <v>0</v>
      </c>
      <c r="O2081" t="s">
        <v>27</v>
      </c>
      <c r="S2081" s="3">
        <v>15350</v>
      </c>
      <c r="T2081" s="2">
        <v>14680.953125</v>
      </c>
      <c r="U2081" s="2">
        <v>13004.11393162871</v>
      </c>
      <c r="V2081" s="2">
        <v>12889.07624986792</v>
      </c>
      <c r="W2081" s="2">
        <v>14385.0029296875</v>
      </c>
      <c r="X2081" s="4">
        <f t="shared" si="128"/>
        <v>1.045572441332892</v>
      </c>
      <c r="Y2081" s="4">
        <f t="shared" si="129"/>
        <v>1.1803956871421748</v>
      </c>
      <c r="Z2081" s="4">
        <f t="shared" si="130"/>
        <v>1.1909309637420524</v>
      </c>
      <c r="AA2081" s="4">
        <f t="shared" si="131"/>
        <v>1.0670835504886105</v>
      </c>
    </row>
    <row r="2082" spans="1:27" x14ac:dyDescent="0.3">
      <c r="A2082" t="s">
        <v>623</v>
      </c>
      <c r="B2082">
        <v>71553</v>
      </c>
      <c r="C2082">
        <v>2017</v>
      </c>
      <c r="D2082" t="s">
        <v>125</v>
      </c>
      <c r="E2082" t="s">
        <v>306</v>
      </c>
      <c r="F2082">
        <v>4</v>
      </c>
      <c r="G2082" t="s">
        <v>22</v>
      </c>
      <c r="H2082">
        <v>4</v>
      </c>
      <c r="I2082" t="s">
        <v>23</v>
      </c>
      <c r="J2082" t="s">
        <v>24</v>
      </c>
      <c r="K2082" t="s">
        <v>27</v>
      </c>
      <c r="L2082" t="s">
        <v>60</v>
      </c>
      <c r="M2082" t="s">
        <v>23</v>
      </c>
      <c r="N2082">
        <v>2.4</v>
      </c>
      <c r="O2082" t="s">
        <v>27</v>
      </c>
      <c r="S2082" s="3">
        <v>7100</v>
      </c>
      <c r="T2082" s="2">
        <v>9530.083984375</v>
      </c>
      <c r="U2082" s="2">
        <v>9650.9632786054681</v>
      </c>
      <c r="V2082" s="2">
        <v>6900.9294758493179</v>
      </c>
      <c r="W2082" s="2">
        <v>10230.53515625</v>
      </c>
      <c r="X2082" s="4">
        <f t="shared" si="128"/>
        <v>0.74500917427808278</v>
      </c>
      <c r="Y2082" s="4">
        <f t="shared" si="129"/>
        <v>0.73567785878322467</v>
      </c>
      <c r="Z2082" s="4">
        <f t="shared" si="130"/>
        <v>1.0288469147304511</v>
      </c>
      <c r="AA2082" s="4">
        <f t="shared" si="131"/>
        <v>0.6940008407734658</v>
      </c>
    </row>
    <row r="2083" spans="1:27" x14ac:dyDescent="0.3">
      <c r="A2083" t="s">
        <v>623</v>
      </c>
      <c r="B2083">
        <v>66969</v>
      </c>
      <c r="C2083">
        <v>2021</v>
      </c>
      <c r="D2083" t="s">
        <v>44</v>
      </c>
      <c r="E2083" t="s">
        <v>117</v>
      </c>
      <c r="F2083">
        <v>4</v>
      </c>
      <c r="G2083" t="s">
        <v>30</v>
      </c>
      <c r="H2083">
        <v>4</v>
      </c>
      <c r="I2083" t="s">
        <v>23</v>
      </c>
      <c r="J2083" t="s">
        <v>62</v>
      </c>
      <c r="L2083" t="s">
        <v>128</v>
      </c>
      <c r="M2083" t="s">
        <v>23</v>
      </c>
      <c r="N2083">
        <v>4.3</v>
      </c>
      <c r="O2083" t="s">
        <v>27</v>
      </c>
      <c r="S2083" s="3">
        <v>14900</v>
      </c>
      <c r="T2083" s="2">
        <v>18741.67578125</v>
      </c>
      <c r="U2083" s="2">
        <v>20896.209175114851</v>
      </c>
      <c r="V2083" s="2">
        <v>15019.27853358291</v>
      </c>
      <c r="W2083" s="2">
        <v>18950.828125</v>
      </c>
      <c r="X2083" s="4">
        <f t="shared" si="128"/>
        <v>0.7950196222531295</v>
      </c>
      <c r="Y2083" s="4">
        <f t="shared" si="129"/>
        <v>0.71304799234802385</v>
      </c>
      <c r="Z2083" s="4">
        <f t="shared" si="130"/>
        <v>0.992058304710429</v>
      </c>
      <c r="AA2083" s="4">
        <f t="shared" si="131"/>
        <v>0.78624532404174285</v>
      </c>
    </row>
    <row r="2084" spans="1:27" x14ac:dyDescent="0.3">
      <c r="A2084" t="s">
        <v>623</v>
      </c>
      <c r="B2084">
        <v>111747</v>
      </c>
      <c r="C2084">
        <v>2002</v>
      </c>
      <c r="D2084" t="s">
        <v>28</v>
      </c>
      <c r="E2084" t="s">
        <v>310</v>
      </c>
      <c r="F2084">
        <v>4</v>
      </c>
      <c r="G2084" t="s">
        <v>30</v>
      </c>
      <c r="H2084">
        <v>4</v>
      </c>
      <c r="I2084" t="s">
        <v>23</v>
      </c>
      <c r="J2084" t="s">
        <v>31</v>
      </c>
      <c r="K2084" t="s">
        <v>27</v>
      </c>
      <c r="L2084" t="s">
        <v>205</v>
      </c>
      <c r="M2084" t="s">
        <v>33</v>
      </c>
      <c r="N2084">
        <v>2.2999999999999901</v>
      </c>
      <c r="O2084" t="s">
        <v>27</v>
      </c>
      <c r="S2084" s="3">
        <v>800</v>
      </c>
      <c r="T2084" s="2">
        <v>2214.717041015625</v>
      </c>
      <c r="U2084" s="2">
        <v>2572.8359465251201</v>
      </c>
      <c r="V2084" s="2">
        <v>985.57611307249317</v>
      </c>
      <c r="W2084" s="2">
        <v>2590.625244140625</v>
      </c>
      <c r="X2084" s="4">
        <f t="shared" si="128"/>
        <v>0.36121995956338332</v>
      </c>
      <c r="Y2084" s="4">
        <f t="shared" si="129"/>
        <v>0.31094092924210048</v>
      </c>
      <c r="Z2084" s="4">
        <f t="shared" si="130"/>
        <v>0.81170798418199563</v>
      </c>
      <c r="AA2084" s="4">
        <f t="shared" si="131"/>
        <v>0.30880576100669471</v>
      </c>
    </row>
    <row r="2085" spans="1:27" x14ac:dyDescent="0.3">
      <c r="A2085" t="s">
        <v>623</v>
      </c>
      <c r="B2085">
        <v>92977</v>
      </c>
      <c r="C2085">
        <v>2017</v>
      </c>
      <c r="D2085" t="s">
        <v>100</v>
      </c>
      <c r="E2085" t="s">
        <v>138</v>
      </c>
      <c r="F2085">
        <v>4</v>
      </c>
      <c r="G2085" t="s">
        <v>66</v>
      </c>
      <c r="H2085">
        <v>4</v>
      </c>
      <c r="I2085" t="s">
        <v>23</v>
      </c>
      <c r="J2085" t="s">
        <v>24</v>
      </c>
      <c r="K2085" t="s">
        <v>27</v>
      </c>
      <c r="L2085" t="s">
        <v>102</v>
      </c>
      <c r="M2085" t="s">
        <v>23</v>
      </c>
      <c r="N2085">
        <v>3.9</v>
      </c>
      <c r="O2085" t="s">
        <v>27</v>
      </c>
      <c r="S2085" s="3">
        <v>5600</v>
      </c>
      <c r="T2085" s="2">
        <v>7482.50048828125</v>
      </c>
      <c r="U2085" s="2">
        <v>10073.56336920473</v>
      </c>
      <c r="V2085" s="2">
        <v>11131.257718733719</v>
      </c>
      <c r="W2085" s="2">
        <v>8516.388671875</v>
      </c>
      <c r="X2085" s="4">
        <f t="shared" si="128"/>
        <v>0.74841291474293437</v>
      </c>
      <c r="Y2085" s="4">
        <f t="shared" si="129"/>
        <v>0.55591053480830976</v>
      </c>
      <c r="Z2085" s="4">
        <f t="shared" si="130"/>
        <v>0.50308780386741869</v>
      </c>
      <c r="AA2085" s="4">
        <f t="shared" si="131"/>
        <v>0.65755571002692192</v>
      </c>
    </row>
    <row r="2086" spans="1:27" x14ac:dyDescent="0.3">
      <c r="A2086" t="s">
        <v>623</v>
      </c>
      <c r="B2086">
        <v>171309</v>
      </c>
      <c r="C2086">
        <v>1998</v>
      </c>
      <c r="D2086" t="s">
        <v>34</v>
      </c>
      <c r="E2086" t="s">
        <v>116</v>
      </c>
      <c r="F2086">
        <v>4</v>
      </c>
      <c r="G2086" t="s">
        <v>66</v>
      </c>
      <c r="H2086">
        <v>4</v>
      </c>
      <c r="I2086" t="s">
        <v>23</v>
      </c>
      <c r="J2086" t="s">
        <v>31</v>
      </c>
      <c r="L2086" t="s">
        <v>427</v>
      </c>
      <c r="M2086" t="s">
        <v>33</v>
      </c>
      <c r="N2086">
        <v>2.2000000000000002</v>
      </c>
      <c r="O2086" t="s">
        <v>27</v>
      </c>
      <c r="S2086" s="3">
        <v>400</v>
      </c>
      <c r="T2086" s="2">
        <v>1056.1103515625</v>
      </c>
      <c r="U2086" s="2">
        <v>1457.119354465161</v>
      </c>
      <c r="V2086" s="2">
        <v>646.9808876433126</v>
      </c>
      <c r="W2086" s="2">
        <v>1451.829223632812</v>
      </c>
      <c r="X2086" s="4">
        <f t="shared" si="128"/>
        <v>0.37874829974747032</v>
      </c>
      <c r="Y2086" s="4">
        <f t="shared" si="129"/>
        <v>0.27451423164083971</v>
      </c>
      <c r="Z2086" s="4">
        <f t="shared" si="130"/>
        <v>0.61825628490671003</v>
      </c>
      <c r="AA2086" s="4">
        <f t="shared" si="131"/>
        <v>0.27551449818533591</v>
      </c>
    </row>
    <row r="2087" spans="1:27" x14ac:dyDescent="0.3">
      <c r="A2087" t="s">
        <v>623</v>
      </c>
      <c r="B2087">
        <v>147396</v>
      </c>
      <c r="C2087">
        <v>2003</v>
      </c>
      <c r="D2087" t="s">
        <v>454</v>
      </c>
      <c r="E2087" t="s">
        <v>642</v>
      </c>
      <c r="F2087">
        <v>6</v>
      </c>
      <c r="G2087" t="s">
        <v>66</v>
      </c>
      <c r="H2087">
        <v>4</v>
      </c>
      <c r="I2087" t="s">
        <v>23</v>
      </c>
      <c r="J2087" t="s">
        <v>31</v>
      </c>
      <c r="L2087" t="s">
        <v>380</v>
      </c>
      <c r="M2087" t="s">
        <v>33</v>
      </c>
      <c r="N2087">
        <v>2.2000000000000002</v>
      </c>
      <c r="O2087" t="s">
        <v>27</v>
      </c>
      <c r="S2087" s="3">
        <v>350</v>
      </c>
      <c r="T2087" s="2">
        <v>877.86895751953125</v>
      </c>
      <c r="U2087" s="2">
        <v>707.84566269897732</v>
      </c>
      <c r="V2087" s="2">
        <v>290.17843705420819</v>
      </c>
      <c r="W2087" s="2">
        <v>1230.824951171875</v>
      </c>
      <c r="X2087" s="4">
        <f t="shared" si="128"/>
        <v>0.39869276274325149</v>
      </c>
      <c r="Y2087" s="4">
        <f t="shared" si="129"/>
        <v>0.49445806966658368</v>
      </c>
      <c r="Z2087" s="4">
        <f t="shared" si="130"/>
        <v>1.2061544046934698</v>
      </c>
      <c r="AA2087" s="4">
        <f t="shared" si="131"/>
        <v>0.28436212612261647</v>
      </c>
    </row>
    <row r="2088" spans="1:27" x14ac:dyDescent="0.3">
      <c r="A2088" t="s">
        <v>623</v>
      </c>
      <c r="B2088">
        <v>219521</v>
      </c>
      <c r="C2088">
        <v>2010</v>
      </c>
      <c r="D2088" t="s">
        <v>159</v>
      </c>
      <c r="E2088" t="s">
        <v>643</v>
      </c>
      <c r="F2088">
        <v>6</v>
      </c>
      <c r="G2088" t="s">
        <v>36</v>
      </c>
      <c r="H2088">
        <v>4</v>
      </c>
      <c r="I2088" t="s">
        <v>23</v>
      </c>
      <c r="J2088" t="s">
        <v>31</v>
      </c>
      <c r="K2088" t="s">
        <v>27</v>
      </c>
      <c r="L2088" t="s">
        <v>57</v>
      </c>
      <c r="M2088" t="s">
        <v>33</v>
      </c>
      <c r="N2088">
        <v>2.4</v>
      </c>
      <c r="O2088" t="s">
        <v>27</v>
      </c>
      <c r="S2088" s="3">
        <v>500</v>
      </c>
      <c r="T2088" s="2">
        <v>1113.03125</v>
      </c>
      <c r="U2088" s="2">
        <v>698.48678070550159</v>
      </c>
      <c r="V2088" s="2">
        <v>792.47989622451132</v>
      </c>
      <c r="W2088" s="2">
        <v>1446.365844726562</v>
      </c>
      <c r="X2088" s="4">
        <f t="shared" si="128"/>
        <v>0.44922368531880841</v>
      </c>
      <c r="Y2088" s="4">
        <f t="shared" si="129"/>
        <v>0.71583316078649128</v>
      </c>
      <c r="Z2088" s="4">
        <f t="shared" si="130"/>
        <v>0.63093083166156294</v>
      </c>
      <c r="AA2088" s="4">
        <f t="shared" si="131"/>
        <v>0.34569400392231042</v>
      </c>
    </row>
    <row r="2089" spans="1:27" x14ac:dyDescent="0.3">
      <c r="A2089" t="s">
        <v>623</v>
      </c>
      <c r="B2089">
        <v>245705</v>
      </c>
      <c r="C2089">
        <v>2006</v>
      </c>
      <c r="D2089" t="s">
        <v>28</v>
      </c>
      <c r="E2089" t="s">
        <v>355</v>
      </c>
      <c r="F2089">
        <v>4</v>
      </c>
      <c r="G2089" t="s">
        <v>30</v>
      </c>
      <c r="H2089">
        <v>2</v>
      </c>
      <c r="I2089" t="s">
        <v>233</v>
      </c>
      <c r="J2089" t="s">
        <v>83</v>
      </c>
      <c r="K2089" t="s">
        <v>27</v>
      </c>
      <c r="L2089" t="s">
        <v>32</v>
      </c>
      <c r="M2089" t="s">
        <v>33</v>
      </c>
      <c r="N2089">
        <v>2.9</v>
      </c>
      <c r="O2089" t="s">
        <v>27</v>
      </c>
      <c r="S2089" s="3">
        <v>600</v>
      </c>
      <c r="T2089" s="2">
        <v>895.62298583984375</v>
      </c>
      <c r="U2089" s="2">
        <v>1387.505160243478</v>
      </c>
      <c r="V2089" s="2">
        <v>1220.24740406827</v>
      </c>
      <c r="W2089" s="2">
        <v>1269.113403320312</v>
      </c>
      <c r="X2089" s="4">
        <f t="shared" si="128"/>
        <v>0.66992474454791695</v>
      </c>
      <c r="Y2089" s="4">
        <f t="shared" si="129"/>
        <v>0.43243082418137646</v>
      </c>
      <c r="Z2089" s="4">
        <f t="shared" si="130"/>
        <v>0.49170356601425014</v>
      </c>
      <c r="AA2089" s="4">
        <f t="shared" si="131"/>
        <v>0.4727709899133149</v>
      </c>
    </row>
    <row r="2090" spans="1:27" x14ac:dyDescent="0.3">
      <c r="A2090" t="s">
        <v>623</v>
      </c>
      <c r="B2090">
        <v>112644</v>
      </c>
      <c r="C2090">
        <v>2010</v>
      </c>
      <c r="D2090" t="s">
        <v>239</v>
      </c>
      <c r="E2090" t="s">
        <v>365</v>
      </c>
      <c r="F2090">
        <v>6</v>
      </c>
      <c r="G2090" t="s">
        <v>22</v>
      </c>
      <c r="H2090">
        <v>2</v>
      </c>
      <c r="I2090" t="s">
        <v>23</v>
      </c>
      <c r="J2090" t="s">
        <v>83</v>
      </c>
      <c r="L2090" t="s">
        <v>218</v>
      </c>
      <c r="M2090" t="s">
        <v>23</v>
      </c>
      <c r="N2090">
        <v>3</v>
      </c>
      <c r="O2090" t="s">
        <v>27</v>
      </c>
      <c r="S2090" s="3">
        <v>3400</v>
      </c>
      <c r="T2090" s="2">
        <v>4922.93701171875</v>
      </c>
      <c r="U2090" s="2">
        <v>4244.8862422057864</v>
      </c>
      <c r="V2090" s="2">
        <v>4502.6497552919527</v>
      </c>
      <c r="W2090" s="2">
        <v>5288.22900390625</v>
      </c>
      <c r="X2090" s="4">
        <f t="shared" si="128"/>
        <v>0.69064462777128943</v>
      </c>
      <c r="Y2090" s="4">
        <f t="shared" si="129"/>
        <v>0.8009637493214059</v>
      </c>
      <c r="Z2090" s="4">
        <f t="shared" si="130"/>
        <v>0.75511092018738268</v>
      </c>
      <c r="AA2090" s="4">
        <f t="shared" si="131"/>
        <v>0.64293736097444454</v>
      </c>
    </row>
    <row r="2091" spans="1:27" x14ac:dyDescent="0.3">
      <c r="A2091" t="s">
        <v>623</v>
      </c>
      <c r="B2091">
        <v>146968</v>
      </c>
      <c r="C2091">
        <v>2009</v>
      </c>
      <c r="D2091" t="s">
        <v>396</v>
      </c>
      <c r="E2091" t="s">
        <v>428</v>
      </c>
      <c r="F2091">
        <v>6</v>
      </c>
      <c r="G2091" t="s">
        <v>47</v>
      </c>
      <c r="H2091">
        <v>4</v>
      </c>
      <c r="I2091" t="s">
        <v>23</v>
      </c>
      <c r="J2091" t="s">
        <v>31</v>
      </c>
      <c r="K2091" t="s">
        <v>27</v>
      </c>
      <c r="L2091" t="s">
        <v>53</v>
      </c>
      <c r="M2091" t="s">
        <v>33</v>
      </c>
      <c r="N2091">
        <v>2.2999999999999901</v>
      </c>
      <c r="O2091" t="s">
        <v>199</v>
      </c>
      <c r="S2091" s="3">
        <v>800</v>
      </c>
      <c r="T2091" s="2">
        <v>-3637.384521484375</v>
      </c>
      <c r="U2091" s="2">
        <v>1995.324830045392</v>
      </c>
      <c r="V2091" s="2">
        <v>1177.524774517105</v>
      </c>
      <c r="W2091" s="2">
        <v>1645.307983398438</v>
      </c>
      <c r="X2091" s="4">
        <f t="shared" si="128"/>
        <v>-0.21993825378503815</v>
      </c>
      <c r="Y2091" s="4">
        <f t="shared" si="129"/>
        <v>0.40093722483361299</v>
      </c>
      <c r="Z2091" s="4">
        <f t="shared" si="130"/>
        <v>0.67939122582628853</v>
      </c>
      <c r="AA2091" s="4">
        <f t="shared" si="131"/>
        <v>0.48623115433231751</v>
      </c>
    </row>
    <row r="2092" spans="1:27" x14ac:dyDescent="0.3">
      <c r="A2092" t="s">
        <v>623</v>
      </c>
      <c r="B2092">
        <v>150827</v>
      </c>
      <c r="C2092">
        <v>2006</v>
      </c>
      <c r="D2092" t="s">
        <v>44</v>
      </c>
      <c r="E2092" t="s">
        <v>117</v>
      </c>
      <c r="F2092">
        <v>4</v>
      </c>
      <c r="G2092" t="s">
        <v>22</v>
      </c>
      <c r="H2092">
        <v>4</v>
      </c>
      <c r="I2092" t="s">
        <v>23</v>
      </c>
      <c r="J2092" t="s">
        <v>24</v>
      </c>
      <c r="K2092" t="s">
        <v>27</v>
      </c>
      <c r="L2092" t="s">
        <v>205</v>
      </c>
      <c r="M2092">
        <v>4</v>
      </c>
      <c r="N2092">
        <v>3.3</v>
      </c>
      <c r="O2092" t="s">
        <v>27</v>
      </c>
      <c r="S2092" s="3">
        <v>1100</v>
      </c>
      <c r="T2092" s="2">
        <v>1511.206787109375</v>
      </c>
      <c r="U2092" s="2">
        <v>1215.9077248097931</v>
      </c>
      <c r="V2092" s="2">
        <v>565.61401991868479</v>
      </c>
      <c r="W2092" s="2">
        <v>1287.347900390625</v>
      </c>
      <c r="X2092" s="4">
        <f t="shared" si="128"/>
        <v>0.72789508979381423</v>
      </c>
      <c r="Y2092" s="4">
        <f t="shared" si="129"/>
        <v>0.90467391361632743</v>
      </c>
      <c r="Z2092" s="4">
        <f t="shared" si="130"/>
        <v>1.9447891340425771</v>
      </c>
      <c r="AA2092" s="4">
        <f t="shared" si="131"/>
        <v>0.85446987536642016</v>
      </c>
    </row>
    <row r="2093" spans="1:27" x14ac:dyDescent="0.3">
      <c r="A2093" t="s">
        <v>623</v>
      </c>
      <c r="B2093">
        <v>131398</v>
      </c>
      <c r="C2093">
        <v>2010</v>
      </c>
      <c r="D2093" t="s">
        <v>44</v>
      </c>
      <c r="E2093" t="s">
        <v>210</v>
      </c>
      <c r="F2093">
        <v>4</v>
      </c>
      <c r="G2093" t="s">
        <v>22</v>
      </c>
      <c r="H2093">
        <v>4</v>
      </c>
      <c r="I2093" t="s">
        <v>23</v>
      </c>
      <c r="J2093" t="s">
        <v>31</v>
      </c>
      <c r="K2093" t="s">
        <v>27</v>
      </c>
      <c r="L2093" t="s">
        <v>102</v>
      </c>
      <c r="M2093" t="s">
        <v>33</v>
      </c>
      <c r="N2093">
        <v>3.3</v>
      </c>
      <c r="O2093" t="s">
        <v>27</v>
      </c>
      <c r="S2093" s="3">
        <v>1800</v>
      </c>
      <c r="T2093" s="2">
        <v>2932.01611328125</v>
      </c>
      <c r="U2093" s="2">
        <v>2563.4914385544889</v>
      </c>
      <c r="V2093" s="2">
        <v>2387.425671034176</v>
      </c>
      <c r="W2093" s="2">
        <v>3052.902587890625</v>
      </c>
      <c r="X2093" s="4">
        <f t="shared" si="128"/>
        <v>0.61391204224508888</v>
      </c>
      <c r="Y2093" s="4">
        <f t="shared" si="129"/>
        <v>0.70216735383949269</v>
      </c>
      <c r="Z2093" s="4">
        <f t="shared" si="130"/>
        <v>0.75395017396302133</v>
      </c>
      <c r="AA2093" s="4">
        <f t="shared" si="131"/>
        <v>0.58960282818709042</v>
      </c>
    </row>
    <row r="2094" spans="1:27" x14ac:dyDescent="0.3">
      <c r="A2094" t="s">
        <v>623</v>
      </c>
      <c r="B2094">
        <v>123038</v>
      </c>
      <c r="C2094">
        <v>2015</v>
      </c>
      <c r="D2094" t="s">
        <v>40</v>
      </c>
      <c r="E2094" t="s">
        <v>136</v>
      </c>
      <c r="F2094">
        <v>4</v>
      </c>
      <c r="G2094" t="s">
        <v>22</v>
      </c>
      <c r="H2094">
        <v>4</v>
      </c>
      <c r="I2094" t="s">
        <v>23</v>
      </c>
      <c r="J2094" t="s">
        <v>31</v>
      </c>
      <c r="K2094" t="s">
        <v>27</v>
      </c>
      <c r="L2094" t="s">
        <v>73</v>
      </c>
      <c r="M2094" t="s">
        <v>33</v>
      </c>
      <c r="N2094">
        <v>3.2</v>
      </c>
      <c r="O2094" t="s">
        <v>27</v>
      </c>
      <c r="S2094" s="3">
        <v>2900</v>
      </c>
      <c r="T2094" s="2">
        <v>4297.97998046875</v>
      </c>
      <c r="U2094" s="2">
        <v>4813.272889777335</v>
      </c>
      <c r="V2094" s="2">
        <v>3674.0581921175458</v>
      </c>
      <c r="W2094" s="2">
        <v>4192.8330078125</v>
      </c>
      <c r="X2094" s="4">
        <f t="shared" si="128"/>
        <v>0.67473557652162863</v>
      </c>
      <c r="Y2094" s="4">
        <f t="shared" si="129"/>
        <v>0.60250064070939391</v>
      </c>
      <c r="Z2094" s="4">
        <f t="shared" si="130"/>
        <v>0.78931792812148771</v>
      </c>
      <c r="AA2094" s="4">
        <f t="shared" si="131"/>
        <v>0.69165645152011401</v>
      </c>
    </row>
    <row r="2095" spans="1:27" x14ac:dyDescent="0.3">
      <c r="A2095" t="s">
        <v>623</v>
      </c>
      <c r="B2095">
        <v>143774</v>
      </c>
      <c r="C2095">
        <v>2009</v>
      </c>
      <c r="D2095" t="s">
        <v>103</v>
      </c>
      <c r="E2095" t="s">
        <v>514</v>
      </c>
      <c r="F2095">
        <v>6</v>
      </c>
      <c r="G2095" t="s">
        <v>59</v>
      </c>
      <c r="H2095">
        <v>4</v>
      </c>
      <c r="I2095" t="s">
        <v>23</v>
      </c>
      <c r="J2095" t="s">
        <v>31</v>
      </c>
      <c r="L2095" t="s">
        <v>57</v>
      </c>
      <c r="M2095" t="s">
        <v>23</v>
      </c>
      <c r="N2095">
        <v>3</v>
      </c>
      <c r="O2095" t="s">
        <v>27</v>
      </c>
      <c r="S2095" s="3">
        <v>2200</v>
      </c>
      <c r="T2095" s="2">
        <v>3329.35302734375</v>
      </c>
      <c r="U2095" s="2">
        <v>2927.3661725433381</v>
      </c>
      <c r="V2095" s="2">
        <v>2847.2995575282412</v>
      </c>
      <c r="W2095" s="2">
        <v>3216.315673828125</v>
      </c>
      <c r="X2095" s="4">
        <f t="shared" si="128"/>
        <v>0.66078904277544304</v>
      </c>
      <c r="Y2095" s="4">
        <f t="shared" si="129"/>
        <v>0.75152880450504356</v>
      </c>
      <c r="Z2095" s="4">
        <f t="shared" si="130"/>
        <v>0.77266194004182476</v>
      </c>
      <c r="AA2095" s="4">
        <f t="shared" si="131"/>
        <v>0.68401246118404624</v>
      </c>
    </row>
    <row r="2096" spans="1:27" x14ac:dyDescent="0.3">
      <c r="A2096" t="s">
        <v>623</v>
      </c>
      <c r="B2096">
        <v>122818</v>
      </c>
      <c r="C2096">
        <v>2013</v>
      </c>
      <c r="D2096" t="s">
        <v>40</v>
      </c>
      <c r="E2096" t="s">
        <v>229</v>
      </c>
      <c r="F2096">
        <v>4</v>
      </c>
      <c r="G2096" t="s">
        <v>22</v>
      </c>
      <c r="H2096">
        <v>4</v>
      </c>
      <c r="I2096" t="s">
        <v>23</v>
      </c>
      <c r="J2096" t="s">
        <v>31</v>
      </c>
      <c r="K2096" t="s">
        <v>27</v>
      </c>
      <c r="L2096" t="s">
        <v>102</v>
      </c>
      <c r="M2096" t="s">
        <v>33</v>
      </c>
      <c r="N2096">
        <v>3.3</v>
      </c>
      <c r="O2096" t="s">
        <v>27</v>
      </c>
      <c r="S2096" s="3">
        <v>2600</v>
      </c>
      <c r="T2096" s="2">
        <v>4501.041015625</v>
      </c>
      <c r="U2096" s="2">
        <v>4111.7272930610816</v>
      </c>
      <c r="V2096" s="2">
        <v>3644.3975430911119</v>
      </c>
      <c r="W2096" s="2">
        <v>4307.69091796875</v>
      </c>
      <c r="X2096" s="4">
        <f t="shared" si="128"/>
        <v>0.57764414742596437</v>
      </c>
      <c r="Y2096" s="4">
        <f t="shared" si="129"/>
        <v>0.63233765633915928</v>
      </c>
      <c r="Z2096" s="4">
        <f t="shared" si="130"/>
        <v>0.71342381539274313</v>
      </c>
      <c r="AA2096" s="4">
        <f t="shared" si="131"/>
        <v>0.60357162329232406</v>
      </c>
    </row>
    <row r="2097" spans="1:27" x14ac:dyDescent="0.3">
      <c r="A2097" t="s">
        <v>135</v>
      </c>
      <c r="B2097">
        <v>31700</v>
      </c>
      <c r="C2097">
        <v>2023</v>
      </c>
      <c r="D2097" t="s">
        <v>40</v>
      </c>
      <c r="E2097" t="s">
        <v>146</v>
      </c>
      <c r="F2097">
        <v>8</v>
      </c>
      <c r="G2097" t="s">
        <v>47</v>
      </c>
      <c r="H2097">
        <v>4</v>
      </c>
      <c r="I2097" t="s">
        <v>23</v>
      </c>
      <c r="J2097" t="s">
        <v>24</v>
      </c>
      <c r="K2097" t="s">
        <v>27</v>
      </c>
      <c r="L2097" t="s">
        <v>43</v>
      </c>
      <c r="M2097">
        <v>4</v>
      </c>
      <c r="N2097">
        <v>3.3</v>
      </c>
      <c r="O2097" t="s">
        <v>27</v>
      </c>
      <c r="S2097" s="3">
        <v>44000</v>
      </c>
      <c r="T2097" s="2">
        <v>66605.875</v>
      </c>
      <c r="U2097" s="2">
        <v>75521.046681992695</v>
      </c>
      <c r="V2097" s="2">
        <v>55944.437888405642</v>
      </c>
      <c r="W2097" s="2">
        <v>93241.7734375</v>
      </c>
      <c r="X2097" s="4">
        <f t="shared" si="128"/>
        <v>0.66060238680146455</v>
      </c>
      <c r="Y2097" s="4">
        <f t="shared" si="129"/>
        <v>0.58261904373858997</v>
      </c>
      <c r="Z2097" s="4">
        <f t="shared" si="130"/>
        <v>0.78649463040040479</v>
      </c>
      <c r="AA2097" s="4">
        <f t="shared" si="131"/>
        <v>0.471891496459934</v>
      </c>
    </row>
    <row r="2098" spans="1:27" x14ac:dyDescent="0.3">
      <c r="A2098" t="s">
        <v>135</v>
      </c>
      <c r="B2098">
        <v>101006</v>
      </c>
      <c r="C2098">
        <v>2015</v>
      </c>
      <c r="D2098" t="s">
        <v>125</v>
      </c>
      <c r="E2098" t="s">
        <v>126</v>
      </c>
      <c r="F2098">
        <v>4</v>
      </c>
      <c r="G2098" t="s">
        <v>47</v>
      </c>
      <c r="H2098">
        <v>4</v>
      </c>
      <c r="I2098" t="s">
        <v>23</v>
      </c>
      <c r="J2098" t="s">
        <v>31</v>
      </c>
      <c r="K2098" t="s">
        <v>27</v>
      </c>
      <c r="L2098" t="s">
        <v>127</v>
      </c>
      <c r="M2098" t="s">
        <v>33</v>
      </c>
      <c r="N2098">
        <v>3.7</v>
      </c>
      <c r="O2098" t="s">
        <v>27</v>
      </c>
      <c r="S2098" s="3">
        <v>3750</v>
      </c>
      <c r="T2098" s="2">
        <v>6271.50048828125</v>
      </c>
      <c r="U2098" s="2">
        <v>8137.8438946694696</v>
      </c>
      <c r="V2098" s="2">
        <v>7118.5901795971231</v>
      </c>
      <c r="W2098" s="2">
        <v>8409.19140625</v>
      </c>
      <c r="X2098" s="4">
        <f t="shared" si="128"/>
        <v>0.59794302926502918</v>
      </c>
      <c r="Y2098" s="4">
        <f t="shared" si="129"/>
        <v>0.46081001903420166</v>
      </c>
      <c r="Z2098" s="4">
        <f t="shared" si="130"/>
        <v>0.5267897020884873</v>
      </c>
      <c r="AA2098" s="4">
        <f t="shared" si="131"/>
        <v>0.44594061650361189</v>
      </c>
    </row>
    <row r="2099" spans="1:27" x14ac:dyDescent="0.3">
      <c r="A2099" t="s">
        <v>135</v>
      </c>
      <c r="B2099">
        <v>134466</v>
      </c>
      <c r="C2099">
        <v>2018</v>
      </c>
      <c r="D2099" t="s">
        <v>44</v>
      </c>
      <c r="E2099" t="s">
        <v>267</v>
      </c>
      <c r="F2099">
        <v>8</v>
      </c>
      <c r="G2099" t="s">
        <v>47</v>
      </c>
      <c r="H2099">
        <v>4</v>
      </c>
      <c r="I2099" t="s">
        <v>23</v>
      </c>
      <c r="J2099" t="s">
        <v>46</v>
      </c>
      <c r="K2099" t="s">
        <v>27</v>
      </c>
      <c r="L2099" t="s">
        <v>140</v>
      </c>
      <c r="M2099">
        <v>4</v>
      </c>
      <c r="N2099">
        <v>1.3</v>
      </c>
      <c r="O2099" t="s">
        <v>27</v>
      </c>
      <c r="S2099" s="3">
        <v>15500</v>
      </c>
      <c r="T2099" s="2">
        <v>11924.4912109375</v>
      </c>
      <c r="U2099" s="2">
        <v>20180.94716678964</v>
      </c>
      <c r="V2099" s="2">
        <v>17340.809853539009</v>
      </c>
      <c r="W2099" s="2">
        <v>13138.666015625</v>
      </c>
      <c r="X2099" s="4">
        <f t="shared" si="128"/>
        <v>1.2998458152900425</v>
      </c>
      <c r="Y2099" s="4">
        <f t="shared" si="129"/>
        <v>0.76805116587923361</v>
      </c>
      <c r="Z2099" s="4">
        <f t="shared" si="130"/>
        <v>0.89384522008565093</v>
      </c>
      <c r="AA2099" s="4">
        <f t="shared" si="131"/>
        <v>1.1797240284186243</v>
      </c>
    </row>
    <row r="2100" spans="1:27" x14ac:dyDescent="0.3">
      <c r="A2100" t="s">
        <v>135</v>
      </c>
      <c r="B2100">
        <v>41979</v>
      </c>
      <c r="C2100">
        <v>2013</v>
      </c>
      <c r="D2100" t="s">
        <v>20</v>
      </c>
      <c r="E2100" t="s">
        <v>151</v>
      </c>
      <c r="F2100">
        <v>8</v>
      </c>
      <c r="G2100" t="s">
        <v>30</v>
      </c>
      <c r="H2100">
        <v>2</v>
      </c>
      <c r="I2100" t="s">
        <v>23</v>
      </c>
      <c r="J2100" t="s">
        <v>49</v>
      </c>
      <c r="K2100" t="s">
        <v>27</v>
      </c>
      <c r="L2100" t="s">
        <v>43</v>
      </c>
      <c r="M2100">
        <v>4</v>
      </c>
      <c r="N2100">
        <v>2.6</v>
      </c>
      <c r="O2100" t="s">
        <v>27</v>
      </c>
      <c r="S2100" s="3">
        <v>13750</v>
      </c>
      <c r="T2100" s="2">
        <v>22235.1484375</v>
      </c>
      <c r="U2100" s="2">
        <v>18502.14771960313</v>
      </c>
      <c r="V2100" s="2">
        <v>18510.83044963473</v>
      </c>
      <c r="W2100" s="2">
        <v>17506.8203125</v>
      </c>
      <c r="X2100" s="4">
        <f t="shared" si="128"/>
        <v>0.61839029492649411</v>
      </c>
      <c r="Y2100" s="4">
        <f t="shared" si="129"/>
        <v>0.74315696795739006</v>
      </c>
      <c r="Z2100" s="4">
        <f t="shared" si="130"/>
        <v>0.742808381148093</v>
      </c>
      <c r="AA2100" s="4">
        <f t="shared" si="131"/>
        <v>0.78540818689858816</v>
      </c>
    </row>
    <row r="2101" spans="1:27" x14ac:dyDescent="0.3">
      <c r="A2101" t="s">
        <v>135</v>
      </c>
      <c r="B2101">
        <v>89739</v>
      </c>
      <c r="C2101">
        <v>2014</v>
      </c>
      <c r="D2101" t="s">
        <v>44</v>
      </c>
      <c r="E2101" t="s">
        <v>45</v>
      </c>
      <c r="F2101">
        <v>6</v>
      </c>
      <c r="G2101" t="s">
        <v>47</v>
      </c>
      <c r="H2101">
        <v>4</v>
      </c>
      <c r="I2101" t="s">
        <v>23</v>
      </c>
      <c r="J2101" t="s">
        <v>156</v>
      </c>
      <c r="K2101" t="s">
        <v>27</v>
      </c>
      <c r="L2101" t="s">
        <v>198</v>
      </c>
      <c r="M2101" t="s">
        <v>78</v>
      </c>
      <c r="N2101">
        <v>3</v>
      </c>
      <c r="O2101" t="s">
        <v>27</v>
      </c>
      <c r="S2101" s="3">
        <v>10250</v>
      </c>
      <c r="T2101" s="2">
        <v>11801.841796875</v>
      </c>
      <c r="U2101" s="2">
        <v>10818.93464651509</v>
      </c>
      <c r="V2101" s="2">
        <v>8474.8671064450737</v>
      </c>
      <c r="W2101" s="2">
        <v>10694.591796875</v>
      </c>
      <c r="X2101" s="4">
        <f t="shared" si="128"/>
        <v>0.86850850709709471</v>
      </c>
      <c r="Y2101" s="4">
        <f t="shared" si="129"/>
        <v>0.94741306190454244</v>
      </c>
      <c r="Z2101" s="4">
        <f t="shared" si="130"/>
        <v>1.2094584931255088</v>
      </c>
      <c r="AA2101" s="4">
        <f t="shared" si="131"/>
        <v>0.95842835282362893</v>
      </c>
    </row>
    <row r="2102" spans="1:27" x14ac:dyDescent="0.3">
      <c r="A2102" t="s">
        <v>135</v>
      </c>
      <c r="B2102">
        <v>151986</v>
      </c>
      <c r="C2102">
        <v>2019</v>
      </c>
      <c r="D2102" t="s">
        <v>74</v>
      </c>
      <c r="E2102" t="s">
        <v>93</v>
      </c>
      <c r="F2102">
        <v>8</v>
      </c>
      <c r="G2102" t="s">
        <v>47</v>
      </c>
      <c r="H2102">
        <v>4</v>
      </c>
      <c r="I2102" t="s">
        <v>23</v>
      </c>
      <c r="J2102" t="s">
        <v>42</v>
      </c>
      <c r="L2102" t="s">
        <v>84</v>
      </c>
      <c r="M2102" t="s">
        <v>78</v>
      </c>
      <c r="N2102">
        <v>2.2999999999999901</v>
      </c>
      <c r="O2102" t="s">
        <v>27</v>
      </c>
      <c r="S2102" s="3">
        <v>11000</v>
      </c>
      <c r="T2102" s="2">
        <v>8201.1337890625</v>
      </c>
      <c r="U2102" s="2">
        <v>8488.2806284420167</v>
      </c>
      <c r="V2102" s="2">
        <v>7365.2656844374342</v>
      </c>
      <c r="W2102" s="2">
        <v>8124.73681640625</v>
      </c>
      <c r="X2102" s="4">
        <f t="shared" si="128"/>
        <v>1.341277960209627</v>
      </c>
      <c r="Y2102" s="4">
        <f t="shared" si="129"/>
        <v>1.2959043746906607</v>
      </c>
      <c r="Z2102" s="4">
        <f t="shared" si="130"/>
        <v>1.493496700769755</v>
      </c>
      <c r="AA2102" s="4">
        <f t="shared" si="131"/>
        <v>1.3538900088169923</v>
      </c>
    </row>
    <row r="2103" spans="1:27" x14ac:dyDescent="0.3">
      <c r="A2103" t="s">
        <v>135</v>
      </c>
      <c r="B2103">
        <v>53477</v>
      </c>
      <c r="C2103">
        <v>2017</v>
      </c>
      <c r="D2103" t="s">
        <v>100</v>
      </c>
      <c r="E2103" t="s">
        <v>192</v>
      </c>
      <c r="F2103">
        <v>4</v>
      </c>
      <c r="G2103" t="s">
        <v>66</v>
      </c>
      <c r="H2103">
        <v>4</v>
      </c>
      <c r="I2103" t="s">
        <v>23</v>
      </c>
      <c r="J2103" t="s">
        <v>31</v>
      </c>
      <c r="K2103" t="s">
        <v>27</v>
      </c>
      <c r="L2103" t="s">
        <v>32</v>
      </c>
      <c r="M2103" t="s">
        <v>33</v>
      </c>
      <c r="N2103">
        <v>1.6</v>
      </c>
      <c r="O2103" t="s">
        <v>27</v>
      </c>
      <c r="S2103" s="3">
        <v>3000</v>
      </c>
      <c r="T2103" s="2">
        <v>5603.62451171875</v>
      </c>
      <c r="U2103" s="2">
        <v>6414.225393636043</v>
      </c>
      <c r="V2103" s="2">
        <v>8725.2933182433226</v>
      </c>
      <c r="W2103" s="2">
        <v>6574.24755859375</v>
      </c>
      <c r="X2103" s="4">
        <f t="shared" si="128"/>
        <v>0.53536777736019947</v>
      </c>
      <c r="Y2103" s="4">
        <f t="shared" si="129"/>
        <v>0.46771041176327993</v>
      </c>
      <c r="Z2103" s="4">
        <f t="shared" si="130"/>
        <v>0.3438279826911303</v>
      </c>
      <c r="AA2103" s="4">
        <f t="shared" si="131"/>
        <v>0.45632598609379238</v>
      </c>
    </row>
    <row r="2104" spans="1:27" x14ac:dyDescent="0.3">
      <c r="A2104" t="s">
        <v>135</v>
      </c>
      <c r="B2104">
        <v>150697</v>
      </c>
      <c r="C2104">
        <v>2015</v>
      </c>
      <c r="D2104" t="s">
        <v>40</v>
      </c>
      <c r="E2104" t="s">
        <v>214</v>
      </c>
      <c r="F2104">
        <v>8</v>
      </c>
      <c r="G2104" t="s">
        <v>30</v>
      </c>
      <c r="H2104">
        <v>4</v>
      </c>
      <c r="I2104" t="s">
        <v>23</v>
      </c>
      <c r="J2104" t="s">
        <v>24</v>
      </c>
      <c r="K2104" t="s">
        <v>27</v>
      </c>
      <c r="L2104" t="s">
        <v>43</v>
      </c>
      <c r="M2104">
        <v>4</v>
      </c>
      <c r="N2104">
        <v>2.8</v>
      </c>
      <c r="O2104" t="s">
        <v>27</v>
      </c>
      <c r="S2104" s="3">
        <v>10000</v>
      </c>
      <c r="T2104" s="2">
        <v>9285.9775390625</v>
      </c>
      <c r="U2104" s="2">
        <v>19062.760701453441</v>
      </c>
      <c r="V2104" s="2">
        <v>13720.973216715191</v>
      </c>
      <c r="W2104" s="2">
        <v>12344.361328125</v>
      </c>
      <c r="X2104" s="4">
        <f t="shared" si="128"/>
        <v>1.0768925466310773</v>
      </c>
      <c r="Y2104" s="4">
        <f t="shared" si="129"/>
        <v>0.52458298966306327</v>
      </c>
      <c r="Z2104" s="4">
        <f t="shared" si="130"/>
        <v>0.7288112761431369</v>
      </c>
      <c r="AA2104" s="4">
        <f t="shared" si="131"/>
        <v>0.81008646249006977</v>
      </c>
    </row>
    <row r="2105" spans="1:27" x14ac:dyDescent="0.3">
      <c r="A2105" t="s">
        <v>135</v>
      </c>
      <c r="B2105">
        <v>153167</v>
      </c>
      <c r="C2105">
        <v>2018</v>
      </c>
      <c r="D2105" t="s">
        <v>20</v>
      </c>
      <c r="E2105" t="s">
        <v>390</v>
      </c>
      <c r="F2105">
        <v>8</v>
      </c>
      <c r="G2105" t="s">
        <v>59</v>
      </c>
      <c r="H2105">
        <v>4</v>
      </c>
      <c r="I2105" t="s">
        <v>23</v>
      </c>
      <c r="J2105" t="s">
        <v>24</v>
      </c>
      <c r="K2105" t="s">
        <v>27</v>
      </c>
      <c r="L2105" t="s">
        <v>43</v>
      </c>
      <c r="M2105" t="s">
        <v>78</v>
      </c>
      <c r="N2105">
        <v>0</v>
      </c>
      <c r="O2105" t="s">
        <v>27</v>
      </c>
      <c r="S2105" s="3">
        <v>14800</v>
      </c>
      <c r="T2105" s="2">
        <v>16407.5625</v>
      </c>
      <c r="U2105" s="2">
        <v>15169.828078251219</v>
      </c>
      <c r="V2105" s="2">
        <v>13606.75306293591</v>
      </c>
      <c r="W2105" s="2">
        <v>18825.7109375</v>
      </c>
      <c r="X2105" s="4">
        <f t="shared" si="128"/>
        <v>0.90202307624913813</v>
      </c>
      <c r="Y2105" s="4">
        <f t="shared" si="129"/>
        <v>0.97562081281715796</v>
      </c>
      <c r="Z2105" s="4">
        <f t="shared" si="130"/>
        <v>1.087695200430618</v>
      </c>
      <c r="AA2105" s="4">
        <f t="shared" si="131"/>
        <v>0.78615888925177546</v>
      </c>
    </row>
    <row r="2106" spans="1:27" x14ac:dyDescent="0.3">
      <c r="A2106" t="s">
        <v>135</v>
      </c>
      <c r="B2106">
        <v>83500</v>
      </c>
      <c r="C2106">
        <v>2018</v>
      </c>
      <c r="D2106" t="s">
        <v>74</v>
      </c>
      <c r="E2106" t="s">
        <v>75</v>
      </c>
      <c r="F2106">
        <v>8</v>
      </c>
      <c r="G2106" t="s">
        <v>22</v>
      </c>
      <c r="H2106">
        <v>4</v>
      </c>
      <c r="I2106" t="s">
        <v>23</v>
      </c>
      <c r="J2106" t="s">
        <v>42</v>
      </c>
      <c r="K2106" t="s">
        <v>27</v>
      </c>
      <c r="L2106" t="s">
        <v>84</v>
      </c>
      <c r="M2106" t="s">
        <v>78</v>
      </c>
      <c r="N2106">
        <v>0</v>
      </c>
      <c r="O2106" t="s">
        <v>27</v>
      </c>
      <c r="S2106" s="3">
        <v>20500</v>
      </c>
      <c r="T2106" s="2">
        <v>21561.509765625</v>
      </c>
      <c r="U2106" s="2">
        <v>24091.71298121666</v>
      </c>
      <c r="V2106" s="2">
        <v>24117.117654573409</v>
      </c>
      <c r="W2106" s="2">
        <v>25119.62109375</v>
      </c>
      <c r="X2106" s="4">
        <f t="shared" si="128"/>
        <v>0.95076830068192442</v>
      </c>
      <c r="Y2106" s="4">
        <f t="shared" si="129"/>
        <v>0.85091500201679415</v>
      </c>
      <c r="Z2106" s="4">
        <f t="shared" si="130"/>
        <v>0.8500186586813171</v>
      </c>
      <c r="AA2106" s="4">
        <f t="shared" si="131"/>
        <v>0.81609511240201771</v>
      </c>
    </row>
    <row r="2107" spans="1:27" x14ac:dyDescent="0.3">
      <c r="A2107" t="s">
        <v>135</v>
      </c>
      <c r="B2107">
        <v>89926</v>
      </c>
      <c r="C2107">
        <v>2021</v>
      </c>
      <c r="D2107" t="s">
        <v>34</v>
      </c>
      <c r="E2107" t="s">
        <v>61</v>
      </c>
      <c r="F2107">
        <v>6</v>
      </c>
      <c r="G2107" t="s">
        <v>36</v>
      </c>
      <c r="H2107">
        <v>4</v>
      </c>
      <c r="I2107" t="s">
        <v>23</v>
      </c>
      <c r="J2107" t="s">
        <v>62</v>
      </c>
      <c r="K2107" t="s">
        <v>27</v>
      </c>
      <c r="L2107" t="s">
        <v>38</v>
      </c>
      <c r="M2107" t="s">
        <v>33</v>
      </c>
      <c r="N2107">
        <v>0</v>
      </c>
      <c r="O2107" t="s">
        <v>27</v>
      </c>
      <c r="S2107" s="3">
        <v>23000</v>
      </c>
      <c r="T2107" s="2">
        <v>21345.96875</v>
      </c>
      <c r="U2107" s="2">
        <v>20522.89710879741</v>
      </c>
      <c r="V2107" s="2">
        <v>21306.721871532471</v>
      </c>
      <c r="W2107" s="2">
        <v>22901.353515625</v>
      </c>
      <c r="X2107" s="4">
        <f t="shared" si="128"/>
        <v>1.0774868205501331</v>
      </c>
      <c r="Y2107" s="4">
        <f t="shared" si="129"/>
        <v>1.1206994742540881</v>
      </c>
      <c r="Z2107" s="4">
        <f t="shared" si="130"/>
        <v>1.079471546053731</v>
      </c>
      <c r="AA2107" s="4">
        <f t="shared" si="131"/>
        <v>1.0043074521472146</v>
      </c>
    </row>
    <row r="2108" spans="1:27" x14ac:dyDescent="0.3">
      <c r="A2108" t="s">
        <v>135</v>
      </c>
      <c r="B2108">
        <v>33010</v>
      </c>
      <c r="C2108">
        <v>2020</v>
      </c>
      <c r="D2108" t="s">
        <v>40</v>
      </c>
      <c r="E2108" t="s">
        <v>41</v>
      </c>
      <c r="F2108">
        <v>8</v>
      </c>
      <c r="G2108" t="s">
        <v>30</v>
      </c>
      <c r="H2108">
        <v>4</v>
      </c>
      <c r="I2108" t="s">
        <v>23</v>
      </c>
      <c r="J2108" t="s">
        <v>42</v>
      </c>
      <c r="K2108" t="s">
        <v>27</v>
      </c>
      <c r="L2108" t="s">
        <v>43</v>
      </c>
      <c r="M2108" t="s">
        <v>78</v>
      </c>
      <c r="N2108">
        <v>0</v>
      </c>
      <c r="O2108" t="s">
        <v>27</v>
      </c>
      <c r="S2108" s="3">
        <v>33500</v>
      </c>
      <c r="T2108" s="2">
        <v>54663.84765625</v>
      </c>
      <c r="U2108" s="2">
        <v>43958.758519591996</v>
      </c>
      <c r="V2108" s="2">
        <v>38708.348215517573</v>
      </c>
      <c r="W2108" s="2">
        <v>58443.43359375</v>
      </c>
      <c r="X2108" s="4">
        <f t="shared" si="128"/>
        <v>0.61283648034917959</v>
      </c>
      <c r="Y2108" s="4">
        <f t="shared" si="129"/>
        <v>0.76207793687051861</v>
      </c>
      <c r="Z2108" s="4">
        <f t="shared" si="130"/>
        <v>0.86544638416191499</v>
      </c>
      <c r="AA2108" s="4">
        <f t="shared" si="131"/>
        <v>0.57320383043994394</v>
      </c>
    </row>
    <row r="2109" spans="1:27" x14ac:dyDescent="0.3">
      <c r="A2109" t="s">
        <v>593</v>
      </c>
      <c r="B2109">
        <v>107201</v>
      </c>
      <c r="C2109">
        <v>2017</v>
      </c>
      <c r="D2109" t="s">
        <v>71</v>
      </c>
      <c r="E2109" t="s">
        <v>170</v>
      </c>
      <c r="F2109">
        <v>6</v>
      </c>
      <c r="G2109" t="s">
        <v>36</v>
      </c>
      <c r="H2109">
        <v>4</v>
      </c>
      <c r="I2109" t="s">
        <v>23</v>
      </c>
      <c r="J2109" t="s">
        <v>24</v>
      </c>
      <c r="K2109" t="s">
        <v>27</v>
      </c>
      <c r="L2109" t="s">
        <v>26</v>
      </c>
      <c r="M2109" t="s">
        <v>33</v>
      </c>
      <c r="N2109">
        <v>4.5999999999999899</v>
      </c>
      <c r="O2109" t="s">
        <v>27</v>
      </c>
      <c r="S2109" s="3">
        <v>9500</v>
      </c>
      <c r="T2109" s="2">
        <v>12678.8388671875</v>
      </c>
      <c r="U2109" s="2">
        <v>12418.28685975412</v>
      </c>
      <c r="V2109" s="2">
        <v>11173.31580627121</v>
      </c>
      <c r="W2109" s="2">
        <v>10992.9560546875</v>
      </c>
      <c r="X2109" s="4">
        <f t="shared" si="128"/>
        <v>0.74927996952353015</v>
      </c>
      <c r="Y2109" s="4">
        <f t="shared" si="129"/>
        <v>0.76500084973782756</v>
      </c>
      <c r="Z2109" s="4">
        <f t="shared" si="130"/>
        <v>0.85023999721443178</v>
      </c>
      <c r="AA2109" s="4">
        <f t="shared" si="131"/>
        <v>0.86418975503400752</v>
      </c>
    </row>
    <row r="2110" spans="1:27" x14ac:dyDescent="0.3">
      <c r="A2110" t="s">
        <v>595</v>
      </c>
      <c r="B2110">
        <v>73083</v>
      </c>
      <c r="C2110">
        <v>2021</v>
      </c>
      <c r="D2110" t="s">
        <v>34</v>
      </c>
      <c r="E2110" t="s">
        <v>61</v>
      </c>
      <c r="F2110">
        <v>4</v>
      </c>
      <c r="G2110" t="s">
        <v>36</v>
      </c>
      <c r="H2110">
        <v>4</v>
      </c>
      <c r="I2110" t="s">
        <v>23</v>
      </c>
      <c r="J2110" t="s">
        <v>62</v>
      </c>
      <c r="K2110" t="s">
        <v>25</v>
      </c>
      <c r="L2110" t="s">
        <v>128</v>
      </c>
      <c r="M2110" t="s">
        <v>33</v>
      </c>
      <c r="N2110">
        <v>3.1</v>
      </c>
      <c r="O2110" t="s">
        <v>27</v>
      </c>
      <c r="S2110" s="3">
        <v>27500</v>
      </c>
      <c r="T2110" s="2">
        <v>18511.568359375</v>
      </c>
      <c r="U2110" s="2">
        <v>20752.11675031346</v>
      </c>
      <c r="V2110" s="2">
        <v>16980.917029632739</v>
      </c>
      <c r="W2110" s="2">
        <v>22437.568359375</v>
      </c>
      <c r="X2110" s="4">
        <f t="shared" si="128"/>
        <v>1.4855575425122149</v>
      </c>
      <c r="Y2110" s="4">
        <f t="shared" si="129"/>
        <v>1.325166021899169</v>
      </c>
      <c r="Z2110" s="4">
        <f t="shared" si="130"/>
        <v>1.6194649530417478</v>
      </c>
      <c r="AA2110" s="4">
        <f t="shared" si="131"/>
        <v>1.2256230068936942</v>
      </c>
    </row>
    <row r="2111" spans="1:27" x14ac:dyDescent="0.3">
      <c r="A2111" t="s">
        <v>595</v>
      </c>
      <c r="B2111">
        <v>33738</v>
      </c>
      <c r="C2111">
        <v>2022</v>
      </c>
      <c r="D2111" t="s">
        <v>44</v>
      </c>
      <c r="E2111" t="s">
        <v>45</v>
      </c>
      <c r="F2111">
        <v>6</v>
      </c>
      <c r="G2111" t="s">
        <v>36</v>
      </c>
      <c r="H2111">
        <v>4</v>
      </c>
      <c r="I2111" t="s">
        <v>109</v>
      </c>
      <c r="J2111" t="s">
        <v>110</v>
      </c>
      <c r="K2111" t="s">
        <v>25</v>
      </c>
      <c r="L2111" t="s">
        <v>53</v>
      </c>
      <c r="M2111">
        <v>4</v>
      </c>
      <c r="N2111">
        <v>0</v>
      </c>
      <c r="O2111" t="s">
        <v>27</v>
      </c>
      <c r="S2111" s="3">
        <v>46000</v>
      </c>
      <c r="T2111" s="2">
        <v>41105.86328125</v>
      </c>
      <c r="U2111" s="2">
        <v>41908.620688910647</v>
      </c>
      <c r="V2111" s="2">
        <v>53395.993439962127</v>
      </c>
      <c r="W2111" s="2">
        <v>40993.1640625</v>
      </c>
      <c r="X2111" s="4">
        <f t="shared" si="128"/>
        <v>1.1190617670589686</v>
      </c>
      <c r="Y2111" s="4">
        <f t="shared" si="129"/>
        <v>1.0976261982340059</v>
      </c>
      <c r="Z2111" s="4">
        <f t="shared" si="130"/>
        <v>0.86148785773078462</v>
      </c>
      <c r="AA2111" s="4">
        <f t="shared" si="131"/>
        <v>1.1221383138385306</v>
      </c>
    </row>
    <row r="2112" spans="1:27" x14ac:dyDescent="0.3">
      <c r="A2112" t="s">
        <v>596</v>
      </c>
      <c r="B2112">
        <v>18238</v>
      </c>
      <c r="C2112">
        <v>2023</v>
      </c>
      <c r="D2112" t="s">
        <v>40</v>
      </c>
      <c r="E2112" t="s">
        <v>371</v>
      </c>
      <c r="F2112">
        <v>6</v>
      </c>
      <c r="G2112" t="s">
        <v>47</v>
      </c>
      <c r="H2112">
        <v>3</v>
      </c>
      <c r="I2112" t="s">
        <v>23</v>
      </c>
      <c r="J2112" t="s">
        <v>113</v>
      </c>
      <c r="K2112" t="s">
        <v>25</v>
      </c>
      <c r="L2112" t="s">
        <v>308</v>
      </c>
      <c r="M2112" t="s">
        <v>78</v>
      </c>
      <c r="N2112">
        <v>3.9</v>
      </c>
      <c r="O2112" t="s">
        <v>27</v>
      </c>
      <c r="S2112" s="3">
        <v>26000</v>
      </c>
      <c r="T2112" s="2">
        <v>35828.71484375</v>
      </c>
      <c r="U2112" s="2">
        <v>44080.534170254366</v>
      </c>
      <c r="V2112" s="2">
        <v>35174.425917253771</v>
      </c>
      <c r="W2112" s="2">
        <v>40618.51953125</v>
      </c>
      <c r="X2112" s="4">
        <f t="shared" si="128"/>
        <v>0.7256749261977915</v>
      </c>
      <c r="Y2112" s="4">
        <f t="shared" si="129"/>
        <v>0.58982951294507802</v>
      </c>
      <c r="Z2112" s="4">
        <f t="shared" si="130"/>
        <v>0.73917340004820009</v>
      </c>
      <c r="AA2112" s="4">
        <f t="shared" si="131"/>
        <v>0.64010210859597694</v>
      </c>
    </row>
    <row r="2113" spans="1:27" x14ac:dyDescent="0.3">
      <c r="A2113" t="s">
        <v>596</v>
      </c>
      <c r="B2113">
        <v>99025</v>
      </c>
      <c r="C2113">
        <v>2019</v>
      </c>
      <c r="D2113" t="s">
        <v>44</v>
      </c>
      <c r="E2113" t="s">
        <v>117</v>
      </c>
      <c r="F2113">
        <v>4</v>
      </c>
      <c r="G2113" t="s">
        <v>47</v>
      </c>
      <c r="H2113">
        <v>4</v>
      </c>
      <c r="I2113" t="s">
        <v>23</v>
      </c>
      <c r="J2113" t="s">
        <v>62</v>
      </c>
      <c r="K2113" t="s">
        <v>25</v>
      </c>
      <c r="L2113" t="s">
        <v>200</v>
      </c>
      <c r="M2113" t="s">
        <v>33</v>
      </c>
      <c r="N2113">
        <v>4.8</v>
      </c>
      <c r="O2113" t="s">
        <v>27</v>
      </c>
      <c r="S2113" s="3">
        <v>8200</v>
      </c>
      <c r="T2113" s="2">
        <v>9976.1416015625</v>
      </c>
      <c r="U2113" s="2">
        <v>11403.854941650639</v>
      </c>
      <c r="V2113" s="2">
        <v>9583.7973977292986</v>
      </c>
      <c r="W2113" s="2">
        <v>11193.1904296875</v>
      </c>
      <c r="X2113" s="4">
        <f t="shared" si="128"/>
        <v>0.82196106746476871</v>
      </c>
      <c r="Y2113" s="4">
        <f t="shared" si="129"/>
        <v>0.71905509513725008</v>
      </c>
      <c r="Z2113" s="4">
        <f t="shared" si="130"/>
        <v>0.85561074172361329</v>
      </c>
      <c r="AA2113" s="4">
        <f t="shared" si="131"/>
        <v>0.73258826886847972</v>
      </c>
    </row>
    <row r="2114" spans="1:27" x14ac:dyDescent="0.3">
      <c r="A2114" t="s">
        <v>596</v>
      </c>
      <c r="B2114">
        <v>108716</v>
      </c>
      <c r="C2114">
        <v>2013</v>
      </c>
      <c r="D2114" t="s">
        <v>187</v>
      </c>
      <c r="E2114" t="s">
        <v>411</v>
      </c>
      <c r="F2114">
        <v>4</v>
      </c>
      <c r="G2114" t="s">
        <v>22</v>
      </c>
      <c r="H2114">
        <v>4</v>
      </c>
      <c r="I2114" t="s">
        <v>23</v>
      </c>
      <c r="J2114" t="s">
        <v>52</v>
      </c>
      <c r="K2114" t="s">
        <v>25</v>
      </c>
      <c r="L2114" t="s">
        <v>102</v>
      </c>
      <c r="M2114" t="s">
        <v>23</v>
      </c>
      <c r="N2114">
        <v>2.9</v>
      </c>
      <c r="O2114" t="s">
        <v>27</v>
      </c>
      <c r="S2114" s="3">
        <v>5700</v>
      </c>
      <c r="T2114" s="2">
        <v>3876.86083984375</v>
      </c>
      <c r="U2114" s="2">
        <v>4515.4796699377303</v>
      </c>
      <c r="V2114" s="2">
        <v>4214.586191797539</v>
      </c>
      <c r="W2114" s="2">
        <v>4110.67138671875</v>
      </c>
      <c r="X2114" s="4">
        <f t="shared" ref="X2114:X2177" si="132">S2114/T2114</f>
        <v>1.4702616976650955</v>
      </c>
      <c r="Y2114" s="4">
        <f t="shared" ref="Y2114:Y2177" si="133">S2114/U2114</f>
        <v>1.2623243634443391</v>
      </c>
      <c r="Z2114" s="4">
        <f t="shared" ref="Z2114:Z2177" si="134">S2114/V2114</f>
        <v>1.3524459438256087</v>
      </c>
      <c r="AA2114" s="4">
        <f t="shared" ref="AA2114:AA2177" si="135">S2114/W2114</f>
        <v>1.3866348009272265</v>
      </c>
    </row>
    <row r="2115" spans="1:27" x14ac:dyDescent="0.3">
      <c r="A2115" t="s">
        <v>596</v>
      </c>
      <c r="B2115">
        <v>169149</v>
      </c>
      <c r="C2115">
        <v>2012</v>
      </c>
      <c r="D2115" t="s">
        <v>282</v>
      </c>
      <c r="E2115" t="s">
        <v>644</v>
      </c>
      <c r="F2115">
        <v>4</v>
      </c>
      <c r="G2115" t="s">
        <v>36</v>
      </c>
      <c r="H2115">
        <v>4</v>
      </c>
      <c r="I2115" t="s">
        <v>23</v>
      </c>
      <c r="J2115" t="s">
        <v>145</v>
      </c>
      <c r="K2115" t="s">
        <v>25</v>
      </c>
      <c r="L2115" t="s">
        <v>89</v>
      </c>
      <c r="M2115" t="s">
        <v>33</v>
      </c>
      <c r="N2115">
        <v>3.4</v>
      </c>
      <c r="O2115" t="s">
        <v>27</v>
      </c>
      <c r="S2115" s="3">
        <v>5800</v>
      </c>
      <c r="T2115" s="2">
        <v>5379.646484375</v>
      </c>
      <c r="U2115" s="2">
        <v>4959.98925949965</v>
      </c>
      <c r="V2115" s="2">
        <v>3713.316814762728</v>
      </c>
      <c r="W2115" s="2">
        <v>4378.32861328125</v>
      </c>
      <c r="X2115" s="4">
        <f t="shared" si="132"/>
        <v>1.0781377580935667</v>
      </c>
      <c r="Y2115" s="4">
        <f t="shared" si="133"/>
        <v>1.1693573708635587</v>
      </c>
      <c r="Z2115" s="4">
        <f t="shared" si="134"/>
        <v>1.5619459069426604</v>
      </c>
      <c r="AA2115" s="4">
        <f t="shared" si="135"/>
        <v>1.3247064147734922</v>
      </c>
    </row>
    <row r="2116" spans="1:27" x14ac:dyDescent="0.3">
      <c r="A2116" t="s">
        <v>596</v>
      </c>
      <c r="B2116">
        <v>197478</v>
      </c>
      <c r="C2116">
        <v>2013</v>
      </c>
      <c r="D2116" t="s">
        <v>34</v>
      </c>
      <c r="E2116" t="s">
        <v>173</v>
      </c>
      <c r="F2116">
        <v>4</v>
      </c>
      <c r="G2116" t="s">
        <v>22</v>
      </c>
      <c r="H2116">
        <v>4</v>
      </c>
      <c r="I2116" t="s">
        <v>23</v>
      </c>
      <c r="J2116" t="s">
        <v>62</v>
      </c>
      <c r="K2116" t="s">
        <v>25</v>
      </c>
      <c r="L2116" t="s">
        <v>128</v>
      </c>
      <c r="M2116" t="s">
        <v>33</v>
      </c>
      <c r="N2116">
        <v>3.4</v>
      </c>
      <c r="O2116" t="s">
        <v>27</v>
      </c>
      <c r="S2116" s="3">
        <v>5800</v>
      </c>
      <c r="T2116" s="2">
        <v>3983.88134765625</v>
      </c>
      <c r="U2116" s="2">
        <v>3529.471535424836</v>
      </c>
      <c r="V2116" s="2">
        <v>2966.998920009662</v>
      </c>
      <c r="W2116" s="2">
        <v>3511.48828125</v>
      </c>
      <c r="X2116" s="4">
        <f t="shared" si="132"/>
        <v>1.455866652106039</v>
      </c>
      <c r="Y2116" s="4">
        <f t="shared" si="133"/>
        <v>1.6433055038937621</v>
      </c>
      <c r="Z2116" s="4">
        <f t="shared" si="134"/>
        <v>1.9548372467830599</v>
      </c>
      <c r="AA2116" s="4">
        <f t="shared" si="135"/>
        <v>1.6517213031778504</v>
      </c>
    </row>
    <row r="2117" spans="1:27" x14ac:dyDescent="0.3">
      <c r="A2117" t="s">
        <v>429</v>
      </c>
      <c r="B2117">
        <v>211575</v>
      </c>
      <c r="C2117">
        <v>2017</v>
      </c>
      <c r="D2117" t="s">
        <v>40</v>
      </c>
      <c r="E2117" t="s">
        <v>371</v>
      </c>
      <c r="F2117">
        <v>8</v>
      </c>
      <c r="G2117" t="s">
        <v>47</v>
      </c>
      <c r="H2117">
        <v>3</v>
      </c>
      <c r="I2117" t="s">
        <v>23</v>
      </c>
      <c r="J2117" t="s">
        <v>113</v>
      </c>
      <c r="K2117" t="s">
        <v>25</v>
      </c>
      <c r="L2117" t="s">
        <v>334</v>
      </c>
      <c r="M2117" t="s">
        <v>78</v>
      </c>
      <c r="N2117">
        <v>1.8</v>
      </c>
      <c r="O2117" t="s">
        <v>39</v>
      </c>
      <c r="S2117" s="3">
        <v>1700</v>
      </c>
      <c r="T2117" s="2">
        <v>3892.66162109375</v>
      </c>
      <c r="U2117" s="2">
        <v>9591.1700706276788</v>
      </c>
      <c r="V2117" s="2">
        <v>4687.3438632752004</v>
      </c>
      <c r="W2117" s="2">
        <v>5251.451171875</v>
      </c>
      <c r="X2117" s="4">
        <f t="shared" si="132"/>
        <v>0.43671918226540801</v>
      </c>
      <c r="Y2117" s="4">
        <f t="shared" si="133"/>
        <v>0.17724636175581299</v>
      </c>
      <c r="Z2117" s="4">
        <f t="shared" si="134"/>
        <v>0.36267874719397147</v>
      </c>
      <c r="AA2117" s="4">
        <f t="shared" si="135"/>
        <v>0.32372004315771347</v>
      </c>
    </row>
    <row r="2118" spans="1:27" x14ac:dyDescent="0.3">
      <c r="A2118" t="s">
        <v>623</v>
      </c>
      <c r="B2118">
        <v>29239</v>
      </c>
      <c r="C2118">
        <v>2023</v>
      </c>
      <c r="D2118" t="s">
        <v>239</v>
      </c>
      <c r="E2118" t="s">
        <v>438</v>
      </c>
      <c r="F2118">
        <v>4</v>
      </c>
      <c r="G2118" t="s">
        <v>59</v>
      </c>
      <c r="H2118">
        <v>4</v>
      </c>
      <c r="I2118" t="s">
        <v>23</v>
      </c>
      <c r="J2118" t="s">
        <v>31</v>
      </c>
      <c r="K2118" t="s">
        <v>27</v>
      </c>
      <c r="L2118" t="s">
        <v>127</v>
      </c>
      <c r="M2118" t="s">
        <v>78</v>
      </c>
      <c r="N2118">
        <v>4.8</v>
      </c>
      <c r="O2118" t="s">
        <v>27</v>
      </c>
      <c r="S2118" s="3">
        <v>30800</v>
      </c>
      <c r="T2118" s="2">
        <v>27702.78515625</v>
      </c>
      <c r="U2118" s="2">
        <v>28291.58171982256</v>
      </c>
      <c r="V2118" s="2">
        <v>33102.825690528392</v>
      </c>
      <c r="W2118" s="2">
        <v>29867.60546875</v>
      </c>
      <c r="X2118" s="4">
        <f t="shared" si="132"/>
        <v>1.1118015689137755</v>
      </c>
      <c r="Y2118" s="4">
        <f t="shared" si="133"/>
        <v>1.0886630625681812</v>
      </c>
      <c r="Z2118" s="4">
        <f t="shared" si="134"/>
        <v>0.93043416558885206</v>
      </c>
      <c r="AA2118" s="4">
        <f t="shared" si="135"/>
        <v>1.0312175856288697</v>
      </c>
    </row>
    <row r="2119" spans="1:27" x14ac:dyDescent="0.3">
      <c r="A2119" t="s">
        <v>623</v>
      </c>
      <c r="B2119">
        <v>102146</v>
      </c>
      <c r="C2119">
        <v>2014</v>
      </c>
      <c r="D2119" t="s">
        <v>54</v>
      </c>
      <c r="E2119" t="s">
        <v>219</v>
      </c>
      <c r="F2119">
        <v>6</v>
      </c>
      <c r="G2119" t="s">
        <v>22</v>
      </c>
      <c r="H2119">
        <v>4</v>
      </c>
      <c r="I2119" t="s">
        <v>23</v>
      </c>
      <c r="J2119" t="s">
        <v>24</v>
      </c>
      <c r="K2119" t="s">
        <v>27</v>
      </c>
      <c r="L2119" t="s">
        <v>26</v>
      </c>
      <c r="M2119">
        <v>4</v>
      </c>
      <c r="N2119">
        <v>2.2999999999999901</v>
      </c>
      <c r="O2119" t="s">
        <v>27</v>
      </c>
      <c r="S2119" s="3">
        <v>6800</v>
      </c>
      <c r="T2119" s="2">
        <v>7406.63525390625</v>
      </c>
      <c r="U2119" s="2">
        <v>7048.7082118498847</v>
      </c>
      <c r="V2119" s="2">
        <v>7588.5753543027822</v>
      </c>
      <c r="W2119" s="2">
        <v>6280.4150390625</v>
      </c>
      <c r="X2119" s="4">
        <f t="shared" si="132"/>
        <v>0.91809570295954412</v>
      </c>
      <c r="Y2119" s="4">
        <f t="shared" si="133"/>
        <v>0.96471577424190003</v>
      </c>
      <c r="Z2119" s="4">
        <f t="shared" si="134"/>
        <v>0.89608387378592036</v>
      </c>
      <c r="AA2119" s="4">
        <f t="shared" si="135"/>
        <v>1.082730991137659</v>
      </c>
    </row>
    <row r="2120" spans="1:27" x14ac:dyDescent="0.3">
      <c r="A2120" t="s">
        <v>623</v>
      </c>
      <c r="B2120">
        <v>93066</v>
      </c>
      <c r="C2120">
        <v>2005</v>
      </c>
      <c r="D2120" t="s">
        <v>187</v>
      </c>
      <c r="E2120" t="s">
        <v>624</v>
      </c>
      <c r="F2120">
        <v>4</v>
      </c>
      <c r="G2120" t="s">
        <v>30</v>
      </c>
      <c r="H2120">
        <v>4</v>
      </c>
      <c r="I2120" t="s">
        <v>23</v>
      </c>
      <c r="J2120" t="s">
        <v>52</v>
      </c>
      <c r="L2120" t="s">
        <v>102</v>
      </c>
      <c r="M2120" t="s">
        <v>23</v>
      </c>
      <c r="N2120">
        <v>3.3</v>
      </c>
      <c r="O2120" t="s">
        <v>27</v>
      </c>
      <c r="S2120" s="3">
        <v>1500</v>
      </c>
      <c r="T2120" s="2">
        <v>2393.153076171875</v>
      </c>
      <c r="U2120" s="2">
        <v>1524.1016508603921</v>
      </c>
      <c r="V2120" s="2">
        <v>1151.3886920415459</v>
      </c>
      <c r="W2120" s="2">
        <v>2548.03125</v>
      </c>
      <c r="X2120" s="4">
        <f t="shared" si="132"/>
        <v>0.62678815447920422</v>
      </c>
      <c r="Y2120" s="4">
        <f t="shared" si="133"/>
        <v>0.98418632323717636</v>
      </c>
      <c r="Z2120" s="4">
        <f t="shared" si="134"/>
        <v>1.3027746497495347</v>
      </c>
      <c r="AA2120" s="4">
        <f t="shared" si="135"/>
        <v>0.58868979726995108</v>
      </c>
    </row>
    <row r="2121" spans="1:27" x14ac:dyDescent="0.3">
      <c r="A2121" t="s">
        <v>623</v>
      </c>
      <c r="B2121">
        <v>161390</v>
      </c>
      <c r="C2121">
        <v>2005</v>
      </c>
      <c r="D2121" t="s">
        <v>454</v>
      </c>
      <c r="E2121" t="s">
        <v>645</v>
      </c>
      <c r="F2121">
        <v>4</v>
      </c>
      <c r="G2121" t="s">
        <v>30</v>
      </c>
      <c r="H2121">
        <v>4</v>
      </c>
      <c r="I2121" t="s">
        <v>23</v>
      </c>
      <c r="J2121" t="s">
        <v>31</v>
      </c>
      <c r="L2121" t="s">
        <v>32</v>
      </c>
      <c r="M2121" t="s">
        <v>33</v>
      </c>
      <c r="N2121">
        <v>3</v>
      </c>
      <c r="O2121" t="s">
        <v>27</v>
      </c>
      <c r="S2121" s="3">
        <v>1300</v>
      </c>
      <c r="T2121" s="2">
        <v>1036.25830078125</v>
      </c>
      <c r="U2121" s="2">
        <v>920.34017669779496</v>
      </c>
      <c r="V2121" s="2">
        <v>1490.2938101475211</v>
      </c>
      <c r="W2121" s="2">
        <v>1174.633056640625</v>
      </c>
      <c r="X2121" s="4">
        <f t="shared" si="132"/>
        <v>1.2545134731561729</v>
      </c>
      <c r="Y2121" s="4">
        <f t="shared" si="133"/>
        <v>1.412521188268054</v>
      </c>
      <c r="Z2121" s="4">
        <f t="shared" si="134"/>
        <v>0.87231121215709517</v>
      </c>
      <c r="AA2121" s="4">
        <f t="shared" si="135"/>
        <v>1.1067286014561146</v>
      </c>
    </row>
    <row r="2122" spans="1:27" x14ac:dyDescent="0.3">
      <c r="A2122" t="s">
        <v>623</v>
      </c>
      <c r="B2122">
        <v>160073</v>
      </c>
      <c r="C2122">
        <v>2013</v>
      </c>
      <c r="D2122" t="s">
        <v>81</v>
      </c>
      <c r="E2122" t="s">
        <v>201</v>
      </c>
      <c r="F2122">
        <v>6</v>
      </c>
      <c r="G2122" t="s">
        <v>99</v>
      </c>
      <c r="H2122">
        <v>4</v>
      </c>
      <c r="I2122" t="s">
        <v>23</v>
      </c>
      <c r="J2122" t="s">
        <v>31</v>
      </c>
      <c r="L2122" t="s">
        <v>26</v>
      </c>
      <c r="M2122" t="s">
        <v>33</v>
      </c>
      <c r="N2122">
        <v>3</v>
      </c>
      <c r="O2122" t="s">
        <v>27</v>
      </c>
      <c r="S2122" s="3">
        <v>1300</v>
      </c>
      <c r="T2122" s="2">
        <v>5303.115234375</v>
      </c>
      <c r="U2122" s="2">
        <v>3486.2282179905778</v>
      </c>
      <c r="V2122" s="2">
        <v>2158.903219809898</v>
      </c>
      <c r="W2122" s="2">
        <v>3932.421142578125</v>
      </c>
      <c r="X2122" s="4">
        <f t="shared" si="132"/>
        <v>0.24513893108966392</v>
      </c>
      <c r="Y2122" s="4">
        <f t="shared" si="133"/>
        <v>0.37289584006330634</v>
      </c>
      <c r="Z2122" s="4">
        <f t="shared" si="134"/>
        <v>0.602157608581672</v>
      </c>
      <c r="AA2122" s="4">
        <f t="shared" si="135"/>
        <v>0.33058514153642005</v>
      </c>
    </row>
    <row r="2123" spans="1:27" x14ac:dyDescent="0.3">
      <c r="A2123" t="s">
        <v>623</v>
      </c>
      <c r="B2123">
        <v>148815</v>
      </c>
      <c r="C2123">
        <v>2014</v>
      </c>
      <c r="D2123" t="s">
        <v>54</v>
      </c>
      <c r="E2123" t="s">
        <v>124</v>
      </c>
      <c r="F2123">
        <v>4</v>
      </c>
      <c r="G2123" t="s">
        <v>22</v>
      </c>
      <c r="H2123">
        <v>4</v>
      </c>
      <c r="I2123" t="s">
        <v>23</v>
      </c>
      <c r="J2123" t="s">
        <v>24</v>
      </c>
      <c r="L2123" t="s">
        <v>60</v>
      </c>
      <c r="M2123">
        <v>4</v>
      </c>
      <c r="N2123">
        <v>3</v>
      </c>
      <c r="O2123" t="s">
        <v>27</v>
      </c>
      <c r="S2123" s="3">
        <v>700</v>
      </c>
      <c r="T2123" s="2">
        <v>3741.171875</v>
      </c>
      <c r="U2123" s="2">
        <v>4583.1128611590984</v>
      </c>
      <c r="V2123" s="2">
        <v>4036.666251926657</v>
      </c>
      <c r="W2123" s="2">
        <v>4621.333984375</v>
      </c>
      <c r="X2123" s="4">
        <f t="shared" si="132"/>
        <v>0.18710714807776641</v>
      </c>
      <c r="Y2123" s="4">
        <f t="shared" si="133"/>
        <v>0.15273461972371449</v>
      </c>
      <c r="Z2123" s="4">
        <f t="shared" si="134"/>
        <v>0.1734104224410174</v>
      </c>
      <c r="AA2123" s="4">
        <f t="shared" si="135"/>
        <v>0.15147141547586496</v>
      </c>
    </row>
    <row r="2124" spans="1:27" x14ac:dyDescent="0.3">
      <c r="A2124" t="s">
        <v>623</v>
      </c>
      <c r="B2124">
        <v>180184</v>
      </c>
      <c r="C2124">
        <v>2013</v>
      </c>
      <c r="D2124" t="s">
        <v>50</v>
      </c>
      <c r="E2124" t="s">
        <v>51</v>
      </c>
      <c r="F2124">
        <v>6</v>
      </c>
      <c r="G2124" t="s">
        <v>36</v>
      </c>
      <c r="H2124">
        <v>4</v>
      </c>
      <c r="I2124" t="s">
        <v>23</v>
      </c>
      <c r="J2124" t="s">
        <v>31</v>
      </c>
      <c r="K2124" t="s">
        <v>27</v>
      </c>
      <c r="L2124" t="s">
        <v>53</v>
      </c>
      <c r="M2124" t="s">
        <v>23</v>
      </c>
      <c r="N2124">
        <v>3.3</v>
      </c>
      <c r="O2124" t="s">
        <v>27</v>
      </c>
      <c r="S2124" s="3">
        <v>1800</v>
      </c>
      <c r="T2124" s="2">
        <v>3269.5849609375</v>
      </c>
      <c r="U2124" s="2">
        <v>3033.1459370833431</v>
      </c>
      <c r="V2124" s="2">
        <v>2964.7518862933221</v>
      </c>
      <c r="W2124" s="2">
        <v>3264.5224609375</v>
      </c>
      <c r="X2124" s="4">
        <f t="shared" si="132"/>
        <v>0.55052859048014446</v>
      </c>
      <c r="Y2124" s="4">
        <f t="shared" si="133"/>
        <v>0.59344325572770507</v>
      </c>
      <c r="Z2124" s="4">
        <f t="shared" si="134"/>
        <v>0.60713343613061943</v>
      </c>
      <c r="AA2124" s="4">
        <f t="shared" si="135"/>
        <v>0.55138232973991519</v>
      </c>
    </row>
    <row r="2125" spans="1:27" x14ac:dyDescent="0.3">
      <c r="A2125" t="s">
        <v>623</v>
      </c>
      <c r="B2125">
        <v>144782</v>
      </c>
      <c r="C2125">
        <v>2009</v>
      </c>
      <c r="D2125" t="s">
        <v>100</v>
      </c>
      <c r="E2125" t="s">
        <v>358</v>
      </c>
      <c r="F2125">
        <v>6</v>
      </c>
      <c r="G2125" t="s">
        <v>22</v>
      </c>
      <c r="H2125">
        <v>4</v>
      </c>
      <c r="I2125" t="s">
        <v>23</v>
      </c>
      <c r="J2125" t="s">
        <v>24</v>
      </c>
      <c r="K2125" t="s">
        <v>27</v>
      </c>
      <c r="L2125" t="s">
        <v>53</v>
      </c>
      <c r="M2125" t="s">
        <v>23</v>
      </c>
      <c r="N2125">
        <v>3</v>
      </c>
      <c r="O2125" t="s">
        <v>27</v>
      </c>
      <c r="S2125" s="3">
        <v>1800</v>
      </c>
      <c r="T2125" s="2">
        <v>1866.56298828125</v>
      </c>
      <c r="U2125" s="2">
        <v>1321.793632758576</v>
      </c>
      <c r="V2125" s="2">
        <v>1909.1847206331549</v>
      </c>
      <c r="W2125" s="2">
        <v>1713.755981445312</v>
      </c>
      <c r="X2125" s="4">
        <f t="shared" si="132"/>
        <v>0.96433927561022637</v>
      </c>
      <c r="Y2125" s="4">
        <f t="shared" si="133"/>
        <v>1.3617859515962487</v>
      </c>
      <c r="Z2125" s="4">
        <f t="shared" si="134"/>
        <v>0.94281081371898612</v>
      </c>
      <c r="AA2125" s="4">
        <f t="shared" si="135"/>
        <v>1.0503245616578116</v>
      </c>
    </row>
    <row r="2126" spans="1:27" x14ac:dyDescent="0.3">
      <c r="A2126" t="s">
        <v>623</v>
      </c>
      <c r="B2126">
        <v>191791</v>
      </c>
      <c r="C2126">
        <v>2006</v>
      </c>
      <c r="D2126" t="s">
        <v>384</v>
      </c>
      <c r="E2126" t="s">
        <v>646</v>
      </c>
      <c r="F2126">
        <v>4</v>
      </c>
      <c r="G2126" t="s">
        <v>59</v>
      </c>
      <c r="H2126">
        <v>4</v>
      </c>
      <c r="I2126" t="s">
        <v>23</v>
      </c>
      <c r="J2126" t="s">
        <v>145</v>
      </c>
      <c r="K2126" t="s">
        <v>27</v>
      </c>
      <c r="L2126" t="s">
        <v>200</v>
      </c>
      <c r="M2126" t="s">
        <v>33</v>
      </c>
      <c r="N2126">
        <v>0</v>
      </c>
      <c r="O2126" t="s">
        <v>27</v>
      </c>
      <c r="S2126" s="3">
        <v>900</v>
      </c>
      <c r="T2126" s="2">
        <v>539.37615966796875</v>
      </c>
      <c r="U2126" s="2">
        <v>-282.30159809651559</v>
      </c>
      <c r="V2126" s="2">
        <v>-31.784636254767971</v>
      </c>
      <c r="W2126" s="2">
        <v>866.57232666015625</v>
      </c>
      <c r="X2126" s="4">
        <f t="shared" si="132"/>
        <v>1.6685943267385519</v>
      </c>
      <c r="Y2126" s="4">
        <f t="shared" si="133"/>
        <v>-3.1880797206550016</v>
      </c>
      <c r="Z2126" s="4">
        <f t="shared" si="134"/>
        <v>-28.31556708046304</v>
      </c>
      <c r="AA2126" s="4">
        <f t="shared" si="135"/>
        <v>1.0385745913081219</v>
      </c>
    </row>
    <row r="2127" spans="1:27" x14ac:dyDescent="0.3">
      <c r="A2127" t="s">
        <v>623</v>
      </c>
      <c r="B2127">
        <v>116527</v>
      </c>
      <c r="C2127">
        <v>2010</v>
      </c>
      <c r="D2127" t="s">
        <v>40</v>
      </c>
      <c r="E2127" t="s">
        <v>647</v>
      </c>
      <c r="F2127">
        <v>6</v>
      </c>
      <c r="G2127" t="s">
        <v>99</v>
      </c>
      <c r="H2127">
        <v>4</v>
      </c>
      <c r="I2127" t="s">
        <v>23</v>
      </c>
      <c r="J2127" t="s">
        <v>165</v>
      </c>
      <c r="K2127" t="s">
        <v>25</v>
      </c>
      <c r="L2127" t="s">
        <v>218</v>
      </c>
      <c r="M2127" t="s">
        <v>33</v>
      </c>
      <c r="O2127" t="s">
        <v>27</v>
      </c>
      <c r="S2127" s="3">
        <v>1800</v>
      </c>
      <c r="T2127" s="2">
        <v>4423.716796875</v>
      </c>
      <c r="U2127" s="2">
        <v>4283.4711218832099</v>
      </c>
      <c r="V2127" s="2">
        <v>2995.9315129327242</v>
      </c>
      <c r="W2127" s="2">
        <v>4391.7919921875</v>
      </c>
      <c r="X2127" s="4">
        <f t="shared" si="132"/>
        <v>0.40689765702713049</v>
      </c>
      <c r="Y2127" s="4">
        <f t="shared" si="133"/>
        <v>0.42021994517582684</v>
      </c>
      <c r="Z2127" s="4">
        <f t="shared" si="134"/>
        <v>0.60081480241782159</v>
      </c>
      <c r="AA2127" s="4">
        <f t="shared" si="135"/>
        <v>0.40985547658040178</v>
      </c>
    </row>
    <row r="2128" spans="1:27" x14ac:dyDescent="0.3">
      <c r="A2128" t="s">
        <v>556</v>
      </c>
      <c r="B2128">
        <v>273458</v>
      </c>
      <c r="C2128">
        <v>2007</v>
      </c>
      <c r="D2128" t="s">
        <v>44</v>
      </c>
      <c r="E2128" t="s">
        <v>117</v>
      </c>
      <c r="F2128">
        <v>6</v>
      </c>
      <c r="G2128" t="s">
        <v>36</v>
      </c>
      <c r="H2128">
        <v>4</v>
      </c>
      <c r="I2128" t="s">
        <v>23</v>
      </c>
      <c r="J2128" t="s">
        <v>24</v>
      </c>
      <c r="K2128" t="s">
        <v>27</v>
      </c>
      <c r="L2128" t="s">
        <v>218</v>
      </c>
      <c r="M2128" t="s">
        <v>33</v>
      </c>
      <c r="N2128">
        <v>0</v>
      </c>
      <c r="O2128" t="s">
        <v>27</v>
      </c>
      <c r="S2128" s="3">
        <v>500</v>
      </c>
      <c r="T2128" s="2">
        <v>1217.208618164062</v>
      </c>
      <c r="U2128" s="2">
        <v>598.54189903540828</v>
      </c>
      <c r="V2128" s="2">
        <v>980.19640798439468</v>
      </c>
      <c r="W2128" s="2">
        <v>1371.916870117188</v>
      </c>
      <c r="X2128" s="4">
        <f t="shared" si="132"/>
        <v>0.41077592824980086</v>
      </c>
      <c r="Y2128" s="4">
        <f t="shared" si="133"/>
        <v>0.83536340698250966</v>
      </c>
      <c r="Z2128" s="4">
        <f t="shared" si="134"/>
        <v>0.51010184890206234</v>
      </c>
      <c r="AA2128" s="4">
        <f t="shared" si="135"/>
        <v>0.36445356922922773</v>
      </c>
    </row>
    <row r="2129" spans="1:27" x14ac:dyDescent="0.3">
      <c r="A2129" t="s">
        <v>556</v>
      </c>
      <c r="B2129">
        <v>82283</v>
      </c>
      <c r="C2129">
        <v>2021</v>
      </c>
      <c r="D2129" t="s">
        <v>40</v>
      </c>
      <c r="E2129" t="s">
        <v>41</v>
      </c>
      <c r="F2129">
        <v>8</v>
      </c>
      <c r="G2129" t="s">
        <v>22</v>
      </c>
      <c r="H2129">
        <v>4</v>
      </c>
      <c r="I2129" t="s">
        <v>23</v>
      </c>
      <c r="J2129" t="s">
        <v>42</v>
      </c>
      <c r="K2129" t="s">
        <v>27</v>
      </c>
      <c r="L2129" t="s">
        <v>43</v>
      </c>
      <c r="M2129">
        <v>4</v>
      </c>
      <c r="N2129">
        <v>0</v>
      </c>
      <c r="S2129" s="3">
        <v>26000</v>
      </c>
      <c r="T2129" s="2">
        <v>44354.30078125</v>
      </c>
      <c r="U2129" s="2">
        <v>38912.342096012828</v>
      </c>
      <c r="V2129" s="2">
        <v>34033.625624136657</v>
      </c>
      <c r="W2129" s="2">
        <v>44651.3125</v>
      </c>
      <c r="X2129" s="4">
        <f t="shared" si="132"/>
        <v>0.58618892738787221</v>
      </c>
      <c r="Y2129" s="4">
        <f t="shared" si="133"/>
        <v>0.66816846788217621</v>
      </c>
      <c r="Z2129" s="4">
        <f t="shared" si="134"/>
        <v>0.76395034390813754</v>
      </c>
      <c r="AA2129" s="4">
        <f t="shared" si="135"/>
        <v>0.58228971432810628</v>
      </c>
    </row>
    <row r="2130" spans="1:27" x14ac:dyDescent="0.3">
      <c r="A2130" t="s">
        <v>556</v>
      </c>
      <c r="B2130">
        <v>84445</v>
      </c>
      <c r="C2130">
        <v>2023</v>
      </c>
      <c r="D2130" t="s">
        <v>40</v>
      </c>
      <c r="E2130" t="s">
        <v>376</v>
      </c>
      <c r="F2130">
        <v>3</v>
      </c>
      <c r="G2130" t="s">
        <v>59</v>
      </c>
      <c r="H2130">
        <v>4</v>
      </c>
      <c r="I2130" t="s">
        <v>23</v>
      </c>
      <c r="J2130" t="s">
        <v>24</v>
      </c>
      <c r="K2130" t="s">
        <v>27</v>
      </c>
      <c r="L2130" t="s">
        <v>181</v>
      </c>
      <c r="M2130" t="s">
        <v>33</v>
      </c>
      <c r="N2130">
        <v>0</v>
      </c>
      <c r="S2130" s="3">
        <v>16000</v>
      </c>
      <c r="T2130" s="2">
        <v>20165.2734375</v>
      </c>
      <c r="U2130" s="2">
        <v>18108.271952032908</v>
      </c>
      <c r="V2130" s="2">
        <v>14633.78311742955</v>
      </c>
      <c r="W2130" s="2">
        <v>17836.5625</v>
      </c>
      <c r="X2130" s="4">
        <f t="shared" si="132"/>
        <v>0.79344324536883681</v>
      </c>
      <c r="Y2130" s="4">
        <f t="shared" si="133"/>
        <v>0.88357409488782146</v>
      </c>
      <c r="Z2130" s="4">
        <f t="shared" si="134"/>
        <v>1.0933604708780478</v>
      </c>
      <c r="AA2130" s="4">
        <f t="shared" si="135"/>
        <v>0.89703383149079319</v>
      </c>
    </row>
    <row r="2131" spans="1:27" x14ac:dyDescent="0.3">
      <c r="A2131" t="s">
        <v>556</v>
      </c>
      <c r="B2131">
        <v>193095</v>
      </c>
      <c r="C2131">
        <v>2016</v>
      </c>
      <c r="D2131" t="s">
        <v>100</v>
      </c>
      <c r="E2131" t="s">
        <v>192</v>
      </c>
      <c r="F2131">
        <v>4</v>
      </c>
      <c r="G2131" t="s">
        <v>47</v>
      </c>
      <c r="H2131">
        <v>4</v>
      </c>
      <c r="I2131" t="s">
        <v>23</v>
      </c>
      <c r="J2131" t="s">
        <v>31</v>
      </c>
      <c r="L2131" t="s">
        <v>32</v>
      </c>
      <c r="M2131" t="s">
        <v>33</v>
      </c>
      <c r="N2131">
        <v>0</v>
      </c>
      <c r="S2131" s="3">
        <v>1200</v>
      </c>
      <c r="T2131" s="2">
        <v>1205.644409179688</v>
      </c>
      <c r="U2131" s="2">
        <v>2595.3721255161909</v>
      </c>
      <c r="V2131" s="2">
        <v>3653.2229348227402</v>
      </c>
      <c r="W2131" s="2">
        <v>2595.468994140625</v>
      </c>
      <c r="X2131" s="4">
        <f t="shared" si="132"/>
        <v>0.99531834665618502</v>
      </c>
      <c r="Y2131" s="4">
        <f t="shared" si="133"/>
        <v>0.46236144258555339</v>
      </c>
      <c r="Z2131" s="4">
        <f t="shared" si="134"/>
        <v>0.32847707939242582</v>
      </c>
      <c r="AA2131" s="4">
        <f t="shared" si="135"/>
        <v>0.46234418623726503</v>
      </c>
    </row>
    <row r="2132" spans="1:27" x14ac:dyDescent="0.3">
      <c r="A2132" t="s">
        <v>556</v>
      </c>
      <c r="B2132">
        <v>187152</v>
      </c>
      <c r="C2132">
        <v>2015</v>
      </c>
      <c r="D2132" t="s">
        <v>81</v>
      </c>
      <c r="E2132" t="s">
        <v>82</v>
      </c>
      <c r="F2132">
        <v>6</v>
      </c>
      <c r="G2132" t="s">
        <v>36</v>
      </c>
      <c r="H2132">
        <v>2</v>
      </c>
      <c r="I2132" t="s">
        <v>23</v>
      </c>
      <c r="J2132" t="s">
        <v>83</v>
      </c>
      <c r="K2132" t="s">
        <v>27</v>
      </c>
      <c r="L2132" t="s">
        <v>26</v>
      </c>
      <c r="M2132" t="s">
        <v>78</v>
      </c>
      <c r="N2132">
        <v>0</v>
      </c>
      <c r="S2132" s="3">
        <v>4500</v>
      </c>
      <c r="T2132" s="2">
        <v>5902.06884765625</v>
      </c>
      <c r="U2132" s="2">
        <v>4925.9774713545803</v>
      </c>
      <c r="V2132" s="2">
        <v>4162.9283127074405</v>
      </c>
      <c r="W2132" s="2">
        <v>4842.60205078125</v>
      </c>
      <c r="X2132" s="4">
        <f t="shared" si="132"/>
        <v>0.76244451160324556</v>
      </c>
      <c r="Y2132" s="4">
        <f t="shared" si="133"/>
        <v>0.91352427536834802</v>
      </c>
      <c r="Z2132" s="4">
        <f t="shared" si="134"/>
        <v>1.0809698515017998</v>
      </c>
      <c r="AA2132" s="4">
        <f t="shared" si="135"/>
        <v>0.9292524871569865</v>
      </c>
    </row>
    <row r="2133" spans="1:27" x14ac:dyDescent="0.3">
      <c r="A2133" t="s">
        <v>556</v>
      </c>
      <c r="B2133">
        <v>156745</v>
      </c>
      <c r="C2133">
        <v>2013</v>
      </c>
      <c r="D2133" t="s">
        <v>44</v>
      </c>
      <c r="E2133" t="s">
        <v>182</v>
      </c>
      <c r="F2133">
        <v>6</v>
      </c>
      <c r="G2133" t="s">
        <v>30</v>
      </c>
      <c r="H2133">
        <v>2</v>
      </c>
      <c r="I2133" t="s">
        <v>23</v>
      </c>
      <c r="J2133" t="s">
        <v>209</v>
      </c>
      <c r="L2133" t="s">
        <v>198</v>
      </c>
      <c r="M2133" t="s">
        <v>78</v>
      </c>
      <c r="N2133">
        <v>0</v>
      </c>
      <c r="S2133" s="3">
        <v>3700</v>
      </c>
      <c r="T2133" s="2">
        <v>6481.75439453125</v>
      </c>
      <c r="U2133" s="2">
        <v>5640.7689286247532</v>
      </c>
      <c r="V2133" s="2">
        <v>4706.9220712379592</v>
      </c>
      <c r="W2133" s="2">
        <v>5744.63916015625</v>
      </c>
      <c r="X2133" s="4">
        <f t="shared" si="132"/>
        <v>0.57083310702450307</v>
      </c>
      <c r="Y2133" s="4">
        <f t="shared" si="133"/>
        <v>0.65593894144890597</v>
      </c>
      <c r="Z2133" s="4">
        <f t="shared" si="134"/>
        <v>0.78607632418840312</v>
      </c>
      <c r="AA2133" s="4">
        <f t="shared" si="135"/>
        <v>0.64407874835072543</v>
      </c>
    </row>
    <row r="2134" spans="1:27" x14ac:dyDescent="0.3">
      <c r="A2134" t="s">
        <v>556</v>
      </c>
      <c r="B2134">
        <v>135367</v>
      </c>
      <c r="C2134">
        <v>2016</v>
      </c>
      <c r="D2134" t="s">
        <v>40</v>
      </c>
      <c r="E2134" t="s">
        <v>229</v>
      </c>
      <c r="F2134">
        <v>4</v>
      </c>
      <c r="G2134" t="s">
        <v>36</v>
      </c>
      <c r="H2134">
        <v>4</v>
      </c>
      <c r="I2134" t="s">
        <v>23</v>
      </c>
      <c r="J2134" t="s">
        <v>31</v>
      </c>
      <c r="K2134" t="s">
        <v>27</v>
      </c>
      <c r="L2134" t="s">
        <v>107</v>
      </c>
      <c r="M2134" t="s">
        <v>33</v>
      </c>
      <c r="N2134">
        <v>0</v>
      </c>
      <c r="S2134" s="3">
        <v>3400</v>
      </c>
      <c r="T2134" s="2">
        <v>5473.23291015625</v>
      </c>
      <c r="U2134" s="2">
        <v>5634.335250291826</v>
      </c>
      <c r="V2134" s="2">
        <v>4339.6590352311878</v>
      </c>
      <c r="W2134" s="2">
        <v>5007.6396484375</v>
      </c>
      <c r="X2134" s="4">
        <f t="shared" si="132"/>
        <v>0.62120506395605535</v>
      </c>
      <c r="Y2134" s="4">
        <f t="shared" si="133"/>
        <v>0.60344297045936335</v>
      </c>
      <c r="Z2134" s="4">
        <f t="shared" si="134"/>
        <v>0.78347169037875142</v>
      </c>
      <c r="AA2134" s="4">
        <f t="shared" si="135"/>
        <v>0.67896259289760974</v>
      </c>
    </row>
    <row r="2135" spans="1:27" x14ac:dyDescent="0.3">
      <c r="A2135" t="s">
        <v>556</v>
      </c>
      <c r="B2135">
        <v>206874</v>
      </c>
      <c r="C2135">
        <v>2011</v>
      </c>
      <c r="D2135" t="s">
        <v>28</v>
      </c>
      <c r="E2135" t="s">
        <v>58</v>
      </c>
      <c r="F2135">
        <v>4</v>
      </c>
      <c r="G2135" t="s">
        <v>59</v>
      </c>
      <c r="H2135">
        <v>4</v>
      </c>
      <c r="I2135" t="s">
        <v>23</v>
      </c>
      <c r="J2135" t="s">
        <v>24</v>
      </c>
      <c r="K2135" t="s">
        <v>27</v>
      </c>
      <c r="L2135" t="s">
        <v>60</v>
      </c>
      <c r="M2135">
        <v>4</v>
      </c>
      <c r="N2135">
        <v>0</v>
      </c>
      <c r="S2135" s="3">
        <v>3200</v>
      </c>
      <c r="T2135" s="2">
        <v>3706.93798828125</v>
      </c>
      <c r="U2135" s="2">
        <v>4192.4995852553047</v>
      </c>
      <c r="V2135" s="2">
        <v>2383.6745479762581</v>
      </c>
      <c r="W2135" s="2">
        <v>4140.77392578125</v>
      </c>
      <c r="X2135" s="4">
        <f t="shared" si="132"/>
        <v>0.86324616438585322</v>
      </c>
      <c r="Y2135" s="4">
        <f t="shared" si="133"/>
        <v>0.76326781551849199</v>
      </c>
      <c r="Z2135" s="4">
        <f t="shared" si="134"/>
        <v>1.3424651459725503</v>
      </c>
      <c r="AA2135" s="4">
        <f t="shared" si="135"/>
        <v>0.77280239331014633</v>
      </c>
    </row>
    <row r="2136" spans="1:27" x14ac:dyDescent="0.3">
      <c r="A2136" t="s">
        <v>556</v>
      </c>
      <c r="B2136">
        <v>127154</v>
      </c>
      <c r="C2136">
        <v>2014</v>
      </c>
      <c r="D2136" t="s">
        <v>125</v>
      </c>
      <c r="E2136" t="s">
        <v>306</v>
      </c>
      <c r="F2136">
        <v>4</v>
      </c>
      <c r="G2136" t="s">
        <v>47</v>
      </c>
      <c r="H2136">
        <v>4</v>
      </c>
      <c r="I2136" t="s">
        <v>23</v>
      </c>
      <c r="J2136" t="s">
        <v>24</v>
      </c>
      <c r="K2136" t="s">
        <v>27</v>
      </c>
      <c r="L2136" t="s">
        <v>60</v>
      </c>
      <c r="M2136" t="s">
        <v>33</v>
      </c>
      <c r="N2136">
        <v>0</v>
      </c>
      <c r="S2136" s="3">
        <v>1700</v>
      </c>
      <c r="T2136" s="2">
        <v>5013.46337890625</v>
      </c>
      <c r="U2136" s="2">
        <v>4809.9203091914069</v>
      </c>
      <c r="V2136" s="2">
        <v>3835.0113110259249</v>
      </c>
      <c r="W2136" s="2">
        <v>4898.1767578125</v>
      </c>
      <c r="X2136" s="4">
        <f t="shared" si="132"/>
        <v>0.33908694878526796</v>
      </c>
      <c r="Y2136" s="4">
        <f t="shared" si="133"/>
        <v>0.35343620906804296</v>
      </c>
      <c r="Z2136" s="4">
        <f t="shared" si="134"/>
        <v>0.44328422059991884</v>
      </c>
      <c r="AA2136" s="4">
        <f t="shared" si="135"/>
        <v>0.34706791609521481</v>
      </c>
    </row>
    <row r="2137" spans="1:27" x14ac:dyDescent="0.3">
      <c r="A2137" t="s">
        <v>556</v>
      </c>
      <c r="B2137">
        <v>124794</v>
      </c>
      <c r="C2137">
        <v>2013</v>
      </c>
      <c r="D2137" t="s">
        <v>44</v>
      </c>
      <c r="E2137" t="s">
        <v>45</v>
      </c>
      <c r="F2137">
        <v>6</v>
      </c>
      <c r="G2137" t="s">
        <v>36</v>
      </c>
      <c r="H2137">
        <v>4</v>
      </c>
      <c r="I2137" t="s">
        <v>23</v>
      </c>
      <c r="J2137" t="s">
        <v>46</v>
      </c>
      <c r="K2137" t="s">
        <v>27</v>
      </c>
      <c r="L2137" t="s">
        <v>38</v>
      </c>
      <c r="M2137">
        <v>4</v>
      </c>
      <c r="N2137">
        <v>0</v>
      </c>
      <c r="S2137" s="3">
        <v>14400</v>
      </c>
      <c r="T2137" s="2">
        <v>8436.0234375</v>
      </c>
      <c r="U2137" s="2">
        <v>8772.7812810258456</v>
      </c>
      <c r="V2137" s="2">
        <v>15805.15286012722</v>
      </c>
      <c r="W2137" s="2">
        <v>8879.66015625</v>
      </c>
      <c r="X2137" s="4">
        <f t="shared" si="132"/>
        <v>1.7069653856091482</v>
      </c>
      <c r="Y2137" s="4">
        <f t="shared" si="133"/>
        <v>1.6414406718590999</v>
      </c>
      <c r="Z2137" s="4">
        <f t="shared" si="134"/>
        <v>0.91109526920982209</v>
      </c>
      <c r="AA2137" s="4">
        <f t="shared" si="135"/>
        <v>1.6216836845793561</v>
      </c>
    </row>
    <row r="2138" spans="1:27" x14ac:dyDescent="0.3">
      <c r="A2138" t="s">
        <v>556</v>
      </c>
      <c r="B2138">
        <v>216787</v>
      </c>
      <c r="C2138">
        <v>2019</v>
      </c>
      <c r="D2138" t="s">
        <v>81</v>
      </c>
      <c r="E2138" t="s">
        <v>278</v>
      </c>
      <c r="F2138">
        <v>6</v>
      </c>
      <c r="G2138" t="s">
        <v>47</v>
      </c>
      <c r="H2138">
        <v>4</v>
      </c>
      <c r="I2138" t="s">
        <v>23</v>
      </c>
      <c r="J2138" t="s">
        <v>24</v>
      </c>
      <c r="L2138" t="s">
        <v>26</v>
      </c>
      <c r="M2138" t="s">
        <v>23</v>
      </c>
      <c r="N2138">
        <v>0</v>
      </c>
      <c r="S2138" s="3">
        <v>4400</v>
      </c>
      <c r="T2138" s="2">
        <v>8603.5400390625</v>
      </c>
      <c r="U2138" s="2">
        <v>10544.21257727396</v>
      </c>
      <c r="V2138" s="2">
        <v>7467.5772429902036</v>
      </c>
      <c r="W2138" s="2">
        <v>10283.2578125</v>
      </c>
      <c r="X2138" s="4">
        <f t="shared" si="132"/>
        <v>0.51141739098356698</v>
      </c>
      <c r="Y2138" s="4">
        <f t="shared" si="133"/>
        <v>0.41729052480252166</v>
      </c>
      <c r="Z2138" s="4">
        <f t="shared" si="134"/>
        <v>0.58921385836755413</v>
      </c>
      <c r="AA2138" s="4">
        <f t="shared" si="135"/>
        <v>0.42787996569059084</v>
      </c>
    </row>
    <row r="2139" spans="1:27" x14ac:dyDescent="0.3">
      <c r="A2139" t="s">
        <v>556</v>
      </c>
      <c r="B2139">
        <v>122563</v>
      </c>
      <c r="C2139">
        <v>2019</v>
      </c>
      <c r="D2139" t="s">
        <v>40</v>
      </c>
      <c r="E2139" t="s">
        <v>63</v>
      </c>
      <c r="F2139">
        <v>4</v>
      </c>
      <c r="G2139" t="s">
        <v>47</v>
      </c>
      <c r="H2139">
        <v>4</v>
      </c>
      <c r="I2139" t="s">
        <v>23</v>
      </c>
      <c r="J2139" t="s">
        <v>24</v>
      </c>
      <c r="K2139" t="s">
        <v>27</v>
      </c>
      <c r="L2139" t="s">
        <v>107</v>
      </c>
      <c r="M2139" t="s">
        <v>33</v>
      </c>
      <c r="N2139">
        <v>0</v>
      </c>
      <c r="S2139" s="3">
        <v>8000</v>
      </c>
      <c r="T2139" s="2">
        <v>9411.7060546875</v>
      </c>
      <c r="U2139" s="2">
        <v>9262.2966026398735</v>
      </c>
      <c r="V2139" s="2">
        <v>7283.1283897985759</v>
      </c>
      <c r="W2139" s="2">
        <v>8617.3916015625</v>
      </c>
      <c r="X2139" s="4">
        <f t="shared" si="132"/>
        <v>0.85000529696904426</v>
      </c>
      <c r="Y2139" s="4">
        <f t="shared" si="133"/>
        <v>0.86371667235530947</v>
      </c>
      <c r="Z2139" s="4">
        <f t="shared" si="134"/>
        <v>1.0984290777031394</v>
      </c>
      <c r="AA2139" s="4">
        <f t="shared" si="135"/>
        <v>0.92835516475187752</v>
      </c>
    </row>
    <row r="2140" spans="1:27" x14ac:dyDescent="0.3">
      <c r="A2140" t="s">
        <v>556</v>
      </c>
      <c r="B2140">
        <v>106380</v>
      </c>
      <c r="C2140">
        <v>2019</v>
      </c>
      <c r="D2140" t="s">
        <v>90</v>
      </c>
      <c r="E2140" t="s">
        <v>195</v>
      </c>
      <c r="F2140">
        <v>4</v>
      </c>
      <c r="G2140" t="s">
        <v>47</v>
      </c>
      <c r="H2140">
        <v>4</v>
      </c>
      <c r="I2140" t="s">
        <v>23</v>
      </c>
      <c r="J2140" t="s">
        <v>24</v>
      </c>
      <c r="L2140" t="s">
        <v>127</v>
      </c>
      <c r="M2140" t="s">
        <v>33</v>
      </c>
      <c r="N2140">
        <v>0</v>
      </c>
      <c r="S2140" s="3">
        <v>5500</v>
      </c>
      <c r="T2140" s="2">
        <v>9773.4013671875</v>
      </c>
      <c r="U2140" s="2">
        <v>8700.8287398304383</v>
      </c>
      <c r="V2140" s="2">
        <v>10266.066818142101</v>
      </c>
      <c r="W2140" s="2">
        <v>9949.9521484375</v>
      </c>
      <c r="X2140" s="4">
        <f t="shared" si="132"/>
        <v>0.56275188067741655</v>
      </c>
      <c r="Y2140" s="4">
        <f t="shared" si="133"/>
        <v>0.63212369355372278</v>
      </c>
      <c r="Z2140" s="4">
        <f t="shared" si="134"/>
        <v>0.53574558761690994</v>
      </c>
      <c r="AA2140" s="4">
        <f t="shared" si="135"/>
        <v>0.55276647746127072</v>
      </c>
    </row>
    <row r="2141" spans="1:27" x14ac:dyDescent="0.3">
      <c r="A2141" t="s">
        <v>556</v>
      </c>
      <c r="B2141">
        <v>87999</v>
      </c>
      <c r="C2141">
        <v>2018</v>
      </c>
      <c r="D2141" t="s">
        <v>90</v>
      </c>
      <c r="E2141" t="s">
        <v>195</v>
      </c>
      <c r="F2141">
        <v>4</v>
      </c>
      <c r="G2141" t="s">
        <v>47</v>
      </c>
      <c r="H2141">
        <v>4</v>
      </c>
      <c r="I2141" t="s">
        <v>23</v>
      </c>
      <c r="J2141" t="s">
        <v>24</v>
      </c>
      <c r="L2141" t="s">
        <v>127</v>
      </c>
      <c r="M2141" t="s">
        <v>33</v>
      </c>
      <c r="N2141">
        <v>0</v>
      </c>
      <c r="S2141" s="3">
        <v>11500</v>
      </c>
      <c r="T2141" s="2">
        <v>9871.9130859375</v>
      </c>
      <c r="U2141" s="2">
        <v>9210.2380127730903</v>
      </c>
      <c r="V2141" s="2">
        <v>10813.52422595532</v>
      </c>
      <c r="W2141" s="2">
        <v>11090.4326171875</v>
      </c>
      <c r="X2141" s="4">
        <f t="shared" si="132"/>
        <v>1.1649211150756285</v>
      </c>
      <c r="Y2141" s="4">
        <f t="shared" si="133"/>
        <v>1.2486105119163462</v>
      </c>
      <c r="Z2141" s="4">
        <f t="shared" si="134"/>
        <v>1.0634830754248423</v>
      </c>
      <c r="AA2141" s="4">
        <f t="shared" si="135"/>
        <v>1.0369297931784707</v>
      </c>
    </row>
    <row r="2142" spans="1:27" x14ac:dyDescent="0.3">
      <c r="A2142" t="s">
        <v>556</v>
      </c>
      <c r="B2142">
        <v>129694</v>
      </c>
      <c r="C2142">
        <v>2014</v>
      </c>
      <c r="D2142" t="s">
        <v>54</v>
      </c>
      <c r="E2142" t="s">
        <v>174</v>
      </c>
      <c r="F2142">
        <v>4</v>
      </c>
      <c r="G2142" t="s">
        <v>22</v>
      </c>
      <c r="H2142">
        <v>4</v>
      </c>
      <c r="I2142" t="s">
        <v>23</v>
      </c>
      <c r="J2142" t="s">
        <v>24</v>
      </c>
      <c r="L2142" t="s">
        <v>60</v>
      </c>
      <c r="M2142">
        <v>4</v>
      </c>
      <c r="N2142">
        <v>0</v>
      </c>
      <c r="S2142" s="3">
        <v>1400</v>
      </c>
      <c r="T2142" s="2">
        <v>5096.9189453125</v>
      </c>
      <c r="U2142" s="2">
        <v>5623.0109572769188</v>
      </c>
      <c r="V2142" s="2">
        <v>3899.1059484110901</v>
      </c>
      <c r="W2142" s="2">
        <v>5515.87744140625</v>
      </c>
      <c r="X2142" s="4">
        <f t="shared" si="132"/>
        <v>0.27467574333069245</v>
      </c>
      <c r="Y2142" s="4">
        <f t="shared" si="133"/>
        <v>0.24897692902202423</v>
      </c>
      <c r="Z2142" s="4">
        <f t="shared" si="134"/>
        <v>0.35905667056072399</v>
      </c>
      <c r="AA2142" s="4">
        <f t="shared" si="135"/>
        <v>0.25381274599949699</v>
      </c>
    </row>
    <row r="2143" spans="1:27" x14ac:dyDescent="0.3">
      <c r="A2143" t="s">
        <v>556</v>
      </c>
      <c r="B2143">
        <v>89338</v>
      </c>
      <c r="C2143">
        <v>2021</v>
      </c>
      <c r="D2143" t="s">
        <v>100</v>
      </c>
      <c r="E2143" t="s">
        <v>300</v>
      </c>
      <c r="F2143">
        <v>4</v>
      </c>
      <c r="G2143" t="s">
        <v>22</v>
      </c>
      <c r="H2143">
        <v>4</v>
      </c>
      <c r="I2143" t="s">
        <v>23</v>
      </c>
      <c r="J2143" t="s">
        <v>24</v>
      </c>
      <c r="L2143" t="s">
        <v>87</v>
      </c>
      <c r="M2143" t="s">
        <v>33</v>
      </c>
      <c r="N2143">
        <v>0</v>
      </c>
      <c r="O2143" t="s">
        <v>27</v>
      </c>
      <c r="S2143" s="3">
        <v>8500</v>
      </c>
      <c r="T2143" s="2">
        <v>11155.21875</v>
      </c>
      <c r="U2143" s="2">
        <v>11412.491884890689</v>
      </c>
      <c r="V2143" s="2">
        <v>14545.082388766479</v>
      </c>
      <c r="W2143" s="2">
        <v>12687.2470703125</v>
      </c>
      <c r="X2143" s="4">
        <f t="shared" si="132"/>
        <v>0.76197519658679935</v>
      </c>
      <c r="Y2143" s="4">
        <f t="shared" si="133"/>
        <v>0.74479790090833564</v>
      </c>
      <c r="Z2143" s="4">
        <f t="shared" si="134"/>
        <v>0.58438995206825073</v>
      </c>
      <c r="AA2143" s="4">
        <f t="shared" si="135"/>
        <v>0.66996409488150976</v>
      </c>
    </row>
    <row r="2144" spans="1:27" x14ac:dyDescent="0.3">
      <c r="A2144" t="s">
        <v>556</v>
      </c>
      <c r="B2144">
        <v>179066</v>
      </c>
      <c r="C2144">
        <v>2005</v>
      </c>
      <c r="D2144" t="s">
        <v>28</v>
      </c>
      <c r="E2144" t="s">
        <v>310</v>
      </c>
      <c r="F2144">
        <v>4</v>
      </c>
      <c r="G2144" t="s">
        <v>59</v>
      </c>
      <c r="H2144">
        <v>4</v>
      </c>
      <c r="I2144" t="s">
        <v>23</v>
      </c>
      <c r="J2144" t="s">
        <v>31</v>
      </c>
      <c r="L2144" t="s">
        <v>60</v>
      </c>
      <c r="M2144" t="s">
        <v>33</v>
      </c>
      <c r="N2144">
        <v>0</v>
      </c>
      <c r="S2144" s="3">
        <v>800</v>
      </c>
      <c r="T2144" s="2">
        <v>2535.37890625</v>
      </c>
      <c r="U2144" s="2">
        <v>2248.401400025874</v>
      </c>
      <c r="V2144" s="2">
        <v>1750.268552076624</v>
      </c>
      <c r="W2144" s="2">
        <v>1961.095825195312</v>
      </c>
      <c r="X2144" s="4">
        <f t="shared" si="132"/>
        <v>0.31553469109800836</v>
      </c>
      <c r="Y2144" s="4">
        <f t="shared" si="133"/>
        <v>0.35580835343315204</v>
      </c>
      <c r="Z2144" s="4">
        <f t="shared" si="134"/>
        <v>0.45707271552747253</v>
      </c>
      <c r="AA2144" s="4">
        <f t="shared" si="135"/>
        <v>0.407935190989622</v>
      </c>
    </row>
    <row r="2145" spans="1:27" x14ac:dyDescent="0.3">
      <c r="A2145" t="s">
        <v>556</v>
      </c>
      <c r="B2145">
        <v>120026</v>
      </c>
      <c r="C2145">
        <v>2018</v>
      </c>
      <c r="D2145" t="s">
        <v>44</v>
      </c>
      <c r="E2145" t="s">
        <v>176</v>
      </c>
      <c r="F2145">
        <v>4</v>
      </c>
      <c r="G2145" t="s">
        <v>47</v>
      </c>
      <c r="H2145">
        <v>4</v>
      </c>
      <c r="I2145" t="s">
        <v>23</v>
      </c>
      <c r="J2145" t="s">
        <v>62</v>
      </c>
      <c r="L2145" t="s">
        <v>96</v>
      </c>
      <c r="M2145" t="s">
        <v>33</v>
      </c>
      <c r="N2145">
        <v>0</v>
      </c>
      <c r="O2145" t="s">
        <v>27</v>
      </c>
      <c r="S2145" s="3">
        <v>4500</v>
      </c>
      <c r="T2145" s="2">
        <v>9701.3818359375</v>
      </c>
      <c r="U2145" s="2">
        <v>7678.0084089561506</v>
      </c>
      <c r="V2145" s="2">
        <v>6813.0134621451334</v>
      </c>
      <c r="W2145" s="2">
        <v>7977.82861328125</v>
      </c>
      <c r="X2145" s="4">
        <f t="shared" si="132"/>
        <v>0.46385144674239487</v>
      </c>
      <c r="Y2145" s="4">
        <f t="shared" si="133"/>
        <v>0.58608948575139541</v>
      </c>
      <c r="Z2145" s="4">
        <f t="shared" si="134"/>
        <v>0.66050067638984788</v>
      </c>
      <c r="AA2145" s="4">
        <f t="shared" si="135"/>
        <v>0.56406325807858726</v>
      </c>
    </row>
    <row r="2146" spans="1:27" x14ac:dyDescent="0.3">
      <c r="A2146" t="s">
        <v>556</v>
      </c>
      <c r="B2146">
        <v>112033</v>
      </c>
      <c r="C2146">
        <v>2022</v>
      </c>
      <c r="D2146" t="s">
        <v>74</v>
      </c>
      <c r="E2146" t="s">
        <v>217</v>
      </c>
      <c r="F2146">
        <v>6</v>
      </c>
      <c r="G2146" t="s">
        <v>30</v>
      </c>
      <c r="H2146">
        <v>4</v>
      </c>
      <c r="I2146" t="s">
        <v>23</v>
      </c>
      <c r="J2146" t="s">
        <v>42</v>
      </c>
      <c r="K2146" t="s">
        <v>27</v>
      </c>
      <c r="L2146" t="s">
        <v>255</v>
      </c>
      <c r="M2146">
        <v>4</v>
      </c>
      <c r="N2146">
        <v>0</v>
      </c>
      <c r="S2146" s="3">
        <v>39400</v>
      </c>
      <c r="T2146" s="2">
        <v>29662.74609375</v>
      </c>
      <c r="U2146" s="2">
        <v>30916.270756987131</v>
      </c>
      <c r="V2146" s="2">
        <v>35977.381870095451</v>
      </c>
      <c r="W2146" s="2">
        <v>31230.654296875</v>
      </c>
      <c r="X2146" s="4">
        <f t="shared" si="132"/>
        <v>1.3282654234195013</v>
      </c>
      <c r="Y2146" s="4">
        <f t="shared" si="133"/>
        <v>1.2744098507125259</v>
      </c>
      <c r="Z2146" s="4">
        <f t="shared" si="134"/>
        <v>1.0951324958070239</v>
      </c>
      <c r="AA2146" s="4">
        <f t="shared" si="135"/>
        <v>1.2615809974862564</v>
      </c>
    </row>
    <row r="2147" spans="1:27" x14ac:dyDescent="0.3">
      <c r="A2147" t="s">
        <v>556</v>
      </c>
      <c r="B2147">
        <v>1</v>
      </c>
      <c r="C2147">
        <v>2010</v>
      </c>
      <c r="D2147" t="s">
        <v>81</v>
      </c>
      <c r="E2147" t="s">
        <v>105</v>
      </c>
      <c r="F2147">
        <v>6</v>
      </c>
      <c r="G2147" t="s">
        <v>30</v>
      </c>
      <c r="H2147">
        <v>4</v>
      </c>
      <c r="I2147" t="s">
        <v>23</v>
      </c>
      <c r="J2147" t="s">
        <v>106</v>
      </c>
      <c r="L2147" t="s">
        <v>143</v>
      </c>
      <c r="M2147" t="s">
        <v>33</v>
      </c>
      <c r="N2147">
        <v>0</v>
      </c>
      <c r="S2147" s="3">
        <v>400</v>
      </c>
      <c r="T2147" s="2">
        <v>20812.96875</v>
      </c>
      <c r="U2147" s="2">
        <v>31997.33663197235</v>
      </c>
      <c r="V2147" s="2">
        <v>9386.1293641272096</v>
      </c>
      <c r="W2147" s="2">
        <v>16973.08203125</v>
      </c>
      <c r="X2147" s="4">
        <f t="shared" si="132"/>
        <v>1.9218786363670488E-2</v>
      </c>
      <c r="Y2147" s="4">
        <f t="shared" si="133"/>
        <v>1.2501040464733942E-2</v>
      </c>
      <c r="Z2147" s="4">
        <f t="shared" si="134"/>
        <v>4.2616075752030178E-2</v>
      </c>
      <c r="AA2147" s="4">
        <f t="shared" si="135"/>
        <v>2.3566727555050977E-2</v>
      </c>
    </row>
    <row r="2148" spans="1:27" x14ac:dyDescent="0.3">
      <c r="A2148" t="s">
        <v>556</v>
      </c>
      <c r="B2148">
        <v>195745</v>
      </c>
      <c r="C2148">
        <v>2006</v>
      </c>
      <c r="D2148" t="s">
        <v>141</v>
      </c>
      <c r="E2148" t="s">
        <v>215</v>
      </c>
      <c r="F2148">
        <v>6</v>
      </c>
      <c r="G2148" t="s">
        <v>30</v>
      </c>
      <c r="H2148">
        <v>4</v>
      </c>
      <c r="I2148" t="s">
        <v>23</v>
      </c>
      <c r="J2148" t="s">
        <v>31</v>
      </c>
      <c r="L2148" t="s">
        <v>53</v>
      </c>
      <c r="M2148" t="s">
        <v>78</v>
      </c>
      <c r="N2148">
        <v>0</v>
      </c>
      <c r="S2148" s="3">
        <v>900</v>
      </c>
      <c r="T2148" s="2">
        <v>1778.367431640625</v>
      </c>
      <c r="U2148" s="2">
        <v>4353.9665927833394</v>
      </c>
      <c r="V2148" s="2">
        <v>582.18385203686375</v>
      </c>
      <c r="W2148" s="2">
        <v>1164.621704101562</v>
      </c>
      <c r="X2148" s="4">
        <f t="shared" si="132"/>
        <v>0.50608214252423023</v>
      </c>
      <c r="Y2148" s="4">
        <f t="shared" si="133"/>
        <v>0.20670806282522744</v>
      </c>
      <c r="Z2148" s="4">
        <f t="shared" si="134"/>
        <v>1.5459034063744732</v>
      </c>
      <c r="AA2148" s="4">
        <f t="shared" si="135"/>
        <v>0.77278312505286662</v>
      </c>
    </row>
    <row r="2149" spans="1:27" x14ac:dyDescent="0.3">
      <c r="A2149" t="s">
        <v>556</v>
      </c>
      <c r="B2149">
        <v>124537</v>
      </c>
      <c r="C2149">
        <v>2016</v>
      </c>
      <c r="D2149" t="s">
        <v>85</v>
      </c>
      <c r="E2149" t="s">
        <v>270</v>
      </c>
      <c r="F2149">
        <v>4</v>
      </c>
      <c r="G2149" t="s">
        <v>22</v>
      </c>
      <c r="H2149">
        <v>4</v>
      </c>
      <c r="I2149" t="s">
        <v>23</v>
      </c>
      <c r="J2149" t="s">
        <v>24</v>
      </c>
      <c r="K2149" t="s">
        <v>27</v>
      </c>
      <c r="L2149" t="s">
        <v>60</v>
      </c>
      <c r="M2149" t="s">
        <v>33</v>
      </c>
      <c r="N2149">
        <v>0</v>
      </c>
      <c r="S2149" s="3">
        <v>4600</v>
      </c>
      <c r="T2149" s="2">
        <v>5333.216796875</v>
      </c>
      <c r="U2149" s="2">
        <v>5233.3111562641234</v>
      </c>
      <c r="V2149" s="2">
        <v>4538.1882651732631</v>
      </c>
      <c r="W2149" s="2">
        <v>5226.3515625</v>
      </c>
      <c r="X2149" s="4">
        <f t="shared" si="132"/>
        <v>0.86251884654217903</v>
      </c>
      <c r="Y2149" s="4">
        <f t="shared" si="133"/>
        <v>0.87898461655465143</v>
      </c>
      <c r="Z2149" s="4">
        <f t="shared" si="134"/>
        <v>1.013620354911472</v>
      </c>
      <c r="AA2149" s="4">
        <f t="shared" si="135"/>
        <v>0.88015510341971948</v>
      </c>
    </row>
    <row r="2150" spans="1:27" x14ac:dyDescent="0.3">
      <c r="A2150" t="s">
        <v>556</v>
      </c>
      <c r="B2150">
        <v>127202</v>
      </c>
      <c r="C2150">
        <v>2015</v>
      </c>
      <c r="D2150" t="s">
        <v>20</v>
      </c>
      <c r="E2150" t="s">
        <v>390</v>
      </c>
      <c r="F2150">
        <v>8</v>
      </c>
      <c r="G2150" t="s">
        <v>36</v>
      </c>
      <c r="H2150">
        <v>4</v>
      </c>
      <c r="I2150" t="s">
        <v>23</v>
      </c>
      <c r="J2150" t="s">
        <v>24</v>
      </c>
      <c r="K2150" t="s">
        <v>27</v>
      </c>
      <c r="L2150" t="s">
        <v>43</v>
      </c>
      <c r="M2150">
        <v>4</v>
      </c>
      <c r="N2150">
        <v>0</v>
      </c>
      <c r="O2150" t="s">
        <v>27</v>
      </c>
      <c r="S2150" s="3">
        <v>14750</v>
      </c>
      <c r="T2150" s="2">
        <v>14395.5185546875</v>
      </c>
      <c r="U2150" s="2">
        <v>14102.075156580049</v>
      </c>
      <c r="V2150" s="2">
        <v>15127.21555150014</v>
      </c>
      <c r="W2150" s="2">
        <v>14534.58984375</v>
      </c>
      <c r="X2150" s="4">
        <f t="shared" si="132"/>
        <v>1.0246244304410328</v>
      </c>
      <c r="Y2150" s="4">
        <f t="shared" si="133"/>
        <v>1.0459453545826287</v>
      </c>
      <c r="Z2150" s="4">
        <f t="shared" si="134"/>
        <v>0.97506378155213558</v>
      </c>
      <c r="AA2150" s="4">
        <f t="shared" si="135"/>
        <v>1.0148205184023564</v>
      </c>
    </row>
    <row r="2151" spans="1:27" x14ac:dyDescent="0.3">
      <c r="A2151" t="s">
        <v>556</v>
      </c>
      <c r="B2151">
        <v>167149</v>
      </c>
      <c r="C2151">
        <v>2013</v>
      </c>
      <c r="D2151" t="s">
        <v>340</v>
      </c>
      <c r="E2151" t="s">
        <v>341</v>
      </c>
      <c r="F2151">
        <v>4</v>
      </c>
      <c r="G2151" t="s">
        <v>22</v>
      </c>
      <c r="H2151">
        <v>4</v>
      </c>
      <c r="I2151" t="s">
        <v>23</v>
      </c>
      <c r="J2151" t="s">
        <v>24</v>
      </c>
      <c r="L2151" t="s">
        <v>127</v>
      </c>
      <c r="M2151" t="s">
        <v>33</v>
      </c>
      <c r="N2151">
        <v>0</v>
      </c>
      <c r="S2151" s="3">
        <v>4400</v>
      </c>
      <c r="T2151" s="2">
        <v>3175.135009765625</v>
      </c>
      <c r="U2151" s="2">
        <v>3482.1757266546201</v>
      </c>
      <c r="V2151" s="2">
        <v>3427.4776037687761</v>
      </c>
      <c r="W2151" s="2">
        <v>3379.86962890625</v>
      </c>
      <c r="X2151" s="4">
        <f t="shared" si="132"/>
        <v>1.3857678449789099</v>
      </c>
      <c r="Y2151" s="4">
        <f t="shared" si="133"/>
        <v>1.2635778161107187</v>
      </c>
      <c r="Z2151" s="4">
        <f t="shared" si="134"/>
        <v>1.2837428886951328</v>
      </c>
      <c r="AA2151" s="4">
        <f t="shared" si="135"/>
        <v>1.3018253610639625</v>
      </c>
    </row>
    <row r="2152" spans="1:27" x14ac:dyDescent="0.3">
      <c r="A2152" t="s">
        <v>556</v>
      </c>
      <c r="B2152">
        <v>189993</v>
      </c>
      <c r="C2152">
        <v>2014</v>
      </c>
      <c r="D2152" t="s">
        <v>40</v>
      </c>
      <c r="E2152" t="s">
        <v>41</v>
      </c>
      <c r="F2152">
        <v>8</v>
      </c>
      <c r="G2152" t="s">
        <v>47</v>
      </c>
      <c r="H2152">
        <v>4</v>
      </c>
      <c r="I2152" t="s">
        <v>23</v>
      </c>
      <c r="J2152" t="s">
        <v>152</v>
      </c>
      <c r="K2152" t="s">
        <v>27</v>
      </c>
      <c r="L2152" t="s">
        <v>43</v>
      </c>
      <c r="M2152">
        <v>4</v>
      </c>
      <c r="N2152">
        <v>0</v>
      </c>
      <c r="S2152" s="3">
        <v>8500</v>
      </c>
      <c r="T2152" s="2">
        <v>5602.62890625</v>
      </c>
      <c r="U2152" s="2">
        <v>12844.054918789419</v>
      </c>
      <c r="V2152" s="2">
        <v>2169.3960442666162</v>
      </c>
      <c r="W2152" s="2">
        <v>9138.3095703125</v>
      </c>
      <c r="X2152" s="4">
        <f t="shared" si="132"/>
        <v>1.517144922898221</v>
      </c>
      <c r="Y2152" s="4">
        <f t="shared" si="133"/>
        <v>0.66178477542675784</v>
      </c>
      <c r="Z2152" s="4">
        <f t="shared" si="134"/>
        <v>3.9181411907079888</v>
      </c>
      <c r="AA2152" s="4">
        <f t="shared" si="135"/>
        <v>0.93015014807703955</v>
      </c>
    </row>
    <row r="2153" spans="1:27" x14ac:dyDescent="0.3">
      <c r="A2153" t="s">
        <v>623</v>
      </c>
      <c r="B2153">
        <v>91827</v>
      </c>
      <c r="C2153">
        <v>2014</v>
      </c>
      <c r="D2153" t="s">
        <v>340</v>
      </c>
      <c r="E2153" t="s">
        <v>341</v>
      </c>
      <c r="F2153">
        <v>4</v>
      </c>
      <c r="G2153" t="s">
        <v>47</v>
      </c>
      <c r="H2153">
        <v>4</v>
      </c>
      <c r="I2153" t="s">
        <v>23</v>
      </c>
      <c r="J2153" t="s">
        <v>24</v>
      </c>
      <c r="L2153" t="s">
        <v>102</v>
      </c>
      <c r="M2153" t="s">
        <v>23</v>
      </c>
      <c r="N2153">
        <v>3</v>
      </c>
      <c r="O2153" t="s">
        <v>27</v>
      </c>
      <c r="S2153" s="3">
        <v>1300</v>
      </c>
      <c r="T2153" s="2">
        <v>7359.5224609375</v>
      </c>
      <c r="U2153" s="2">
        <v>8345.9709731302646</v>
      </c>
      <c r="V2153" s="2">
        <v>7861.3956763270526</v>
      </c>
      <c r="W2153" s="2">
        <v>8478.4892578125</v>
      </c>
      <c r="X2153" s="4">
        <f t="shared" si="132"/>
        <v>0.17664189584311674</v>
      </c>
      <c r="Y2153" s="4">
        <f t="shared" si="133"/>
        <v>0.15576378161214932</v>
      </c>
      <c r="Z2153" s="4">
        <f t="shared" si="134"/>
        <v>0.16536503866796551</v>
      </c>
      <c r="AA2153" s="4">
        <f t="shared" si="135"/>
        <v>0.15332920293578431</v>
      </c>
    </row>
    <row r="2154" spans="1:27" x14ac:dyDescent="0.3">
      <c r="A2154" t="s">
        <v>623</v>
      </c>
      <c r="B2154">
        <v>388233</v>
      </c>
      <c r="C2154">
        <v>2012</v>
      </c>
      <c r="D2154" t="s">
        <v>34</v>
      </c>
      <c r="E2154" t="s">
        <v>116</v>
      </c>
      <c r="F2154">
        <v>6</v>
      </c>
      <c r="G2154" t="s">
        <v>22</v>
      </c>
      <c r="H2154">
        <v>4</v>
      </c>
      <c r="I2154" t="s">
        <v>23</v>
      </c>
      <c r="J2154" t="s">
        <v>37</v>
      </c>
      <c r="K2154" t="s">
        <v>27</v>
      </c>
      <c r="L2154" t="s">
        <v>38</v>
      </c>
      <c r="M2154" t="s">
        <v>33</v>
      </c>
      <c r="N2154">
        <v>2.9</v>
      </c>
      <c r="O2154" t="s">
        <v>27</v>
      </c>
      <c r="S2154" s="3">
        <v>2200</v>
      </c>
      <c r="T2154" s="2">
        <v>2020.233276367188</v>
      </c>
      <c r="U2154" s="2">
        <v>1480.649817322668</v>
      </c>
      <c r="V2154" s="2">
        <v>287.32722587810531</v>
      </c>
      <c r="W2154" s="2">
        <v>1635.956665039062</v>
      </c>
      <c r="X2154" s="4">
        <f t="shared" si="132"/>
        <v>1.0889831514685626</v>
      </c>
      <c r="Y2154" s="4">
        <f t="shared" si="133"/>
        <v>1.4858341076069366</v>
      </c>
      <c r="Z2154" s="4">
        <f t="shared" si="134"/>
        <v>7.6567752786967711</v>
      </c>
      <c r="AA2154" s="4">
        <f t="shared" si="135"/>
        <v>1.3447788972744399</v>
      </c>
    </row>
    <row r="2155" spans="1:27" x14ac:dyDescent="0.3">
      <c r="A2155" t="s">
        <v>623</v>
      </c>
      <c r="B2155">
        <v>309877</v>
      </c>
      <c r="C2155">
        <v>1999</v>
      </c>
      <c r="D2155" t="s">
        <v>40</v>
      </c>
      <c r="E2155" t="s">
        <v>371</v>
      </c>
      <c r="F2155">
        <v>8</v>
      </c>
      <c r="G2155" t="s">
        <v>47</v>
      </c>
      <c r="H2155">
        <v>3</v>
      </c>
      <c r="I2155" t="s">
        <v>23</v>
      </c>
      <c r="J2155" t="s">
        <v>113</v>
      </c>
      <c r="L2155" t="s">
        <v>84</v>
      </c>
      <c r="M2155" t="s">
        <v>78</v>
      </c>
      <c r="N2155">
        <v>1.9</v>
      </c>
      <c r="O2155" t="s">
        <v>27</v>
      </c>
      <c r="S2155" s="3">
        <v>500</v>
      </c>
      <c r="T2155" s="2">
        <v>1456.923828125</v>
      </c>
      <c r="U2155" s="2">
        <v>10077.798769894909</v>
      </c>
      <c r="V2155" s="2">
        <v>2147.4891274849429</v>
      </c>
      <c r="W2155" s="2">
        <v>3209.127685546875</v>
      </c>
      <c r="X2155" s="4">
        <f t="shared" si="132"/>
        <v>0.34318884100034186</v>
      </c>
      <c r="Y2155" s="4">
        <f t="shared" si="133"/>
        <v>4.9614009112151976E-2</v>
      </c>
      <c r="Z2155" s="4">
        <f t="shared" si="134"/>
        <v>0.23283004956843759</v>
      </c>
      <c r="AA2155" s="4">
        <f t="shared" si="135"/>
        <v>0.15580557989383767</v>
      </c>
    </row>
    <row r="2156" spans="1:27" x14ac:dyDescent="0.3">
      <c r="A2156" t="s">
        <v>623</v>
      </c>
      <c r="B2156">
        <v>169185</v>
      </c>
      <c r="C2156">
        <v>2018</v>
      </c>
      <c r="D2156" t="s">
        <v>44</v>
      </c>
      <c r="E2156" t="s">
        <v>176</v>
      </c>
      <c r="F2156">
        <v>4</v>
      </c>
      <c r="G2156" t="s">
        <v>36</v>
      </c>
      <c r="H2156">
        <v>4</v>
      </c>
      <c r="I2156" t="s">
        <v>23</v>
      </c>
      <c r="J2156" t="s">
        <v>62</v>
      </c>
      <c r="L2156" t="s">
        <v>96</v>
      </c>
      <c r="M2156" t="s">
        <v>23</v>
      </c>
      <c r="N2156">
        <v>3.4</v>
      </c>
      <c r="O2156" t="s">
        <v>27</v>
      </c>
      <c r="S2156" s="3">
        <v>3750</v>
      </c>
      <c r="T2156" s="2">
        <v>6601.34228515625</v>
      </c>
      <c r="U2156" s="2">
        <v>5615.0910492566127</v>
      </c>
      <c r="V2156" s="2">
        <v>3466.7489323212608</v>
      </c>
      <c r="W2156" s="2">
        <v>5615.22314453125</v>
      </c>
      <c r="X2156" s="4">
        <f t="shared" si="132"/>
        <v>0.56806628682657978</v>
      </c>
      <c r="Y2156" s="4">
        <f t="shared" si="133"/>
        <v>0.66784313328213374</v>
      </c>
      <c r="Z2156" s="4">
        <f t="shared" si="134"/>
        <v>1.0817050998524662</v>
      </c>
      <c r="AA2156" s="4">
        <f t="shared" si="135"/>
        <v>0.66782742261136696</v>
      </c>
    </row>
    <row r="2157" spans="1:27" x14ac:dyDescent="0.3">
      <c r="A2157" t="s">
        <v>623</v>
      </c>
      <c r="B2157">
        <v>97826</v>
      </c>
      <c r="C2157">
        <v>2018</v>
      </c>
      <c r="D2157" t="s">
        <v>54</v>
      </c>
      <c r="E2157" t="s">
        <v>275</v>
      </c>
      <c r="F2157">
        <v>4</v>
      </c>
      <c r="G2157" t="s">
        <v>30</v>
      </c>
      <c r="H2157">
        <v>4</v>
      </c>
      <c r="I2157" t="s">
        <v>23</v>
      </c>
      <c r="J2157" t="s">
        <v>24</v>
      </c>
      <c r="L2157" t="s">
        <v>60</v>
      </c>
      <c r="M2157" t="s">
        <v>33</v>
      </c>
      <c r="N2157">
        <v>3.1</v>
      </c>
      <c r="O2157" t="s">
        <v>39</v>
      </c>
      <c r="S2157" s="3">
        <v>5200</v>
      </c>
      <c r="T2157" s="2">
        <v>9142.2431640625</v>
      </c>
      <c r="U2157" s="2">
        <v>7723.7644740161704</v>
      </c>
      <c r="V2157" s="2">
        <v>5788.195366889433</v>
      </c>
      <c r="W2157" s="2">
        <v>7969.60693359375</v>
      </c>
      <c r="X2157" s="4">
        <f t="shared" si="132"/>
        <v>0.56878819636310107</v>
      </c>
      <c r="Y2157" s="4">
        <f t="shared" si="133"/>
        <v>0.67324683675862085</v>
      </c>
      <c r="Z2157" s="4">
        <f t="shared" si="134"/>
        <v>0.89838018076339943</v>
      </c>
      <c r="AA2157" s="4">
        <f t="shared" si="135"/>
        <v>0.65247885414282958</v>
      </c>
    </row>
    <row r="2158" spans="1:27" x14ac:dyDescent="0.3">
      <c r="A2158" t="s">
        <v>623</v>
      </c>
      <c r="B2158">
        <v>179675</v>
      </c>
      <c r="C2158">
        <v>2008</v>
      </c>
      <c r="D2158" t="s">
        <v>239</v>
      </c>
      <c r="E2158" t="s">
        <v>304</v>
      </c>
      <c r="F2158">
        <v>6</v>
      </c>
      <c r="G2158" t="s">
        <v>99</v>
      </c>
      <c r="H2158">
        <v>4</v>
      </c>
      <c r="I2158" t="s">
        <v>23</v>
      </c>
      <c r="J2158" t="s">
        <v>24</v>
      </c>
      <c r="L2158" t="s">
        <v>218</v>
      </c>
      <c r="M2158" t="s">
        <v>23</v>
      </c>
      <c r="N2158">
        <v>3.3</v>
      </c>
      <c r="O2158" t="s">
        <v>27</v>
      </c>
      <c r="S2158" s="3">
        <v>1300</v>
      </c>
      <c r="T2158" s="2">
        <v>2451.31982421875</v>
      </c>
      <c r="U2158" s="2">
        <v>1829.965593547631</v>
      </c>
      <c r="V2158" s="2">
        <v>2097.2402489802148</v>
      </c>
      <c r="W2158" s="2">
        <v>2094.905517578125</v>
      </c>
      <c r="X2158" s="4">
        <f t="shared" si="132"/>
        <v>0.53032655598676015</v>
      </c>
      <c r="Y2158" s="4">
        <f t="shared" si="133"/>
        <v>0.71039587005555527</v>
      </c>
      <c r="Z2158" s="4">
        <f t="shared" si="134"/>
        <v>0.61986222161820814</v>
      </c>
      <c r="AA2158" s="4">
        <f t="shared" si="135"/>
        <v>0.62055304599269079</v>
      </c>
    </row>
    <row r="2159" spans="1:27" x14ac:dyDescent="0.3">
      <c r="A2159" t="s">
        <v>623</v>
      </c>
      <c r="B2159">
        <v>22393</v>
      </c>
      <c r="C2159">
        <v>2013</v>
      </c>
      <c r="D2159" t="s">
        <v>40</v>
      </c>
      <c r="E2159" t="s">
        <v>496</v>
      </c>
      <c r="F2159">
        <v>4</v>
      </c>
      <c r="G2159" t="s">
        <v>66</v>
      </c>
      <c r="H2159">
        <v>4</v>
      </c>
      <c r="I2159" t="s">
        <v>23</v>
      </c>
      <c r="J2159" t="s">
        <v>31</v>
      </c>
      <c r="K2159" t="s">
        <v>27</v>
      </c>
      <c r="L2159" t="s">
        <v>32</v>
      </c>
      <c r="M2159" t="s">
        <v>33</v>
      </c>
      <c r="N2159">
        <v>3.3</v>
      </c>
      <c r="O2159" t="s">
        <v>27</v>
      </c>
      <c r="S2159" s="3">
        <v>1800</v>
      </c>
      <c r="T2159" s="2">
        <v>7776.4013671875</v>
      </c>
      <c r="U2159" s="2">
        <v>7381.8911998119811</v>
      </c>
      <c r="V2159" s="2">
        <v>2880.580235425005</v>
      </c>
      <c r="W2159" s="2">
        <v>4502.37158203125</v>
      </c>
      <c r="X2159" s="4">
        <f t="shared" si="132"/>
        <v>0.23146953391514669</v>
      </c>
      <c r="Y2159" s="4">
        <f t="shared" si="133"/>
        <v>0.2438399525647095</v>
      </c>
      <c r="Z2159" s="4">
        <f t="shared" si="134"/>
        <v>0.62487410621784867</v>
      </c>
      <c r="AA2159" s="4">
        <f t="shared" si="135"/>
        <v>0.39978930374909838</v>
      </c>
    </row>
    <row r="2160" spans="1:27" x14ac:dyDescent="0.3">
      <c r="A2160" t="s">
        <v>623</v>
      </c>
      <c r="B2160">
        <v>188827</v>
      </c>
      <c r="C2160">
        <v>2011</v>
      </c>
      <c r="D2160" t="s">
        <v>100</v>
      </c>
      <c r="E2160" t="s">
        <v>101</v>
      </c>
      <c r="F2160">
        <v>4</v>
      </c>
      <c r="G2160" t="s">
        <v>30</v>
      </c>
      <c r="H2160">
        <v>4</v>
      </c>
      <c r="I2160" t="s">
        <v>23</v>
      </c>
      <c r="J2160" t="s">
        <v>31</v>
      </c>
      <c r="K2160" t="s">
        <v>27</v>
      </c>
      <c r="L2160" t="s">
        <v>102</v>
      </c>
      <c r="M2160" t="s">
        <v>33</v>
      </c>
      <c r="N2160">
        <v>3</v>
      </c>
      <c r="O2160" t="s">
        <v>27</v>
      </c>
      <c r="S2160" s="3">
        <v>1400</v>
      </c>
      <c r="T2160" s="2">
        <v>1111.88232421875</v>
      </c>
      <c r="U2160" s="2">
        <v>1528.615626431299</v>
      </c>
      <c r="V2160" s="2">
        <v>2495.841972206606</v>
      </c>
      <c r="W2160" s="2">
        <v>1688.461547851562</v>
      </c>
      <c r="X2160" s="4">
        <f t="shared" si="132"/>
        <v>1.2591260509368132</v>
      </c>
      <c r="Y2160" s="4">
        <f t="shared" si="133"/>
        <v>0.91586136880494629</v>
      </c>
      <c r="Z2160" s="4">
        <f t="shared" si="134"/>
        <v>0.56093294991839648</v>
      </c>
      <c r="AA2160" s="4">
        <f t="shared" si="135"/>
        <v>0.8291571707874501</v>
      </c>
    </row>
    <row r="2161" spans="1:27" x14ac:dyDescent="0.3">
      <c r="A2161" t="s">
        <v>648</v>
      </c>
      <c r="B2161">
        <v>17247</v>
      </c>
      <c r="C2161">
        <v>2023</v>
      </c>
      <c r="D2161" t="s">
        <v>44</v>
      </c>
      <c r="E2161" t="s">
        <v>276</v>
      </c>
      <c r="F2161">
        <v>6</v>
      </c>
      <c r="G2161" t="s">
        <v>47</v>
      </c>
      <c r="H2161">
        <v>3</v>
      </c>
      <c r="I2161" t="s">
        <v>23</v>
      </c>
      <c r="J2161" t="s">
        <v>197</v>
      </c>
      <c r="L2161" t="s">
        <v>38</v>
      </c>
      <c r="M2161" t="s">
        <v>78</v>
      </c>
      <c r="N2161">
        <v>2.7</v>
      </c>
      <c r="O2161" t="s">
        <v>27</v>
      </c>
      <c r="S2161" s="3">
        <v>25800</v>
      </c>
      <c r="T2161" s="2">
        <v>32962.1484375</v>
      </c>
      <c r="U2161" s="2">
        <v>46990.987172209869</v>
      </c>
      <c r="V2161" s="2">
        <v>37067.790274969462</v>
      </c>
      <c r="W2161" s="2">
        <v>46604.99609375</v>
      </c>
      <c r="X2161" s="4">
        <f t="shared" si="132"/>
        <v>0.78271597037795482</v>
      </c>
      <c r="Y2161" s="4">
        <f t="shared" si="133"/>
        <v>0.54904145566147911</v>
      </c>
      <c r="Z2161" s="4">
        <f t="shared" si="134"/>
        <v>0.69602206682985923</v>
      </c>
      <c r="AA2161" s="4">
        <f t="shared" si="135"/>
        <v>0.55358871714313762</v>
      </c>
    </row>
    <row r="2162" spans="1:27" x14ac:dyDescent="0.3">
      <c r="A2162" t="s">
        <v>135</v>
      </c>
      <c r="B2162">
        <v>47737</v>
      </c>
      <c r="C2162">
        <v>2021</v>
      </c>
      <c r="D2162" t="s">
        <v>44</v>
      </c>
      <c r="E2162" t="s">
        <v>45</v>
      </c>
      <c r="F2162">
        <v>6</v>
      </c>
      <c r="G2162" t="s">
        <v>66</v>
      </c>
      <c r="H2162">
        <v>4</v>
      </c>
      <c r="I2162" t="s">
        <v>23</v>
      </c>
      <c r="J2162" t="s">
        <v>46</v>
      </c>
      <c r="K2162" t="s">
        <v>27</v>
      </c>
      <c r="L2162" t="s">
        <v>38</v>
      </c>
      <c r="M2162">
        <v>4</v>
      </c>
      <c r="N2162">
        <v>0</v>
      </c>
      <c r="O2162" t="s">
        <v>27</v>
      </c>
      <c r="S2162" s="3">
        <v>27800</v>
      </c>
      <c r="T2162" s="2">
        <v>33864.90234375</v>
      </c>
      <c r="U2162" s="2">
        <v>38648.837153550223</v>
      </c>
      <c r="V2162" s="2">
        <v>40269.329919699398</v>
      </c>
      <c r="W2162" s="2">
        <v>36275.10546875</v>
      </c>
      <c r="X2162" s="4">
        <f t="shared" si="132"/>
        <v>0.82090890792515991</v>
      </c>
      <c r="Y2162" s="4">
        <f t="shared" si="133"/>
        <v>0.71929719100090272</v>
      </c>
      <c r="Z2162" s="4">
        <f t="shared" si="134"/>
        <v>0.69035169086338555</v>
      </c>
      <c r="AA2162" s="4">
        <f t="shared" si="135"/>
        <v>0.76636579386237569</v>
      </c>
    </row>
    <row r="2163" spans="1:27" x14ac:dyDescent="0.3">
      <c r="A2163" t="s">
        <v>135</v>
      </c>
      <c r="B2163">
        <v>79726</v>
      </c>
      <c r="C2163">
        <v>2017</v>
      </c>
      <c r="D2163" t="s">
        <v>44</v>
      </c>
      <c r="E2163" t="s">
        <v>45</v>
      </c>
      <c r="F2163">
        <v>6</v>
      </c>
      <c r="G2163" t="s">
        <v>66</v>
      </c>
      <c r="H2163">
        <v>4</v>
      </c>
      <c r="I2163" t="s">
        <v>23</v>
      </c>
      <c r="J2163" t="s">
        <v>46</v>
      </c>
      <c r="K2163" t="s">
        <v>27</v>
      </c>
      <c r="L2163" t="s">
        <v>38</v>
      </c>
      <c r="M2163">
        <v>4</v>
      </c>
      <c r="N2163">
        <v>0</v>
      </c>
      <c r="O2163" t="s">
        <v>27</v>
      </c>
      <c r="S2163" s="3">
        <v>27000</v>
      </c>
      <c r="T2163" s="2">
        <v>19157.1484375</v>
      </c>
      <c r="U2163" s="2">
        <v>20478.878813638428</v>
      </c>
      <c r="V2163" s="2">
        <v>30578.959869925518</v>
      </c>
      <c r="W2163" s="2">
        <v>18120.88671875</v>
      </c>
      <c r="X2163" s="4">
        <f t="shared" si="132"/>
        <v>1.4093955626061583</v>
      </c>
      <c r="Y2163" s="4">
        <f t="shared" si="133"/>
        <v>1.3184315530994142</v>
      </c>
      <c r="Z2163" s="4">
        <f t="shared" si="134"/>
        <v>0.88296005210283712</v>
      </c>
      <c r="AA2163" s="4">
        <f t="shared" si="135"/>
        <v>1.4899933109819965</v>
      </c>
    </row>
    <row r="2164" spans="1:27" x14ac:dyDescent="0.3">
      <c r="A2164" t="s">
        <v>593</v>
      </c>
      <c r="B2164">
        <v>153562</v>
      </c>
      <c r="C2164">
        <v>2019</v>
      </c>
      <c r="D2164" t="s">
        <v>28</v>
      </c>
      <c r="E2164" t="s">
        <v>137</v>
      </c>
      <c r="F2164">
        <v>4</v>
      </c>
      <c r="G2164" t="s">
        <v>47</v>
      </c>
      <c r="H2164">
        <v>4</v>
      </c>
      <c r="I2164" t="s">
        <v>23</v>
      </c>
      <c r="J2164" t="s">
        <v>31</v>
      </c>
      <c r="K2164" t="s">
        <v>27</v>
      </c>
      <c r="L2164" t="s">
        <v>127</v>
      </c>
      <c r="M2164" t="s">
        <v>33</v>
      </c>
      <c r="N2164">
        <v>3.6</v>
      </c>
      <c r="O2164" t="s">
        <v>27</v>
      </c>
      <c r="S2164" s="3">
        <v>6500</v>
      </c>
      <c r="T2164" s="2">
        <v>10201.431640625</v>
      </c>
      <c r="U2164" s="2">
        <v>10429.022829605579</v>
      </c>
      <c r="V2164" s="2">
        <v>9811.2665116712124</v>
      </c>
      <c r="W2164" s="2">
        <v>12533.0556640625</v>
      </c>
      <c r="X2164" s="4">
        <f t="shared" si="132"/>
        <v>0.63716547137513058</v>
      </c>
      <c r="Y2164" s="4">
        <f t="shared" si="133"/>
        <v>0.62326069337464729</v>
      </c>
      <c r="Z2164" s="4">
        <f t="shared" si="134"/>
        <v>0.66250366272975858</v>
      </c>
      <c r="AA2164" s="4">
        <f t="shared" si="135"/>
        <v>0.51862851121280917</v>
      </c>
    </row>
    <row r="2165" spans="1:27" x14ac:dyDescent="0.3">
      <c r="A2165" t="s">
        <v>593</v>
      </c>
      <c r="B2165">
        <v>262152</v>
      </c>
      <c r="C2165">
        <v>2016</v>
      </c>
      <c r="D2165" t="s">
        <v>28</v>
      </c>
      <c r="E2165" t="s">
        <v>137</v>
      </c>
      <c r="F2165">
        <v>4</v>
      </c>
      <c r="G2165" t="s">
        <v>30</v>
      </c>
      <c r="H2165">
        <v>4</v>
      </c>
      <c r="I2165" t="s">
        <v>23</v>
      </c>
      <c r="J2165" t="s">
        <v>31</v>
      </c>
      <c r="K2165" t="s">
        <v>27</v>
      </c>
      <c r="L2165" t="s">
        <v>60</v>
      </c>
      <c r="M2165" t="s">
        <v>33</v>
      </c>
      <c r="N2165">
        <v>1</v>
      </c>
      <c r="O2165" t="s">
        <v>199</v>
      </c>
      <c r="S2165" s="3">
        <v>1550</v>
      </c>
      <c r="T2165" s="2">
        <v>3483.4189453125</v>
      </c>
      <c r="U2165" s="2">
        <v>2831.0968643521428</v>
      </c>
      <c r="V2165" s="2">
        <v>2204.0182902906331</v>
      </c>
      <c r="W2165" s="2">
        <v>3982.31396484375</v>
      </c>
      <c r="X2165" s="4">
        <f t="shared" si="132"/>
        <v>0.44496514037904461</v>
      </c>
      <c r="Y2165" s="4">
        <f t="shared" si="133"/>
        <v>0.54749098115182149</v>
      </c>
      <c r="Z2165" s="4">
        <f t="shared" si="134"/>
        <v>0.70326095152123669</v>
      </c>
      <c r="AA2165" s="4">
        <f t="shared" si="135"/>
        <v>0.38922094382400502</v>
      </c>
    </row>
    <row r="2166" spans="1:27" x14ac:dyDescent="0.3">
      <c r="A2166" t="s">
        <v>595</v>
      </c>
      <c r="B2166">
        <v>139</v>
      </c>
      <c r="C2166">
        <v>2023</v>
      </c>
      <c r="D2166" t="s">
        <v>44</v>
      </c>
      <c r="E2166" t="s">
        <v>276</v>
      </c>
      <c r="F2166">
        <v>6</v>
      </c>
      <c r="G2166" t="s">
        <v>47</v>
      </c>
      <c r="H2166">
        <v>3</v>
      </c>
      <c r="I2166" t="s">
        <v>23</v>
      </c>
      <c r="J2166" t="s">
        <v>197</v>
      </c>
      <c r="K2166" t="s">
        <v>25</v>
      </c>
      <c r="L2166" t="s">
        <v>38</v>
      </c>
      <c r="M2166" t="s">
        <v>78</v>
      </c>
      <c r="N2166">
        <v>4.7</v>
      </c>
      <c r="O2166" t="s">
        <v>27</v>
      </c>
      <c r="S2166" s="3">
        <v>48750</v>
      </c>
      <c r="T2166" s="2">
        <v>49192.796875</v>
      </c>
      <c r="U2166" s="2">
        <v>52772.698395655469</v>
      </c>
      <c r="V2166" s="2">
        <v>46490.257044622071</v>
      </c>
      <c r="W2166" s="2">
        <v>58443.43359375</v>
      </c>
      <c r="X2166" s="4">
        <f t="shared" si="132"/>
        <v>0.99099874568780555</v>
      </c>
      <c r="Y2166" s="4">
        <f t="shared" si="133"/>
        <v>0.92377311530488959</v>
      </c>
      <c r="Z2166" s="4">
        <f t="shared" si="134"/>
        <v>1.0486068070823742</v>
      </c>
      <c r="AA2166" s="4">
        <f t="shared" si="135"/>
        <v>0.83413990250588865</v>
      </c>
    </row>
    <row r="2167" spans="1:27" x14ac:dyDescent="0.3">
      <c r="A2167" t="s">
        <v>596</v>
      </c>
      <c r="B2167">
        <v>95376</v>
      </c>
      <c r="C2167">
        <v>2018</v>
      </c>
      <c r="D2167" t="s">
        <v>40</v>
      </c>
      <c r="E2167" t="s">
        <v>150</v>
      </c>
      <c r="F2167">
        <v>6</v>
      </c>
      <c r="G2167" t="s">
        <v>36</v>
      </c>
      <c r="H2167">
        <v>4</v>
      </c>
      <c r="I2167" t="s">
        <v>23</v>
      </c>
      <c r="J2167" t="s">
        <v>24</v>
      </c>
      <c r="K2167" t="s">
        <v>25</v>
      </c>
      <c r="L2167" t="s">
        <v>26</v>
      </c>
      <c r="M2167" t="s">
        <v>23</v>
      </c>
      <c r="N2167">
        <v>2.8</v>
      </c>
      <c r="O2167" t="s">
        <v>27</v>
      </c>
      <c r="S2167" s="3">
        <v>9200</v>
      </c>
      <c r="T2167" s="2">
        <v>11380.7412109375</v>
      </c>
      <c r="U2167" s="2">
        <v>15074.33401237675</v>
      </c>
      <c r="V2167" s="2">
        <v>13343.348362756969</v>
      </c>
      <c r="W2167" s="2">
        <v>12185.3134765625</v>
      </c>
      <c r="X2167" s="4">
        <f t="shared" si="132"/>
        <v>0.80838320013447884</v>
      </c>
      <c r="Y2167" s="4">
        <f t="shared" si="133"/>
        <v>0.61030888611373213</v>
      </c>
      <c r="Z2167" s="4">
        <f t="shared" si="134"/>
        <v>0.68948211122767378</v>
      </c>
      <c r="AA2167" s="4">
        <f t="shared" si="135"/>
        <v>0.75500724849594414</v>
      </c>
    </row>
    <row r="2168" spans="1:27" x14ac:dyDescent="0.3">
      <c r="A2168" t="s">
        <v>596</v>
      </c>
      <c r="B2168">
        <v>20607</v>
      </c>
      <c r="C2168">
        <v>2023</v>
      </c>
      <c r="D2168" t="s">
        <v>40</v>
      </c>
      <c r="E2168" t="s">
        <v>371</v>
      </c>
      <c r="F2168">
        <v>6</v>
      </c>
      <c r="G2168" t="s">
        <v>47</v>
      </c>
      <c r="H2168">
        <v>3</v>
      </c>
      <c r="I2168" t="s">
        <v>23</v>
      </c>
      <c r="J2168" t="s">
        <v>113</v>
      </c>
      <c r="K2168" t="s">
        <v>25</v>
      </c>
      <c r="L2168" t="s">
        <v>308</v>
      </c>
      <c r="M2168" t="s">
        <v>78</v>
      </c>
      <c r="N2168">
        <v>3.7</v>
      </c>
      <c r="O2168" t="s">
        <v>27</v>
      </c>
      <c r="S2168" s="3">
        <v>26200</v>
      </c>
      <c r="T2168" s="2">
        <v>35828.71484375</v>
      </c>
      <c r="U2168" s="2">
        <v>44080.534170254366</v>
      </c>
      <c r="V2168" s="2">
        <v>31382.066623056289</v>
      </c>
      <c r="W2168" s="2">
        <v>39672.14453125</v>
      </c>
      <c r="X2168" s="4">
        <f t="shared" si="132"/>
        <v>0.73125704101469768</v>
      </c>
      <c r="Y2168" s="4">
        <f t="shared" si="133"/>
        <v>0.59436666304465546</v>
      </c>
      <c r="Z2168" s="4">
        <f t="shared" si="134"/>
        <v>0.83487172195189197</v>
      </c>
      <c r="AA2168" s="4">
        <f t="shared" si="135"/>
        <v>0.6604130003449169</v>
      </c>
    </row>
    <row r="2169" spans="1:27" x14ac:dyDescent="0.3">
      <c r="A2169" t="s">
        <v>596</v>
      </c>
      <c r="B2169">
        <v>133574</v>
      </c>
      <c r="C2169">
        <v>2009</v>
      </c>
      <c r="D2169" t="s">
        <v>187</v>
      </c>
      <c r="E2169" t="s">
        <v>411</v>
      </c>
      <c r="F2169">
        <v>4</v>
      </c>
      <c r="G2169" t="s">
        <v>56</v>
      </c>
      <c r="H2169">
        <v>4</v>
      </c>
      <c r="I2169" t="s">
        <v>23</v>
      </c>
      <c r="J2169" t="s">
        <v>52</v>
      </c>
      <c r="K2169" t="s">
        <v>25</v>
      </c>
      <c r="L2169" t="s">
        <v>102</v>
      </c>
      <c r="M2169" t="s">
        <v>23</v>
      </c>
      <c r="N2169">
        <v>2.7</v>
      </c>
      <c r="O2169" t="s">
        <v>27</v>
      </c>
      <c r="S2169" s="3">
        <v>3300</v>
      </c>
      <c r="T2169" s="2">
        <v>2287.26416015625</v>
      </c>
      <c r="U2169" s="2">
        <v>2523.1517587786152</v>
      </c>
      <c r="V2169" s="2">
        <v>2583.406330263922</v>
      </c>
      <c r="W2169" s="2">
        <v>2652.55712890625</v>
      </c>
      <c r="X2169" s="4">
        <f t="shared" si="132"/>
        <v>1.4427716996949609</v>
      </c>
      <c r="Y2169" s="4">
        <f t="shared" si="133"/>
        <v>1.3078880366662664</v>
      </c>
      <c r="Z2169" s="4">
        <f t="shared" si="134"/>
        <v>1.2773832599778721</v>
      </c>
      <c r="AA2169" s="4">
        <f t="shared" si="135"/>
        <v>1.2440825360699075</v>
      </c>
    </row>
    <row r="2170" spans="1:27" x14ac:dyDescent="0.3">
      <c r="A2170" t="s">
        <v>596</v>
      </c>
      <c r="B2170">
        <v>230524</v>
      </c>
      <c r="C2170">
        <v>2017</v>
      </c>
      <c r="D2170" t="s">
        <v>20</v>
      </c>
      <c r="E2170" t="s">
        <v>154</v>
      </c>
      <c r="F2170">
        <v>4</v>
      </c>
      <c r="G2170" t="s">
        <v>36</v>
      </c>
      <c r="H2170">
        <v>4</v>
      </c>
      <c r="I2170" t="s">
        <v>23</v>
      </c>
      <c r="J2170" t="s">
        <v>24</v>
      </c>
      <c r="K2170" t="s">
        <v>25</v>
      </c>
      <c r="L2170" t="s">
        <v>102</v>
      </c>
      <c r="M2170" t="s">
        <v>23</v>
      </c>
      <c r="N2170">
        <v>3.1</v>
      </c>
      <c r="O2170" t="s">
        <v>27</v>
      </c>
      <c r="S2170" s="3">
        <v>3400</v>
      </c>
      <c r="T2170" s="2">
        <v>5328.55517578125</v>
      </c>
      <c r="U2170" s="2">
        <v>4564.5060208041314</v>
      </c>
      <c r="V2170" s="2">
        <v>3833.5053805377861</v>
      </c>
      <c r="W2170" s="2">
        <v>4882.0869140625</v>
      </c>
      <c r="X2170" s="4">
        <f t="shared" si="132"/>
        <v>0.63807165128988397</v>
      </c>
      <c r="Y2170" s="4">
        <f t="shared" si="133"/>
        <v>0.74487797463810124</v>
      </c>
      <c r="Z2170" s="4">
        <f t="shared" si="134"/>
        <v>0.88691671525005877</v>
      </c>
      <c r="AA2170" s="4">
        <f t="shared" si="135"/>
        <v>0.6964234885303956</v>
      </c>
    </row>
    <row r="2171" spans="1:27" x14ac:dyDescent="0.3">
      <c r="A2171" t="s">
        <v>623</v>
      </c>
      <c r="B2171">
        <v>152024</v>
      </c>
      <c r="C2171">
        <v>1988</v>
      </c>
      <c r="D2171" t="s">
        <v>324</v>
      </c>
      <c r="E2171" t="s">
        <v>649</v>
      </c>
      <c r="F2171">
        <v>8</v>
      </c>
      <c r="G2171" t="s">
        <v>47</v>
      </c>
      <c r="H2171">
        <v>4</v>
      </c>
      <c r="I2171" t="s">
        <v>23</v>
      </c>
      <c r="J2171" t="s">
        <v>650</v>
      </c>
      <c r="L2171" t="s">
        <v>134</v>
      </c>
      <c r="M2171" t="s">
        <v>78</v>
      </c>
      <c r="N2171">
        <v>2</v>
      </c>
      <c r="O2171" t="s">
        <v>199</v>
      </c>
      <c r="S2171" s="3">
        <v>350</v>
      </c>
      <c r="T2171" s="2">
        <v>1155.515747070312</v>
      </c>
      <c r="U2171" s="2">
        <v>9734.978020823939</v>
      </c>
      <c r="V2171" s="2">
        <v>1951.1993778651499</v>
      </c>
      <c r="W2171" s="2">
        <v>3931.3837890625</v>
      </c>
      <c r="X2171" s="4">
        <f t="shared" si="132"/>
        <v>0.30289505001328454</v>
      </c>
      <c r="Y2171" s="4">
        <f t="shared" si="133"/>
        <v>3.5952828989579688E-2</v>
      </c>
      <c r="Z2171" s="4">
        <f t="shared" si="134"/>
        <v>0.17937685096176215</v>
      </c>
      <c r="AA2171" s="4">
        <f t="shared" si="135"/>
        <v>8.902717688711409E-2</v>
      </c>
    </row>
    <row r="2172" spans="1:27" x14ac:dyDescent="0.3">
      <c r="A2172" t="s">
        <v>623</v>
      </c>
      <c r="B2172">
        <v>20373</v>
      </c>
      <c r="C2172">
        <v>2006</v>
      </c>
      <c r="D2172" t="s">
        <v>85</v>
      </c>
      <c r="E2172" t="s">
        <v>270</v>
      </c>
      <c r="F2172">
        <v>6</v>
      </c>
      <c r="G2172" t="s">
        <v>30</v>
      </c>
      <c r="H2172">
        <v>4</v>
      </c>
      <c r="I2172" t="s">
        <v>23</v>
      </c>
      <c r="J2172" t="s">
        <v>24</v>
      </c>
      <c r="L2172" t="s">
        <v>53</v>
      </c>
      <c r="M2172" t="s">
        <v>78</v>
      </c>
      <c r="N2172">
        <v>3.9</v>
      </c>
      <c r="O2172" t="s">
        <v>123</v>
      </c>
      <c r="S2172" s="3">
        <v>2300</v>
      </c>
      <c r="T2172" s="2">
        <v>11273.2734375</v>
      </c>
      <c r="U2172" s="2">
        <v>7006.3762577831149</v>
      </c>
      <c r="V2172" s="2">
        <v>-2676.1372237983142</v>
      </c>
      <c r="W2172" s="2">
        <v>8850.927734375</v>
      </c>
      <c r="X2172" s="4">
        <f t="shared" si="132"/>
        <v>0.20402237315996977</v>
      </c>
      <c r="Y2172" s="4">
        <f t="shared" si="133"/>
        <v>0.32827240721550149</v>
      </c>
      <c r="Z2172" s="4">
        <f t="shared" si="134"/>
        <v>-0.85944770677175797</v>
      </c>
      <c r="AA2172" s="4">
        <f t="shared" si="135"/>
        <v>0.25985976487722529</v>
      </c>
    </row>
    <row r="2173" spans="1:27" x14ac:dyDescent="0.3">
      <c r="A2173" t="s">
        <v>623</v>
      </c>
      <c r="B2173">
        <v>83736</v>
      </c>
      <c r="C2173">
        <v>2012</v>
      </c>
      <c r="D2173" t="s">
        <v>162</v>
      </c>
      <c r="E2173" t="s">
        <v>651</v>
      </c>
      <c r="F2173">
        <v>0</v>
      </c>
      <c r="G2173" t="s">
        <v>47</v>
      </c>
      <c r="H2173">
        <v>2</v>
      </c>
      <c r="I2173" t="s">
        <v>23</v>
      </c>
      <c r="J2173" t="s">
        <v>652</v>
      </c>
      <c r="M2173" t="s">
        <v>78</v>
      </c>
      <c r="N2173">
        <v>2.5</v>
      </c>
      <c r="O2173" t="s">
        <v>27</v>
      </c>
      <c r="S2173" s="3">
        <v>2100</v>
      </c>
      <c r="T2173" s="2">
        <v>11023.189453125</v>
      </c>
      <c r="U2173" s="2">
        <v>12410.968258017891</v>
      </c>
      <c r="V2173" s="2">
        <v>20427.380990883212</v>
      </c>
      <c r="W2173" s="2">
        <v>16827.455078125</v>
      </c>
      <c r="X2173" s="4">
        <f t="shared" si="132"/>
        <v>0.19050747598324769</v>
      </c>
      <c r="Y2173" s="4">
        <f t="shared" si="133"/>
        <v>0.16920517048646316</v>
      </c>
      <c r="Z2173" s="4">
        <f t="shared" si="134"/>
        <v>0.10280319346553701</v>
      </c>
      <c r="AA2173" s="4">
        <f t="shared" si="135"/>
        <v>0.12479605443902886</v>
      </c>
    </row>
    <row r="2174" spans="1:27" x14ac:dyDescent="0.3">
      <c r="A2174" t="s">
        <v>623</v>
      </c>
      <c r="B2174">
        <v>212518</v>
      </c>
      <c r="C2174">
        <v>2006</v>
      </c>
      <c r="D2174" t="s">
        <v>100</v>
      </c>
      <c r="E2174" t="s">
        <v>101</v>
      </c>
      <c r="F2174">
        <v>4</v>
      </c>
      <c r="G2174" t="s">
        <v>36</v>
      </c>
      <c r="H2174">
        <v>4</v>
      </c>
      <c r="I2174" t="s">
        <v>23</v>
      </c>
      <c r="J2174" t="s">
        <v>31</v>
      </c>
      <c r="L2174" t="s">
        <v>102</v>
      </c>
      <c r="M2174" t="s">
        <v>33</v>
      </c>
      <c r="N2174">
        <v>1.9</v>
      </c>
      <c r="O2174" t="s">
        <v>199</v>
      </c>
      <c r="S2174" s="3">
        <v>350</v>
      </c>
      <c r="T2174" s="2">
        <v>112.16705322265619</v>
      </c>
      <c r="U2174" s="2">
        <v>514.28650700480102</v>
      </c>
      <c r="V2174" s="2">
        <v>1918.786256959705</v>
      </c>
      <c r="W2174" s="2">
        <v>1049.195190429688</v>
      </c>
      <c r="X2174" s="4">
        <f t="shared" si="132"/>
        <v>3.1203458586474202</v>
      </c>
      <c r="Y2174" s="4">
        <f t="shared" si="133"/>
        <v>0.68055450655004768</v>
      </c>
      <c r="Z2174" s="4">
        <f t="shared" si="134"/>
        <v>0.18240697666584865</v>
      </c>
      <c r="AA2174" s="4">
        <f t="shared" si="135"/>
        <v>0.3335890244184791</v>
      </c>
    </row>
    <row r="2175" spans="1:27" x14ac:dyDescent="0.3">
      <c r="A2175" t="s">
        <v>623</v>
      </c>
      <c r="B2175">
        <v>129712</v>
      </c>
      <c r="C2175">
        <v>2005</v>
      </c>
      <c r="D2175" t="s">
        <v>373</v>
      </c>
      <c r="E2175" t="s">
        <v>653</v>
      </c>
      <c r="F2175">
        <v>8</v>
      </c>
      <c r="G2175" t="s">
        <v>30</v>
      </c>
      <c r="H2175">
        <v>4</v>
      </c>
      <c r="I2175" t="s">
        <v>23</v>
      </c>
      <c r="J2175" t="s">
        <v>31</v>
      </c>
      <c r="K2175" t="s">
        <v>27</v>
      </c>
      <c r="L2175" t="s">
        <v>149</v>
      </c>
      <c r="M2175" t="s">
        <v>78</v>
      </c>
      <c r="N2175">
        <v>2.5</v>
      </c>
      <c r="O2175" t="s">
        <v>199</v>
      </c>
      <c r="S2175" s="3">
        <v>350</v>
      </c>
      <c r="T2175" s="2">
        <v>390.38681030273438</v>
      </c>
      <c r="U2175" s="2">
        <v>599.59717685498072</v>
      </c>
      <c r="V2175" s="2">
        <v>-895.13068587802627</v>
      </c>
      <c r="W2175" s="2">
        <v>2287.43896484375</v>
      </c>
      <c r="X2175" s="4">
        <f t="shared" si="132"/>
        <v>0.89654668334871379</v>
      </c>
      <c r="Y2175" s="4">
        <f t="shared" si="133"/>
        <v>0.58372523005499644</v>
      </c>
      <c r="Z2175" s="4">
        <f t="shared" si="134"/>
        <v>-0.39100435894082652</v>
      </c>
      <c r="AA2175" s="4">
        <f t="shared" si="135"/>
        <v>0.15300954708704445</v>
      </c>
    </row>
    <row r="2176" spans="1:27" x14ac:dyDescent="0.3">
      <c r="A2176" t="s">
        <v>623</v>
      </c>
      <c r="B2176">
        <v>64426</v>
      </c>
      <c r="C2176">
        <v>2021</v>
      </c>
      <c r="D2176" t="s">
        <v>81</v>
      </c>
      <c r="E2176" t="s">
        <v>278</v>
      </c>
      <c r="F2176">
        <v>6</v>
      </c>
      <c r="G2176" t="s">
        <v>36</v>
      </c>
      <c r="H2176">
        <v>4</v>
      </c>
      <c r="I2176" t="s">
        <v>23</v>
      </c>
      <c r="J2176" t="s">
        <v>24</v>
      </c>
      <c r="L2176" t="s">
        <v>26</v>
      </c>
      <c r="M2176" t="s">
        <v>78</v>
      </c>
      <c r="N2176">
        <v>3.9</v>
      </c>
      <c r="O2176" t="s">
        <v>27</v>
      </c>
      <c r="S2176" s="3">
        <v>19400</v>
      </c>
      <c r="T2176" s="2">
        <v>26988.458984375</v>
      </c>
      <c r="U2176" s="2">
        <v>29174.621328699908</v>
      </c>
      <c r="V2176" s="2">
        <v>24009.00034606607</v>
      </c>
      <c r="W2176" s="2">
        <v>27877.84765625</v>
      </c>
      <c r="X2176" s="4">
        <f t="shared" si="132"/>
        <v>0.71882577701941608</v>
      </c>
      <c r="Y2176" s="4">
        <f t="shared" si="133"/>
        <v>0.66496150134828536</v>
      </c>
      <c r="Z2176" s="4">
        <f t="shared" si="134"/>
        <v>0.80803031031563688</v>
      </c>
      <c r="AA2176" s="4">
        <f t="shared" si="135"/>
        <v>0.69589303446999318</v>
      </c>
    </row>
    <row r="2177" spans="1:27" x14ac:dyDescent="0.3">
      <c r="A2177" t="s">
        <v>623</v>
      </c>
      <c r="B2177">
        <v>330649</v>
      </c>
      <c r="C2177">
        <v>2000</v>
      </c>
      <c r="D2177" t="s">
        <v>90</v>
      </c>
      <c r="E2177" t="s">
        <v>635</v>
      </c>
      <c r="F2177">
        <v>4</v>
      </c>
      <c r="G2177" t="s">
        <v>30</v>
      </c>
      <c r="H2177">
        <v>4</v>
      </c>
      <c r="I2177" t="s">
        <v>23</v>
      </c>
      <c r="J2177" t="s">
        <v>31</v>
      </c>
      <c r="K2177" t="s">
        <v>27</v>
      </c>
      <c r="L2177" t="s">
        <v>238</v>
      </c>
      <c r="M2177" t="s">
        <v>33</v>
      </c>
      <c r="N2177">
        <v>1.9</v>
      </c>
      <c r="O2177" t="s">
        <v>199</v>
      </c>
      <c r="S2177" s="3">
        <v>350</v>
      </c>
      <c r="T2177" s="2">
        <v>-256.91143798828119</v>
      </c>
      <c r="U2177" s="2">
        <v>-458.40640366969819</v>
      </c>
      <c r="V2177" s="2">
        <v>444.54231372127111</v>
      </c>
      <c r="W2177" s="2">
        <v>699.314453125</v>
      </c>
      <c r="X2177" s="4">
        <f t="shared" si="132"/>
        <v>-1.3623371646690365</v>
      </c>
      <c r="Y2177" s="4">
        <f t="shared" si="133"/>
        <v>-0.76351463940759057</v>
      </c>
      <c r="Z2177" s="4">
        <f t="shared" si="134"/>
        <v>0.78732662605308401</v>
      </c>
      <c r="AA2177" s="4">
        <f t="shared" si="135"/>
        <v>0.50049015637524474</v>
      </c>
    </row>
    <row r="2178" spans="1:27" x14ac:dyDescent="0.3">
      <c r="A2178" t="s">
        <v>623</v>
      </c>
      <c r="B2178">
        <v>166806</v>
      </c>
      <c r="C2178">
        <v>2005</v>
      </c>
      <c r="D2178" t="s">
        <v>396</v>
      </c>
      <c r="E2178" t="s">
        <v>397</v>
      </c>
      <c r="F2178">
        <v>6</v>
      </c>
      <c r="G2178" t="s">
        <v>36</v>
      </c>
      <c r="H2178">
        <v>4</v>
      </c>
      <c r="I2178" t="s">
        <v>23</v>
      </c>
      <c r="J2178" t="s">
        <v>24</v>
      </c>
      <c r="K2178" t="s">
        <v>27</v>
      </c>
      <c r="L2178" t="s">
        <v>53</v>
      </c>
      <c r="M2178">
        <v>4</v>
      </c>
      <c r="N2178">
        <v>2.2999999999999901</v>
      </c>
      <c r="O2178" t="s">
        <v>27</v>
      </c>
      <c r="S2178" s="3">
        <v>500</v>
      </c>
      <c r="T2178" s="2">
        <v>1196.451293945312</v>
      </c>
      <c r="U2178" s="2">
        <v>2217.9418508819581</v>
      </c>
      <c r="V2178" s="2">
        <v>602.55677396904321</v>
      </c>
      <c r="W2178" s="2">
        <v>1308.450561523438</v>
      </c>
      <c r="X2178" s="4">
        <f t="shared" ref="X2178:X2232" si="136">S2178/T2178</f>
        <v>0.41790251097580761</v>
      </c>
      <c r="Y2178" s="4">
        <f t="shared" ref="Y2178:Y2232" si="137">S2178/U2178</f>
        <v>0.22543422398615928</v>
      </c>
      <c r="Z2178" s="4">
        <f t="shared" ref="Z2178:Z2232" si="138">S2178/V2178</f>
        <v>0.82979732632744063</v>
      </c>
      <c r="AA2178" s="4">
        <f t="shared" ref="AA2178:AA2232" si="139">S2178/W2178</f>
        <v>0.38213136568021844</v>
      </c>
    </row>
    <row r="2179" spans="1:27" x14ac:dyDescent="0.3">
      <c r="A2179" t="s">
        <v>623</v>
      </c>
      <c r="B2179">
        <v>152727</v>
      </c>
      <c r="C2179">
        <v>2013</v>
      </c>
      <c r="D2179" t="s">
        <v>44</v>
      </c>
      <c r="E2179" t="s">
        <v>95</v>
      </c>
      <c r="F2179">
        <v>4</v>
      </c>
      <c r="G2179" t="s">
        <v>66</v>
      </c>
      <c r="H2179">
        <v>4</v>
      </c>
      <c r="I2179" t="s">
        <v>23</v>
      </c>
      <c r="J2179" t="s">
        <v>37</v>
      </c>
      <c r="K2179" t="s">
        <v>27</v>
      </c>
      <c r="L2179" t="s">
        <v>96</v>
      </c>
      <c r="M2179" t="s">
        <v>33</v>
      </c>
      <c r="N2179">
        <v>3.1</v>
      </c>
      <c r="O2179" t="s">
        <v>27</v>
      </c>
      <c r="S2179" s="3">
        <v>2500</v>
      </c>
      <c r="T2179" s="2">
        <v>2573.84228515625</v>
      </c>
      <c r="U2179" s="2">
        <v>1807.115665187674</v>
      </c>
      <c r="V2179" s="2">
        <v>2742.7682317821809</v>
      </c>
      <c r="W2179" s="2">
        <v>2045.113037109375</v>
      </c>
      <c r="X2179" s="4">
        <f t="shared" si="136"/>
        <v>0.97131048565713995</v>
      </c>
      <c r="Y2179" s="4">
        <f t="shared" si="137"/>
        <v>1.3834200257128355</v>
      </c>
      <c r="Z2179" s="4">
        <f t="shared" si="138"/>
        <v>0.91148787966512346</v>
      </c>
      <c r="AA2179" s="4">
        <f t="shared" si="139"/>
        <v>1.2224263180746118</v>
      </c>
    </row>
    <row r="2180" spans="1:27" x14ac:dyDescent="0.3">
      <c r="A2180" t="s">
        <v>623</v>
      </c>
      <c r="B2180">
        <v>229177</v>
      </c>
      <c r="C2180">
        <v>2012</v>
      </c>
      <c r="D2180" t="s">
        <v>44</v>
      </c>
      <c r="E2180" t="s">
        <v>68</v>
      </c>
      <c r="F2180">
        <v>6</v>
      </c>
      <c r="G2180" t="s">
        <v>66</v>
      </c>
      <c r="H2180">
        <v>4</v>
      </c>
      <c r="I2180" t="s">
        <v>23</v>
      </c>
      <c r="J2180" t="s">
        <v>62</v>
      </c>
      <c r="K2180" t="s">
        <v>27</v>
      </c>
      <c r="L2180" t="s">
        <v>38</v>
      </c>
      <c r="M2180" t="s">
        <v>33</v>
      </c>
      <c r="N2180">
        <v>2.9</v>
      </c>
      <c r="O2180" t="s">
        <v>27</v>
      </c>
      <c r="S2180" s="3">
        <v>1500</v>
      </c>
      <c r="T2180" s="2">
        <v>2120.50537109375</v>
      </c>
      <c r="U2180" s="2">
        <v>1814.666715617333</v>
      </c>
      <c r="V2180" s="2">
        <v>2265.1296732381602</v>
      </c>
      <c r="W2180" s="2">
        <v>2311.02490234375</v>
      </c>
      <c r="X2180" s="4">
        <f t="shared" si="136"/>
        <v>0.70737854308112635</v>
      </c>
      <c r="Y2180" s="4">
        <f t="shared" si="137"/>
        <v>0.82659806734247265</v>
      </c>
      <c r="Z2180" s="4">
        <f t="shared" si="138"/>
        <v>0.66221374331105987</v>
      </c>
      <c r="AA2180" s="4">
        <f t="shared" si="139"/>
        <v>0.64906267279022367</v>
      </c>
    </row>
    <row r="2181" spans="1:27" x14ac:dyDescent="0.3">
      <c r="A2181" t="s">
        <v>623</v>
      </c>
      <c r="B2181">
        <v>185830</v>
      </c>
      <c r="C2181">
        <v>2017</v>
      </c>
      <c r="D2181" t="s">
        <v>40</v>
      </c>
      <c r="E2181" t="s">
        <v>654</v>
      </c>
      <c r="F2181">
        <v>4</v>
      </c>
      <c r="G2181" t="s">
        <v>66</v>
      </c>
      <c r="H2181">
        <v>4</v>
      </c>
      <c r="I2181" t="s">
        <v>23</v>
      </c>
      <c r="J2181" t="s">
        <v>31</v>
      </c>
      <c r="K2181" t="s">
        <v>27</v>
      </c>
      <c r="L2181" t="s">
        <v>107</v>
      </c>
      <c r="M2181" t="s">
        <v>33</v>
      </c>
      <c r="N2181">
        <v>3.3</v>
      </c>
      <c r="O2181" t="s">
        <v>27</v>
      </c>
      <c r="S2181" s="3">
        <v>2500</v>
      </c>
      <c r="T2181" s="2">
        <v>4019.530517578125</v>
      </c>
      <c r="U2181" s="2">
        <v>3598.264362176747</v>
      </c>
      <c r="V2181" s="2">
        <v>2689.3783036162999</v>
      </c>
      <c r="W2181" s="2">
        <v>3355.39892578125</v>
      </c>
      <c r="X2181" s="4">
        <f t="shared" si="136"/>
        <v>0.62196318427414676</v>
      </c>
      <c r="Y2181" s="4">
        <f t="shared" si="137"/>
        <v>0.69477941261871068</v>
      </c>
      <c r="Z2181" s="4">
        <f t="shared" si="138"/>
        <v>0.92958286925954203</v>
      </c>
      <c r="AA2181" s="4">
        <f t="shared" si="139"/>
        <v>0.74506789067351087</v>
      </c>
    </row>
    <row r="2182" spans="1:27" x14ac:dyDescent="0.3">
      <c r="A2182" t="s">
        <v>623</v>
      </c>
      <c r="B2182">
        <v>107274</v>
      </c>
      <c r="C2182">
        <v>2017</v>
      </c>
      <c r="D2182" t="s">
        <v>28</v>
      </c>
      <c r="E2182" t="s">
        <v>220</v>
      </c>
      <c r="F2182">
        <v>6</v>
      </c>
      <c r="G2182" t="s">
        <v>36</v>
      </c>
      <c r="H2182">
        <v>4</v>
      </c>
      <c r="I2182" t="s">
        <v>23</v>
      </c>
      <c r="J2182" t="s">
        <v>24</v>
      </c>
      <c r="K2182" t="s">
        <v>27</v>
      </c>
      <c r="L2182" t="s">
        <v>53</v>
      </c>
      <c r="M2182" t="s">
        <v>23</v>
      </c>
      <c r="N2182">
        <v>3.3</v>
      </c>
      <c r="O2182" t="s">
        <v>27</v>
      </c>
      <c r="S2182" s="3">
        <v>15100</v>
      </c>
      <c r="T2182" s="2">
        <v>13221.23046875</v>
      </c>
      <c r="U2182" s="2">
        <v>13355.0910883822</v>
      </c>
      <c r="V2182" s="2">
        <v>12433.09862020617</v>
      </c>
      <c r="W2182" s="2">
        <v>13349.7802734375</v>
      </c>
      <c r="X2182" s="4">
        <f t="shared" si="136"/>
        <v>1.1421024719061288</v>
      </c>
      <c r="Y2182" s="4">
        <f t="shared" si="137"/>
        <v>1.1306549614727617</v>
      </c>
      <c r="Z2182" s="4">
        <f t="shared" si="138"/>
        <v>1.2145001388036609</v>
      </c>
      <c r="AA2182" s="4">
        <f t="shared" si="139"/>
        <v>1.1311047590831866</v>
      </c>
    </row>
    <row r="2183" spans="1:27" x14ac:dyDescent="0.3">
      <c r="A2183" t="s">
        <v>623</v>
      </c>
      <c r="B2183">
        <v>96052</v>
      </c>
      <c r="C2183">
        <v>2019</v>
      </c>
      <c r="D2183" t="s">
        <v>54</v>
      </c>
      <c r="E2183" t="s">
        <v>275</v>
      </c>
      <c r="F2183">
        <v>6</v>
      </c>
      <c r="G2183" t="s">
        <v>47</v>
      </c>
      <c r="H2183">
        <v>4</v>
      </c>
      <c r="I2183" t="s">
        <v>23</v>
      </c>
      <c r="J2183" t="s">
        <v>24</v>
      </c>
      <c r="K2183" t="s">
        <v>27</v>
      </c>
      <c r="L2183" t="s">
        <v>301</v>
      </c>
      <c r="M2183">
        <v>4</v>
      </c>
      <c r="N2183">
        <v>3.3</v>
      </c>
      <c r="O2183" t="s">
        <v>27</v>
      </c>
      <c r="S2183" s="3">
        <v>7400</v>
      </c>
      <c r="T2183" s="2">
        <v>15682.9228515625</v>
      </c>
      <c r="U2183" s="2">
        <v>13144.071410457151</v>
      </c>
      <c r="V2183" s="2">
        <v>14479.126531292801</v>
      </c>
      <c r="W2183" s="2">
        <v>15030.9072265625</v>
      </c>
      <c r="X2183" s="4">
        <f t="shared" si="136"/>
        <v>0.4718508195213581</v>
      </c>
      <c r="Y2183" s="4">
        <f t="shared" si="137"/>
        <v>0.56299146352116691</v>
      </c>
      <c r="Z2183" s="4">
        <f t="shared" si="138"/>
        <v>0.51108055337501601</v>
      </c>
      <c r="AA2183" s="4">
        <f t="shared" si="139"/>
        <v>0.49231891917493703</v>
      </c>
    </row>
    <row r="2184" spans="1:27" x14ac:dyDescent="0.3">
      <c r="A2184" t="s">
        <v>623</v>
      </c>
      <c r="B2184">
        <v>148772</v>
      </c>
      <c r="C2184">
        <v>2017</v>
      </c>
      <c r="D2184" t="s">
        <v>40</v>
      </c>
      <c r="E2184" t="s">
        <v>63</v>
      </c>
      <c r="F2184">
        <v>4</v>
      </c>
      <c r="G2184" t="s">
        <v>22</v>
      </c>
      <c r="H2184">
        <v>4</v>
      </c>
      <c r="I2184" t="s">
        <v>23</v>
      </c>
      <c r="J2184" t="s">
        <v>24</v>
      </c>
      <c r="K2184" t="s">
        <v>27</v>
      </c>
      <c r="L2184" t="s">
        <v>60</v>
      </c>
      <c r="M2184" t="s">
        <v>23</v>
      </c>
      <c r="N2184">
        <v>0</v>
      </c>
      <c r="O2184" t="s">
        <v>27</v>
      </c>
      <c r="S2184" s="3">
        <v>1900</v>
      </c>
      <c r="T2184" s="2">
        <v>5737.59228515625</v>
      </c>
      <c r="U2184" s="2">
        <v>5775.5915964927462</v>
      </c>
      <c r="V2184" s="2">
        <v>5483.732794074207</v>
      </c>
      <c r="W2184" s="2">
        <v>5267.0068359375</v>
      </c>
      <c r="X2184" s="4">
        <f t="shared" si="136"/>
        <v>0.33114935770453718</v>
      </c>
      <c r="Y2184" s="4">
        <f t="shared" si="137"/>
        <v>0.32897062894020823</v>
      </c>
      <c r="Z2184" s="4">
        <f t="shared" si="138"/>
        <v>0.34647931825802392</v>
      </c>
      <c r="AA2184" s="4">
        <f t="shared" si="139"/>
        <v>0.36073619404403334</v>
      </c>
    </row>
    <row r="2185" spans="1:27" x14ac:dyDescent="0.3">
      <c r="A2185" t="s">
        <v>623</v>
      </c>
      <c r="B2185">
        <v>132515</v>
      </c>
      <c r="C2185">
        <v>2015</v>
      </c>
      <c r="D2185" t="s">
        <v>141</v>
      </c>
      <c r="E2185" t="s">
        <v>259</v>
      </c>
      <c r="F2185">
        <v>4</v>
      </c>
      <c r="G2185" t="s">
        <v>47</v>
      </c>
      <c r="H2185">
        <v>4</v>
      </c>
      <c r="I2185" t="s">
        <v>23</v>
      </c>
      <c r="J2185" t="s">
        <v>31</v>
      </c>
      <c r="K2185" t="s">
        <v>27</v>
      </c>
      <c r="L2185" t="s">
        <v>60</v>
      </c>
      <c r="M2185" t="s">
        <v>33</v>
      </c>
      <c r="N2185">
        <v>1.8</v>
      </c>
      <c r="O2185" t="s">
        <v>27</v>
      </c>
      <c r="S2185" s="3">
        <v>2500</v>
      </c>
      <c r="T2185" s="2">
        <v>3815.061279296875</v>
      </c>
      <c r="U2185" s="2">
        <v>4203.6173424818844</v>
      </c>
      <c r="V2185" s="2">
        <v>3358.8641492299989</v>
      </c>
      <c r="W2185" s="2">
        <v>3379.86962890625</v>
      </c>
      <c r="X2185" s="4">
        <f t="shared" si="136"/>
        <v>0.65529746889432827</v>
      </c>
      <c r="Y2185" s="4">
        <f t="shared" si="137"/>
        <v>0.59472587448313241</v>
      </c>
      <c r="Z2185" s="4">
        <f t="shared" si="138"/>
        <v>0.74429923001593001</v>
      </c>
      <c r="AA2185" s="4">
        <f t="shared" si="139"/>
        <v>0.73967350060452419</v>
      </c>
    </row>
    <row r="2186" spans="1:27" x14ac:dyDescent="0.3">
      <c r="A2186" t="s">
        <v>623</v>
      </c>
      <c r="B2186">
        <v>1356</v>
      </c>
      <c r="C2186">
        <v>2025</v>
      </c>
      <c r="D2186" t="s">
        <v>40</v>
      </c>
      <c r="E2186" t="s">
        <v>63</v>
      </c>
      <c r="F2186">
        <v>4</v>
      </c>
      <c r="G2186" t="s">
        <v>56</v>
      </c>
      <c r="H2186">
        <v>4</v>
      </c>
      <c r="I2186" t="s">
        <v>23</v>
      </c>
      <c r="J2186" t="s">
        <v>24</v>
      </c>
      <c r="K2186" t="s">
        <v>27</v>
      </c>
      <c r="L2186" t="s">
        <v>107</v>
      </c>
      <c r="M2186" t="s">
        <v>23</v>
      </c>
      <c r="N2186">
        <v>0</v>
      </c>
      <c r="O2186" t="s">
        <v>27</v>
      </c>
      <c r="S2186" s="3">
        <v>31800</v>
      </c>
      <c r="T2186" s="2">
        <v>33398.03125</v>
      </c>
      <c r="U2186" s="2">
        <v>37801.937984878459</v>
      </c>
      <c r="V2186" s="2">
        <v>33305.514961225272</v>
      </c>
      <c r="W2186" s="2">
        <v>39658.1875</v>
      </c>
      <c r="X2186" s="4">
        <f t="shared" si="136"/>
        <v>0.95215193260830311</v>
      </c>
      <c r="Y2186" s="4">
        <f t="shared" si="137"/>
        <v>0.84122671204636768</v>
      </c>
      <c r="Z2186" s="4">
        <f t="shared" si="138"/>
        <v>0.95479682680246758</v>
      </c>
      <c r="AA2186" s="4">
        <f t="shared" si="139"/>
        <v>0.80185207657309099</v>
      </c>
    </row>
    <row r="2187" spans="1:27" x14ac:dyDescent="0.3">
      <c r="A2187" t="s">
        <v>623</v>
      </c>
      <c r="B2187">
        <v>79571</v>
      </c>
      <c r="C2187">
        <v>2002</v>
      </c>
      <c r="D2187" t="s">
        <v>396</v>
      </c>
      <c r="E2187" t="s">
        <v>655</v>
      </c>
      <c r="F2187">
        <v>6</v>
      </c>
      <c r="G2187" t="s">
        <v>30</v>
      </c>
      <c r="H2187">
        <v>2</v>
      </c>
      <c r="I2187" t="s">
        <v>23</v>
      </c>
      <c r="J2187" t="s">
        <v>83</v>
      </c>
      <c r="K2187" t="s">
        <v>27</v>
      </c>
      <c r="L2187" t="s">
        <v>301</v>
      </c>
      <c r="M2187" t="s">
        <v>33</v>
      </c>
      <c r="N2187">
        <v>3.1</v>
      </c>
      <c r="O2187" t="s">
        <v>27</v>
      </c>
      <c r="S2187" s="3">
        <v>700</v>
      </c>
      <c r="T2187" s="2">
        <v>-2200.36572265625</v>
      </c>
      <c r="U2187" s="2">
        <v>3365.955875728755</v>
      </c>
      <c r="V2187" s="2">
        <v>3239.6557438356031</v>
      </c>
      <c r="W2187" s="2">
        <v>1789.756225585938</v>
      </c>
      <c r="X2187" s="4">
        <f t="shared" si="136"/>
        <v>-0.31812893320069086</v>
      </c>
      <c r="Y2187" s="4">
        <f t="shared" si="137"/>
        <v>0.20796469883861585</v>
      </c>
      <c r="Z2187" s="4">
        <f t="shared" si="138"/>
        <v>0.21607234081335824</v>
      </c>
      <c r="AA2187" s="4">
        <f t="shared" si="139"/>
        <v>0.39111471718492336</v>
      </c>
    </row>
    <row r="2188" spans="1:27" x14ac:dyDescent="0.3">
      <c r="A2188" t="s">
        <v>623</v>
      </c>
      <c r="B2188">
        <v>157379</v>
      </c>
      <c r="C2188">
        <v>2010</v>
      </c>
      <c r="D2188" t="s">
        <v>44</v>
      </c>
      <c r="E2188" t="s">
        <v>117</v>
      </c>
      <c r="F2188">
        <v>6</v>
      </c>
      <c r="G2188" t="s">
        <v>22</v>
      </c>
      <c r="H2188">
        <v>4</v>
      </c>
      <c r="I2188" t="s">
        <v>23</v>
      </c>
      <c r="J2188" t="s">
        <v>24</v>
      </c>
      <c r="L2188" t="s">
        <v>218</v>
      </c>
      <c r="M2188">
        <v>4</v>
      </c>
      <c r="N2188">
        <v>2.4</v>
      </c>
      <c r="O2188" t="s">
        <v>27</v>
      </c>
      <c r="S2188" s="3">
        <v>500</v>
      </c>
      <c r="T2188" s="2">
        <v>2137.70751953125</v>
      </c>
      <c r="U2188" s="2">
        <v>2935.730169543388</v>
      </c>
      <c r="V2188" s="2">
        <v>861.74769723039208</v>
      </c>
      <c r="W2188" s="2">
        <v>1789.021118164062</v>
      </c>
      <c r="X2188" s="4">
        <f t="shared" si="136"/>
        <v>0.23389542088041981</v>
      </c>
      <c r="Y2188" s="4">
        <f t="shared" si="137"/>
        <v>0.17031538020327258</v>
      </c>
      <c r="Z2188" s="4">
        <f t="shared" si="138"/>
        <v>0.58021622988604604</v>
      </c>
      <c r="AA2188" s="4">
        <f t="shared" si="139"/>
        <v>0.27948244708989933</v>
      </c>
    </row>
    <row r="2189" spans="1:27" x14ac:dyDescent="0.3">
      <c r="A2189" t="s">
        <v>623</v>
      </c>
      <c r="B2189">
        <v>113737</v>
      </c>
      <c r="C2189">
        <v>2014</v>
      </c>
      <c r="D2189" t="s">
        <v>489</v>
      </c>
      <c r="E2189" t="s">
        <v>490</v>
      </c>
      <c r="F2189">
        <v>6</v>
      </c>
      <c r="G2189" t="s">
        <v>36</v>
      </c>
      <c r="H2189">
        <v>4</v>
      </c>
      <c r="I2189" t="s">
        <v>23</v>
      </c>
      <c r="J2189" t="s">
        <v>24</v>
      </c>
      <c r="K2189" t="s">
        <v>27</v>
      </c>
      <c r="L2189" t="s">
        <v>301</v>
      </c>
      <c r="M2189" t="s">
        <v>23</v>
      </c>
      <c r="N2189">
        <v>3.1</v>
      </c>
      <c r="O2189" t="s">
        <v>27</v>
      </c>
      <c r="S2189" s="3">
        <v>3900</v>
      </c>
      <c r="T2189" s="2">
        <v>6091.083984375</v>
      </c>
      <c r="U2189" s="2">
        <v>5163.1613012842399</v>
      </c>
      <c r="V2189" s="2">
        <v>6176.1301427072394</v>
      </c>
      <c r="W2189" s="2">
        <v>5949.16552734375</v>
      </c>
      <c r="X2189" s="4">
        <f t="shared" si="136"/>
        <v>0.64028012255361721</v>
      </c>
      <c r="Y2189" s="4">
        <f t="shared" si="137"/>
        <v>0.75535118359171693</v>
      </c>
      <c r="Z2189" s="4">
        <f t="shared" si="138"/>
        <v>0.63146337753343995</v>
      </c>
      <c r="AA2189" s="4">
        <f t="shared" si="139"/>
        <v>0.65555412470449714</v>
      </c>
    </row>
    <row r="2190" spans="1:27" x14ac:dyDescent="0.3">
      <c r="A2190" t="s">
        <v>623</v>
      </c>
      <c r="B2190">
        <v>96975</v>
      </c>
      <c r="C2190">
        <v>2021</v>
      </c>
      <c r="D2190" t="s">
        <v>100</v>
      </c>
      <c r="E2190" t="s">
        <v>300</v>
      </c>
      <c r="F2190">
        <v>4</v>
      </c>
      <c r="G2190" t="s">
        <v>22</v>
      </c>
      <c r="H2190">
        <v>4</v>
      </c>
      <c r="I2190" t="s">
        <v>23</v>
      </c>
      <c r="J2190" t="s">
        <v>24</v>
      </c>
      <c r="L2190" t="s">
        <v>87</v>
      </c>
      <c r="M2190" t="s">
        <v>33</v>
      </c>
      <c r="N2190">
        <v>3</v>
      </c>
      <c r="O2190" t="s">
        <v>27</v>
      </c>
      <c r="S2190" s="3">
        <v>5900</v>
      </c>
      <c r="T2190" s="2">
        <v>10523.0986328125</v>
      </c>
      <c r="U2190" s="2">
        <v>10267.75007769932</v>
      </c>
      <c r="V2190" s="2">
        <v>13229.364011533849</v>
      </c>
      <c r="W2190" s="2">
        <v>11520.783203125</v>
      </c>
      <c r="X2190" s="4">
        <f t="shared" si="136"/>
        <v>0.56067135792141787</v>
      </c>
      <c r="Y2190" s="4">
        <f t="shared" si="137"/>
        <v>0.57461468728327325</v>
      </c>
      <c r="Z2190" s="4">
        <f t="shared" si="138"/>
        <v>0.44597759913901847</v>
      </c>
      <c r="AA2190" s="4">
        <f t="shared" si="139"/>
        <v>0.51211796073027671</v>
      </c>
    </row>
    <row r="2191" spans="1:27" x14ac:dyDescent="0.3">
      <c r="A2191" t="s">
        <v>623</v>
      </c>
      <c r="B2191">
        <v>21998</v>
      </c>
      <c r="C2191">
        <v>1989</v>
      </c>
      <c r="D2191" t="s">
        <v>656</v>
      </c>
      <c r="E2191" t="s">
        <v>657</v>
      </c>
      <c r="F2191">
        <v>6</v>
      </c>
      <c r="G2191" t="s">
        <v>256</v>
      </c>
      <c r="H2191">
        <v>2</v>
      </c>
      <c r="I2191" t="s">
        <v>23</v>
      </c>
      <c r="J2191" t="s">
        <v>183</v>
      </c>
      <c r="L2191" t="s">
        <v>143</v>
      </c>
      <c r="M2191" t="s">
        <v>33</v>
      </c>
      <c r="N2191">
        <v>2.6</v>
      </c>
      <c r="O2191" t="s">
        <v>27</v>
      </c>
      <c r="S2191" s="3">
        <v>1400</v>
      </c>
      <c r="T2191" s="2">
        <v>1948.40966796875</v>
      </c>
      <c r="U2191" s="2">
        <v>2044.5357028013591</v>
      </c>
      <c r="V2191" s="2">
        <v>6234.3384310423398</v>
      </c>
      <c r="W2191" s="2">
        <v>3661.28173828125</v>
      </c>
      <c r="X2191" s="4">
        <f t="shared" si="136"/>
        <v>0.71853472245368377</v>
      </c>
      <c r="Y2191" s="4">
        <f t="shared" si="137"/>
        <v>0.68475204325449712</v>
      </c>
      <c r="Z2191" s="4">
        <f t="shared" si="138"/>
        <v>0.22456272072575459</v>
      </c>
      <c r="AA2191" s="4">
        <f t="shared" si="139"/>
        <v>0.38237975115709483</v>
      </c>
    </row>
    <row r="2192" spans="1:27" x14ac:dyDescent="0.3">
      <c r="A2192" t="s">
        <v>623</v>
      </c>
      <c r="B2192">
        <v>1</v>
      </c>
      <c r="C2192">
        <v>2011</v>
      </c>
      <c r="D2192" t="s">
        <v>658</v>
      </c>
      <c r="E2192" t="s">
        <v>659</v>
      </c>
      <c r="F2192">
        <v>0</v>
      </c>
      <c r="G2192" t="s">
        <v>47</v>
      </c>
      <c r="H2192">
        <v>0</v>
      </c>
      <c r="I2192" t="s">
        <v>23</v>
      </c>
      <c r="M2192" t="s">
        <v>33</v>
      </c>
      <c r="N2192">
        <v>0</v>
      </c>
      <c r="S2192" s="3">
        <v>500</v>
      </c>
      <c r="T2192" s="2">
        <v>15906.71484375</v>
      </c>
      <c r="U2192" s="2">
        <v>1492.294939072797</v>
      </c>
      <c r="V2192" s="2">
        <v>-4994.4152321111233</v>
      </c>
      <c r="W2192" s="2">
        <v>4994.10498046875</v>
      </c>
      <c r="X2192" s="4">
        <f t="shared" si="136"/>
        <v>3.1433266071055392E-2</v>
      </c>
      <c r="Y2192" s="4">
        <f t="shared" si="137"/>
        <v>0.33505440976075646</v>
      </c>
      <c r="Z2192" s="4">
        <f t="shared" si="138"/>
        <v>-0.10011182025581233</v>
      </c>
      <c r="AA2192" s="4">
        <f t="shared" si="139"/>
        <v>0.10011803955972701</v>
      </c>
    </row>
    <row r="2193" spans="1:27" x14ac:dyDescent="0.3">
      <c r="A2193" t="s">
        <v>623</v>
      </c>
      <c r="B2193">
        <v>49048</v>
      </c>
      <c r="C2193">
        <v>2021</v>
      </c>
      <c r="D2193" t="s">
        <v>100</v>
      </c>
      <c r="E2193" t="s">
        <v>101</v>
      </c>
      <c r="F2193">
        <v>4</v>
      </c>
      <c r="G2193" t="s">
        <v>36</v>
      </c>
      <c r="H2193">
        <v>4</v>
      </c>
      <c r="I2193" t="s">
        <v>23</v>
      </c>
      <c r="J2193" t="s">
        <v>31</v>
      </c>
      <c r="K2193" t="s">
        <v>27</v>
      </c>
      <c r="L2193" t="s">
        <v>102</v>
      </c>
      <c r="M2193" t="s">
        <v>23</v>
      </c>
      <c r="N2193">
        <v>0</v>
      </c>
      <c r="O2193" t="s">
        <v>27</v>
      </c>
      <c r="S2193" s="3">
        <v>16000</v>
      </c>
      <c r="T2193" s="2">
        <v>17708.46484375</v>
      </c>
      <c r="U2193" s="2">
        <v>18173.784424374189</v>
      </c>
      <c r="V2193" s="2">
        <v>20790.489410755359</v>
      </c>
      <c r="W2193" s="2">
        <v>18852.50390625</v>
      </c>
      <c r="X2193" s="4">
        <f t="shared" si="136"/>
        <v>0.90352270177993532</v>
      </c>
      <c r="Y2193" s="4">
        <f t="shared" si="137"/>
        <v>0.88038900574506829</v>
      </c>
      <c r="Z2193" s="4">
        <f t="shared" si="138"/>
        <v>0.76958265310112717</v>
      </c>
      <c r="AA2193" s="4">
        <f t="shared" si="139"/>
        <v>0.84869363133751508</v>
      </c>
    </row>
    <row r="2194" spans="1:27" x14ac:dyDescent="0.3">
      <c r="A2194" t="s">
        <v>648</v>
      </c>
      <c r="B2194">
        <v>18371</v>
      </c>
      <c r="C2194">
        <v>2023</v>
      </c>
      <c r="D2194" t="s">
        <v>44</v>
      </c>
      <c r="E2194" t="s">
        <v>276</v>
      </c>
      <c r="F2194">
        <v>6</v>
      </c>
      <c r="G2194" t="s">
        <v>47</v>
      </c>
      <c r="H2194">
        <v>3</v>
      </c>
      <c r="I2194" t="s">
        <v>23</v>
      </c>
      <c r="J2194" t="s">
        <v>197</v>
      </c>
      <c r="L2194" t="s">
        <v>38</v>
      </c>
      <c r="M2194" t="s">
        <v>78</v>
      </c>
      <c r="N2194">
        <v>3.1</v>
      </c>
      <c r="O2194" t="s">
        <v>27</v>
      </c>
      <c r="S2194" s="3">
        <v>26000</v>
      </c>
      <c r="T2194" s="2">
        <v>37455.703125</v>
      </c>
      <c r="U2194" s="2">
        <v>46728.941192917577</v>
      </c>
      <c r="V2194" s="2">
        <v>33704.103931662983</v>
      </c>
      <c r="W2194" s="2">
        <v>43349.90234375</v>
      </c>
      <c r="X2194" s="4">
        <f t="shared" si="136"/>
        <v>0.69415330192122782</v>
      </c>
      <c r="Y2194" s="4">
        <f t="shared" si="137"/>
        <v>0.5564003663738194</v>
      </c>
      <c r="Z2194" s="4">
        <f t="shared" si="138"/>
        <v>0.77141941090368404</v>
      </c>
      <c r="AA2194" s="4">
        <f t="shared" si="139"/>
        <v>0.59977067061948219</v>
      </c>
    </row>
    <row r="2195" spans="1:27" x14ac:dyDescent="0.3">
      <c r="A2195" t="s">
        <v>648</v>
      </c>
      <c r="B2195">
        <v>9572</v>
      </c>
      <c r="C2195">
        <v>2022</v>
      </c>
      <c r="D2195" t="s">
        <v>239</v>
      </c>
      <c r="E2195" t="s">
        <v>521</v>
      </c>
      <c r="F2195">
        <v>6</v>
      </c>
      <c r="G2195" t="s">
        <v>47</v>
      </c>
      <c r="H2195">
        <v>4</v>
      </c>
      <c r="I2195" t="s">
        <v>23</v>
      </c>
      <c r="J2195" t="s">
        <v>24</v>
      </c>
      <c r="K2195" t="s">
        <v>27</v>
      </c>
      <c r="L2195" t="s">
        <v>218</v>
      </c>
      <c r="M2195" t="s">
        <v>23</v>
      </c>
      <c r="N2195">
        <v>0</v>
      </c>
      <c r="S2195" s="3">
        <v>60000</v>
      </c>
      <c r="T2195" s="2">
        <v>63135.76171875</v>
      </c>
      <c r="U2195" s="2">
        <v>56895.853679198561</v>
      </c>
      <c r="V2195" s="2">
        <v>64456.756776393428</v>
      </c>
      <c r="W2195" s="2">
        <v>58443.43359375</v>
      </c>
      <c r="X2195" s="4">
        <f t="shared" si="136"/>
        <v>0.95033303418878778</v>
      </c>
      <c r="Y2195" s="4">
        <f t="shared" si="137"/>
        <v>1.0545583925729254</v>
      </c>
      <c r="Z2195" s="4">
        <f t="shared" si="138"/>
        <v>0.93085663940780738</v>
      </c>
      <c r="AA2195" s="4">
        <f t="shared" si="139"/>
        <v>1.0266337261610936</v>
      </c>
    </row>
    <row r="2196" spans="1:27" x14ac:dyDescent="0.3">
      <c r="A2196" t="s">
        <v>660</v>
      </c>
      <c r="B2196">
        <v>110046</v>
      </c>
      <c r="C2196">
        <v>2017</v>
      </c>
      <c r="D2196" t="s">
        <v>125</v>
      </c>
      <c r="E2196" t="s">
        <v>306</v>
      </c>
      <c r="F2196">
        <v>4</v>
      </c>
      <c r="G2196" t="s">
        <v>30</v>
      </c>
      <c r="H2196">
        <v>4</v>
      </c>
      <c r="I2196" t="s">
        <v>23</v>
      </c>
      <c r="J2196" t="s">
        <v>24</v>
      </c>
      <c r="K2196" t="s">
        <v>27</v>
      </c>
      <c r="L2196" t="s">
        <v>127</v>
      </c>
      <c r="M2196" t="s">
        <v>23</v>
      </c>
      <c r="N2196">
        <v>2.8</v>
      </c>
      <c r="O2196" t="s">
        <v>27</v>
      </c>
      <c r="S2196" s="3">
        <v>5500</v>
      </c>
      <c r="T2196" s="2">
        <v>5871.93310546875</v>
      </c>
      <c r="U2196" s="2">
        <v>8909.6699684567375</v>
      </c>
      <c r="V2196" s="2">
        <v>6223.0863756331828</v>
      </c>
      <c r="W2196" s="2">
        <v>7200.38525390625</v>
      </c>
      <c r="X2196" s="4">
        <f t="shared" si="136"/>
        <v>0.9366591718964995</v>
      </c>
      <c r="Y2196" s="4">
        <f t="shared" si="137"/>
        <v>0.61730681601808723</v>
      </c>
      <c r="Z2196" s="4">
        <f t="shared" si="138"/>
        <v>0.88380582688608256</v>
      </c>
      <c r="AA2196" s="4">
        <f t="shared" si="139"/>
        <v>0.76384801730104912</v>
      </c>
    </row>
    <row r="2197" spans="1:27" x14ac:dyDescent="0.3">
      <c r="A2197" t="s">
        <v>630</v>
      </c>
      <c r="B2197">
        <v>6436</v>
      </c>
      <c r="C2197">
        <v>2025</v>
      </c>
      <c r="D2197" t="s">
        <v>159</v>
      </c>
      <c r="E2197" t="s">
        <v>661</v>
      </c>
      <c r="F2197">
        <v>6</v>
      </c>
      <c r="G2197" t="s">
        <v>59</v>
      </c>
      <c r="H2197">
        <v>4</v>
      </c>
      <c r="I2197" t="s">
        <v>23</v>
      </c>
      <c r="J2197" t="s">
        <v>62</v>
      </c>
      <c r="K2197" t="s">
        <v>27</v>
      </c>
      <c r="L2197" t="s">
        <v>168</v>
      </c>
      <c r="M2197" t="s">
        <v>23</v>
      </c>
      <c r="N2197">
        <v>0</v>
      </c>
      <c r="S2197" s="3">
        <v>70000</v>
      </c>
      <c r="T2197" s="2">
        <v>76941.3125</v>
      </c>
      <c r="U2197" s="2">
        <v>69996.182341396692</v>
      </c>
      <c r="V2197" s="2">
        <v>83601.956415095745</v>
      </c>
      <c r="W2197" s="2">
        <v>93241.7734375</v>
      </c>
      <c r="X2197" s="4">
        <f t="shared" si="136"/>
        <v>0.90978432425363165</v>
      </c>
      <c r="Y2197" s="4">
        <f t="shared" si="137"/>
        <v>1.0000545409546007</v>
      </c>
      <c r="Z2197" s="4">
        <f t="shared" si="138"/>
        <v>0.8373009795660753</v>
      </c>
      <c r="AA2197" s="4">
        <f t="shared" si="139"/>
        <v>0.75073647164080415</v>
      </c>
    </row>
    <row r="2198" spans="1:27" x14ac:dyDescent="0.3">
      <c r="A2198" t="s">
        <v>556</v>
      </c>
      <c r="B2198">
        <v>122304</v>
      </c>
      <c r="C2198">
        <v>2012</v>
      </c>
      <c r="D2198" t="s">
        <v>28</v>
      </c>
      <c r="E2198" t="s">
        <v>220</v>
      </c>
      <c r="F2198">
        <v>6</v>
      </c>
      <c r="G2198" t="s">
        <v>30</v>
      </c>
      <c r="H2198">
        <v>4</v>
      </c>
      <c r="I2198" t="s">
        <v>23</v>
      </c>
      <c r="J2198" t="s">
        <v>24</v>
      </c>
      <c r="K2198" t="s">
        <v>27</v>
      </c>
      <c r="L2198" t="s">
        <v>53</v>
      </c>
      <c r="M2198" t="s">
        <v>33</v>
      </c>
      <c r="N2198">
        <v>0</v>
      </c>
      <c r="S2198" s="3">
        <v>6000</v>
      </c>
      <c r="T2198" s="2">
        <v>6794.4501953125</v>
      </c>
      <c r="U2198" s="2">
        <v>6067.1578114023441</v>
      </c>
      <c r="V2198" s="2">
        <v>5905.5808971593533</v>
      </c>
      <c r="W2198" s="2">
        <v>6682.4423828125</v>
      </c>
      <c r="X2198" s="4">
        <f t="shared" si="136"/>
        <v>0.88307365975534091</v>
      </c>
      <c r="Y2198" s="4">
        <f t="shared" si="137"/>
        <v>0.98893092721667286</v>
      </c>
      <c r="Z2198" s="4">
        <f t="shared" si="138"/>
        <v>1.0159881143760241</v>
      </c>
      <c r="AA2198" s="4">
        <f t="shared" si="139"/>
        <v>0.89787530610547905</v>
      </c>
    </row>
    <row r="2199" spans="1:27" x14ac:dyDescent="0.3">
      <c r="A2199" t="s">
        <v>556</v>
      </c>
      <c r="B2199">
        <v>304871</v>
      </c>
      <c r="C2199">
        <v>2008</v>
      </c>
      <c r="D2199" t="s">
        <v>40</v>
      </c>
      <c r="E2199" t="s">
        <v>229</v>
      </c>
      <c r="F2199">
        <v>6</v>
      </c>
      <c r="G2199" t="s">
        <v>22</v>
      </c>
      <c r="H2199">
        <v>4</v>
      </c>
      <c r="I2199" t="s">
        <v>23</v>
      </c>
      <c r="J2199" t="s">
        <v>31</v>
      </c>
      <c r="K2199" t="s">
        <v>27</v>
      </c>
      <c r="L2199" t="s">
        <v>26</v>
      </c>
      <c r="M2199" t="s">
        <v>33</v>
      </c>
      <c r="N2199">
        <v>0</v>
      </c>
      <c r="S2199" s="3">
        <v>300</v>
      </c>
      <c r="T2199" s="2">
        <v>1280.807739257812</v>
      </c>
      <c r="U2199" s="2">
        <v>1068.8830700531221</v>
      </c>
      <c r="V2199" s="2">
        <v>472.05327612029032</v>
      </c>
      <c r="W2199" s="2">
        <v>1259.261108398438</v>
      </c>
      <c r="X2199" s="4">
        <f t="shared" si="136"/>
        <v>0.23422719179838858</v>
      </c>
      <c r="Y2199" s="4">
        <f t="shared" si="137"/>
        <v>0.28066680856409337</v>
      </c>
      <c r="Z2199" s="4">
        <f t="shared" si="138"/>
        <v>0.63552148703561362</v>
      </c>
      <c r="AA2199" s="4">
        <f t="shared" si="139"/>
        <v>0.23823494428534209</v>
      </c>
    </row>
    <row r="2200" spans="1:27" x14ac:dyDescent="0.3">
      <c r="A2200" t="s">
        <v>556</v>
      </c>
      <c r="B2200">
        <v>28050</v>
      </c>
      <c r="C2200">
        <v>2023</v>
      </c>
      <c r="D2200" t="s">
        <v>282</v>
      </c>
      <c r="E2200" t="s">
        <v>662</v>
      </c>
      <c r="F2200">
        <v>8</v>
      </c>
      <c r="G2200" t="s">
        <v>22</v>
      </c>
      <c r="H2200">
        <v>4</v>
      </c>
      <c r="I2200" t="s">
        <v>23</v>
      </c>
      <c r="J2200" t="s">
        <v>62</v>
      </c>
      <c r="K2200" t="s">
        <v>27</v>
      </c>
      <c r="L2200" t="s">
        <v>378</v>
      </c>
      <c r="M2200">
        <v>4</v>
      </c>
      <c r="N2200">
        <v>0</v>
      </c>
      <c r="S2200" s="3">
        <v>54000</v>
      </c>
      <c r="T2200" s="2">
        <v>64166.07421875</v>
      </c>
      <c r="U2200" s="2">
        <v>74655.598883338636</v>
      </c>
      <c r="V2200" s="2">
        <v>73428.764126225637</v>
      </c>
      <c r="W2200" s="2">
        <v>93241.7734375</v>
      </c>
      <c r="X2200" s="4">
        <f t="shared" si="136"/>
        <v>0.84156621170102119</v>
      </c>
      <c r="Y2200" s="4">
        <f t="shared" si="137"/>
        <v>0.72332150311169119</v>
      </c>
      <c r="Z2200" s="4">
        <f t="shared" si="138"/>
        <v>0.73540663039313625</v>
      </c>
      <c r="AA2200" s="4">
        <f t="shared" si="139"/>
        <v>0.57913956383719178</v>
      </c>
    </row>
    <row r="2201" spans="1:27" x14ac:dyDescent="0.3">
      <c r="A2201" t="s">
        <v>587</v>
      </c>
      <c r="B2201">
        <v>96873</v>
      </c>
      <c r="C2201">
        <v>2023</v>
      </c>
      <c r="D2201" t="s">
        <v>40</v>
      </c>
      <c r="E2201" t="s">
        <v>63</v>
      </c>
      <c r="F2201">
        <v>4</v>
      </c>
      <c r="G2201" t="s">
        <v>22</v>
      </c>
      <c r="H2201">
        <v>4</v>
      </c>
      <c r="I2201" t="s">
        <v>23</v>
      </c>
      <c r="J2201" t="s">
        <v>24</v>
      </c>
      <c r="K2201" t="s">
        <v>27</v>
      </c>
      <c r="L2201" t="s">
        <v>107</v>
      </c>
      <c r="M2201" t="s">
        <v>33</v>
      </c>
      <c r="N2201">
        <v>2.7</v>
      </c>
      <c r="O2201" t="s">
        <v>27</v>
      </c>
      <c r="S2201" s="3">
        <v>12000</v>
      </c>
      <c r="T2201" s="2">
        <v>15405.07421875</v>
      </c>
      <c r="U2201" s="2">
        <v>17704.222978762638</v>
      </c>
      <c r="V2201" s="2">
        <v>11632.81632671228</v>
      </c>
      <c r="W2201" s="2">
        <v>15606.2412109375</v>
      </c>
      <c r="X2201" s="4">
        <f t="shared" si="136"/>
        <v>0.77896411465479487</v>
      </c>
      <c r="Y2201" s="4">
        <f t="shared" si="137"/>
        <v>0.67780438680617483</v>
      </c>
      <c r="Z2201" s="4">
        <f t="shared" si="138"/>
        <v>1.031564469254497</v>
      </c>
      <c r="AA2201" s="4">
        <f t="shared" si="139"/>
        <v>0.76892314028761155</v>
      </c>
    </row>
    <row r="2202" spans="1:27" x14ac:dyDescent="0.3">
      <c r="A2202" t="s">
        <v>587</v>
      </c>
      <c r="B2202">
        <v>111682</v>
      </c>
      <c r="C2202">
        <v>2018</v>
      </c>
      <c r="D2202" t="s">
        <v>100</v>
      </c>
      <c r="E2202" t="s">
        <v>367</v>
      </c>
      <c r="F2202">
        <v>6</v>
      </c>
      <c r="G2202" t="s">
        <v>36</v>
      </c>
      <c r="H2202">
        <v>4</v>
      </c>
      <c r="I2202" t="s">
        <v>23</v>
      </c>
      <c r="J2202" t="s">
        <v>31</v>
      </c>
      <c r="K2202" t="s">
        <v>27</v>
      </c>
      <c r="L2202" t="s">
        <v>53</v>
      </c>
      <c r="M2202" t="s">
        <v>33</v>
      </c>
      <c r="N2202">
        <v>4</v>
      </c>
      <c r="O2202" t="s">
        <v>27</v>
      </c>
      <c r="S2202" s="3">
        <v>12600</v>
      </c>
      <c r="T2202" s="2">
        <v>10373.45703125</v>
      </c>
      <c r="U2202" s="2">
        <v>11179.3279604574</v>
      </c>
      <c r="V2202" s="2">
        <v>10962.773989851499</v>
      </c>
      <c r="W2202" s="2">
        <v>10642.3759765625</v>
      </c>
      <c r="X2202" s="4">
        <f t="shared" si="136"/>
        <v>1.2146384722125467</v>
      </c>
      <c r="Y2202" s="4">
        <f t="shared" si="137"/>
        <v>1.1270802721386906</v>
      </c>
      <c r="Z2202" s="4">
        <f t="shared" si="138"/>
        <v>1.1493441360429504</v>
      </c>
      <c r="AA2202" s="4">
        <f t="shared" si="139"/>
        <v>1.1839461439577721</v>
      </c>
    </row>
    <row r="2203" spans="1:27" x14ac:dyDescent="0.3">
      <c r="A2203" t="s">
        <v>587</v>
      </c>
      <c r="B2203">
        <v>114705</v>
      </c>
      <c r="C2203">
        <v>2021</v>
      </c>
      <c r="D2203" t="s">
        <v>40</v>
      </c>
      <c r="E2203" t="s">
        <v>214</v>
      </c>
      <c r="F2203">
        <v>8</v>
      </c>
      <c r="G2203" t="s">
        <v>22</v>
      </c>
      <c r="H2203">
        <v>4</v>
      </c>
      <c r="I2203" t="s">
        <v>23</v>
      </c>
      <c r="J2203" t="s">
        <v>24</v>
      </c>
      <c r="K2203" t="s">
        <v>27</v>
      </c>
      <c r="L2203" t="s">
        <v>43</v>
      </c>
      <c r="M2203" t="s">
        <v>78</v>
      </c>
      <c r="N2203">
        <v>4.0999999999999899</v>
      </c>
      <c r="O2203" t="s">
        <v>27</v>
      </c>
      <c r="S2203" s="3">
        <v>26750</v>
      </c>
      <c r="T2203" s="2">
        <v>39956.4375</v>
      </c>
      <c r="U2203" s="2">
        <v>53813.673529487911</v>
      </c>
      <c r="V2203" s="2">
        <v>29525.290478810901</v>
      </c>
      <c r="W2203" s="2">
        <v>32755.07421875</v>
      </c>
      <c r="X2203" s="4">
        <f t="shared" si="136"/>
        <v>0.66947910458733961</v>
      </c>
      <c r="Y2203" s="4">
        <f t="shared" si="137"/>
        <v>0.49708555921836456</v>
      </c>
      <c r="Z2203" s="4">
        <f t="shared" si="138"/>
        <v>0.90600294073981713</v>
      </c>
      <c r="AA2203" s="4">
        <f t="shared" si="139"/>
        <v>0.81666736034099674</v>
      </c>
    </row>
    <row r="2204" spans="1:27" x14ac:dyDescent="0.3">
      <c r="A2204" t="s">
        <v>135</v>
      </c>
      <c r="B2204">
        <v>84767</v>
      </c>
      <c r="C2204">
        <v>2015</v>
      </c>
      <c r="D2204" t="s">
        <v>81</v>
      </c>
      <c r="E2204" t="s">
        <v>82</v>
      </c>
      <c r="F2204">
        <v>6</v>
      </c>
      <c r="G2204" t="s">
        <v>59</v>
      </c>
      <c r="H2204">
        <v>2</v>
      </c>
      <c r="I2204" t="s">
        <v>23</v>
      </c>
      <c r="J2204" t="s">
        <v>83</v>
      </c>
      <c r="K2204" t="s">
        <v>27</v>
      </c>
      <c r="L2204" t="s">
        <v>26</v>
      </c>
      <c r="M2204" t="s">
        <v>78</v>
      </c>
      <c r="N2204">
        <v>1.9</v>
      </c>
      <c r="O2204" t="s">
        <v>27</v>
      </c>
      <c r="S2204" s="3">
        <v>9500</v>
      </c>
      <c r="T2204" s="2">
        <v>8082.9951171875</v>
      </c>
      <c r="U2204" s="2">
        <v>9958.5898594751397</v>
      </c>
      <c r="V2204" s="2">
        <v>8961.3365875935633</v>
      </c>
      <c r="W2204" s="2">
        <v>7951.7216796875</v>
      </c>
      <c r="X2204" s="4">
        <f t="shared" si="136"/>
        <v>1.1753069081780605</v>
      </c>
      <c r="Y2204" s="4">
        <f t="shared" si="137"/>
        <v>0.9539503216874814</v>
      </c>
      <c r="Z2204" s="4">
        <f t="shared" si="138"/>
        <v>1.0601097176901249</v>
      </c>
      <c r="AA2204" s="4">
        <f t="shared" si="139"/>
        <v>1.1947098229390427</v>
      </c>
    </row>
    <row r="2205" spans="1:27" x14ac:dyDescent="0.3">
      <c r="A2205" t="s">
        <v>135</v>
      </c>
      <c r="B2205">
        <v>86552</v>
      </c>
      <c r="C2205">
        <v>2016</v>
      </c>
      <c r="D2205" t="s">
        <v>100</v>
      </c>
      <c r="E2205" t="s">
        <v>138</v>
      </c>
      <c r="F2205">
        <v>4</v>
      </c>
      <c r="G2205" t="s">
        <v>36</v>
      </c>
      <c r="H2205">
        <v>4</v>
      </c>
      <c r="I2205" t="s">
        <v>23</v>
      </c>
      <c r="J2205" t="s">
        <v>24</v>
      </c>
      <c r="K2205" t="s">
        <v>27</v>
      </c>
      <c r="L2205" t="s">
        <v>102</v>
      </c>
      <c r="M2205" t="s">
        <v>33</v>
      </c>
      <c r="N2205">
        <v>1.3</v>
      </c>
      <c r="O2205" t="s">
        <v>27</v>
      </c>
      <c r="S2205" s="3">
        <v>2800</v>
      </c>
      <c r="T2205" s="2">
        <v>5237.62744140625</v>
      </c>
      <c r="U2205" s="2">
        <v>5446.0498044356036</v>
      </c>
      <c r="V2205" s="2">
        <v>7321.5870450527782</v>
      </c>
      <c r="W2205" s="2">
        <v>5275.70751953125</v>
      </c>
      <c r="X2205" s="4">
        <f t="shared" si="136"/>
        <v>0.53459319726800358</v>
      </c>
      <c r="Y2205" s="4">
        <f t="shared" si="137"/>
        <v>0.51413411565195477</v>
      </c>
      <c r="Z2205" s="4">
        <f t="shared" si="138"/>
        <v>0.38243074660868365</v>
      </c>
      <c r="AA2205" s="4">
        <f t="shared" si="139"/>
        <v>0.53073450141693634</v>
      </c>
    </row>
    <row r="2206" spans="1:27" x14ac:dyDescent="0.3">
      <c r="A2206" t="s">
        <v>135</v>
      </c>
      <c r="B2206">
        <v>65065</v>
      </c>
      <c r="C2206">
        <v>2019</v>
      </c>
      <c r="D2206" t="s">
        <v>44</v>
      </c>
      <c r="E2206" t="s">
        <v>45</v>
      </c>
      <c r="F2206">
        <v>8</v>
      </c>
      <c r="G2206" t="s">
        <v>47</v>
      </c>
      <c r="H2206">
        <v>2</v>
      </c>
      <c r="I2206" t="s">
        <v>23</v>
      </c>
      <c r="J2206" t="s">
        <v>576</v>
      </c>
      <c r="K2206" t="s">
        <v>27</v>
      </c>
      <c r="L2206" t="s">
        <v>48</v>
      </c>
      <c r="M2206" t="s">
        <v>78</v>
      </c>
      <c r="N2206">
        <v>1.3</v>
      </c>
      <c r="O2206" t="s">
        <v>27</v>
      </c>
      <c r="S2206" s="3">
        <v>8800</v>
      </c>
      <c r="T2206" s="2">
        <v>14127.05859375</v>
      </c>
      <c r="U2206" s="2">
        <v>24591.363510881089</v>
      </c>
      <c r="V2206" s="2">
        <v>7832.5664232104627</v>
      </c>
      <c r="W2206" s="2">
        <v>15667.7236328125</v>
      </c>
      <c r="X2206" s="4">
        <f t="shared" si="136"/>
        <v>0.6229180647621323</v>
      </c>
      <c r="Y2206" s="4">
        <f t="shared" si="137"/>
        <v>0.35784920978888424</v>
      </c>
      <c r="Z2206" s="4">
        <f t="shared" si="138"/>
        <v>1.1235142512066945</v>
      </c>
      <c r="AA2206" s="4">
        <f t="shared" si="139"/>
        <v>0.56166423446290514</v>
      </c>
    </row>
    <row r="2207" spans="1:27" x14ac:dyDescent="0.3">
      <c r="A2207" t="s">
        <v>135</v>
      </c>
      <c r="B2207">
        <v>141087</v>
      </c>
      <c r="C2207">
        <v>2019</v>
      </c>
      <c r="D2207" t="s">
        <v>40</v>
      </c>
      <c r="E2207" t="s">
        <v>257</v>
      </c>
      <c r="F2207">
        <v>6</v>
      </c>
      <c r="G2207" t="s">
        <v>47</v>
      </c>
      <c r="H2207">
        <v>4</v>
      </c>
      <c r="I2207" t="s">
        <v>23</v>
      </c>
      <c r="J2207" t="s">
        <v>42</v>
      </c>
      <c r="L2207" t="s">
        <v>26</v>
      </c>
      <c r="M2207" t="s">
        <v>78</v>
      </c>
      <c r="N2207">
        <v>3.5</v>
      </c>
      <c r="O2207" t="s">
        <v>27</v>
      </c>
      <c r="S2207" s="3">
        <v>11000</v>
      </c>
      <c r="T2207" s="2">
        <v>15843.1328125</v>
      </c>
      <c r="U2207" s="2">
        <v>14946.90170710197</v>
      </c>
      <c r="V2207" s="2">
        <v>11180.35406121555</v>
      </c>
      <c r="W2207" s="2">
        <v>16012.0869140625</v>
      </c>
      <c r="X2207" s="4">
        <f t="shared" si="136"/>
        <v>0.69430712537618577</v>
      </c>
      <c r="Y2207" s="4">
        <f t="shared" si="137"/>
        <v>0.73593847176859317</v>
      </c>
      <c r="Z2207" s="4">
        <f t="shared" si="138"/>
        <v>0.98386866281442775</v>
      </c>
      <c r="AA2207" s="4">
        <f t="shared" si="139"/>
        <v>0.6869810324561334</v>
      </c>
    </row>
    <row r="2208" spans="1:27" x14ac:dyDescent="0.3">
      <c r="A2208" t="s">
        <v>135</v>
      </c>
      <c r="B2208">
        <v>119249</v>
      </c>
      <c r="C2208">
        <v>2015</v>
      </c>
      <c r="D2208" t="s">
        <v>54</v>
      </c>
      <c r="E2208" t="s">
        <v>180</v>
      </c>
      <c r="F2208">
        <v>4</v>
      </c>
      <c r="G2208" t="s">
        <v>66</v>
      </c>
      <c r="H2208">
        <v>4</v>
      </c>
      <c r="I2208" t="s">
        <v>23</v>
      </c>
      <c r="J2208" t="s">
        <v>24</v>
      </c>
      <c r="L2208" t="s">
        <v>60</v>
      </c>
      <c r="M2208" t="s">
        <v>33</v>
      </c>
      <c r="N2208">
        <v>0</v>
      </c>
      <c r="O2208" t="s">
        <v>27</v>
      </c>
      <c r="S2208" s="3">
        <v>3500</v>
      </c>
      <c r="T2208" s="2">
        <v>8159.93115234375</v>
      </c>
      <c r="U2208" s="2">
        <v>8087.2996144195604</v>
      </c>
      <c r="V2208" s="2">
        <v>6632.2145957739904</v>
      </c>
      <c r="W2208" s="2">
        <v>7719.697265625</v>
      </c>
      <c r="X2208" s="4">
        <f t="shared" si="136"/>
        <v>0.42892518756052328</v>
      </c>
      <c r="Y2208" s="4">
        <f t="shared" si="137"/>
        <v>0.43277733815618025</v>
      </c>
      <c r="Z2208" s="4">
        <f t="shared" si="138"/>
        <v>0.52772719420601688</v>
      </c>
      <c r="AA2208" s="4">
        <f t="shared" si="139"/>
        <v>0.45338565484751997</v>
      </c>
    </row>
    <row r="2209" spans="1:27" x14ac:dyDescent="0.3">
      <c r="A2209" t="s">
        <v>135</v>
      </c>
      <c r="B2209">
        <v>180530</v>
      </c>
      <c r="C2209">
        <v>2013</v>
      </c>
      <c r="D2209" t="s">
        <v>44</v>
      </c>
      <c r="E2209" t="s">
        <v>45</v>
      </c>
      <c r="F2209">
        <v>6</v>
      </c>
      <c r="G2209" t="s">
        <v>66</v>
      </c>
      <c r="H2209">
        <v>4</v>
      </c>
      <c r="I2209" t="s">
        <v>23</v>
      </c>
      <c r="J2209" t="s">
        <v>46</v>
      </c>
      <c r="K2209" t="s">
        <v>27</v>
      </c>
      <c r="L2209" t="s">
        <v>38</v>
      </c>
      <c r="M2209">
        <v>4</v>
      </c>
      <c r="N2209">
        <v>2.7</v>
      </c>
      <c r="O2209" t="s">
        <v>27</v>
      </c>
      <c r="S2209" s="3">
        <v>9500</v>
      </c>
      <c r="T2209" s="2">
        <v>4897.56884765625</v>
      </c>
      <c r="U2209" s="2">
        <v>7094.1985866975374</v>
      </c>
      <c r="V2209" s="2">
        <v>6160.5518283434012</v>
      </c>
      <c r="W2209" s="2">
        <v>6280.4150390625</v>
      </c>
      <c r="X2209" s="4">
        <f t="shared" si="136"/>
        <v>1.9397379180378977</v>
      </c>
      <c r="Y2209" s="4">
        <f t="shared" si="137"/>
        <v>1.3391223665226437</v>
      </c>
      <c r="Z2209" s="4">
        <f t="shared" si="138"/>
        <v>1.5420696497174979</v>
      </c>
      <c r="AA2209" s="4">
        <f t="shared" si="139"/>
        <v>1.5126388846776118</v>
      </c>
    </row>
    <row r="2210" spans="1:27" x14ac:dyDescent="0.3">
      <c r="A2210" t="s">
        <v>135</v>
      </c>
      <c r="B2210">
        <v>38523</v>
      </c>
      <c r="C2210">
        <v>2023</v>
      </c>
      <c r="D2210" t="s">
        <v>119</v>
      </c>
      <c r="E2210" t="s">
        <v>663</v>
      </c>
      <c r="F2210">
        <v>4</v>
      </c>
      <c r="G2210" t="s">
        <v>36</v>
      </c>
      <c r="H2210">
        <v>4</v>
      </c>
      <c r="I2210" t="s">
        <v>23</v>
      </c>
      <c r="J2210" t="s">
        <v>24</v>
      </c>
      <c r="K2210" t="s">
        <v>27</v>
      </c>
      <c r="L2210" t="s">
        <v>60</v>
      </c>
      <c r="M2210">
        <v>4</v>
      </c>
      <c r="N2210">
        <v>3.6</v>
      </c>
      <c r="O2210" t="s">
        <v>27</v>
      </c>
      <c r="S2210" s="3">
        <v>23750</v>
      </c>
      <c r="T2210" s="2">
        <v>24932.62890625</v>
      </c>
      <c r="U2210" s="2">
        <v>26992.649066277019</v>
      </c>
      <c r="V2210" s="2">
        <v>25198.877377356592</v>
      </c>
      <c r="W2210" s="2">
        <v>24638.33203125</v>
      </c>
      <c r="X2210" s="4">
        <f t="shared" si="136"/>
        <v>0.95256701927835841</v>
      </c>
      <c r="Y2210" s="4">
        <f t="shared" si="137"/>
        <v>0.879869180001003</v>
      </c>
      <c r="Z2210" s="4">
        <f t="shared" si="138"/>
        <v>0.94250230454081518</v>
      </c>
      <c r="AA2210" s="4">
        <f t="shared" si="139"/>
        <v>0.96394512298465318</v>
      </c>
    </row>
    <row r="2211" spans="1:27" x14ac:dyDescent="0.3">
      <c r="A2211" t="s">
        <v>135</v>
      </c>
      <c r="B2211">
        <v>48549</v>
      </c>
      <c r="C2211">
        <v>2024</v>
      </c>
      <c r="D2211" t="s">
        <v>125</v>
      </c>
      <c r="E2211" t="s">
        <v>297</v>
      </c>
      <c r="F2211">
        <v>4</v>
      </c>
      <c r="G2211" t="s">
        <v>22</v>
      </c>
      <c r="H2211">
        <v>4</v>
      </c>
      <c r="I2211" t="s">
        <v>23</v>
      </c>
      <c r="J2211" t="s">
        <v>24</v>
      </c>
      <c r="K2211" t="s">
        <v>27</v>
      </c>
      <c r="L2211" t="s">
        <v>102</v>
      </c>
      <c r="M2211" t="s">
        <v>23</v>
      </c>
      <c r="N2211">
        <v>4.4000000000000004</v>
      </c>
      <c r="O2211" t="s">
        <v>27</v>
      </c>
      <c r="S2211" s="3">
        <v>19000</v>
      </c>
      <c r="T2211" s="2">
        <v>29154.021484375</v>
      </c>
      <c r="U2211" s="2">
        <v>29103.969979559501</v>
      </c>
      <c r="V2211" s="2">
        <v>19498.299831737269</v>
      </c>
      <c r="W2211" s="2">
        <v>30257.904296875</v>
      </c>
      <c r="X2211" s="4">
        <f t="shared" si="136"/>
        <v>0.65171112020285049</v>
      </c>
      <c r="Y2211" s="4">
        <f t="shared" si="137"/>
        <v>0.65283189933690178</v>
      </c>
      <c r="Z2211" s="4">
        <f t="shared" si="138"/>
        <v>0.97444393428978926</v>
      </c>
      <c r="AA2211" s="4">
        <f t="shared" si="139"/>
        <v>0.62793509469729858</v>
      </c>
    </row>
    <row r="2212" spans="1:27" x14ac:dyDescent="0.3">
      <c r="A2212" t="s">
        <v>135</v>
      </c>
      <c r="B2212">
        <v>47622</v>
      </c>
      <c r="C2212">
        <v>2023</v>
      </c>
      <c r="D2212" t="s">
        <v>20</v>
      </c>
      <c r="E2212" t="s">
        <v>175</v>
      </c>
      <c r="F2212">
        <v>8</v>
      </c>
      <c r="G2212" t="s">
        <v>36</v>
      </c>
      <c r="H2212">
        <v>4</v>
      </c>
      <c r="I2212" t="s">
        <v>23</v>
      </c>
      <c r="J2212" t="s">
        <v>24</v>
      </c>
      <c r="K2212" t="s">
        <v>27</v>
      </c>
      <c r="L2212" t="s">
        <v>166</v>
      </c>
      <c r="M2212" t="s">
        <v>78</v>
      </c>
      <c r="N2212">
        <v>0</v>
      </c>
      <c r="O2212" t="s">
        <v>27</v>
      </c>
      <c r="S2212" s="3">
        <v>53500</v>
      </c>
      <c r="T2212" s="2">
        <v>64447.45703125</v>
      </c>
      <c r="U2212" s="2">
        <v>77161.68069086624</v>
      </c>
      <c r="V2212" s="2">
        <v>53705.357666098738</v>
      </c>
      <c r="W2212" s="2">
        <v>93241.7734375</v>
      </c>
      <c r="X2212" s="4">
        <f t="shared" si="136"/>
        <v>0.83013360750693899</v>
      </c>
      <c r="Y2212" s="4">
        <f t="shared" si="137"/>
        <v>0.69334933507135088</v>
      </c>
      <c r="Z2212" s="4">
        <f t="shared" si="138"/>
        <v>0.99617621639584819</v>
      </c>
      <c r="AA2212" s="4">
        <f t="shared" si="139"/>
        <v>0.57377716046832883</v>
      </c>
    </row>
    <row r="2213" spans="1:27" x14ac:dyDescent="0.3">
      <c r="A2213" t="s">
        <v>593</v>
      </c>
      <c r="B2213">
        <v>169642</v>
      </c>
      <c r="C2213">
        <v>2012</v>
      </c>
      <c r="D2213" t="s">
        <v>226</v>
      </c>
      <c r="E2213" t="s">
        <v>664</v>
      </c>
      <c r="F2213">
        <v>6</v>
      </c>
      <c r="G2213" t="s">
        <v>36</v>
      </c>
      <c r="H2213">
        <v>4</v>
      </c>
      <c r="I2213" t="s">
        <v>23</v>
      </c>
      <c r="J2213" t="s">
        <v>31</v>
      </c>
      <c r="K2213" t="s">
        <v>27</v>
      </c>
      <c r="L2213" t="s">
        <v>218</v>
      </c>
      <c r="M2213" t="s">
        <v>23</v>
      </c>
      <c r="N2213">
        <v>2.1</v>
      </c>
      <c r="O2213" t="s">
        <v>27</v>
      </c>
      <c r="S2213" s="3">
        <v>1500</v>
      </c>
      <c r="T2213" s="2">
        <v>-2231.300048828125</v>
      </c>
      <c r="U2213" s="2">
        <v>3746.161007603851</v>
      </c>
      <c r="V2213" s="2">
        <v>3993.1068835044171</v>
      </c>
      <c r="W2213" s="2">
        <v>3834.59228515625</v>
      </c>
      <c r="X2213" s="4">
        <f t="shared" si="136"/>
        <v>-0.67225382834002867</v>
      </c>
      <c r="Y2213" s="4">
        <f t="shared" si="137"/>
        <v>0.40040991216216887</v>
      </c>
      <c r="Z2213" s="4">
        <f t="shared" si="138"/>
        <v>0.37564734522797821</v>
      </c>
      <c r="AA2213" s="4">
        <f t="shared" si="139"/>
        <v>0.39117587697824274</v>
      </c>
    </row>
    <row r="2214" spans="1:27" x14ac:dyDescent="0.3">
      <c r="A2214" t="s">
        <v>596</v>
      </c>
      <c r="B2214">
        <v>26843</v>
      </c>
      <c r="C2214">
        <v>2023</v>
      </c>
      <c r="D2214" t="s">
        <v>74</v>
      </c>
      <c r="E2214" t="s">
        <v>112</v>
      </c>
      <c r="F2214">
        <v>6</v>
      </c>
      <c r="G2214" t="s">
        <v>47</v>
      </c>
      <c r="H2214">
        <v>3</v>
      </c>
      <c r="I2214" t="s">
        <v>23</v>
      </c>
      <c r="J2214" t="s">
        <v>113</v>
      </c>
      <c r="K2214" t="s">
        <v>25</v>
      </c>
      <c r="L2214" t="s">
        <v>26</v>
      </c>
      <c r="M2214" t="s">
        <v>33</v>
      </c>
      <c r="N2214">
        <v>3.9</v>
      </c>
      <c r="O2214" t="s">
        <v>27</v>
      </c>
      <c r="S2214" s="3">
        <v>24500</v>
      </c>
      <c r="T2214" s="2">
        <v>31135.78515625</v>
      </c>
      <c r="U2214" s="2">
        <v>29654.55898578959</v>
      </c>
      <c r="V2214" s="2">
        <v>29801.372205893069</v>
      </c>
      <c r="W2214" s="2">
        <v>30968.802734375</v>
      </c>
      <c r="X2214" s="4">
        <f t="shared" si="136"/>
        <v>0.78687593317626758</v>
      </c>
      <c r="Y2214" s="4">
        <f t="shared" si="137"/>
        <v>0.82617988052833136</v>
      </c>
      <c r="Z2214" s="4">
        <f t="shared" si="138"/>
        <v>0.82210979517095017</v>
      </c>
      <c r="AA2214" s="4">
        <f t="shared" si="139"/>
        <v>0.79111873358944207</v>
      </c>
    </row>
    <row r="2215" spans="1:27" x14ac:dyDescent="0.3">
      <c r="A2215" t="s">
        <v>596</v>
      </c>
      <c r="B2215">
        <v>126546</v>
      </c>
      <c r="C2215">
        <v>2014</v>
      </c>
      <c r="D2215" t="s">
        <v>100</v>
      </c>
      <c r="E2215" t="s">
        <v>358</v>
      </c>
      <c r="F2215">
        <v>6</v>
      </c>
      <c r="G2215" t="s">
        <v>36</v>
      </c>
      <c r="H2215">
        <v>4</v>
      </c>
      <c r="I2215" t="s">
        <v>23</v>
      </c>
      <c r="J2215" t="s">
        <v>24</v>
      </c>
      <c r="K2215" t="s">
        <v>25</v>
      </c>
      <c r="L2215" t="s">
        <v>53</v>
      </c>
      <c r="M2215" t="s">
        <v>33</v>
      </c>
      <c r="N2215">
        <v>3.4</v>
      </c>
      <c r="O2215" t="s">
        <v>27</v>
      </c>
      <c r="S2215" s="3">
        <v>3000</v>
      </c>
      <c r="T2215" s="2">
        <v>4341.26318359375</v>
      </c>
      <c r="U2215" s="2">
        <v>4470.567637262473</v>
      </c>
      <c r="V2215" s="2">
        <v>3687.7805033587169</v>
      </c>
      <c r="W2215" s="2">
        <v>5127.11962890625</v>
      </c>
      <c r="X2215" s="4">
        <f t="shared" si="136"/>
        <v>0.6910431073005262</v>
      </c>
      <c r="Y2215" s="4">
        <f t="shared" si="137"/>
        <v>0.67105572343762443</v>
      </c>
      <c r="Z2215" s="4">
        <f t="shared" si="138"/>
        <v>0.81349744033509919</v>
      </c>
      <c r="AA2215" s="4">
        <f t="shared" si="139"/>
        <v>0.58512385454910465</v>
      </c>
    </row>
    <row r="2216" spans="1:27" x14ac:dyDescent="0.3">
      <c r="A2216" t="s">
        <v>596</v>
      </c>
      <c r="B2216">
        <v>143410</v>
      </c>
      <c r="C2216">
        <v>2006</v>
      </c>
      <c r="D2216" t="s">
        <v>396</v>
      </c>
      <c r="E2216" t="s">
        <v>428</v>
      </c>
      <c r="F2216">
        <v>6</v>
      </c>
      <c r="G2216" t="s">
        <v>30</v>
      </c>
      <c r="H2216">
        <v>4</v>
      </c>
      <c r="I2216" t="s">
        <v>23</v>
      </c>
      <c r="J2216" t="s">
        <v>31</v>
      </c>
      <c r="K2216" t="s">
        <v>25</v>
      </c>
      <c r="L2216" t="s">
        <v>301</v>
      </c>
      <c r="M2216" t="s">
        <v>33</v>
      </c>
      <c r="N2216">
        <v>1.8</v>
      </c>
      <c r="O2216" t="s">
        <v>27</v>
      </c>
      <c r="S2216" s="3">
        <v>1000</v>
      </c>
      <c r="T2216" s="2">
        <v>1323.061889648438</v>
      </c>
      <c r="U2216" s="2">
        <v>2015.49580562457</v>
      </c>
      <c r="V2216" s="2">
        <v>1694.78710995542</v>
      </c>
      <c r="W2216" s="2">
        <v>1588.252685546875</v>
      </c>
      <c r="X2216" s="4">
        <f t="shared" si="136"/>
        <v>0.75582254150311778</v>
      </c>
      <c r="Y2216" s="4">
        <f t="shared" si="137"/>
        <v>0.49615583282750414</v>
      </c>
      <c r="Z2216" s="4">
        <f t="shared" si="138"/>
        <v>0.59004461039729306</v>
      </c>
      <c r="AA2216" s="4">
        <f t="shared" si="139"/>
        <v>0.62962273516047929</v>
      </c>
    </row>
    <row r="2217" spans="1:27" x14ac:dyDescent="0.3">
      <c r="A2217" t="s">
        <v>596</v>
      </c>
      <c r="B2217">
        <v>93262</v>
      </c>
      <c r="C2217">
        <v>2002</v>
      </c>
      <c r="D2217" t="s">
        <v>34</v>
      </c>
      <c r="E2217" t="s">
        <v>116</v>
      </c>
      <c r="F2217">
        <v>6</v>
      </c>
      <c r="G2217" t="s">
        <v>568</v>
      </c>
      <c r="H2217">
        <v>4</v>
      </c>
      <c r="I2217" t="s">
        <v>23</v>
      </c>
      <c r="J2217" t="s">
        <v>37</v>
      </c>
      <c r="K2217" t="s">
        <v>25</v>
      </c>
      <c r="L2217" t="s">
        <v>168</v>
      </c>
      <c r="M2217" t="s">
        <v>33</v>
      </c>
      <c r="N2217">
        <v>1.5</v>
      </c>
      <c r="O2217" t="s">
        <v>27</v>
      </c>
      <c r="S2217" s="3">
        <v>2300</v>
      </c>
      <c r="T2217" s="2">
        <v>2393.041015625</v>
      </c>
      <c r="U2217" s="2">
        <v>1391.1695560052269</v>
      </c>
      <c r="V2217" s="2">
        <v>-445.95609722953122</v>
      </c>
      <c r="W2217" s="2">
        <v>2003.057983398438</v>
      </c>
      <c r="X2217" s="4">
        <f t="shared" si="136"/>
        <v>0.96112017511714065</v>
      </c>
      <c r="Y2217" s="4">
        <f t="shared" si="137"/>
        <v>1.6532851729479325</v>
      </c>
      <c r="Z2217" s="4">
        <f t="shared" si="138"/>
        <v>-5.1574583558529135</v>
      </c>
      <c r="AA2217" s="4">
        <f t="shared" si="139"/>
        <v>1.1482443439294567</v>
      </c>
    </row>
    <row r="2218" spans="1:27" x14ac:dyDescent="0.3">
      <c r="A2218" t="s">
        <v>596</v>
      </c>
      <c r="B2218">
        <v>83858</v>
      </c>
      <c r="C2218">
        <v>2016</v>
      </c>
      <c r="D2218" t="s">
        <v>44</v>
      </c>
      <c r="E2218" t="s">
        <v>45</v>
      </c>
      <c r="F2218">
        <v>6</v>
      </c>
      <c r="G2218" t="s">
        <v>56</v>
      </c>
      <c r="H2218">
        <v>2</v>
      </c>
      <c r="I2218" t="s">
        <v>23</v>
      </c>
      <c r="J2218" t="s">
        <v>576</v>
      </c>
      <c r="K2218" t="s">
        <v>25</v>
      </c>
      <c r="L2218" t="s">
        <v>38</v>
      </c>
      <c r="M2218" t="s">
        <v>78</v>
      </c>
      <c r="N2218">
        <v>2.2999999999999901</v>
      </c>
      <c r="O2218" t="s">
        <v>27</v>
      </c>
      <c r="S2218" s="3">
        <v>8500</v>
      </c>
      <c r="T2218" s="2">
        <v>7040.0576171875</v>
      </c>
      <c r="U2218" s="2">
        <v>9684.2924989991516</v>
      </c>
      <c r="V2218" s="2">
        <v>9387.9146317202867</v>
      </c>
      <c r="W2218" s="2">
        <v>7470.8544921875</v>
      </c>
      <c r="X2218" s="4">
        <f t="shared" si="136"/>
        <v>1.2073764821538131</v>
      </c>
      <c r="Y2218" s="4">
        <f t="shared" si="137"/>
        <v>0.87770996186644035</v>
      </c>
      <c r="Z2218" s="4">
        <f t="shared" si="138"/>
        <v>0.90541939647382785</v>
      </c>
      <c r="AA2218" s="4">
        <f t="shared" si="139"/>
        <v>1.1377547252310574</v>
      </c>
    </row>
    <row r="2219" spans="1:27" x14ac:dyDescent="0.3">
      <c r="A2219" t="s">
        <v>622</v>
      </c>
      <c r="B2219">
        <v>6862</v>
      </c>
      <c r="C2219">
        <v>2023</v>
      </c>
      <c r="D2219" t="s">
        <v>54</v>
      </c>
      <c r="E2219" t="s">
        <v>180</v>
      </c>
      <c r="F2219">
        <v>4</v>
      </c>
      <c r="G2219" t="s">
        <v>66</v>
      </c>
      <c r="H2219">
        <v>4</v>
      </c>
      <c r="I2219" t="s">
        <v>23</v>
      </c>
      <c r="J2219" t="s">
        <v>24</v>
      </c>
      <c r="K2219" t="s">
        <v>27</v>
      </c>
      <c r="L2219" t="s">
        <v>181</v>
      </c>
      <c r="M2219">
        <v>4</v>
      </c>
      <c r="N2219">
        <v>0</v>
      </c>
      <c r="S2219" s="3">
        <v>22000</v>
      </c>
      <c r="T2219" s="2">
        <v>32275.23828125</v>
      </c>
      <c r="U2219" s="2">
        <v>32796.76540099908</v>
      </c>
      <c r="V2219" s="2">
        <v>24827.0720622605</v>
      </c>
      <c r="W2219" s="2">
        <v>33638.9140625</v>
      </c>
      <c r="X2219" s="4">
        <f t="shared" si="136"/>
        <v>0.6816371054580469</v>
      </c>
      <c r="Y2219" s="4">
        <f t="shared" si="137"/>
        <v>0.670797858600099</v>
      </c>
      <c r="Z2219" s="4">
        <f t="shared" si="138"/>
        <v>0.88612946161468964</v>
      </c>
      <c r="AA2219" s="4">
        <f t="shared" si="139"/>
        <v>0.65400446515974686</v>
      </c>
    </row>
    <row r="2220" spans="1:27" x14ac:dyDescent="0.3">
      <c r="A2220" t="s">
        <v>429</v>
      </c>
      <c r="B2220">
        <v>32783</v>
      </c>
      <c r="C2220">
        <v>2021</v>
      </c>
      <c r="D2220" t="s">
        <v>125</v>
      </c>
      <c r="E2220" t="s">
        <v>665</v>
      </c>
      <c r="F2220">
        <v>4</v>
      </c>
      <c r="G2220" t="s">
        <v>47</v>
      </c>
      <c r="H2220">
        <v>4</v>
      </c>
      <c r="I2220" t="s">
        <v>23</v>
      </c>
      <c r="J2220" t="s">
        <v>31</v>
      </c>
      <c r="K2220" t="s">
        <v>25</v>
      </c>
      <c r="L2220" t="s">
        <v>87</v>
      </c>
      <c r="M2220" t="s">
        <v>33</v>
      </c>
      <c r="N2220">
        <v>3.4</v>
      </c>
      <c r="O2220" t="s">
        <v>27</v>
      </c>
      <c r="S2220" s="3">
        <v>12000</v>
      </c>
      <c r="T2220" s="2">
        <v>22094.98828125</v>
      </c>
      <c r="U2220" s="2">
        <v>21639.727277490449</v>
      </c>
      <c r="V2220" s="2">
        <v>15123.15186832132</v>
      </c>
      <c r="W2220" s="2">
        <v>20709.69140625</v>
      </c>
      <c r="X2220" s="4">
        <f t="shared" si="136"/>
        <v>0.54310958880133486</v>
      </c>
      <c r="Y2220" s="4">
        <f t="shared" si="137"/>
        <v>0.55453563929534122</v>
      </c>
      <c r="Z2220" s="4">
        <f t="shared" si="138"/>
        <v>0.79348538614735264</v>
      </c>
      <c r="AA2220" s="4">
        <f t="shared" si="139"/>
        <v>0.57943886099522024</v>
      </c>
    </row>
    <row r="2221" spans="1:27" x14ac:dyDescent="0.3">
      <c r="A2221" t="s">
        <v>429</v>
      </c>
      <c r="B2221">
        <v>47100</v>
      </c>
      <c r="C2221">
        <v>2024</v>
      </c>
      <c r="D2221" t="s">
        <v>40</v>
      </c>
      <c r="E2221" t="s">
        <v>229</v>
      </c>
      <c r="F2221">
        <v>4</v>
      </c>
      <c r="G2221" t="s">
        <v>22</v>
      </c>
      <c r="H2221">
        <v>4</v>
      </c>
      <c r="I2221" t="s">
        <v>23</v>
      </c>
      <c r="J2221" t="s">
        <v>31</v>
      </c>
      <c r="K2221" t="s">
        <v>25</v>
      </c>
      <c r="L2221" t="s">
        <v>107</v>
      </c>
      <c r="M2221" t="s">
        <v>33</v>
      </c>
      <c r="N2221">
        <v>2.6</v>
      </c>
      <c r="O2221" t="s">
        <v>27</v>
      </c>
      <c r="S2221" s="3">
        <v>14700</v>
      </c>
      <c r="T2221" s="2">
        <v>19261.357421875</v>
      </c>
      <c r="U2221" s="2">
        <v>22437.440026950972</v>
      </c>
      <c r="V2221" s="2">
        <v>17754.352661068999</v>
      </c>
      <c r="W2221" s="2">
        <v>19057.65234375</v>
      </c>
      <c r="X2221" s="4">
        <f t="shared" si="136"/>
        <v>0.76318608694241374</v>
      </c>
      <c r="Y2221" s="4">
        <f t="shared" si="137"/>
        <v>0.65515495450207051</v>
      </c>
      <c r="Z2221" s="4">
        <f t="shared" si="138"/>
        <v>0.82796597998380106</v>
      </c>
      <c r="AA2221" s="4">
        <f t="shared" si="139"/>
        <v>0.77134369621454968</v>
      </c>
    </row>
    <row r="2222" spans="1:27" x14ac:dyDescent="0.3">
      <c r="A2222" t="s">
        <v>638</v>
      </c>
      <c r="B2222">
        <v>123574</v>
      </c>
      <c r="C2222">
        <v>2021</v>
      </c>
      <c r="D2222" t="s">
        <v>20</v>
      </c>
      <c r="E2222" t="s">
        <v>609</v>
      </c>
      <c r="F2222">
        <v>6</v>
      </c>
      <c r="G2222" t="s">
        <v>47</v>
      </c>
      <c r="H2222">
        <v>4</v>
      </c>
      <c r="I2222" t="s">
        <v>23</v>
      </c>
      <c r="J2222" t="s">
        <v>666</v>
      </c>
      <c r="K2222" t="s">
        <v>25</v>
      </c>
      <c r="L2222" t="s">
        <v>308</v>
      </c>
      <c r="M2222">
        <v>4</v>
      </c>
      <c r="O2222" t="s">
        <v>27</v>
      </c>
      <c r="S2222" s="3">
        <v>19900</v>
      </c>
      <c r="T2222" s="2">
        <v>19428.15234375</v>
      </c>
      <c r="U2222" s="2">
        <v>21272.758307736811</v>
      </c>
      <c r="V2222" s="2">
        <v>21632.184975273489</v>
      </c>
      <c r="W2222" s="2">
        <v>20055.716796875</v>
      </c>
      <c r="X2222" s="4">
        <f t="shared" si="136"/>
        <v>1.0242868003040853</v>
      </c>
      <c r="Y2222" s="4">
        <f t="shared" si="137"/>
        <v>0.93546872070475484</v>
      </c>
      <c r="Z2222" s="4">
        <f t="shared" si="138"/>
        <v>0.91992556566738637</v>
      </c>
      <c r="AA2222" s="4">
        <f t="shared" si="139"/>
        <v>0.99223579000181816</v>
      </c>
    </row>
    <row r="2223" spans="1:27" x14ac:dyDescent="0.3">
      <c r="A2223" t="s">
        <v>623</v>
      </c>
      <c r="B2223">
        <v>105358</v>
      </c>
      <c r="C2223">
        <v>2005</v>
      </c>
      <c r="D2223" t="s">
        <v>28</v>
      </c>
      <c r="E2223" t="s">
        <v>29</v>
      </c>
      <c r="F2223">
        <v>4</v>
      </c>
      <c r="G2223" t="s">
        <v>36</v>
      </c>
      <c r="H2223">
        <v>4</v>
      </c>
      <c r="I2223" t="s">
        <v>23</v>
      </c>
      <c r="J2223" t="s">
        <v>31</v>
      </c>
      <c r="L2223" t="s">
        <v>446</v>
      </c>
      <c r="M2223" t="s">
        <v>33</v>
      </c>
      <c r="N2223">
        <v>3.6</v>
      </c>
      <c r="O2223" t="s">
        <v>27</v>
      </c>
      <c r="S2223" s="3">
        <v>1600</v>
      </c>
      <c r="T2223" s="2">
        <v>3079.2177734375</v>
      </c>
      <c r="U2223" s="2">
        <v>3776.6714518570939</v>
      </c>
      <c r="V2223" s="2">
        <v>3545.115646871388</v>
      </c>
      <c r="W2223" s="2">
        <v>3648.347900390625</v>
      </c>
      <c r="X2223" s="4">
        <f t="shared" si="136"/>
        <v>0.51961248528837634</v>
      </c>
      <c r="Y2223" s="4">
        <f t="shared" si="137"/>
        <v>0.42365347910081924</v>
      </c>
      <c r="Z2223" s="4">
        <f t="shared" si="138"/>
        <v>0.45132519200382687</v>
      </c>
      <c r="AA2223" s="4">
        <f t="shared" si="139"/>
        <v>0.43855466739580662</v>
      </c>
    </row>
    <row r="2224" spans="1:27" x14ac:dyDescent="0.3">
      <c r="A2224" t="s">
        <v>623</v>
      </c>
      <c r="B2224">
        <v>178025</v>
      </c>
      <c r="C2224">
        <v>2014</v>
      </c>
      <c r="D2224" t="s">
        <v>81</v>
      </c>
      <c r="E2224" t="s">
        <v>515</v>
      </c>
      <c r="F2224">
        <v>4</v>
      </c>
      <c r="G2224" t="s">
        <v>22</v>
      </c>
      <c r="H2224">
        <v>4</v>
      </c>
      <c r="I2224" t="s">
        <v>23</v>
      </c>
      <c r="J2224" t="s">
        <v>31</v>
      </c>
      <c r="L2224" t="s">
        <v>73</v>
      </c>
      <c r="M2224" t="s">
        <v>33</v>
      </c>
      <c r="N2224">
        <v>3.5</v>
      </c>
      <c r="O2224" t="s">
        <v>27</v>
      </c>
      <c r="S2224" s="3">
        <v>650</v>
      </c>
      <c r="T2224" s="2">
        <v>4868.33447265625</v>
      </c>
      <c r="U2224" s="2">
        <v>2743.1789305913721</v>
      </c>
      <c r="V2224" s="2">
        <v>1973.705783640251</v>
      </c>
      <c r="W2224" s="2">
        <v>3363.373291015625</v>
      </c>
      <c r="X2224" s="4">
        <f t="shared" si="136"/>
        <v>0.13351588795938837</v>
      </c>
      <c r="Y2224" s="4">
        <f t="shared" si="137"/>
        <v>0.23695136790069818</v>
      </c>
      <c r="Z2224" s="4">
        <f t="shared" si="138"/>
        <v>0.32932973363494794</v>
      </c>
      <c r="AA2224" s="4">
        <f t="shared" si="139"/>
        <v>0.19325835813000763</v>
      </c>
    </row>
    <row r="2225" spans="1:27" x14ac:dyDescent="0.3">
      <c r="A2225" t="s">
        <v>623</v>
      </c>
      <c r="B2225">
        <v>1</v>
      </c>
      <c r="C2225">
        <v>1987</v>
      </c>
      <c r="D2225" t="s">
        <v>667</v>
      </c>
      <c r="E2225" t="s">
        <v>668</v>
      </c>
      <c r="F2225">
        <v>0</v>
      </c>
      <c r="G2225" t="s">
        <v>66</v>
      </c>
      <c r="H2225">
        <v>2</v>
      </c>
      <c r="I2225" t="s">
        <v>23</v>
      </c>
      <c r="M2225" t="s">
        <v>78</v>
      </c>
      <c r="N2225">
        <v>2</v>
      </c>
      <c r="O2225" t="s">
        <v>199</v>
      </c>
      <c r="S2225" s="3">
        <v>400</v>
      </c>
      <c r="T2225" s="2">
        <v>-4666.82958984375</v>
      </c>
      <c r="U2225" s="2">
        <v>-6280.7545415093773</v>
      </c>
      <c r="V2225" s="2">
        <v>4551.6781006451993</v>
      </c>
      <c r="W2225" s="2">
        <v>4016.504638671875</v>
      </c>
      <c r="X2225" s="4">
        <f t="shared" si="136"/>
        <v>-8.5711293352237525E-2</v>
      </c>
      <c r="Y2225" s="4">
        <f t="shared" si="137"/>
        <v>-6.3686615574037833E-2</v>
      </c>
      <c r="Z2225" s="4">
        <f t="shared" si="138"/>
        <v>8.7879676716000651E-2</v>
      </c>
      <c r="AA2225" s="4">
        <f t="shared" si="139"/>
        <v>9.958907955656357E-2</v>
      </c>
    </row>
    <row r="2226" spans="1:27" x14ac:dyDescent="0.3">
      <c r="A2226" t="s">
        <v>623</v>
      </c>
      <c r="B2226">
        <v>18631</v>
      </c>
      <c r="C2226">
        <v>2023</v>
      </c>
      <c r="D2226" t="s">
        <v>81</v>
      </c>
      <c r="E2226" t="s">
        <v>82</v>
      </c>
      <c r="F2226">
        <v>8</v>
      </c>
      <c r="G2226" t="s">
        <v>59</v>
      </c>
      <c r="H2226">
        <v>2</v>
      </c>
      <c r="I2226" t="s">
        <v>23</v>
      </c>
      <c r="J2226" t="s">
        <v>83</v>
      </c>
      <c r="K2226" t="s">
        <v>27</v>
      </c>
      <c r="L2226" t="s">
        <v>84</v>
      </c>
      <c r="M2226" t="s">
        <v>78</v>
      </c>
      <c r="N2226">
        <v>4.5</v>
      </c>
      <c r="O2226" t="s">
        <v>27</v>
      </c>
      <c r="S2226" s="3">
        <v>32400</v>
      </c>
      <c r="T2226" s="2">
        <v>59815.65234375</v>
      </c>
      <c r="U2226" s="2">
        <v>76920.159194536245</v>
      </c>
      <c r="V2226" s="2">
        <v>37473.088645340948</v>
      </c>
      <c r="W2226" s="2">
        <v>93241.7734375</v>
      </c>
      <c r="X2226" s="4">
        <f t="shared" si="136"/>
        <v>0.54166424222547827</v>
      </c>
      <c r="Y2226" s="4">
        <f t="shared" si="137"/>
        <v>0.42121597692040946</v>
      </c>
      <c r="Z2226" s="4">
        <f t="shared" si="138"/>
        <v>0.86462048289228255</v>
      </c>
      <c r="AA2226" s="4">
        <f t="shared" si="139"/>
        <v>0.34748373830231505</v>
      </c>
    </row>
    <row r="2227" spans="1:27" x14ac:dyDescent="0.3">
      <c r="A2227" t="s">
        <v>623</v>
      </c>
      <c r="B2227">
        <v>123229</v>
      </c>
      <c r="C2227">
        <v>2008</v>
      </c>
      <c r="D2227" t="s">
        <v>239</v>
      </c>
      <c r="E2227" t="s">
        <v>240</v>
      </c>
      <c r="F2227">
        <v>8</v>
      </c>
      <c r="G2227" t="s">
        <v>36</v>
      </c>
      <c r="H2227">
        <v>4</v>
      </c>
      <c r="I2227" t="s">
        <v>23</v>
      </c>
      <c r="J2227" t="s">
        <v>24</v>
      </c>
      <c r="K2227" t="s">
        <v>27</v>
      </c>
      <c r="L2227" t="s">
        <v>334</v>
      </c>
      <c r="M2227" t="s">
        <v>23</v>
      </c>
      <c r="N2227">
        <v>2.9</v>
      </c>
      <c r="O2227" t="s">
        <v>27</v>
      </c>
      <c r="S2227" s="3">
        <v>1400</v>
      </c>
      <c r="T2227" s="2">
        <v>2056.57275390625</v>
      </c>
      <c r="U2227" s="2">
        <v>8868.9902981423857</v>
      </c>
      <c r="V2227" s="2">
        <v>152.0091454906142</v>
      </c>
      <c r="W2227" s="2">
        <v>5422.5009765625</v>
      </c>
      <c r="X2227" s="4">
        <f t="shared" si="136"/>
        <v>0.68074421259391038</v>
      </c>
      <c r="Y2227" s="4">
        <f t="shared" si="137"/>
        <v>0.1578533692040717</v>
      </c>
      <c r="Z2227" s="4">
        <f t="shared" si="138"/>
        <v>9.2099721729337851</v>
      </c>
      <c r="AA2227" s="4">
        <f t="shared" si="139"/>
        <v>0.25818344820059502</v>
      </c>
    </row>
    <row r="2228" spans="1:27" x14ac:dyDescent="0.3">
      <c r="A2228" t="s">
        <v>623</v>
      </c>
      <c r="B2228">
        <v>96426</v>
      </c>
      <c r="C2228">
        <v>2018</v>
      </c>
      <c r="D2228" t="s">
        <v>50</v>
      </c>
      <c r="E2228" t="s">
        <v>261</v>
      </c>
      <c r="F2228">
        <v>4</v>
      </c>
      <c r="G2228" t="s">
        <v>22</v>
      </c>
      <c r="H2228">
        <v>4</v>
      </c>
      <c r="I2228" t="s">
        <v>23</v>
      </c>
      <c r="J2228" t="s">
        <v>31</v>
      </c>
      <c r="K2228" t="s">
        <v>27</v>
      </c>
      <c r="L2228" t="s">
        <v>127</v>
      </c>
      <c r="M2228" t="s">
        <v>23</v>
      </c>
      <c r="N2228">
        <v>2.5</v>
      </c>
      <c r="O2228" t="s">
        <v>199</v>
      </c>
      <c r="S2228" s="3">
        <v>4300</v>
      </c>
      <c r="T2228" s="2">
        <v>7888.14111328125</v>
      </c>
      <c r="U2228" s="2">
        <v>5771.9397213717793</v>
      </c>
      <c r="V2228" s="2">
        <v>6496.8194501700227</v>
      </c>
      <c r="W2228" s="2">
        <v>7435.8173828125</v>
      </c>
      <c r="X2228" s="4">
        <f t="shared" si="136"/>
        <v>0.54512209381752785</v>
      </c>
      <c r="Y2228" s="4">
        <f t="shared" si="137"/>
        <v>0.74498352504936538</v>
      </c>
      <c r="Z2228" s="4">
        <f t="shared" si="138"/>
        <v>0.66186232093728081</v>
      </c>
      <c r="AA2228" s="4">
        <f t="shared" si="139"/>
        <v>0.5782820877149597</v>
      </c>
    </row>
    <row r="2229" spans="1:27" x14ac:dyDescent="0.3">
      <c r="A2229" t="s">
        <v>623</v>
      </c>
      <c r="B2229">
        <v>231274</v>
      </c>
      <c r="C2229">
        <v>2006</v>
      </c>
      <c r="D2229" t="s">
        <v>81</v>
      </c>
      <c r="E2229" t="s">
        <v>105</v>
      </c>
      <c r="F2229">
        <v>6</v>
      </c>
      <c r="G2229" t="s">
        <v>66</v>
      </c>
      <c r="H2229">
        <v>4</v>
      </c>
      <c r="I2229" t="s">
        <v>23</v>
      </c>
      <c r="J2229" t="s">
        <v>106</v>
      </c>
      <c r="L2229" t="s">
        <v>143</v>
      </c>
      <c r="M2229" t="s">
        <v>33</v>
      </c>
      <c r="N2229">
        <v>2</v>
      </c>
      <c r="O2229" t="s">
        <v>312</v>
      </c>
      <c r="S2229" s="3">
        <v>400</v>
      </c>
      <c r="T2229" s="2">
        <v>578.61822509765625</v>
      </c>
      <c r="U2229" s="2">
        <v>-635.09599474138668</v>
      </c>
      <c r="V2229" s="2">
        <v>232.9819185797005</v>
      </c>
      <c r="W2229" s="2">
        <v>952.4638671875</v>
      </c>
      <c r="X2229" s="4">
        <f t="shared" si="136"/>
        <v>0.69130211018239185</v>
      </c>
      <c r="Y2229" s="4">
        <f t="shared" si="137"/>
        <v>-0.62982604726216451</v>
      </c>
      <c r="Z2229" s="4">
        <f t="shared" si="138"/>
        <v>1.7168714312186613</v>
      </c>
      <c r="AA2229" s="4">
        <f t="shared" si="139"/>
        <v>0.41996343775344169</v>
      </c>
    </row>
    <row r="2230" spans="1:27" x14ac:dyDescent="0.3">
      <c r="A2230" t="s">
        <v>623</v>
      </c>
      <c r="B2230">
        <v>163852</v>
      </c>
      <c r="C2230">
        <v>2012</v>
      </c>
      <c r="D2230" t="s">
        <v>141</v>
      </c>
      <c r="E2230" t="s">
        <v>259</v>
      </c>
      <c r="F2230">
        <v>6</v>
      </c>
      <c r="G2230" t="s">
        <v>47</v>
      </c>
      <c r="H2230">
        <v>4</v>
      </c>
      <c r="I2230" t="s">
        <v>23</v>
      </c>
      <c r="J2230" t="s">
        <v>31</v>
      </c>
      <c r="K2230" t="s">
        <v>27</v>
      </c>
      <c r="L2230" t="s">
        <v>26</v>
      </c>
      <c r="M2230" t="s">
        <v>33</v>
      </c>
      <c r="N2230">
        <v>3.3</v>
      </c>
      <c r="O2230" t="s">
        <v>27</v>
      </c>
      <c r="S2230" s="3">
        <v>2100</v>
      </c>
      <c r="T2230" s="2">
        <v>2767.7744140625</v>
      </c>
      <c r="U2230" s="2">
        <v>3005.3018664690821</v>
      </c>
      <c r="V2230" s="2">
        <v>1872.9766575355879</v>
      </c>
      <c r="W2230" s="2">
        <v>2726.746826171875</v>
      </c>
      <c r="X2230" s="4">
        <f t="shared" si="136"/>
        <v>0.75873235525638438</v>
      </c>
      <c r="Y2230" s="4">
        <f t="shared" si="137"/>
        <v>0.69876508028369277</v>
      </c>
      <c r="Z2230" s="4">
        <f t="shared" si="138"/>
        <v>1.1212099155379347</v>
      </c>
      <c r="AA2230" s="4">
        <f t="shared" si="139"/>
        <v>0.7701485080476741</v>
      </c>
    </row>
    <row r="2231" spans="1:27" x14ac:dyDescent="0.3">
      <c r="A2231" t="s">
        <v>623</v>
      </c>
      <c r="B2231">
        <v>104478</v>
      </c>
      <c r="C2231">
        <v>2019</v>
      </c>
      <c r="D2231" t="s">
        <v>20</v>
      </c>
      <c r="E2231" t="s">
        <v>21</v>
      </c>
      <c r="F2231">
        <v>4</v>
      </c>
      <c r="G2231" t="s">
        <v>22</v>
      </c>
      <c r="H2231">
        <v>4</v>
      </c>
      <c r="I2231" t="s">
        <v>23</v>
      </c>
      <c r="J2231" t="s">
        <v>24</v>
      </c>
      <c r="K2231" t="s">
        <v>27</v>
      </c>
      <c r="L2231" t="s">
        <v>127</v>
      </c>
      <c r="M2231" t="s">
        <v>23</v>
      </c>
      <c r="N2231">
        <v>3.9</v>
      </c>
      <c r="O2231" t="s">
        <v>27</v>
      </c>
      <c r="S2231" s="3">
        <v>16500</v>
      </c>
      <c r="T2231" s="2">
        <v>12674.599609375</v>
      </c>
      <c r="U2231" s="2">
        <v>13465.84633034153</v>
      </c>
      <c r="V2231" s="2">
        <v>13192.17114521755</v>
      </c>
      <c r="W2231" s="2">
        <v>13308.169921875</v>
      </c>
      <c r="X2231" s="4">
        <f t="shared" si="136"/>
        <v>1.3018162710083143</v>
      </c>
      <c r="Y2231" s="4">
        <f t="shared" si="137"/>
        <v>1.2253221665556846</v>
      </c>
      <c r="Z2231" s="4">
        <f t="shared" si="138"/>
        <v>1.2507418087872224</v>
      </c>
      <c r="AA2231" s="4">
        <f t="shared" si="139"/>
        <v>1.2398398951067271</v>
      </c>
    </row>
    <row r="2232" spans="1:27" x14ac:dyDescent="0.3">
      <c r="A2232" t="s">
        <v>623</v>
      </c>
      <c r="B2232">
        <v>160861</v>
      </c>
      <c r="C2232">
        <v>2007</v>
      </c>
      <c r="D2232" t="s">
        <v>141</v>
      </c>
      <c r="E2232" t="s">
        <v>258</v>
      </c>
      <c r="F2232">
        <v>6</v>
      </c>
      <c r="G2232" t="s">
        <v>47</v>
      </c>
      <c r="H2232">
        <v>4</v>
      </c>
      <c r="I2232" t="s">
        <v>23</v>
      </c>
      <c r="J2232" t="s">
        <v>52</v>
      </c>
      <c r="K2232" t="s">
        <v>27</v>
      </c>
      <c r="L2232" t="s">
        <v>143</v>
      </c>
      <c r="M2232" t="s">
        <v>33</v>
      </c>
      <c r="N2232">
        <v>3.1</v>
      </c>
      <c r="O2232" t="s">
        <v>27</v>
      </c>
      <c r="S2232" s="3">
        <v>1300</v>
      </c>
      <c r="T2232" s="2">
        <v>1932.714111328125</v>
      </c>
      <c r="U2232" s="2">
        <v>1791.567735859941</v>
      </c>
      <c r="V2232" s="2">
        <v>344.9858866027771</v>
      </c>
      <c r="W2232" s="2">
        <v>1859.305541992188</v>
      </c>
      <c r="X2232" s="4">
        <f>S2232/T2232</f>
        <v>0.67262922766506028</v>
      </c>
      <c r="Y2232" s="4">
        <f>S2232/U2232</f>
        <v>0.72562146213020984</v>
      </c>
      <c r="Z2232" s="4">
        <f>S2232/V2232</f>
        <v>3.7682700959208897</v>
      </c>
      <c r="AA2232" s="4">
        <f t="shared" si="139"/>
        <v>0.69918578234704265</v>
      </c>
    </row>
    <row r="2234" spans="1:27" x14ac:dyDescent="0.3">
      <c r="R2234" t="s">
        <v>673</v>
      </c>
      <c r="S2234"/>
      <c r="T2234" s="7">
        <f>RSQ(T2:T2232,$S$2:$S$2232)</f>
        <v>0.74956038054950758</v>
      </c>
      <c r="U2234" s="7">
        <f>RSQ(U2:U2232,$S$2:$S$2232)</f>
        <v>0.78239514058492088</v>
      </c>
      <c r="V2234" s="7">
        <f>RSQ(V2:V2232,$S$2:$S$2232)</f>
        <v>0.85460727714759765</v>
      </c>
      <c r="W2234" s="7">
        <f>RSQ(W2:W2232,$S$2:$S$2232)</f>
        <v>0.7460167994719612</v>
      </c>
    </row>
    <row r="2235" spans="1:27" x14ac:dyDescent="0.3">
      <c r="S2235"/>
    </row>
    <row r="2236" spans="1:27" x14ac:dyDescent="0.3">
      <c r="R2236" t="s">
        <v>674</v>
      </c>
      <c r="S2236" s="8">
        <f>SUM(S2:S2232)</f>
        <v>20610788</v>
      </c>
      <c r="T2236" s="8">
        <f>SUM(T2:T2232)</f>
        <v>26374013.871364832</v>
      </c>
      <c r="U2236" s="8">
        <f t="shared" ref="U2236:W2236" si="140">SUM(U2:U2232)</f>
        <v>28368257.771805257</v>
      </c>
      <c r="V2236" s="8">
        <f t="shared" si="140"/>
        <v>24166675.771256335</v>
      </c>
      <c r="W2236" s="8">
        <f t="shared" si="140"/>
        <v>27925602.872131348</v>
      </c>
    </row>
    <row r="2237" spans="1:27" x14ac:dyDescent="0.3">
      <c r="R2237" t="s">
        <v>675</v>
      </c>
      <c r="S2237"/>
      <c r="T2237" s="7">
        <f>(T2236-$S$2236)/$S$2236</f>
        <v>0.27962181122647189</v>
      </c>
      <c r="U2237" s="7">
        <f>(U2236-$S$2236)/$S$2236</f>
        <v>0.37637909680140597</v>
      </c>
      <c r="V2237" s="7">
        <f t="shared" ref="U2237:W2237" si="141">(V2236-$S$2236)/$S$2236</f>
        <v>0.17252556143201972</v>
      </c>
      <c r="W2237" s="7">
        <f t="shared" si="141"/>
        <v>0.35490224207494386</v>
      </c>
    </row>
    <row r="2238" spans="1:27" x14ac:dyDescent="0.3">
      <c r="S2238"/>
    </row>
    <row r="2239" spans="1:27" x14ac:dyDescent="0.3">
      <c r="R2239" t="s">
        <v>677</v>
      </c>
      <c r="S2239" s="2">
        <f>AVERAGE(S2:S2232)</f>
        <v>9238.3630658897364</v>
      </c>
      <c r="T2239" s="2">
        <f>AVERAGE(T2:T2232)</f>
        <v>11821.610879141565</v>
      </c>
      <c r="U2239" s="2">
        <f t="shared" ref="T2239:W2239" si="142">AVERAGE(U2:U2232)</f>
        <v>12715.489812552782</v>
      </c>
      <c r="V2239" s="2">
        <f>AVERAGE(V2:V2232)</f>
        <v>10832.216840545198</v>
      </c>
      <c r="W2239" s="2">
        <f>AVERAGE(W2:W2232)</f>
        <v>12517.078831076355</v>
      </c>
    </row>
    <row r="2240" spans="1:27" x14ac:dyDescent="0.3">
      <c r="R2240" t="s">
        <v>676</v>
      </c>
      <c r="S2240" s="2">
        <f>_xlfn.STDEV.P(S2:S2232)</f>
        <v>10956.660603465061</v>
      </c>
      <c r="T2240" s="2">
        <f>_xlfn.STDEV.P(T2:T2232)</f>
        <v>12864.173128956571</v>
      </c>
      <c r="U2240" s="2">
        <f>_xlfn.STDEV.P(U2:U2232)</f>
        <v>13101.623172540681</v>
      </c>
      <c r="V2240" s="2">
        <f>_xlfn.STDEV.P(V2:V2232)</f>
        <v>12049.949347282709</v>
      </c>
      <c r="W2240" s="2">
        <f>_xlfn.STDEV.P(W2:W2232)</f>
        <v>14588.069160482502</v>
      </c>
    </row>
  </sheetData>
  <autoFilter ref="A1:AA2232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3670D1-2562-4A7D-8F94-3A74DF2D61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1D223-7BCF-4C88-824E-7F6BFB728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083862-EAA4-4937-9A7D-53834ECAD82A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03081e8-314b-4384-acae-c3d0f9c7005c"/>
    <ds:schemaRef ds:uri="39b54077-200f-4b4d-9081-e484359efe1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2025-08-05T18:42:57Z</dcterms:created>
  <dcterms:modified xsi:type="dcterms:W3CDTF">2025-08-26T19:07:42Z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