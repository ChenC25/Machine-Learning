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63" documentId="11_254621CD085CA4F91CDF2CA9D6FBD337688D9400" xr6:coauthVersionLast="47" xr6:coauthVersionMax="47" xr10:uidLastSave="{496C5D29-7F55-4324-816C-BFC6B0E10CE9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38" i="1" l="1"/>
  <c r="U1538" i="1"/>
  <c r="U1536" i="1"/>
  <c r="P1538" i="1"/>
  <c r="Q1538" i="1" s="1"/>
  <c r="S153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W2" i="1"/>
  <c r="U2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2" i="1"/>
  <c r="R1538" i="1"/>
  <c r="T1538" i="1"/>
  <c r="V1538" i="1"/>
  <c r="O1538" i="1"/>
</calcChain>
</file>

<file path=xl/sharedStrings.xml><?xml version="1.0" encoding="utf-8"?>
<sst xmlns="http://schemas.openxmlformats.org/spreadsheetml/2006/main" count="12273" uniqueCount="1990">
  <si>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</si>
  <si>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</si>
  <si>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</si>
  <si>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</si>
  <si>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</si>
  <si>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</si>
  <si>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</si>
  <si>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</si>
  <si>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</si>
  <si>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</si>
  <si>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</si>
  <si>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</si>
  <si>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Transport Operable</t>
  </si>
  <si>
    <t>Transport Inop</t>
  </si>
  <si>
    <t>gross_sale_price</t>
  </si>
  <si>
    <t>XGB_Predictions</t>
  </si>
  <si>
    <t>CatBoost_Predictions</t>
  </si>
  <si>
    <t>CatBoost_Native_Predictions</t>
  </si>
  <si>
    <t>Stacked_Predictions</t>
  </si>
  <si>
    <t>2GNALDEK2D6369962</t>
  </si>
  <si>
    <t>CHEVROLET</t>
  </si>
  <si>
    <t>EQUINOX</t>
  </si>
  <si>
    <t>Grade 2.0</t>
  </si>
  <si>
    <t>Inoperable</t>
  </si>
  <si>
    <t>No</t>
  </si>
  <si>
    <t>Yes</t>
  </si>
  <si>
    <t>19VDE1F59DE016165</t>
  </si>
  <si>
    <t>ACURA</t>
  </si>
  <si>
    <t>ILX</t>
  </si>
  <si>
    <t>Grade 2.7</t>
  </si>
  <si>
    <t>Red Light</t>
  </si>
  <si>
    <t>1C4BJWDG5FL508939</t>
  </si>
  <si>
    <t>JEEP</t>
  </si>
  <si>
    <t>WRANG UNLTD</t>
  </si>
  <si>
    <t>Green/Yellow</t>
  </si>
  <si>
    <t>1C4NJDEB9FD208108</t>
  </si>
  <si>
    <t>COMPASS 4X4 4C</t>
  </si>
  <si>
    <t>Grade 2.8</t>
  </si>
  <si>
    <t>Green Light</t>
  </si>
  <si>
    <t>1C4PJLDB5GW229483</t>
  </si>
  <si>
    <t>CHEROKEE FWD 4C</t>
  </si>
  <si>
    <t>1C4PJMCS1GW323366</t>
  </si>
  <si>
    <t>CHEROKEE 4X4 V6</t>
  </si>
  <si>
    <t>Grade 4.4</t>
  </si>
  <si>
    <t>Certified</t>
  </si>
  <si>
    <t>1C4RDHAG3FC907290</t>
  </si>
  <si>
    <t>DODGE</t>
  </si>
  <si>
    <t>DURANGO</t>
  </si>
  <si>
    <t>Grade 2.9</t>
  </si>
  <si>
    <t>1C6RR6FG3HS639159</t>
  </si>
  <si>
    <t>RAM</t>
  </si>
  <si>
    <t>1500 4X2 QD</t>
  </si>
  <si>
    <t>1FADP3L90HL253621</t>
  </si>
  <si>
    <t>FORD</t>
  </si>
  <si>
    <t>FOCUS ST</t>
  </si>
  <si>
    <t>Grade 2.1</t>
  </si>
  <si>
    <t>1FADP3N26EL309704</t>
  </si>
  <si>
    <t>FOCUS</t>
  </si>
  <si>
    <t>Grade 1.8</t>
  </si>
  <si>
    <t>1FMCU0F75HUA13025</t>
  </si>
  <si>
    <t>ESCAPE</t>
  </si>
  <si>
    <t>Grade 1.7</t>
  </si>
  <si>
    <t>1FMCU0G67LUC00975</t>
  </si>
  <si>
    <t>Grade 4.0</t>
  </si>
  <si>
    <t>1FMCU0GX5GUB38619</t>
  </si>
  <si>
    <t>ESCAPE FWD 4C</t>
  </si>
  <si>
    <t>Grade 1.0</t>
  </si>
  <si>
    <t>1FMCU0J99EUB24455</t>
  </si>
  <si>
    <t>1FMCU9GX6FUB37675</t>
  </si>
  <si>
    <t>ESCAPE 4X4 4C</t>
  </si>
  <si>
    <t>1FTVX1ET1EKG25271</t>
  </si>
  <si>
    <t>F150 4X4 EX</t>
  </si>
  <si>
    <t>Grade 3.7</t>
  </si>
  <si>
    <t>1G1BE5SM0K7146425</t>
  </si>
  <si>
    <t>CRUZE</t>
  </si>
  <si>
    <t>1G1JE6SB0F4187533</t>
  </si>
  <si>
    <t>SONIC</t>
  </si>
  <si>
    <t>Grade 2.6</t>
  </si>
  <si>
    <t>1G1PC5SB9F7160940</t>
  </si>
  <si>
    <t>Grade 2.5</t>
  </si>
  <si>
    <t>1G1ZB5ST4GF310447</t>
  </si>
  <si>
    <t>MALIBU</t>
  </si>
  <si>
    <t>Grade 1.3</t>
  </si>
  <si>
    <t>1G1ZB5ST5HF288248</t>
  </si>
  <si>
    <t>1G1ZC5STXLF001766</t>
  </si>
  <si>
    <t>Salvage</t>
  </si>
  <si>
    <t>1G1ZD5ST2NF132187</t>
  </si>
  <si>
    <t>Grade 3.6</t>
  </si>
  <si>
    <t>1G1ZD5ST9JF101349</t>
  </si>
  <si>
    <t>Grade 2.4</t>
  </si>
  <si>
    <t>1G4GF5E34DF172088</t>
  </si>
  <si>
    <t>BUICK</t>
  </si>
  <si>
    <t>LACROSSE FWD V6</t>
  </si>
  <si>
    <t>1G6AW5SXXE0180494</t>
  </si>
  <si>
    <t>CADILLAC</t>
  </si>
  <si>
    <t>CTS</t>
  </si>
  <si>
    <t>1GCRCREH6EZ301280</t>
  </si>
  <si>
    <t>SILVERADO 1500</t>
  </si>
  <si>
    <t>Grade 3.9</t>
  </si>
  <si>
    <t>1GCRKSE38BZ318575</t>
  </si>
  <si>
    <t>1500 SLV 4X4 EX</t>
  </si>
  <si>
    <t>1GCVKREC5GZ169170</t>
  </si>
  <si>
    <t>Grade 4.1</t>
  </si>
  <si>
    <t>1GKKNMLAXKZ262925</t>
  </si>
  <si>
    <t>GMC</t>
  </si>
  <si>
    <t>ACADIA</t>
  </si>
  <si>
    <t>Grade 3.1</t>
  </si>
  <si>
    <t>1GNFLFEKXFZ142298</t>
  </si>
  <si>
    <t>EQUINOX AWD 4C</t>
  </si>
  <si>
    <t>1GNKRGKD4EJ249868</t>
  </si>
  <si>
    <t>TRAVERSE</t>
  </si>
  <si>
    <t>Grade 1.5</t>
  </si>
  <si>
    <t>1HGCP26489A176611</t>
  </si>
  <si>
    <t>HONDA</t>
  </si>
  <si>
    <t>ACCORD</t>
  </si>
  <si>
    <t>Grade 2.3</t>
  </si>
  <si>
    <t>1HGCR2F32FA065887</t>
  </si>
  <si>
    <t>1J4PS5GK4AC145324</t>
  </si>
  <si>
    <t>GRAND CHEROKEE</t>
  </si>
  <si>
    <t>2C3CA5CVXAH319776</t>
  </si>
  <si>
    <t>CHRYSLER</t>
  </si>
  <si>
    <t>2C3CDXBG8NH137926</t>
  </si>
  <si>
    <t>CHARGER</t>
  </si>
  <si>
    <t>2C3CDZBG7FH912732</t>
  </si>
  <si>
    <t>CHALLENGER</t>
  </si>
  <si>
    <t>2CTFLWE54B6339514</t>
  </si>
  <si>
    <t>TERRAIN</t>
  </si>
  <si>
    <t>2G1WF5EK2B1322493</t>
  </si>
  <si>
    <t>IMPALA</t>
  </si>
  <si>
    <t>2G4GS5EV5D9223927</t>
  </si>
  <si>
    <t>REGAL</t>
  </si>
  <si>
    <t>2GKFLUEK4G6259549</t>
  </si>
  <si>
    <t>TERRAIN AWD 4C</t>
  </si>
  <si>
    <t>2GNALAEK7E6106544</t>
  </si>
  <si>
    <t>EQUINOX FWD 4C</t>
  </si>
  <si>
    <t>Grade 4.7</t>
  </si>
  <si>
    <t>2GNALAEK7F6421300</t>
  </si>
  <si>
    <t>2GNALCEK0F6182944</t>
  </si>
  <si>
    <t>2T3WFREV1FW201315</t>
  </si>
  <si>
    <t>TOYOTA</t>
  </si>
  <si>
    <t>RAV4 FWD</t>
  </si>
  <si>
    <t>Grade 3.2</t>
  </si>
  <si>
    <t>3C4NJCAB9KT844418</t>
  </si>
  <si>
    <t>COMPASS</t>
  </si>
  <si>
    <t>3C4PDCAB3GT212022</t>
  </si>
  <si>
    <t>JOURNEY</t>
  </si>
  <si>
    <t>3C4PDCGB9LT272680</t>
  </si>
  <si>
    <t>3FA6P0G71HR347802</t>
  </si>
  <si>
    <t>FUSION FWD 4C</t>
  </si>
  <si>
    <t>3FADP4BJ5JM126997</t>
  </si>
  <si>
    <t>FIESTA</t>
  </si>
  <si>
    <t>Grade 4.2</t>
  </si>
  <si>
    <t>3GYFNAEY0AS555762</t>
  </si>
  <si>
    <t>SRX</t>
  </si>
  <si>
    <t>3GYFNFE36FS630957</t>
  </si>
  <si>
    <t>3KPFK4A75JE276545</t>
  </si>
  <si>
    <t>KIA</t>
  </si>
  <si>
    <t>FORTE</t>
  </si>
  <si>
    <t>3LN6L2LUXGR618766</t>
  </si>
  <si>
    <t>LINCOLN</t>
  </si>
  <si>
    <t>MKZ FWD 4C</t>
  </si>
  <si>
    <t>Grade 4.3</t>
  </si>
  <si>
    <t>4T1BF1FK7CU115421</t>
  </si>
  <si>
    <t>CAMRY</t>
  </si>
  <si>
    <t>5LMCJ3D90HUL35339</t>
  </si>
  <si>
    <t>MKC AWD 4C</t>
  </si>
  <si>
    <t>5NPD84LF6JH312572</t>
  </si>
  <si>
    <t>HYUNDAI</t>
  </si>
  <si>
    <t>ELANTRA</t>
  </si>
  <si>
    <t>5NPD84LF8LH559014</t>
  </si>
  <si>
    <t>5NPE24AF3KH774937</t>
  </si>
  <si>
    <t>SONATA</t>
  </si>
  <si>
    <t>5XXGU4L32JG209174</t>
  </si>
  <si>
    <t>OPTIMA</t>
  </si>
  <si>
    <t>Grade 4.5</t>
  </si>
  <si>
    <t>5XYKTCA63FG652442</t>
  </si>
  <si>
    <t>SORENTO AWD 4C</t>
  </si>
  <si>
    <t>5XYPG4A37GG045743</t>
  </si>
  <si>
    <t>SORENTO FWD 4C</t>
  </si>
  <si>
    <t>5XYZT3LB6JG569637</t>
  </si>
  <si>
    <t>SANTA SP FWD 4C</t>
  </si>
  <si>
    <t>JF1VA1C67L9804505</t>
  </si>
  <si>
    <t>SUBARU</t>
  </si>
  <si>
    <t>WRX</t>
  </si>
  <si>
    <t>JN8AS5MV3DW652278</t>
  </si>
  <si>
    <t>NISSAN</t>
  </si>
  <si>
    <t>ROGUE</t>
  </si>
  <si>
    <t>KM8J33A46MU380583</t>
  </si>
  <si>
    <t>TUCSON FWD 4C</t>
  </si>
  <si>
    <t>Grade 4.6</t>
  </si>
  <si>
    <t>KMHDH4AE6EU164960</t>
  </si>
  <si>
    <t>KMHTC6AD1DU167437</t>
  </si>
  <si>
    <t>VELOSTER</t>
  </si>
  <si>
    <t>KNAGM4AD5D5039877</t>
  </si>
  <si>
    <t>OPTIMA HYBRID</t>
  </si>
  <si>
    <t>KNDJ23AU0L7068926</t>
  </si>
  <si>
    <t>SOUL</t>
  </si>
  <si>
    <t>KNDJN2A22K7913323</t>
  </si>
  <si>
    <t>WMWSV3C58DT395873</t>
  </si>
  <si>
    <t>MINI</t>
  </si>
  <si>
    <t>HARDTOP</t>
  </si>
  <si>
    <t>YV4940DZ2D2372581</t>
  </si>
  <si>
    <t>VOLVO</t>
  </si>
  <si>
    <t>XC60</t>
  </si>
  <si>
    <t>1C3CCCAB3FN732922</t>
  </si>
  <si>
    <t>1C3CCCAB6FN744272</t>
  </si>
  <si>
    <t>200 FWD 4C</t>
  </si>
  <si>
    <t>1C3CCCCB5GN109087</t>
  </si>
  <si>
    <t>1C4BJWDG3FL607176</t>
  </si>
  <si>
    <t>1C4NJCEBXHD185001</t>
  </si>
  <si>
    <t>COMPASS FWD 4C</t>
  </si>
  <si>
    <t>1C4PJMLB5KD211318</t>
  </si>
  <si>
    <t>CHEROKEE 4X4 4C</t>
  </si>
  <si>
    <t>1C6RR7TT5HS789569</t>
  </si>
  <si>
    <t>Grade 3.8</t>
  </si>
  <si>
    <t>1FADP3K27HL295241</t>
  </si>
  <si>
    <t>1FMCU9GD3JUB15308</t>
  </si>
  <si>
    <t>1G1PE5SBXG7139235</t>
  </si>
  <si>
    <t>CRUZE LIMITED</t>
  </si>
  <si>
    <t>Grade 3.3</t>
  </si>
  <si>
    <t>1G1ZB5ST8GF196355</t>
  </si>
  <si>
    <t>1G1ZD5ST5KF106226</t>
  </si>
  <si>
    <t>1G6AA5RA6E0163191</t>
  </si>
  <si>
    <t>ATS</t>
  </si>
  <si>
    <t>1GCPDBEK7NZ508039</t>
  </si>
  <si>
    <t>1GKKNULS1KZ253880</t>
  </si>
  <si>
    <t>1HGCR2F32DA171236</t>
  </si>
  <si>
    <t>Grade 1.1</t>
  </si>
  <si>
    <t>1N4AL3AP3GC113545</t>
  </si>
  <si>
    <t>ALTIMA</t>
  </si>
  <si>
    <t>2C3CDXJG3HH526186</t>
  </si>
  <si>
    <t>CHARGER AWD V6</t>
  </si>
  <si>
    <t>2C3CDXJG3JH222250</t>
  </si>
  <si>
    <t>2C4RDGCG6GR172482</t>
  </si>
  <si>
    <t>GRAND CARAVAN</t>
  </si>
  <si>
    <t>2G1FJ1EJ6A9130475</t>
  </si>
  <si>
    <t>CAMARO</t>
  </si>
  <si>
    <t>2G4GT5GX9E9283187</t>
  </si>
  <si>
    <t>2GKALMEK9H6197416</t>
  </si>
  <si>
    <t>2GNALBEK0G1116158</t>
  </si>
  <si>
    <t>2GNAXJEV6J6227378</t>
  </si>
  <si>
    <t>2GNFLBE32F6371796</t>
  </si>
  <si>
    <t>EQUINOX FWD V6</t>
  </si>
  <si>
    <t>2GNFLFEK3G6188942</t>
  </si>
  <si>
    <t>2GNFLHE3XE6195842</t>
  </si>
  <si>
    <t>EQUINOX AWD V6</t>
  </si>
  <si>
    <t>Grade 2.2</t>
  </si>
  <si>
    <t>3C3CFFFH2ET240077</t>
  </si>
  <si>
    <t>FIAT</t>
  </si>
  <si>
    <t>3FA6P0HD0FR191348</t>
  </si>
  <si>
    <t>Grade 3.5</t>
  </si>
  <si>
    <t>3FA6P0T94GR403818</t>
  </si>
  <si>
    <t>FUSION AWD 4C</t>
  </si>
  <si>
    <t>3GKALPEV2ML308695</t>
  </si>
  <si>
    <t>Grade 3.0</t>
  </si>
  <si>
    <t>3GNAXTEV4MS111386</t>
  </si>
  <si>
    <t>EQUINOX AWD</t>
  </si>
  <si>
    <t>3GNCJMSB9GL205000</t>
  </si>
  <si>
    <t>TRAX FWD</t>
  </si>
  <si>
    <t>3LN6L5C92HR653798</t>
  </si>
  <si>
    <t>MKZ</t>
  </si>
  <si>
    <t>Grade 1.4</t>
  </si>
  <si>
    <t>3LNHL2JC4AR754059</t>
  </si>
  <si>
    <t>3N1AB7APXGL678984</t>
  </si>
  <si>
    <t>SENTRA</t>
  </si>
  <si>
    <t>3VWC57BU5LM104022</t>
  </si>
  <si>
    <t>VOLKSWAGEN</t>
  </si>
  <si>
    <t>JETTA</t>
  </si>
  <si>
    <t>4JGBF7BEXBA675632</t>
  </si>
  <si>
    <t>MERCEDES-BENZ</t>
  </si>
  <si>
    <t>GL 450</t>
  </si>
  <si>
    <t>Grade 0: Salvage</t>
  </si>
  <si>
    <t>4T1B11HK2KU239719</t>
  </si>
  <si>
    <t>CAMRY 4C</t>
  </si>
  <si>
    <t>5GAKRAKD6HJ333525</t>
  </si>
  <si>
    <t>ENCLAVE</t>
  </si>
  <si>
    <t>5N1DR2MN7JC624253</t>
  </si>
  <si>
    <t>PATHFINDER</t>
  </si>
  <si>
    <t>5NPD84LF4LH610430</t>
  </si>
  <si>
    <t>5NPDH4AE5GH652962</t>
  </si>
  <si>
    <t>5XXGT4L39LG385905</t>
  </si>
  <si>
    <t>5XYKUDA66DG318616</t>
  </si>
  <si>
    <t>5YFBURHEXGP539744</t>
  </si>
  <si>
    <t>COROLLA</t>
  </si>
  <si>
    <t>JTMKF4DV6C5044158</t>
  </si>
  <si>
    <t>RAV4</t>
  </si>
  <si>
    <t>KL4CJASB3HB198923</t>
  </si>
  <si>
    <t>ENCORE</t>
  </si>
  <si>
    <t>KL79MNSL9MB025955</t>
  </si>
  <si>
    <t>TRAILBLAZER</t>
  </si>
  <si>
    <t>KM8SM4HF9GU156324</t>
  </si>
  <si>
    <t>SANTA FE FWD</t>
  </si>
  <si>
    <t>KMHD35LH2HU356604</t>
  </si>
  <si>
    <t>ELANTRA GT</t>
  </si>
  <si>
    <t>KMHDH4AE6FU357627</t>
  </si>
  <si>
    <t>KNDJN2A21K7662617</t>
  </si>
  <si>
    <t>SAJBE4BV4GCY16519</t>
  </si>
  <si>
    <t>JAGUAR</t>
  </si>
  <si>
    <t>XF</t>
  </si>
  <si>
    <t>W04WT3N57GG090914</t>
  </si>
  <si>
    <t>CASCADA</t>
  </si>
  <si>
    <t>WBA4B1C52GG242795</t>
  </si>
  <si>
    <t>BMW</t>
  </si>
  <si>
    <t>435I GRAN COUPE</t>
  </si>
  <si>
    <t>WDD1J6FB5JF030404</t>
  </si>
  <si>
    <t>E 400</t>
  </si>
  <si>
    <t>WDDHF8JB0CA620822</t>
  </si>
  <si>
    <t>E 350</t>
  </si>
  <si>
    <t>WDDLJ7DB1CA025654</t>
  </si>
  <si>
    <t>CLS 550</t>
  </si>
  <si>
    <t>YV4952CZ2D1643042</t>
  </si>
  <si>
    <t>XC90</t>
  </si>
  <si>
    <t>1C3CCCAB8FN667968</t>
  </si>
  <si>
    <t>1C3CCCBG8FN522262</t>
  </si>
  <si>
    <t>1C3CDFFA1GD820664</t>
  </si>
  <si>
    <t>DART</t>
  </si>
  <si>
    <t>1C4NJDEB8ED546419</t>
  </si>
  <si>
    <t>1C4NJRBB2FD231277</t>
  </si>
  <si>
    <t>PATRIOT</t>
  </si>
  <si>
    <t>1C4NJRBB3ED808994</t>
  </si>
  <si>
    <t>PATRIOT 4X4 4C</t>
  </si>
  <si>
    <t>1C4PJLCB8GW217152</t>
  </si>
  <si>
    <t>CHEROKEE</t>
  </si>
  <si>
    <t>1C4PJMCB3HW659859</t>
  </si>
  <si>
    <t>1C4PJMCS5FW793916</t>
  </si>
  <si>
    <t>1C4PJMCX2JD522280</t>
  </si>
  <si>
    <t>1C4PJMLB4JD548559</t>
  </si>
  <si>
    <t>1C4RJEBM5EC336461</t>
  </si>
  <si>
    <t>1C4RJFAG3FC859643</t>
  </si>
  <si>
    <t>1C6RR6FG9FS514616</t>
  </si>
  <si>
    <t>1500 4X2 V6</t>
  </si>
  <si>
    <t>1D4RE5GG1BC667589</t>
  </si>
  <si>
    <t>1FA6P0H74E5389197</t>
  </si>
  <si>
    <t>1FADP3F21GL283109</t>
  </si>
  <si>
    <t>Grade 1.6</t>
  </si>
  <si>
    <t>1FADP3F23HL346342</t>
  </si>
  <si>
    <t>1FAHP2D8XGG118557</t>
  </si>
  <si>
    <t>TAURUS</t>
  </si>
  <si>
    <t>1FAHP2F80HG134104</t>
  </si>
  <si>
    <t>1FM5K7D88GGC54853</t>
  </si>
  <si>
    <t>EXPLORER</t>
  </si>
  <si>
    <t>1FM5K7D93EGC10863</t>
  </si>
  <si>
    <t>1FM5K8D85DGA09882</t>
  </si>
  <si>
    <t>1FMCU0F72KUB64234</t>
  </si>
  <si>
    <t>1FMCU0GD8HUB51257</t>
  </si>
  <si>
    <t>1FMCU0HD0JUA08565</t>
  </si>
  <si>
    <t>1FMCU9GDXHUC28585</t>
  </si>
  <si>
    <t>1FMCU9GX1FUB65027</t>
  </si>
  <si>
    <t>1FMCU9JX1GUA25117</t>
  </si>
  <si>
    <t>1G11C5SL1FF232444</t>
  </si>
  <si>
    <t>1G1BE5SM3G7255453</t>
  </si>
  <si>
    <t>1G1JC6SH4E4236418</t>
  </si>
  <si>
    <t>1G1JD5SH5J4100915</t>
  </si>
  <si>
    <t>1G1PA5SH1F7234569</t>
  </si>
  <si>
    <t>1G1PC5SB5D7238126</t>
  </si>
  <si>
    <t>1G1PE5SB0E7474694</t>
  </si>
  <si>
    <t>1G1PE5SB2E7338101</t>
  </si>
  <si>
    <t>1G1PE5SB2E7397326</t>
  </si>
  <si>
    <t>1G1PF5SC5C7193946</t>
  </si>
  <si>
    <t>1G1ZD5ST3KF153948</t>
  </si>
  <si>
    <t>1G1ZE5ST2GF337976</t>
  </si>
  <si>
    <t>1G1ZE5ST6GF199519</t>
  </si>
  <si>
    <t>1G1ZE5STXHF137879</t>
  </si>
  <si>
    <t>1G4PP5SK7C4195223</t>
  </si>
  <si>
    <t>VERANO</t>
  </si>
  <si>
    <t>1GCGSBEA1F1261825</t>
  </si>
  <si>
    <t>COLORADO</t>
  </si>
  <si>
    <t>1GCGTDE33G1394064</t>
  </si>
  <si>
    <t>1GKKVNED7FJ116631</t>
  </si>
  <si>
    <t>GMC TRUCK</t>
  </si>
  <si>
    <t>ACADIA AWD</t>
  </si>
  <si>
    <t>1GNKRFED0FJ124258</t>
  </si>
  <si>
    <t>TRAVERSE FWD</t>
  </si>
  <si>
    <t>1GNKVHKD2GJ341887</t>
  </si>
  <si>
    <t>TRAVERSE AWD</t>
  </si>
  <si>
    <t>1GYS4CEFXER115343</t>
  </si>
  <si>
    <t>ESCALADE</t>
  </si>
  <si>
    <t>1HGCR2F36GA193874</t>
  </si>
  <si>
    <t>1LNHL9ER3AG603647</t>
  </si>
  <si>
    <t>MKS</t>
  </si>
  <si>
    <t>2C3CDXBG7NH235278</t>
  </si>
  <si>
    <t>CHARGER 4X2 V6</t>
  </si>
  <si>
    <t>Grade 1.9</t>
  </si>
  <si>
    <t>2C3CDZAG6GH162713</t>
  </si>
  <si>
    <t>2C4RDGBG5GR237355</t>
  </si>
  <si>
    <t>2C4RDGBG6JR153035</t>
  </si>
  <si>
    <t>2C4RDGCG9JR268128</t>
  </si>
  <si>
    <t>2C4RDGEG5HR791878</t>
  </si>
  <si>
    <t>2C4RDGEGXKR631194</t>
  </si>
  <si>
    <t>2FMGK5D8XDBD13014</t>
  </si>
  <si>
    <t>FLEX</t>
  </si>
  <si>
    <t>2FMPK3J96LBA29511</t>
  </si>
  <si>
    <t>EDGE FWD SUV</t>
  </si>
  <si>
    <t>2GKALMEKXG6322941</t>
  </si>
  <si>
    <t>2GKALNEK3H6312064</t>
  </si>
  <si>
    <t>2GKFLUE31H6136429</t>
  </si>
  <si>
    <t>TERRAIN AWD V6</t>
  </si>
  <si>
    <t>2GKFLUEK6G6237598</t>
  </si>
  <si>
    <t>2GNALBEK8H1602766</t>
  </si>
  <si>
    <t>2GNALBEK9H1501607</t>
  </si>
  <si>
    <t>2GNALCEK6H1606501</t>
  </si>
  <si>
    <t>2GNAXJEV0J6271120</t>
  </si>
  <si>
    <t>2GNAXJEV1L6115364</t>
  </si>
  <si>
    <t>2GNAXUEV5K6106702</t>
  </si>
  <si>
    <t>2GNFLGEK6H6107990</t>
  </si>
  <si>
    <t>2LMTJ8LP4GBL29794</t>
  </si>
  <si>
    <t>MKX</t>
  </si>
  <si>
    <t>3C4NJCBB6JT195013</t>
  </si>
  <si>
    <t>3C4NJCCB6JT358161</t>
  </si>
  <si>
    <t>3C4PDCAB4JT218791</t>
  </si>
  <si>
    <t>3C4PDCBB4KT707756</t>
  </si>
  <si>
    <t>3C4PDCBG5HT589947</t>
  </si>
  <si>
    <t>3C4PDDEG2DT519351</t>
  </si>
  <si>
    <t>3C4PDDEGXKT687848</t>
  </si>
  <si>
    <t>3FA6P0D91JR113770</t>
  </si>
  <si>
    <t>3FA6P0H75GR225019</t>
  </si>
  <si>
    <t>3FA6P0H79HR394378</t>
  </si>
  <si>
    <t>3FA6P0HD5JR153865</t>
  </si>
  <si>
    <t>3GKALMEV8JL309229</t>
  </si>
  <si>
    <t>TERRAIN FWD 4C</t>
  </si>
  <si>
    <t>3GNCJPSB5HL148815</t>
  </si>
  <si>
    <t>TRAX</t>
  </si>
  <si>
    <t>3HGGK5H85FM739520</t>
  </si>
  <si>
    <t>FIT</t>
  </si>
  <si>
    <t>3KPF24AD5KE137328</t>
  </si>
  <si>
    <t>3KPF24AD6KE087362</t>
  </si>
  <si>
    <t>3KPF24AD6LE162515</t>
  </si>
  <si>
    <t>3KPF34AD1ME297089</t>
  </si>
  <si>
    <t>3KPFK4A71HE087465</t>
  </si>
  <si>
    <t>3LN6L5C97JR611133</t>
  </si>
  <si>
    <t>3MYDLBJV5LY700817</t>
  </si>
  <si>
    <t>YARIS</t>
  </si>
  <si>
    <t>3N1AB7AP0HL640391</t>
  </si>
  <si>
    <t>3N1AB7AP2KY206838</t>
  </si>
  <si>
    <t>3N1CE2CP2HL376459</t>
  </si>
  <si>
    <t>VERSA NOTE</t>
  </si>
  <si>
    <t>3N1CN7AP2KL818762</t>
  </si>
  <si>
    <t>VERSA</t>
  </si>
  <si>
    <t>3N1CN7AP4JL859196</t>
  </si>
  <si>
    <t>3VW5T7AU6HM068185</t>
  </si>
  <si>
    <t>GOLF GTI</t>
  </si>
  <si>
    <t>5GAKRBKD8FJ114374</t>
  </si>
  <si>
    <t>5N1AT2MVXJC757612</t>
  </si>
  <si>
    <t>5N1DR2MN7HC674595</t>
  </si>
  <si>
    <t>5NPD74LF9KH467590</t>
  </si>
  <si>
    <t>5NPD74LFXKH469901</t>
  </si>
  <si>
    <t>5NPDH4AE5DH175817</t>
  </si>
  <si>
    <t>5NPE24AF0GH292742</t>
  </si>
  <si>
    <t>5NPE34AF9HH496678</t>
  </si>
  <si>
    <t>5NPEB4AC1DH706418</t>
  </si>
  <si>
    <t>5TFRU54108X014060</t>
  </si>
  <si>
    <t>TUNDRA 4X2 DB</t>
  </si>
  <si>
    <t>5UXKR2C51H0U19602</t>
  </si>
  <si>
    <t>X5</t>
  </si>
  <si>
    <t>5XXGT4L32GG029057</t>
  </si>
  <si>
    <t>5XXGT4L35LG419208</t>
  </si>
  <si>
    <t>5XXGT4L37GG003232</t>
  </si>
  <si>
    <t>5XYKTCA6XEG532068</t>
  </si>
  <si>
    <t>SORENTO</t>
  </si>
  <si>
    <t>5XYPGDA58HG324007</t>
  </si>
  <si>
    <t>5XYZU3LB9FG295175</t>
  </si>
  <si>
    <t>5XYZUDLA2EG164794</t>
  </si>
  <si>
    <t>SANTA SP AWD 4C</t>
  </si>
  <si>
    <t>5YFBU4EE6DP170397</t>
  </si>
  <si>
    <t>JA4AD3A36GZ059444</t>
  </si>
  <si>
    <t>MITSUBISHI</t>
  </si>
  <si>
    <t>OUTLANDER</t>
  </si>
  <si>
    <t>JN8AS5MV5CW706422</t>
  </si>
  <si>
    <t>KL4CJ1SM2KB726993</t>
  </si>
  <si>
    <t>KL4CJASB4FB253571</t>
  </si>
  <si>
    <t>KL4CJASB6KB708964</t>
  </si>
  <si>
    <t>KL7CJPSBXJB665847</t>
  </si>
  <si>
    <t>TRAX AWD</t>
  </si>
  <si>
    <t>KMHTC6AD2HU309218</t>
  </si>
  <si>
    <t>KMHTC6AE0FU231477</t>
  </si>
  <si>
    <t>Grade 3.4</t>
  </si>
  <si>
    <t>KMHTC6AE5DU179020</t>
  </si>
  <si>
    <t>KNAGM4AD8F5079275</t>
  </si>
  <si>
    <t>KNDJ23AU5L7056948</t>
  </si>
  <si>
    <t>KNDJ23AU6L7018628</t>
  </si>
  <si>
    <t>KNDJ23AU7L7057406</t>
  </si>
  <si>
    <t>KNDJP3A58G7851718</t>
  </si>
  <si>
    <t>KNDPC3A24D7420798</t>
  </si>
  <si>
    <t>SPORTAGE</t>
  </si>
  <si>
    <t>MAJ3P1VEXJC197171</t>
  </si>
  <si>
    <t>ECOSPORT</t>
  </si>
  <si>
    <t>WAUKMAF46JA160681</t>
  </si>
  <si>
    <t>AUDI</t>
  </si>
  <si>
    <t>A4</t>
  </si>
  <si>
    <t>WDDGF4HB4DA797725</t>
  </si>
  <si>
    <t>MERCEDES B</t>
  </si>
  <si>
    <t>C250W</t>
  </si>
  <si>
    <t>WMWZC5C54FWP45274</t>
  </si>
  <si>
    <t>COUNTRYMAN</t>
  </si>
  <si>
    <t>YV1612TK8F1350893</t>
  </si>
  <si>
    <t>S60</t>
  </si>
  <si>
    <t>ZACCJBAB5JPJ59000</t>
  </si>
  <si>
    <t>RENEGADE 4X4 4C</t>
  </si>
  <si>
    <t>1FTEX1CB6JFE08246</t>
  </si>
  <si>
    <t>F150 4X2 EX</t>
  </si>
  <si>
    <t>1G1ZD5ST7JF150307</t>
  </si>
  <si>
    <t>3GKALVEV4KL325211</t>
  </si>
  <si>
    <t>3KPF24AD3LE211959</t>
  </si>
  <si>
    <t>5NPD74LF1KH494511</t>
  </si>
  <si>
    <t>5NPD84LF7LH580355</t>
  </si>
  <si>
    <t>JN1BJ1CP6KW529895</t>
  </si>
  <si>
    <t>ROGUE SPORT FWD</t>
  </si>
  <si>
    <t>KNDJ23AU8L7735712</t>
  </si>
  <si>
    <t>KNMAT2MV6JP584992</t>
  </si>
  <si>
    <t>ROGUE AWD</t>
  </si>
  <si>
    <t>1C4PJLCB8EW126458</t>
  </si>
  <si>
    <t>1VWAS7A35FC083333</t>
  </si>
  <si>
    <t>PASSAT 4C</t>
  </si>
  <si>
    <t>JN8AF5MV0FT550915</t>
  </si>
  <si>
    <t>JUKE</t>
  </si>
  <si>
    <t>KNAGM4A75F5653079</t>
  </si>
  <si>
    <t>1GKKRPKD2EJ310132</t>
  </si>
  <si>
    <t>5XYPG4A32HG229733</t>
  </si>
  <si>
    <t>JM1BL1SG1A1298912</t>
  </si>
  <si>
    <t>MAZDA</t>
  </si>
  <si>
    <t>MAZDA3</t>
  </si>
  <si>
    <t>1C4NJDEB3CD537821</t>
  </si>
  <si>
    <t>1C4NJDEBXED622285</t>
  </si>
  <si>
    <t>1C4NJPFA6HD158679</t>
  </si>
  <si>
    <t>PATRIOT FWD 4C</t>
  </si>
  <si>
    <t>1C4NJRFB3FD155367</t>
  </si>
  <si>
    <t>1C4RDJDG5DC692222</t>
  </si>
  <si>
    <t>1C4RJEAG7KC811440</t>
  </si>
  <si>
    <t>1FADP3F26EL223193</t>
  </si>
  <si>
    <t>1FMCU0GD9KUA33127</t>
  </si>
  <si>
    <t>1FMCU0JD7HUE00091</t>
  </si>
  <si>
    <t>1FMCU9GXXGUA24961</t>
  </si>
  <si>
    <t>1G1FA1RS2H0189188</t>
  </si>
  <si>
    <t>1G1ZD5ST6JF109599</t>
  </si>
  <si>
    <t>1G1ZD5ST8MF012764</t>
  </si>
  <si>
    <t>1N4AL3AP4JC161997</t>
  </si>
  <si>
    <t>ALTIMA 4C</t>
  </si>
  <si>
    <t>2CNFLEEC0B6460332</t>
  </si>
  <si>
    <t>2FMDK3JC3EBA02624</t>
  </si>
  <si>
    <t>2G1FA1E30C9197805</t>
  </si>
  <si>
    <t>3GYFNBE31GS534275</t>
  </si>
  <si>
    <t>3KPF34AD1KE065816</t>
  </si>
  <si>
    <t>5FNYF5H34LB024482</t>
  </si>
  <si>
    <t>PILOT</t>
  </si>
  <si>
    <t>5N1AT2MV0EC844358</t>
  </si>
  <si>
    <t>5NPD84LF7LH630476</t>
  </si>
  <si>
    <t>5XYPGDA51JG359798</t>
  </si>
  <si>
    <t>5XYZU3LA3EG219814</t>
  </si>
  <si>
    <t>5YFBURHE3FP217834</t>
  </si>
  <si>
    <t>JN8AS5MV7CW394037</t>
  </si>
  <si>
    <t>JTKJF5C71E3088564</t>
  </si>
  <si>
    <t>SCION</t>
  </si>
  <si>
    <t>TC</t>
  </si>
  <si>
    <t>KL7CJKSB6JB575923</t>
  </si>
  <si>
    <t>KMHCT4AE3GU058169</t>
  </si>
  <si>
    <t>ACCENT</t>
  </si>
  <si>
    <t>KMHDH4AE3DU612005</t>
  </si>
  <si>
    <t>WP1AB2A59LLB32471</t>
  </si>
  <si>
    <t>PORSCHE</t>
  </si>
  <si>
    <t>MACAN</t>
  </si>
  <si>
    <t>WVGBV3AX1DW598623</t>
  </si>
  <si>
    <t>TIGUAN</t>
  </si>
  <si>
    <t>ZACCJBCT3FPB42616</t>
  </si>
  <si>
    <t>RENEGADE</t>
  </si>
  <si>
    <t>1C4PJLCS9HW613446</t>
  </si>
  <si>
    <t>1C4PJLDB2GW149090</t>
  </si>
  <si>
    <t>1C4PJMBX4KD431806</t>
  </si>
  <si>
    <t>1FA6P8TH3K5176543</t>
  </si>
  <si>
    <t>MUSTANG</t>
  </si>
  <si>
    <t>1FMCU0F78JUC78902</t>
  </si>
  <si>
    <t>1FMCU0GX8GUC13782</t>
  </si>
  <si>
    <t>1FMCU0H98DUD52368</t>
  </si>
  <si>
    <t>1FMCU9J93EUD91126</t>
  </si>
  <si>
    <t>1G1PA5SH9F7141850</t>
  </si>
  <si>
    <t>1G1PE5SBXE7159160</t>
  </si>
  <si>
    <t>1HGCR2F53FA006431</t>
  </si>
  <si>
    <t>ACCORD 4C</t>
  </si>
  <si>
    <t>2C4RDGEGXKR631356</t>
  </si>
  <si>
    <t>2FMDK4JC0BBA62278</t>
  </si>
  <si>
    <t>EDGE AWD V6</t>
  </si>
  <si>
    <t>2FMGK5B82EBD37800</t>
  </si>
  <si>
    <t>2FMPK3G97LBA71693</t>
  </si>
  <si>
    <t>EDGE</t>
  </si>
  <si>
    <t>2G1FK1EJ1A9139002</t>
  </si>
  <si>
    <t>2GNALBEK7D6225599</t>
  </si>
  <si>
    <t>2GNALBEK8D6329969</t>
  </si>
  <si>
    <t>2GNALPEKXD6345300</t>
  </si>
  <si>
    <t>2GNFLNEK8D6173276</t>
  </si>
  <si>
    <t>2T1BURHE9JC109663</t>
  </si>
  <si>
    <t>3FA6P0HD1HR140587</t>
  </si>
  <si>
    <t>FUSION</t>
  </si>
  <si>
    <t>3FA6P0HD2JR208045</t>
  </si>
  <si>
    <t>3FA6P0HD9HR183185</t>
  </si>
  <si>
    <t>3N1AB7AP2HY344324</t>
  </si>
  <si>
    <t>3N1CN7AP2KL832757</t>
  </si>
  <si>
    <t>3VWPL7AJ0EM610455</t>
  </si>
  <si>
    <t>JETTA SPORTWAGEN</t>
  </si>
  <si>
    <t>4S4WMABD1K3405317</t>
  </si>
  <si>
    <t>ASCENT</t>
  </si>
  <si>
    <t>5NMS3CAD8LH289636</t>
  </si>
  <si>
    <t>SANTA FE</t>
  </si>
  <si>
    <t>5NPD84LF4KH437863</t>
  </si>
  <si>
    <t>5XXGN4A76EG332565</t>
  </si>
  <si>
    <t>5YFBU4EE8CP058022</t>
  </si>
  <si>
    <t>5YJYGDEE8MF108707</t>
  </si>
  <si>
    <t>TESLA</t>
  </si>
  <si>
    <t>MODEL Y</t>
  </si>
  <si>
    <t>JF1GPAL65E8309008</t>
  </si>
  <si>
    <t>IMPREZA</t>
  </si>
  <si>
    <t>JF1ZCAC16D1609771</t>
  </si>
  <si>
    <t>BRZ</t>
  </si>
  <si>
    <t>KMHCT5AE9DU119333</t>
  </si>
  <si>
    <t>KMHDH4AEXDU551770</t>
  </si>
  <si>
    <t>KMHTC6AD0GU251429</t>
  </si>
  <si>
    <t>KNADM4A33G6676386</t>
  </si>
  <si>
    <t>RIO</t>
  </si>
  <si>
    <t>KNADM4A39D6318740</t>
  </si>
  <si>
    <t>KNDJN2A25G7245752</t>
  </si>
  <si>
    <t>KNDJN2A27H7458462</t>
  </si>
  <si>
    <t>KNDJP3A5XF7765387</t>
  </si>
  <si>
    <t>SAJBD4BV6GCY08909</t>
  </si>
  <si>
    <t>Grade 4.8</t>
  </si>
  <si>
    <t>WBA3B3C51EJ982605</t>
  </si>
  <si>
    <t>328I</t>
  </si>
  <si>
    <t>WMWSU3C51DT370798</t>
  </si>
  <si>
    <t>1C4PJMDX1KD444817</t>
  </si>
  <si>
    <t>1GNALBEK6EZ137987</t>
  </si>
  <si>
    <t>1FADP3N25GL301645</t>
  </si>
  <si>
    <t>1GNEVGKW4PJ143434</t>
  </si>
  <si>
    <t>2GNALCEK1H1595889</t>
  </si>
  <si>
    <t>3C3CFFBR8DT591976</t>
  </si>
  <si>
    <t>WDDSJ4EB6FN262095</t>
  </si>
  <si>
    <t>CLA250C</t>
  </si>
  <si>
    <t>1C3CCCDG4GN123170</t>
  </si>
  <si>
    <t>1C4NJCEA9ED766590</t>
  </si>
  <si>
    <t>1C4PJMAB1HW629116</t>
  </si>
  <si>
    <t>1C4PJMCB5GW112462</t>
  </si>
  <si>
    <t>1C4RDJDG6GC442122</t>
  </si>
  <si>
    <t>1FM5K7D81EGC20962</t>
  </si>
  <si>
    <t>EXPLORER FWD V6</t>
  </si>
  <si>
    <t>1FMCU0GDXKUC36849</t>
  </si>
  <si>
    <t>1G1BE5SM1H7126595</t>
  </si>
  <si>
    <t>1G1BG5SE0H7171174</t>
  </si>
  <si>
    <t>1GCPYBEK9MZ200972</t>
  </si>
  <si>
    <t>2FMPK3J98MBA00657</t>
  </si>
  <si>
    <t>2G11Z5SA0H9194455</t>
  </si>
  <si>
    <t>2G61P5S38D9229903</t>
  </si>
  <si>
    <t>XTS</t>
  </si>
  <si>
    <t>2GNALBEKXF1172087</t>
  </si>
  <si>
    <t>Grade 0.0</t>
  </si>
  <si>
    <t>2GNAXHEV6K6144396</t>
  </si>
  <si>
    <t>2GNAXSEV0J6208931</t>
  </si>
  <si>
    <t>2GNFLFEK6F6105907</t>
  </si>
  <si>
    <t>2GNFLFEK6F6217512</t>
  </si>
  <si>
    <t>2GNFLFEK9F6312730</t>
  </si>
  <si>
    <t>3C4NJCCB7JT406380</t>
  </si>
  <si>
    <t>3C4NJDBB3MT557177</t>
  </si>
  <si>
    <t>3C4NJDCB7MT515271</t>
  </si>
  <si>
    <t>COMPASS 4X4</t>
  </si>
  <si>
    <t>3FA6P0H75ER171279</t>
  </si>
  <si>
    <t>Unknown</t>
  </si>
  <si>
    <t>3GNAXHEV7KS567909</t>
  </si>
  <si>
    <t>3GNAXKEV0NL293707</t>
  </si>
  <si>
    <t>EQUINOX FWD</t>
  </si>
  <si>
    <t>3VWD17AJ0GM388091</t>
  </si>
  <si>
    <t>3VWLL7AJ7EM410557</t>
  </si>
  <si>
    <t>5NMS33AD8LH218209</t>
  </si>
  <si>
    <t>5NPEC4AC6DH650845</t>
  </si>
  <si>
    <t>5UXWX9C51D0A28351</t>
  </si>
  <si>
    <t>X3</t>
  </si>
  <si>
    <t>5UXWX9C52F0D49317</t>
  </si>
  <si>
    <t>5XYZTDLB2HG490434</t>
  </si>
  <si>
    <t>JF1GJAB68GH018587</t>
  </si>
  <si>
    <t>KL7CJRSB2GB569313</t>
  </si>
  <si>
    <t>KM8J3CA22GU168900</t>
  </si>
  <si>
    <t>TUCSON AWD 4C</t>
  </si>
  <si>
    <t>KNDJ23AU4M7145766</t>
  </si>
  <si>
    <t>MAJ3S2FE7MC425201</t>
  </si>
  <si>
    <t>ML32A3HJ1KH013349</t>
  </si>
  <si>
    <t>MIRAGE</t>
  </si>
  <si>
    <t>WBA2J3C07L7E79452</t>
  </si>
  <si>
    <t>230I</t>
  </si>
  <si>
    <t>19VDE1F76EE008995</t>
  </si>
  <si>
    <t>1FTFW1ETXEKD04532</t>
  </si>
  <si>
    <t>F150 4X4 CR</t>
  </si>
  <si>
    <t>1G1ZA5EU3CF389417</t>
  </si>
  <si>
    <t>1G4GC5E39DF312483</t>
  </si>
  <si>
    <t>1HGCP2F31AA021491</t>
  </si>
  <si>
    <t>1N6BD0CT4HN764495</t>
  </si>
  <si>
    <t>FRONTIER</t>
  </si>
  <si>
    <t>2C3CCAETXFH763648</t>
  </si>
  <si>
    <t>300C</t>
  </si>
  <si>
    <t>2FMDK3JC3DBC25258</t>
  </si>
  <si>
    <t>2G1FC1E37E9123987</t>
  </si>
  <si>
    <t>2G1FK1EJ8D9110942</t>
  </si>
  <si>
    <t>2GKALSEK4D6300515</t>
  </si>
  <si>
    <t>Grade 1.2</t>
  </si>
  <si>
    <t>2GNALCEK0H6265440</t>
  </si>
  <si>
    <t>2GNALCEK1G1147540</t>
  </si>
  <si>
    <t>2GNALDEK1D6280061</t>
  </si>
  <si>
    <t>2HGFA1F56AH319885</t>
  </si>
  <si>
    <t>CIVIC</t>
  </si>
  <si>
    <t>3FA6P0HD6LR109294</t>
  </si>
  <si>
    <t>3FA6P0HD6LR191480</t>
  </si>
  <si>
    <t>3FADP4BJ1CM146358</t>
  </si>
  <si>
    <t>3GNKBCR47LS671339</t>
  </si>
  <si>
    <t>BLAZER</t>
  </si>
  <si>
    <t>3GYFNAE38CS568072</t>
  </si>
  <si>
    <t>3KPF24AD0ME371752</t>
  </si>
  <si>
    <t>3VW2K7AJ8DM352956</t>
  </si>
  <si>
    <t>JETTA 4C</t>
  </si>
  <si>
    <t>5XXGM4A71FG368183</t>
  </si>
  <si>
    <t>JA4AP3AU4JZ000321</t>
  </si>
  <si>
    <t>OUTLANDER SPORT</t>
  </si>
  <si>
    <t>KL4CJBSB3EB520915</t>
  </si>
  <si>
    <t>KL7CJLSBXFB077060</t>
  </si>
  <si>
    <t>KL8CD6SA4GC646282</t>
  </si>
  <si>
    <t>SPARK</t>
  </si>
  <si>
    <t>KM8J3CA40HU482032</t>
  </si>
  <si>
    <t>KMHCT4AE4HU213023</t>
  </si>
  <si>
    <t>KMHD74LF1HU069879</t>
  </si>
  <si>
    <t>KMHDH4AE1CU205279</t>
  </si>
  <si>
    <t>KMHTC6AE2DU111161</t>
  </si>
  <si>
    <t>KMHTC6AE9EU209637</t>
  </si>
  <si>
    <t>NMTKHMBX2KR076269</t>
  </si>
  <si>
    <t>C-HR</t>
  </si>
  <si>
    <t>WDDHF8HB9BA300967</t>
  </si>
  <si>
    <t>WDDWK4KB3HF548440</t>
  </si>
  <si>
    <t>C 300</t>
  </si>
  <si>
    <t>ZACCJAAT9GPD36436</t>
  </si>
  <si>
    <t>ZACNJAAB7KPK06726</t>
  </si>
  <si>
    <t>ZACNJDB13MPM58886</t>
  </si>
  <si>
    <t>1FADP3M27HL262110</t>
  </si>
  <si>
    <t>1FM5K7B81GGB44228</t>
  </si>
  <si>
    <t>1FM5K7D81HGD35629</t>
  </si>
  <si>
    <t>5YJ3E1EA4JF017506</t>
  </si>
  <si>
    <t>MODEL 3</t>
  </si>
  <si>
    <t>KL7CJLSB9GB610937</t>
  </si>
  <si>
    <t>KNAGM4AD4D5050157</t>
  </si>
  <si>
    <t>MAJ6P1WL9JC161823</t>
  </si>
  <si>
    <t>WDCTG4GBXGJ265787</t>
  </si>
  <si>
    <t>GLA 250</t>
  </si>
  <si>
    <t>1FADP5DU6JL104540</t>
  </si>
  <si>
    <t>C-MAX HYBRID</t>
  </si>
  <si>
    <t>1C3CCCAB4GN185015</t>
  </si>
  <si>
    <t>1C3CDZAB9EN222282</t>
  </si>
  <si>
    <t>AVENGER</t>
  </si>
  <si>
    <t>1C4PJMCB7EW252624</t>
  </si>
  <si>
    <t>1FMCU9HD4JUA34445</t>
  </si>
  <si>
    <t>1G1JE5SBXE4240313</t>
  </si>
  <si>
    <t>1G1ZD5ST3JF188441</t>
  </si>
  <si>
    <t>1G1ZE5STXGF329673</t>
  </si>
  <si>
    <t>1GNALBEK4DZ117235</t>
  </si>
  <si>
    <t>1N4BL4CVXLC144467</t>
  </si>
  <si>
    <t>1VWAT7A30FC049538</t>
  </si>
  <si>
    <t>PASSAT</t>
  </si>
  <si>
    <t>2C4RC1EG2HR543071</t>
  </si>
  <si>
    <t>PACIFICA</t>
  </si>
  <si>
    <t>2GKFLTEK8H6263230</t>
  </si>
  <si>
    <t>3C4PDDEG9HT620408</t>
  </si>
  <si>
    <t>3CZRU6H77JM707377</t>
  </si>
  <si>
    <t>HR-V</t>
  </si>
  <si>
    <t>3FA6P0K97ER314694</t>
  </si>
  <si>
    <t>3GNAXHEV4LS555072</t>
  </si>
  <si>
    <t>3GYFNAE36CS617267</t>
  </si>
  <si>
    <t>3KPF54AD7ME280341</t>
  </si>
  <si>
    <t>3LN6L2J96ER821245</t>
  </si>
  <si>
    <t>MKZ AWD 4C</t>
  </si>
  <si>
    <t>3LN6L2LU3GR615689</t>
  </si>
  <si>
    <t>MKZ HYBRID</t>
  </si>
  <si>
    <t>4S3GKAA69K3610062</t>
  </si>
  <si>
    <t>JM1GJ1U52F1204812</t>
  </si>
  <si>
    <t>MAZDA6</t>
  </si>
  <si>
    <t>JN1BY1AR9DM603891</t>
  </si>
  <si>
    <t>INFINITI</t>
  </si>
  <si>
    <t>M37X</t>
  </si>
  <si>
    <t>JTNKARJE4GJ508198</t>
  </si>
  <si>
    <t>IM</t>
  </si>
  <si>
    <t>KL7CJKSB9FB236936</t>
  </si>
  <si>
    <t>KL7CJLSB6KB961801</t>
  </si>
  <si>
    <t>KNADN4A3XG6642944</t>
  </si>
  <si>
    <t>KNDPM3AC2H7069661</t>
  </si>
  <si>
    <t>WDDLJ7DB5FA152976</t>
  </si>
  <si>
    <t>WVGBV7AX1CW608363</t>
  </si>
  <si>
    <t>19XFC2F62KE028904</t>
  </si>
  <si>
    <t>1C3CCCAB3FN622906</t>
  </si>
  <si>
    <t>1C3CCCAB5GN183595</t>
  </si>
  <si>
    <t>1C3CCCAB6FN504414</t>
  </si>
  <si>
    <t>1C3CCCBB4FN721622</t>
  </si>
  <si>
    <t>1C3CDZBG0CN312864</t>
  </si>
  <si>
    <t>AVENGER V6</t>
  </si>
  <si>
    <t>1C4NJPBA1GD514203</t>
  </si>
  <si>
    <t>1C4NJPFA8HD137946</t>
  </si>
  <si>
    <t>1C4NJRFB2GD627771</t>
  </si>
  <si>
    <t>1C4PJLAB1FW617314</t>
  </si>
  <si>
    <t>1C4PJLCB9LD648735</t>
  </si>
  <si>
    <t>1FA6P0HD0E5396802</t>
  </si>
  <si>
    <t>1FAHP2F86FG108636</t>
  </si>
  <si>
    <t>TAURUS FWD V6</t>
  </si>
  <si>
    <t>1FMCU0G99HUC56000</t>
  </si>
  <si>
    <t>1FMCU0HX9DUD53026</t>
  </si>
  <si>
    <t>1FMCU9DGXCKB38114</t>
  </si>
  <si>
    <t>ESCAPE 4WD</t>
  </si>
  <si>
    <t>1FMCU9GD3HUA47618</t>
  </si>
  <si>
    <t>1FMCU9GD3JUC20317</t>
  </si>
  <si>
    <t>1FMJK1KT0HEA02076</t>
  </si>
  <si>
    <t>EXPEDITION EL</t>
  </si>
  <si>
    <t>1G1BE5SM1J7246550</t>
  </si>
  <si>
    <t>1G1JA6SGXF4184386</t>
  </si>
  <si>
    <t>1G1JE5SB0G4135427</t>
  </si>
  <si>
    <t>1G1PA5SG2F7101147</t>
  </si>
  <si>
    <t>1G1PF5SB5G7116216</t>
  </si>
  <si>
    <t>1G1ZB5ST2JF272479</t>
  </si>
  <si>
    <t>1G1ZB5ST4HF222094</t>
  </si>
  <si>
    <t>1G1ZE5ST7HF123504</t>
  </si>
  <si>
    <t>1G4GC5G32FF139132</t>
  </si>
  <si>
    <t>LACROSSE</t>
  </si>
  <si>
    <t>1G4PP5SKXD4192124</t>
  </si>
  <si>
    <t>1GKS2GKC1JR320562</t>
  </si>
  <si>
    <t>YUKON XL</t>
  </si>
  <si>
    <t>1GNERGKW9KJ227195</t>
  </si>
  <si>
    <t>TRAVERSE FWD V6</t>
  </si>
  <si>
    <t>1HGCR2E33EA174746</t>
  </si>
  <si>
    <t>1HGCR2F3XEA121802</t>
  </si>
  <si>
    <t>1N4AA6AP5HC371073</t>
  </si>
  <si>
    <t>MAXIMA</t>
  </si>
  <si>
    <t>1N4AL3AP0JC240194</t>
  </si>
  <si>
    <t>1N4AL3AP0JC257173</t>
  </si>
  <si>
    <t>1N4AL3AP4GC145369</t>
  </si>
  <si>
    <t>1N4AL3AP6EC168746</t>
  </si>
  <si>
    <t>1N4AZ0CP9FC332924</t>
  </si>
  <si>
    <t>LEAF</t>
  </si>
  <si>
    <t>1VWAP7A38EC007167</t>
  </si>
  <si>
    <t>PASSAT 5C</t>
  </si>
  <si>
    <t>1ZVBP8AM8D5281507</t>
  </si>
  <si>
    <t>2C3CCAET2CH268114</t>
  </si>
  <si>
    <t>2C3CCAHG5CH184786</t>
  </si>
  <si>
    <t>2C3CDXJG1HH544170</t>
  </si>
  <si>
    <t>2C4RDGEG3KR764122</t>
  </si>
  <si>
    <t>2G1FK1EJ0E9299930</t>
  </si>
  <si>
    <t>2GKALNEK6H6279674</t>
  </si>
  <si>
    <t>2GNALCEK4H1605539</t>
  </si>
  <si>
    <t>2GNALCEK8H6296841</t>
  </si>
  <si>
    <t>2GNAXKEV8L6137996</t>
  </si>
  <si>
    <t>2GNFLFEK7H6324975</t>
  </si>
  <si>
    <t>2HKRW5H37KH415808</t>
  </si>
  <si>
    <t>CR-V FWD 4C</t>
  </si>
  <si>
    <t>2LMTJ6LR2GBL39780</t>
  </si>
  <si>
    <t>2T1BURHE0HC806326</t>
  </si>
  <si>
    <t>2T1BURHE8JC992848</t>
  </si>
  <si>
    <t>3FA6P0H77HR213228</t>
  </si>
  <si>
    <t>3FADP4FJ7BM124938</t>
  </si>
  <si>
    <t>3GNAXKEV0LS695259</t>
  </si>
  <si>
    <t>3GNAXUEV1MS171566</t>
  </si>
  <si>
    <t>3GNCJLSB2JL275410</t>
  </si>
  <si>
    <t>3GNKBJRS4NS133932</t>
  </si>
  <si>
    <t>3KPFK4A76HE136742</t>
  </si>
  <si>
    <t>3N1AB7AP2EY308967</t>
  </si>
  <si>
    <t>3N1AB7AP4EY286292</t>
  </si>
  <si>
    <t>3N1CN7AP3HK462045</t>
  </si>
  <si>
    <t>3VV2B7AX3KM089734</t>
  </si>
  <si>
    <t>4S3GTAU67K3714526</t>
  </si>
  <si>
    <t>5N1AZ2MH2GN109798</t>
  </si>
  <si>
    <t>MURANO</t>
  </si>
  <si>
    <t>5N1DR2MN3KC648289</t>
  </si>
  <si>
    <t>PATHFIND FWD</t>
  </si>
  <si>
    <t>5NMS2CAD6KH087654</t>
  </si>
  <si>
    <t>5NPD84LF4KH443047</t>
  </si>
  <si>
    <t>5NPD84LF7HH200745</t>
  </si>
  <si>
    <t>5NPDH4AE3EH486390</t>
  </si>
  <si>
    <t>5NPE24AF5FH214715</t>
  </si>
  <si>
    <t>5NPE24AF5HH587773</t>
  </si>
  <si>
    <t>5NPE24AF7HH548327</t>
  </si>
  <si>
    <t>5NPE24AF9JH601745</t>
  </si>
  <si>
    <t>5NPE34AF1FH098393</t>
  </si>
  <si>
    <t>5NPEB4AC4DH800325</t>
  </si>
  <si>
    <t>5NPEC4AB6CH391232</t>
  </si>
  <si>
    <t>5XXGN4A77DG094837</t>
  </si>
  <si>
    <t>5XYKUCA17BG101281</t>
  </si>
  <si>
    <t>5XYPG4A36HG218573</t>
  </si>
  <si>
    <t>JA4AZ3A39EZ016182</t>
  </si>
  <si>
    <t>JF1GJAB68GH019867</t>
  </si>
  <si>
    <t>JM1BN1V77H1116985</t>
  </si>
  <si>
    <t>JN8AT2MT2GW010455</t>
  </si>
  <si>
    <t>KL4CJASB7HB107085</t>
  </si>
  <si>
    <t>ENCORE FWD</t>
  </si>
  <si>
    <t>KL7CJKSB2HB213520</t>
  </si>
  <si>
    <t>KL7CJKSB7FB138097</t>
  </si>
  <si>
    <t>KL8CD6SA6LC429620</t>
  </si>
  <si>
    <t>KM8J33A42GU196004</t>
  </si>
  <si>
    <t>TUCSON</t>
  </si>
  <si>
    <t>KM8JU3AC6DU573904</t>
  </si>
  <si>
    <t>KM8K22AA9KU211811</t>
  </si>
  <si>
    <t>KONA</t>
  </si>
  <si>
    <t>KMHCT5AEXFU233408</t>
  </si>
  <si>
    <t>KMHD35LH9FU241088</t>
  </si>
  <si>
    <t>KMHDH4AH9FU348754</t>
  </si>
  <si>
    <t>KMHE34L12HA057228</t>
  </si>
  <si>
    <t>SONATA HYBRID</t>
  </si>
  <si>
    <t>KMHFH4JGXEA348469</t>
  </si>
  <si>
    <t>AZERA</t>
  </si>
  <si>
    <t>KNDJP3A51J7904735</t>
  </si>
  <si>
    <t>KNDPBCAC6G7876818</t>
  </si>
  <si>
    <t>SPORTAGE AWD 4C</t>
  </si>
  <si>
    <t>KNMAT2MVXGP672999</t>
  </si>
  <si>
    <t>ROGUE AWD 4C</t>
  </si>
  <si>
    <t>MAJ3S2FE5KC292080</t>
  </si>
  <si>
    <t>WVWHD7AJ6DW013040</t>
  </si>
  <si>
    <t>GTI</t>
  </si>
  <si>
    <t>ZACCJAAB6HPF11251</t>
  </si>
  <si>
    <t>ZACCJABT1GPC47118</t>
  </si>
  <si>
    <t>RENEGADE FWD 4C</t>
  </si>
  <si>
    <t>ZFBCFABH7EZ025634</t>
  </si>
  <si>
    <t>500L</t>
  </si>
  <si>
    <t>1G11C5SA1GF101191</t>
  </si>
  <si>
    <t>MALIBU LIMITED</t>
  </si>
  <si>
    <t>1G1JC5SH5G4154761</t>
  </si>
  <si>
    <t>1G1ZE5ST4HF181778</t>
  </si>
  <si>
    <t>1G1ZE5STXGF349390</t>
  </si>
  <si>
    <t>1GKKNRLAXJZ183864</t>
  </si>
  <si>
    <t>2GKFLTEK0G6181653</t>
  </si>
  <si>
    <t>WBA3C3C58EP662546</t>
  </si>
  <si>
    <t>320I</t>
  </si>
  <si>
    <t>1G1FA1RX1G0162820</t>
  </si>
  <si>
    <t>19XFC2F66LE216231</t>
  </si>
  <si>
    <t>1C6RREBT8KN757422</t>
  </si>
  <si>
    <t>1FMCU0GX0EUE34919</t>
  </si>
  <si>
    <t>1FTEX1EP8FFC13118</t>
  </si>
  <si>
    <t>F-150</t>
  </si>
  <si>
    <t>1FTMF1CF4DFC69675</t>
  </si>
  <si>
    <t>1G1ZD5ST7KF165214</t>
  </si>
  <si>
    <t>1G1ZE5ST9HF265207</t>
  </si>
  <si>
    <t>1GNKRGKDXGJ296812</t>
  </si>
  <si>
    <t>1GNKRJED7CJ311222</t>
  </si>
  <si>
    <t>1N4AL3AP5FC594199</t>
  </si>
  <si>
    <t>2B3CJ4DG9BH569972</t>
  </si>
  <si>
    <t>2GKALMEK9H6264354</t>
  </si>
  <si>
    <t>3C3CFFHH0DT620157</t>
  </si>
  <si>
    <t>3C4PDDBG3ET251030</t>
  </si>
  <si>
    <t>3CZRU5H36LM706683</t>
  </si>
  <si>
    <t>3GNCJKSB4HL169030</t>
  </si>
  <si>
    <t>3N1AB7AP1KY273785</t>
  </si>
  <si>
    <t>4JGDF7CE0EA322800</t>
  </si>
  <si>
    <t>5NPE24AFXGH295342</t>
  </si>
  <si>
    <t>KL4CJESB1GB688346</t>
  </si>
  <si>
    <t>KMHCU5AE5DU079572</t>
  </si>
  <si>
    <t>KNDJN2A28F7233514</t>
  </si>
  <si>
    <t>WP0CA2A80CS710289</t>
  </si>
  <si>
    <t>BOXSTER</t>
  </si>
  <si>
    <t>WVGRV7AX3HK018257</t>
  </si>
  <si>
    <t>TIGUAN FWD</t>
  </si>
  <si>
    <t>ZACNJCBB8MPN15621</t>
  </si>
  <si>
    <t>19VDE1F31EE002566</t>
  </si>
  <si>
    <t>19XFB2F52EE254584</t>
  </si>
  <si>
    <t>19XFC2F55GE004305</t>
  </si>
  <si>
    <t>1C3CCBHG5CN183697</t>
  </si>
  <si>
    <t>200 V6</t>
  </si>
  <si>
    <t>1C3CCCAG9GN153804</t>
  </si>
  <si>
    <t>200 FWD V6</t>
  </si>
  <si>
    <t>1C4NJRFB5FD245863</t>
  </si>
  <si>
    <t>1C4NJRFB7FD155341</t>
  </si>
  <si>
    <t>1C4PJLCB1GW329887</t>
  </si>
  <si>
    <t>1C4PJLCB5GW342674</t>
  </si>
  <si>
    <t>1C4PJLCB8KD344407</t>
  </si>
  <si>
    <t>1C4PJLCB9GW126164</t>
  </si>
  <si>
    <t>1C4PJLDB9GW272904</t>
  </si>
  <si>
    <t>1C4PJLDS8EW256223</t>
  </si>
  <si>
    <t>CHEROKEE FWD V6</t>
  </si>
  <si>
    <t>1C4PJMCB6GW117833</t>
  </si>
  <si>
    <t>1C4PJMDX9KD337661</t>
  </si>
  <si>
    <t>1FADP3E20HL228752</t>
  </si>
  <si>
    <t>FOCUS FWD 4C</t>
  </si>
  <si>
    <t>1FADP3H21HL236872</t>
  </si>
  <si>
    <t>1FADP3N27FL230236</t>
  </si>
  <si>
    <t>1FADP3N28EL188853</t>
  </si>
  <si>
    <t>1FAHP2J8XJG100037</t>
  </si>
  <si>
    <t>TAURUS AWD</t>
  </si>
  <si>
    <t>1FATP8UH8M5121882</t>
  </si>
  <si>
    <t>1FM5K8B8XFGA10922</t>
  </si>
  <si>
    <t>EXPLORER 4X4 V6</t>
  </si>
  <si>
    <t>1FMCU0GD7JUC11499</t>
  </si>
  <si>
    <t>1FMCU0J98EUB78149</t>
  </si>
  <si>
    <t>1FMCU9GD8KUA73042</t>
  </si>
  <si>
    <t>1FMCU9GD9JUB94337</t>
  </si>
  <si>
    <t>1FMCU9GXXFUA72071</t>
  </si>
  <si>
    <t>1FMCU9HX7DUB14417</t>
  </si>
  <si>
    <t>1FTEW1EG4FFB12810</t>
  </si>
  <si>
    <t>1G11C5SA6GF105933</t>
  </si>
  <si>
    <t>1G11C5SAXGF154651</t>
  </si>
  <si>
    <t>1G1BE5SM5K7137705</t>
  </si>
  <si>
    <t>1G1JD5SB7L4111042</t>
  </si>
  <si>
    <t>1G1PE5SB1G7225677</t>
  </si>
  <si>
    <t>1G1RD6E44DU130476</t>
  </si>
  <si>
    <t>VOLT</t>
  </si>
  <si>
    <t>1G1ZB5ST1MF016984</t>
  </si>
  <si>
    <t>1G1ZB5ST5GF227481</t>
  </si>
  <si>
    <t>1G1ZB5STXLF011314</t>
  </si>
  <si>
    <t>1G1ZD5ST4LF039426</t>
  </si>
  <si>
    <t>1G1ZD5ST7NF132346</t>
  </si>
  <si>
    <t>1G1ZE5ST9GF223487</t>
  </si>
  <si>
    <t>1G4PP5SK0D4207486</t>
  </si>
  <si>
    <t>1G6AA1RX9J0133559</t>
  </si>
  <si>
    <t>1GCRWBEHXKZ363243</t>
  </si>
  <si>
    <t>1GKKRPED7BJ402604</t>
  </si>
  <si>
    <t>ACADIA FWD</t>
  </si>
  <si>
    <t>1GKS2GKC3FR209177</t>
  </si>
  <si>
    <t>YUKON XL 1500</t>
  </si>
  <si>
    <t>1GNALBEK3FZ130531</t>
  </si>
  <si>
    <t>1GNKRFED9HJ184624</t>
  </si>
  <si>
    <t>1GNKVGKD5HJ164392</t>
  </si>
  <si>
    <t>1N4AL3AP4FC248936</t>
  </si>
  <si>
    <t>1N4AL3AP5FC105638</t>
  </si>
  <si>
    <t>1N4AL3AP6JC160818</t>
  </si>
  <si>
    <t>1N6AD0EV9GN785948</t>
  </si>
  <si>
    <t>FRONTIER 4X4 CR</t>
  </si>
  <si>
    <t>1VWAT7A36FC035384</t>
  </si>
  <si>
    <t>1VWAT7A39EC040965</t>
  </si>
  <si>
    <t>1VWBV7A33FC082998</t>
  </si>
  <si>
    <t>1VWCS7A3XEC021837</t>
  </si>
  <si>
    <t>1VWSA7A34LC016306</t>
  </si>
  <si>
    <t>2C3CDZBT3FH701265</t>
  </si>
  <si>
    <t>2C4RDGBG6JR136915</t>
  </si>
  <si>
    <t>2G1125S34E9129304</t>
  </si>
  <si>
    <t>IMPALA V6</t>
  </si>
  <si>
    <t>2GKALPEK9H6309584</t>
  </si>
  <si>
    <t>2GKFLVEK9D6238665</t>
  </si>
  <si>
    <t>2GNALAEK9E6172285</t>
  </si>
  <si>
    <t>2GNALBEK5E6234450</t>
  </si>
  <si>
    <t>2GNALBEK5H1601560</t>
  </si>
  <si>
    <t>2GNALBEKXF6298954</t>
  </si>
  <si>
    <t>2GNAXHEV5K6271642</t>
  </si>
  <si>
    <t>2GNFLEEK0G6348821</t>
  </si>
  <si>
    <t>2GNFLFEK0G6239250</t>
  </si>
  <si>
    <t>2HGFC2F65LH538025</t>
  </si>
  <si>
    <t>2LMDJ6JKXBBJ20911</t>
  </si>
  <si>
    <t>2T1BU4EE7DC060376</t>
  </si>
  <si>
    <t>2T3BFREV4EW221121</t>
  </si>
  <si>
    <t>RAV4 AWD</t>
  </si>
  <si>
    <t>3C4NJCAB6KT755857</t>
  </si>
  <si>
    <t>3C4NJDCB2KT747578</t>
  </si>
  <si>
    <t>3C4NJDCB7LT149665</t>
  </si>
  <si>
    <t>3C4PDCAB1KT871757</t>
  </si>
  <si>
    <t>3C4PDCBG1GT213597</t>
  </si>
  <si>
    <t>3C4PDCBG2FT686102</t>
  </si>
  <si>
    <t>JOURNEY FWD V6</t>
  </si>
  <si>
    <t>3FA6P0H70HR412122</t>
  </si>
  <si>
    <t>3FA6P0H71ER323025</t>
  </si>
  <si>
    <t>3FA6P0HD6JR284156</t>
  </si>
  <si>
    <t>3FA6P0LU7KR253507</t>
  </si>
  <si>
    <t>FUSION HYBRID</t>
  </si>
  <si>
    <t>3FA6P0LU8DR128728</t>
  </si>
  <si>
    <t>3FADP4BJ5HM125648</t>
  </si>
  <si>
    <t>3FAHP0JG8BR114248</t>
  </si>
  <si>
    <t>3GKALXEX8JL289650</t>
  </si>
  <si>
    <t>3GNCJKSBXHL286787</t>
  </si>
  <si>
    <t>3KPA24AD8ME390947</t>
  </si>
  <si>
    <t>3LN6L2G97DR800460</t>
  </si>
  <si>
    <t>3N1AB7AP4KY241445</t>
  </si>
  <si>
    <t>3N1AB7AP5JY299871</t>
  </si>
  <si>
    <t>3N1AB7AP6HY256389</t>
  </si>
  <si>
    <t>3N1AB7APXHL635554</t>
  </si>
  <si>
    <t>3VW267AJXGM318171</t>
  </si>
  <si>
    <t>3VW2K7AJ2EM226660</t>
  </si>
  <si>
    <t>3VW447AU3JM289029</t>
  </si>
  <si>
    <t>3VWD17AJ5FM267555</t>
  </si>
  <si>
    <t>3VWDP7AJ1DM311725</t>
  </si>
  <si>
    <t>3VWDP7AJ3CM391589</t>
  </si>
  <si>
    <t>JETTA 5C</t>
  </si>
  <si>
    <t>3VWDP7AJ9CM360492</t>
  </si>
  <si>
    <t>4T1B11HK5JU522906</t>
  </si>
  <si>
    <t>4T1B11HKXKU193198</t>
  </si>
  <si>
    <t>5FNRL5H60FB093181</t>
  </si>
  <si>
    <t>ODYSSEY</t>
  </si>
  <si>
    <t>5FPYK1F2XDB004941</t>
  </si>
  <si>
    <t>RIDGELIN 4X4 CR</t>
  </si>
  <si>
    <t>5J6RM4H51EL082789</t>
  </si>
  <si>
    <t>CR-V</t>
  </si>
  <si>
    <t>5J8TB3H58EL001932</t>
  </si>
  <si>
    <t>RDX</t>
  </si>
  <si>
    <t>5NMZTDLB0HH046331</t>
  </si>
  <si>
    <t>5NPD74LF6HH138645</t>
  </si>
  <si>
    <t>5NPD84LF1LH598379</t>
  </si>
  <si>
    <t>5NPD84LF7HH003722</t>
  </si>
  <si>
    <t>5NPDH4AE7GH761830</t>
  </si>
  <si>
    <t>5NPDH4AEXDH390139</t>
  </si>
  <si>
    <t>5NPE24AF1HH573823</t>
  </si>
  <si>
    <t>5NPE24AF2HH438799</t>
  </si>
  <si>
    <t>5NPE24AF7GH411998</t>
  </si>
  <si>
    <t>5NPE34AF4KH795700</t>
  </si>
  <si>
    <t>5NPE34AF6FH102292</t>
  </si>
  <si>
    <t>5NPE34AF7FH227849</t>
  </si>
  <si>
    <t>5NPE34AF9GH343443</t>
  </si>
  <si>
    <t>5NPEB4AC2BH144669</t>
  </si>
  <si>
    <t>5NPEC4AC5DH746174</t>
  </si>
  <si>
    <t>5UXWX9C53G0D79282</t>
  </si>
  <si>
    <t>5XXGM4A74FG394566</t>
  </si>
  <si>
    <t>5XXGN4A76DG152131</t>
  </si>
  <si>
    <t>5XXGN4A78DG111726</t>
  </si>
  <si>
    <t>5XXGN4A79EG269543</t>
  </si>
  <si>
    <t>5XXGT4L32HG143996</t>
  </si>
  <si>
    <t>5XXGT4L32JG218007</t>
  </si>
  <si>
    <t>5XXGT4L36KG320962</t>
  </si>
  <si>
    <t>5XXGT4L38HG170989</t>
  </si>
  <si>
    <t>5XYKT3A11BG125790</t>
  </si>
  <si>
    <t>5XYKU4A26BG136196</t>
  </si>
  <si>
    <t>SORENTO FWD V6</t>
  </si>
  <si>
    <t>5XYKW4A22CG298564</t>
  </si>
  <si>
    <t>5XYKWDA24BG094346</t>
  </si>
  <si>
    <t>5XYPHDA58HG291135</t>
  </si>
  <si>
    <t>JF2SHADC1CH455622</t>
  </si>
  <si>
    <t>FORESTER</t>
  </si>
  <si>
    <t>JM1GJ1V6XF1170755</t>
  </si>
  <si>
    <t>JM1GJ1W59G1450268</t>
  </si>
  <si>
    <t>JM3KE2BE2E0423191</t>
  </si>
  <si>
    <t>CX 5 FWD 4C</t>
  </si>
  <si>
    <t>JN8AS5MTXCW299468</t>
  </si>
  <si>
    <t>ROGUE FWD</t>
  </si>
  <si>
    <t>JTDKBRFU7H3574137</t>
  </si>
  <si>
    <t>PRIUS</t>
  </si>
  <si>
    <t>KL4CJASBXKB733401</t>
  </si>
  <si>
    <t>KL4CJBSB6JB525519</t>
  </si>
  <si>
    <t>KL7CJLSB1JB661064</t>
  </si>
  <si>
    <t>KM8J33A26GU044063</t>
  </si>
  <si>
    <t>KM8J3CA41LU116203</t>
  </si>
  <si>
    <t>KM8JT3ABXCU506960</t>
  </si>
  <si>
    <t>KM8K22AA1MU708807</t>
  </si>
  <si>
    <t>KMHCT4AE6EU668564</t>
  </si>
  <si>
    <t>KMHTC6AD0CU070714</t>
  </si>
  <si>
    <t>KMHTC6ADXGU269453</t>
  </si>
  <si>
    <t>KNADM4A33H6026605</t>
  </si>
  <si>
    <t>KNADM4A37G6677556</t>
  </si>
  <si>
    <t>KNAFW4A32D5663911</t>
  </si>
  <si>
    <t>KNAFX4A89F5341911</t>
  </si>
  <si>
    <t>KNAGM4A74F5575636</t>
  </si>
  <si>
    <t>KNAGM4AD0F5078220</t>
  </si>
  <si>
    <t>KNDJ23AU0L7050037</t>
  </si>
  <si>
    <t>KNDJP3A53F7115400</t>
  </si>
  <si>
    <t>KNDJT2A2XB7730564</t>
  </si>
  <si>
    <t>KNDMA5C19F6020768</t>
  </si>
  <si>
    <t>SEDONA</t>
  </si>
  <si>
    <t>ML32A3HJXLH001850</t>
  </si>
  <si>
    <t>WAUBFAFL8CN019513</t>
  </si>
  <si>
    <t>WBA8B9G31HNU56232</t>
  </si>
  <si>
    <t>330I</t>
  </si>
  <si>
    <t>WDCGG8JB9DG123960</t>
  </si>
  <si>
    <t>GLK 350</t>
  </si>
  <si>
    <t>WDDGF8AB6DR300659</t>
  </si>
  <si>
    <t>WDDLJ7DB0EA109788</t>
  </si>
  <si>
    <t>WVWBP7AN7EE528717</t>
  </si>
  <si>
    <t>CC</t>
  </si>
  <si>
    <t>YV1612FS7E1299204</t>
  </si>
  <si>
    <t>ZACCJADT0GPD85276</t>
  </si>
  <si>
    <t>2GNAXJEV8J6241900</t>
  </si>
  <si>
    <t>JM3TB3MA6A0238004</t>
  </si>
  <si>
    <t>CX-9</t>
  </si>
  <si>
    <t>WDCTG4EB8HJ321682</t>
  </si>
  <si>
    <t>1C3CCCAB3FN502636</t>
  </si>
  <si>
    <t>1C3CDFBB2FD237677</t>
  </si>
  <si>
    <t>1C4NJCEA0GD633428</t>
  </si>
  <si>
    <t>1C4NJCEA3GD744541</t>
  </si>
  <si>
    <t>1C4NJPBA4ED775001</t>
  </si>
  <si>
    <t>1C4NJRFB2ED824730</t>
  </si>
  <si>
    <t>1C4PJLDS9EW238135</t>
  </si>
  <si>
    <t>1C4PJMAK4CW118380</t>
  </si>
  <si>
    <t>LIBERTY</t>
  </si>
  <si>
    <t>1C4RDJDG7MC694702</t>
  </si>
  <si>
    <t>1C4RJKBG8M8162475</t>
  </si>
  <si>
    <t>GRAND CHEROKEE L</t>
  </si>
  <si>
    <t>1FA6P0HD9G5120329</t>
  </si>
  <si>
    <t>1FAHP3K23CL407494</t>
  </si>
  <si>
    <t>1FM5K7B92DGC64172</t>
  </si>
  <si>
    <t>EXPLORER FWD 4C</t>
  </si>
  <si>
    <t>1FMCU0GD9KUA26324</t>
  </si>
  <si>
    <t>1FMCU0GDXHUD26768</t>
  </si>
  <si>
    <t>1FMCU0GX0GUB33344</t>
  </si>
  <si>
    <t>1FMCU0GX7EUB47061</t>
  </si>
  <si>
    <t>1FMCU9GD8JUB81644</t>
  </si>
  <si>
    <t>1FMCU9GX1FUA18335</t>
  </si>
  <si>
    <t>1FMCU9GX4GUA12806</t>
  </si>
  <si>
    <t>1FMCU9J99DUD14632</t>
  </si>
  <si>
    <t>1FTER1EH5KLA86052</t>
  </si>
  <si>
    <t>RANGER</t>
  </si>
  <si>
    <t>1FTMF1C80GKD28251</t>
  </si>
  <si>
    <t>1G1125S37EU137688</t>
  </si>
  <si>
    <t>1G11B5SA0DF304085</t>
  </si>
  <si>
    <t>1G11E5SL6EF231329</t>
  </si>
  <si>
    <t>1G1BB5SM3J7153523</t>
  </si>
  <si>
    <t>1G1BC5SM1H7154936</t>
  </si>
  <si>
    <t>1G1BC5SM6H7240467</t>
  </si>
  <si>
    <t>1G1BE5SM3H7126436</t>
  </si>
  <si>
    <t>1G1JC6SH5F4146891</t>
  </si>
  <si>
    <t>1G1JD5SH4J4137017</t>
  </si>
  <si>
    <t>1G1JF5SB3L4113235</t>
  </si>
  <si>
    <t>1G1ZB5ST7HF183131</t>
  </si>
  <si>
    <t>1G4GB5G34EF167354</t>
  </si>
  <si>
    <t>1G6DG5EG0A0149495</t>
  </si>
  <si>
    <t>1GCVKPECXHZ324074</t>
  </si>
  <si>
    <t>1GNFLFEK6EZ120376</t>
  </si>
  <si>
    <t>1GNKVGKD8HJ251025</t>
  </si>
  <si>
    <t>1HGCT1B33DA007009</t>
  </si>
  <si>
    <t>1N4AA6AP8GC405473</t>
  </si>
  <si>
    <t>1N4AL3AP3FN881304</t>
  </si>
  <si>
    <t>1V2SC2CA6NC222515</t>
  </si>
  <si>
    <t>ATLAS CROSS SPORT</t>
  </si>
  <si>
    <t>1VWBA7A3XJC013455</t>
  </si>
  <si>
    <t>1ZVBP8AN5A5127308</t>
  </si>
  <si>
    <t>1ZVBP8CF7D5247606</t>
  </si>
  <si>
    <t>2C4RC1BG9JR113614</t>
  </si>
  <si>
    <t>2C4RC1EG0HR570463</t>
  </si>
  <si>
    <t>2CTFLXE56B6294856</t>
  </si>
  <si>
    <t>2FMDK4JC3BBA91788</t>
  </si>
  <si>
    <t>2FMGK5B8XEBD08142</t>
  </si>
  <si>
    <t>FLEX FWD SUV</t>
  </si>
  <si>
    <t>2G1FA1E33E9185182</t>
  </si>
  <si>
    <t>2G1FB1EV3A9199592</t>
  </si>
  <si>
    <t>2G1WT57K291248296</t>
  </si>
  <si>
    <t>2G4GS5GX8G9203187</t>
  </si>
  <si>
    <t>2GKALMEK0F6427132</t>
  </si>
  <si>
    <t>2GKFLVEK7F6193163</t>
  </si>
  <si>
    <t>2GNALBEK7G1126685</t>
  </si>
  <si>
    <t>2GNAXJEV2J6255890</t>
  </si>
  <si>
    <t>2GNAXUEV9L6221837</t>
  </si>
  <si>
    <t>2LMPJ8LR2JBL41226</t>
  </si>
  <si>
    <t>3C4NJCAB2MT546036</t>
  </si>
  <si>
    <t>3C4NJCBBXKT623778</t>
  </si>
  <si>
    <t>3C4NJDBB0KT600631</t>
  </si>
  <si>
    <t>3C4NJDBB4JT283869</t>
  </si>
  <si>
    <t>3C4NJDBB7HT624630</t>
  </si>
  <si>
    <t>NEW COMPASS</t>
  </si>
  <si>
    <t>3C4NJDCB2HT651555</t>
  </si>
  <si>
    <t>3FA6P0G70JR147130</t>
  </si>
  <si>
    <t>3FA6P0G75GR335831</t>
  </si>
  <si>
    <t>3FA6P0H70GR345648</t>
  </si>
  <si>
    <t>3FA6P0H73LR153487</t>
  </si>
  <si>
    <t>3GKALTEV8JL268966</t>
  </si>
  <si>
    <t>3GNAXHEV4JS624260</t>
  </si>
  <si>
    <t>3GNAXUEV0NL199774</t>
  </si>
  <si>
    <t>3GNCJKSBXGL124625</t>
  </si>
  <si>
    <t>3GNCJLSB9FL182200</t>
  </si>
  <si>
    <t>3GYFNGE34FS611443</t>
  </si>
  <si>
    <t>3KPFK4A74HE139641</t>
  </si>
  <si>
    <t>3KPFL4A72JE184418</t>
  </si>
  <si>
    <t>3KPFL4A7XHE025074</t>
  </si>
  <si>
    <t>3LN6L5LU9HR630412</t>
  </si>
  <si>
    <t>3MYDLBZV5GY101586</t>
  </si>
  <si>
    <t>IA</t>
  </si>
  <si>
    <t>3N1CE2CP3GL398873</t>
  </si>
  <si>
    <t>3N1CN7AP2HK453661</t>
  </si>
  <si>
    <t>3N1CN7APXHL871847</t>
  </si>
  <si>
    <t>3VW2K7AJ3FM300704</t>
  </si>
  <si>
    <t>3VWPL7AJ8DM693891</t>
  </si>
  <si>
    <t>4A4AR3AU3EE027161</t>
  </si>
  <si>
    <t>4T1BF1FK2HU795879</t>
  </si>
  <si>
    <t>4T1BF3EK0BU626979</t>
  </si>
  <si>
    <t>5FNYF3H53EB021839</t>
  </si>
  <si>
    <t>5J8TB4H35HL002416</t>
  </si>
  <si>
    <t>5N1AR2MM1DC616177</t>
  </si>
  <si>
    <t>PATHFIND 4X4</t>
  </si>
  <si>
    <t>5N1AR2MM6EC663349</t>
  </si>
  <si>
    <t>5N1DL0MNXKC560569</t>
  </si>
  <si>
    <t>QX60 FWD</t>
  </si>
  <si>
    <t>5N1DR2MM2KC582549</t>
  </si>
  <si>
    <t>5NMZUDLBXHH024124</t>
  </si>
  <si>
    <t>SANTA FE SPORT</t>
  </si>
  <si>
    <t>5NPD84LF1JH240079</t>
  </si>
  <si>
    <t>5NPD84LF3LH629017</t>
  </si>
  <si>
    <t>5XXGT4L33GG018021</t>
  </si>
  <si>
    <t>5XYPG4A39JG404601</t>
  </si>
  <si>
    <t>5XYPK4A53GG124097</t>
  </si>
  <si>
    <t>5XYZUDLA9EG207947</t>
  </si>
  <si>
    <t>5XYZUDLBXEG163577</t>
  </si>
  <si>
    <t>5YFBURHE9GP410538</t>
  </si>
  <si>
    <t>5YFDPRAEXLP051074</t>
  </si>
  <si>
    <t>JA4AD3A34GZ015832</t>
  </si>
  <si>
    <t>JA4AP3AU8KU018206</t>
  </si>
  <si>
    <t>OUTLAND SPT FWD</t>
  </si>
  <si>
    <t>JA4AZ3A34GZ060688</t>
  </si>
  <si>
    <t>JHMZF1D42CS000906</t>
  </si>
  <si>
    <t>CR Z</t>
  </si>
  <si>
    <t>JM1BM1V37E1165597</t>
  </si>
  <si>
    <t>JM1DKDB74J0327368</t>
  </si>
  <si>
    <t>CX-3</t>
  </si>
  <si>
    <t>JM1DKDB7XG0130052</t>
  </si>
  <si>
    <t>JM1GJ1U64E1147181</t>
  </si>
  <si>
    <t>JM1NC2PF3B0213420</t>
  </si>
  <si>
    <t>MX-5 MIATA</t>
  </si>
  <si>
    <t>JN1AZ4EH5CM561245</t>
  </si>
  <si>
    <t>370Z</t>
  </si>
  <si>
    <t>JN1BJ1CPXKW215702</t>
  </si>
  <si>
    <t>ROGUE SPORT</t>
  </si>
  <si>
    <t>JN1BJ1CR6JW291305</t>
  </si>
  <si>
    <t>ROGUE SPORT AWD</t>
  </si>
  <si>
    <t>JN1BJ1CW2LW651761</t>
  </si>
  <si>
    <t>JN8AS5MV5FW758251</t>
  </si>
  <si>
    <t>ROGUE SELECT</t>
  </si>
  <si>
    <t>JN8AY2ND0LX017725</t>
  </si>
  <si>
    <t>ARMADA</t>
  </si>
  <si>
    <t>JN8AZ1MW5EW522405</t>
  </si>
  <si>
    <t>MURANO AWD</t>
  </si>
  <si>
    <t>JNKBV61F88M263369</t>
  </si>
  <si>
    <t>G35 AWD</t>
  </si>
  <si>
    <t>JTND4MBE9N3158053</t>
  </si>
  <si>
    <t>COROLLA HATCHBACK</t>
  </si>
  <si>
    <t>KL4CJ2SB1HB100820</t>
  </si>
  <si>
    <t>KL4CJASB3KB795402</t>
  </si>
  <si>
    <t>KL4CJASB8GB615497</t>
  </si>
  <si>
    <t>KL4CJHSB4EB523194</t>
  </si>
  <si>
    <t>KL79MRSL9MB147741</t>
  </si>
  <si>
    <t>KL79MUSL0MB174930</t>
  </si>
  <si>
    <t>KL7CJPSB9MB345732</t>
  </si>
  <si>
    <t>KL8CD6SAXMC751095</t>
  </si>
  <si>
    <t>KM8J3CA41JU684710</t>
  </si>
  <si>
    <t>KM8J3CA45HU276320</t>
  </si>
  <si>
    <t>KM8JT3AB1CU507169</t>
  </si>
  <si>
    <t>KM8JU3AG0EU854097</t>
  </si>
  <si>
    <t>KM8K5CA5XKU222090</t>
  </si>
  <si>
    <t>KMHCT5AE4EU195480</t>
  </si>
  <si>
    <t>KMHD35LH4HU375333</t>
  </si>
  <si>
    <t>KMHD84LF1HU349816</t>
  </si>
  <si>
    <t>KMHDH4AE8CU454792</t>
  </si>
  <si>
    <t>KMHE24L11GA016526</t>
  </si>
  <si>
    <t>KNAFK4A69G5610004</t>
  </si>
  <si>
    <t>KNAFX4A61G5476915</t>
  </si>
  <si>
    <t>KNALN4D75E5128125</t>
  </si>
  <si>
    <t>CADENZA</t>
  </si>
  <si>
    <t>KNDJP3A52J7511052</t>
  </si>
  <si>
    <t>KNDPM3ACXH7237031</t>
  </si>
  <si>
    <t>SPORTAGE FWD 4C</t>
  </si>
  <si>
    <t>KNMAT2MV1GP711916</t>
  </si>
  <si>
    <t>LVY982MK2JP037043</t>
  </si>
  <si>
    <t>S90</t>
  </si>
  <si>
    <t>MAJ6P1UL0JC201371</t>
  </si>
  <si>
    <t>MAJ6P1WL5JC181180</t>
  </si>
  <si>
    <t>MAJ6S3GL7KC276009</t>
  </si>
  <si>
    <t>ECOSPORT 4X4 4C</t>
  </si>
  <si>
    <t>SJKCH5CR7HA039863</t>
  </si>
  <si>
    <t>QX30</t>
  </si>
  <si>
    <t>W04GS5EC5B1062767</t>
  </si>
  <si>
    <t>WA1CVAF16KD014415</t>
  </si>
  <si>
    <t>Q8</t>
  </si>
  <si>
    <t>WBA8A9C59JAH13454</t>
  </si>
  <si>
    <t>WBXHT3C51K3H35628</t>
  </si>
  <si>
    <t>X1</t>
  </si>
  <si>
    <t>WBXYJ5C39JEF69393</t>
  </si>
  <si>
    <t>X2</t>
  </si>
  <si>
    <t>WDCTG4GB4GJ233790</t>
  </si>
  <si>
    <t>WDDGF5EB6BF643513</t>
  </si>
  <si>
    <t>MERCEDES</t>
  </si>
  <si>
    <t>C300W</t>
  </si>
  <si>
    <t>WP1AA2A20ELA93121</t>
  </si>
  <si>
    <t>CAYENNE</t>
  </si>
  <si>
    <t>WVGBV7AXXGW613311</t>
  </si>
  <si>
    <t>ZACCJBBB0JPG75623</t>
  </si>
  <si>
    <t>1G4PR5SK3D4155491</t>
  </si>
  <si>
    <t>1GKKNLLA7JZ184855</t>
  </si>
  <si>
    <t>ACADIA FWD 4C</t>
  </si>
  <si>
    <t>2HGFA1F59BH541662</t>
  </si>
  <si>
    <t>19XFB2F56CE009350</t>
  </si>
  <si>
    <t>1C3CCCBB7FN663487</t>
  </si>
  <si>
    <t>1C4NJDEB8HD192485</t>
  </si>
  <si>
    <t>1C4NJRFB9ED664586</t>
  </si>
  <si>
    <t>1C4PJMLB7KD267678</t>
  </si>
  <si>
    <t>1FADP3F26FL347448</t>
  </si>
  <si>
    <t>1FADP3K27FL312665</t>
  </si>
  <si>
    <t>1FM5K8GTXFGC44734</t>
  </si>
  <si>
    <t>1FMCU0F79HUB11670</t>
  </si>
  <si>
    <t>1G11A5SL2FF151166</t>
  </si>
  <si>
    <t>1G1PC5SB2D7211479</t>
  </si>
  <si>
    <t>1G1PC5SB9E7434328</t>
  </si>
  <si>
    <t>1G1ZB5ST5GF294260</t>
  </si>
  <si>
    <t>1G1ZB5ST5HF104393</t>
  </si>
  <si>
    <t>1G4GC5GG7AF197684</t>
  </si>
  <si>
    <t>1N4AL3AP6HC160599</t>
  </si>
  <si>
    <t>2C3CDXHG8KH612736</t>
  </si>
  <si>
    <t>2GKALMEK1E6325952</t>
  </si>
  <si>
    <t>2GNAXSEV3J6172541</t>
  </si>
  <si>
    <t>3C4NJCBBXJT194883</t>
  </si>
  <si>
    <t>3FA6P0CDXKR219447</t>
  </si>
  <si>
    <t>3N1CN7AP2GL817764</t>
  </si>
  <si>
    <t>3N1CN8EV6ML863785</t>
  </si>
  <si>
    <t>5FNRL5H62GB095340</t>
  </si>
  <si>
    <t>5UXWX9C55H0T03495</t>
  </si>
  <si>
    <t>JM3TB3CV7D0415667</t>
  </si>
  <si>
    <t>KL4CJESB2HB249528</t>
  </si>
  <si>
    <t>KNAGM4A79D5441024</t>
  </si>
  <si>
    <t>W04GL6SX5J1095003</t>
  </si>
  <si>
    <t>REGAL SPORTBACK</t>
  </si>
  <si>
    <t>WBA5A7C51FD625699</t>
  </si>
  <si>
    <t>528I</t>
  </si>
  <si>
    <t>ZACCJBAB4JPH11301</t>
  </si>
  <si>
    <t>ZASFAKPN0J7B89673</t>
  </si>
  <si>
    <t>ALFA ROMEO</t>
  </si>
  <si>
    <t>STELVIO</t>
  </si>
  <si>
    <t>ZFBCFXBT7GP412027</t>
  </si>
  <si>
    <t>500X</t>
  </si>
  <si>
    <t>1FMCU0F72KUB82314</t>
  </si>
  <si>
    <t>1FMCU9G98GUA01048</t>
  </si>
  <si>
    <t>1FMCU9GX5EUB36385</t>
  </si>
  <si>
    <t>1G11C5SL3FF253988</t>
  </si>
  <si>
    <t>1G11C5SL5EF161487</t>
  </si>
  <si>
    <t>1G1JG6SG7H4142744</t>
  </si>
  <si>
    <t>1J4NF1FB9BD239376</t>
  </si>
  <si>
    <t>1N4AL3AP0JC161284</t>
  </si>
  <si>
    <t>1V2WR2CA2MC553428</t>
  </si>
  <si>
    <t>ATLAS FWD V6</t>
  </si>
  <si>
    <t>1VWBP7A36CC100285</t>
  </si>
  <si>
    <t>2C3CDXBG1HH575370</t>
  </si>
  <si>
    <t>2GNAXKEV1L6223344</t>
  </si>
  <si>
    <t>Grade 4.9</t>
  </si>
  <si>
    <t>3KPFL4A74HE153343</t>
  </si>
  <si>
    <t>5N1AR2MM7FC642608</t>
  </si>
  <si>
    <t>5N1AZ2BSXLN142055</t>
  </si>
  <si>
    <t>5N1AZ2MH1HN108885</t>
  </si>
  <si>
    <t>MURANO AWD V6</t>
  </si>
  <si>
    <t>5NMSH13E29H245944</t>
  </si>
  <si>
    <t>SANTA FE FWD V6</t>
  </si>
  <si>
    <t>5NPDH4AE7FH611974</t>
  </si>
  <si>
    <t>5XXGT4L35JG270473</t>
  </si>
  <si>
    <t>KL4CJ2SB7JB646897</t>
  </si>
  <si>
    <t>ENCORE AWD</t>
  </si>
  <si>
    <t>KM8JU3AG2FU034606</t>
  </si>
  <si>
    <t>KNAFK4A65G5495630</t>
  </si>
  <si>
    <t>KNDPBCAC5F7756796</t>
  </si>
  <si>
    <t>KNDPM3AC4H7225246</t>
  </si>
  <si>
    <t>KNDPMCAC7H7238041</t>
  </si>
  <si>
    <t>ZACCJBBT2FPB87449</t>
  </si>
  <si>
    <t>1C4PJMAK9CW120092</t>
  </si>
  <si>
    <t>LIBERTY 4X4</t>
  </si>
  <si>
    <t>1FTEW1CP0FKE65958</t>
  </si>
  <si>
    <t>1HGCP2F64CA223190</t>
  </si>
  <si>
    <t>2C4RDGBG4HR646478</t>
  </si>
  <si>
    <t>2GNFLCE32E6260928</t>
  </si>
  <si>
    <t>3FA6P0UU1ER394995</t>
  </si>
  <si>
    <t>3VWC17AU3FM502864</t>
  </si>
  <si>
    <t>GOLF</t>
  </si>
  <si>
    <t>5XYKTDA60EG469388</t>
  </si>
  <si>
    <t>KMHD35LH1HU384040</t>
  </si>
  <si>
    <t>2GNFLEEK7F6189925</t>
  </si>
  <si>
    <t>JM1GJ1U5XF1214729</t>
  </si>
  <si>
    <t>JM3TCACY1G0101013</t>
  </si>
  <si>
    <t>JN8AT2MV1KW380368</t>
  </si>
  <si>
    <t>19XFB2F84CE067726</t>
  </si>
  <si>
    <t>1FADP3L99EL228907</t>
  </si>
  <si>
    <t>1FTFW1EG0GFC99355</t>
  </si>
  <si>
    <t>1GNFLGEK8EZ112608</t>
  </si>
  <si>
    <t>1N4AL3AP4HC203885</t>
  </si>
  <si>
    <t>1VWBA7A39JC001930</t>
  </si>
  <si>
    <t>2C3CDZGGXHH556031</t>
  </si>
  <si>
    <t>2GNALBEKXH1524524</t>
  </si>
  <si>
    <t>3LN6L5A91HR631827</t>
  </si>
  <si>
    <t>3VWN57BU3LM057260</t>
  </si>
  <si>
    <t>5LMTJ2AH6FUJ15822</t>
  </si>
  <si>
    <t>MKC</t>
  </si>
  <si>
    <t>5NPE34AF2JH625849</t>
  </si>
  <si>
    <t>KM8J33A4XHU453444</t>
  </si>
  <si>
    <t>KM8J3CA4XGU076564</t>
  </si>
  <si>
    <t>19XFC2F75HE021009</t>
  </si>
  <si>
    <t>1C3CCCAG7GN143529</t>
  </si>
  <si>
    <t>1C3CCCBG6FN506254</t>
  </si>
  <si>
    <t>1C4NJCEA1GD773830</t>
  </si>
  <si>
    <t>1C4NJDBB0GD662642</t>
  </si>
  <si>
    <t>1C4NJDEB3ED892104</t>
  </si>
  <si>
    <t>1C4NJRBB8ED511722</t>
  </si>
  <si>
    <t>1C4NJRFB5GD658769</t>
  </si>
  <si>
    <t>1C4NJRFB6ED858718</t>
  </si>
  <si>
    <t>1C6RR7KG4ES424817</t>
  </si>
  <si>
    <t>1500 4X4 CR</t>
  </si>
  <si>
    <t>1FM5K7F81EGA02887</t>
  </si>
  <si>
    <t>1FM5K8B82JGB87070</t>
  </si>
  <si>
    <t>1FM5K8DHXGGC29295</t>
  </si>
  <si>
    <t>EXPLORER 4X4 4C</t>
  </si>
  <si>
    <t>1FMCU9GD9KUB63929</t>
  </si>
  <si>
    <t>1G11A5SL1EF288372</t>
  </si>
  <si>
    <t>1G11B5SLXFF320167</t>
  </si>
  <si>
    <t>1G1PL5SC4C7280262</t>
  </si>
  <si>
    <t>1GNKRGKD6FJ220227</t>
  </si>
  <si>
    <t>1HGCV1F14JA247944</t>
  </si>
  <si>
    <t>1N4AL3AP2GN342917</t>
  </si>
  <si>
    <t>1N4AL3AP2HN346807</t>
  </si>
  <si>
    <t>1N4AL3AP4EN334069</t>
  </si>
  <si>
    <t>1N4AL3AP8DC915939</t>
  </si>
  <si>
    <t>1VWAT7A35GC005360</t>
  </si>
  <si>
    <t>1ZVBP8AM5E5331149</t>
  </si>
  <si>
    <t>2FMPK3G99JBC47897</t>
  </si>
  <si>
    <t>2G1WA5E31G1100865</t>
  </si>
  <si>
    <t>IMPALA LIMITED</t>
  </si>
  <si>
    <t>2GKFLSEK5H6266936</t>
  </si>
  <si>
    <t>2GNALAEK6E6127952</t>
  </si>
  <si>
    <t>2GNALBEK7F6104834</t>
  </si>
  <si>
    <t>2GNALCEK8F6189074</t>
  </si>
  <si>
    <t>2GNAXHEV8J6338927</t>
  </si>
  <si>
    <t>2GNFLEEKXF6176957</t>
  </si>
  <si>
    <t>2GNFLFEK0F6141088</t>
  </si>
  <si>
    <t>2GNFLFEK5H6254893</t>
  </si>
  <si>
    <t>3C4NJDBB3JT331698</t>
  </si>
  <si>
    <t>3C4NJDBB7JT307792</t>
  </si>
  <si>
    <t>3C4PDCAB6HT709387</t>
  </si>
  <si>
    <t>JOURNEY FWD 4C</t>
  </si>
  <si>
    <t>3FA6P0H93ER310827</t>
  </si>
  <si>
    <t>3FA6P0HD0JR257969</t>
  </si>
  <si>
    <t>3KPC24A60ME130536</t>
  </si>
  <si>
    <t>3N1CN8EV5ML832267</t>
  </si>
  <si>
    <t>3VW2K7AJ8EM398319</t>
  </si>
  <si>
    <t>4T1BF1FK0EU403428</t>
  </si>
  <si>
    <t>4T1BF1FK8EU785210</t>
  </si>
  <si>
    <t>5FNYF5H54JB014601</t>
  </si>
  <si>
    <t>PILOT FWD</t>
  </si>
  <si>
    <t>5N1AR2MM3DC636334</t>
  </si>
  <si>
    <t>5N1AT2MV0HC843120</t>
  </si>
  <si>
    <t>5NPD84LFXJH360074</t>
  </si>
  <si>
    <t>5NPE24AF3GH378904</t>
  </si>
  <si>
    <t>5NPE24AF7JH712780</t>
  </si>
  <si>
    <t>5UXWX9C5XE0D14071</t>
  </si>
  <si>
    <t>5XYPG4A3XGG043713</t>
  </si>
  <si>
    <t>JA4AP3AU1KU004079</t>
  </si>
  <si>
    <t>JF2GPAMC0F8241055</t>
  </si>
  <si>
    <t>XV CROSSTREK</t>
  </si>
  <si>
    <t>JHLRE48587C085679</t>
  </si>
  <si>
    <t>CR-V 4X4</t>
  </si>
  <si>
    <t>JN1AZ4EH1GM936733</t>
  </si>
  <si>
    <t>JN1BJ1CR9HW125483</t>
  </si>
  <si>
    <t>JN8AF5MV0ET483974</t>
  </si>
  <si>
    <t>KL4CJASB1HB199830</t>
  </si>
  <si>
    <t>KM8J3CA23HU563671</t>
  </si>
  <si>
    <t>KMHH35LE1KU089129</t>
  </si>
  <si>
    <t>KNAFK4A67E5166134</t>
  </si>
  <si>
    <t>KNDJP3A55E7104218</t>
  </si>
  <si>
    <t>SALGS2EF5GA278469</t>
  </si>
  <si>
    <t>LAND ROVER</t>
  </si>
  <si>
    <t>RANGE ROVER</t>
  </si>
  <si>
    <t>W1KWJ6EB6MG064521</t>
  </si>
  <si>
    <t>AMG C 43</t>
  </si>
  <si>
    <t>WA1WKAFP7BA109769</t>
  </si>
  <si>
    <t>Q5</t>
  </si>
  <si>
    <t>WAUWGAFC4FN005675</t>
  </si>
  <si>
    <t>A7</t>
  </si>
  <si>
    <t>WDCTG4GB4FJ122669</t>
  </si>
  <si>
    <t>WP1AA2A59HLB05751</t>
  </si>
  <si>
    <t>ZACCJBAT0GPD71372</t>
  </si>
  <si>
    <t>1FADP3J20DL351547</t>
  </si>
  <si>
    <t>5XYZW4LA2HG408586</t>
  </si>
  <si>
    <t>1C3CCBBB8CN120929</t>
  </si>
  <si>
    <t>200 4C</t>
  </si>
  <si>
    <t>1C3CDFBB2FD362419</t>
  </si>
  <si>
    <t>1C4NJPBA3HD146141</t>
  </si>
  <si>
    <t>1C4NJPBA6HD171258</t>
  </si>
  <si>
    <t>1C4PJMCB1GW194660</t>
  </si>
  <si>
    <t>1FMCU0F75EUC18694</t>
  </si>
  <si>
    <t>1FMCU0GXXEUC93549</t>
  </si>
  <si>
    <t>1FMCU9GX4EUB28570</t>
  </si>
  <si>
    <t>1FTEX1CP4JKE11665</t>
  </si>
  <si>
    <t>1G11C5SAXGF101965</t>
  </si>
  <si>
    <t>1G1BE5SM1H7246056</t>
  </si>
  <si>
    <t>1G1ZB5ST5GF183921</t>
  </si>
  <si>
    <t>1G1ZE5ST9HF183350</t>
  </si>
  <si>
    <t>1GCVKREH8FZ203130</t>
  </si>
  <si>
    <t>1GKKVRKD3EJ318456</t>
  </si>
  <si>
    <t>1ZVBP8FF1C5258708</t>
  </si>
  <si>
    <t>2G4GW5EV5B9199100</t>
  </si>
  <si>
    <t>2GKFLVEK4F6271334</t>
  </si>
  <si>
    <t>2GKFLXEK5F6171173</t>
  </si>
  <si>
    <t>2GNALCEK7H1551766</t>
  </si>
  <si>
    <t>2GNFLEEK1F6340449</t>
  </si>
  <si>
    <t>2HGFB2F57FH564124</t>
  </si>
  <si>
    <t>2HKRM4H79GH718213</t>
  </si>
  <si>
    <t>CR V AWD</t>
  </si>
  <si>
    <t>3C3CFFFH8DT528443</t>
  </si>
  <si>
    <t>3FA6P0HD2HR132269</t>
  </si>
  <si>
    <t>3FAHP0HG2CR261754</t>
  </si>
  <si>
    <t>FUSION FWD V6</t>
  </si>
  <si>
    <t>3GNCJPSB6HL218208</t>
  </si>
  <si>
    <t>3VWL17AJ4HM268467</t>
  </si>
  <si>
    <t>4S3GTAB62H3753410</t>
  </si>
  <si>
    <t>4T1B11HK3JU579797</t>
  </si>
  <si>
    <t>5LMCJ1C90HUL09684</t>
  </si>
  <si>
    <t>5N1AT2MV4FC766720</t>
  </si>
  <si>
    <t>5NPEB4AC4DH721219</t>
  </si>
  <si>
    <t>5XYKT3A64FG589254</t>
  </si>
  <si>
    <t>5YFBURHE5JP754701</t>
  </si>
  <si>
    <t>JN8AF5MV3FT555414</t>
  </si>
  <si>
    <t>KL4CJASB2HB039990</t>
  </si>
  <si>
    <t>KMHD74LF9KU840855</t>
  </si>
  <si>
    <t>KMHTC6AE1GU259497</t>
  </si>
  <si>
    <t>KNAGM4A76F5623573</t>
  </si>
  <si>
    <t>KNDJ23AU6L7705057</t>
  </si>
  <si>
    <t>KNDJP3A53G7239779</t>
  </si>
  <si>
    <t>KNDPMCAC1H7282987</t>
  </si>
  <si>
    <t>SALVR2BG0HH218320</t>
  </si>
  <si>
    <t>RANGE ROVER EVOQUE</t>
  </si>
  <si>
    <t>WAUFFAFL1DN006606</t>
  </si>
  <si>
    <t>WBAFU7C51DDU68846</t>
  </si>
  <si>
    <t>535I</t>
  </si>
  <si>
    <t>WMWZC5C59GWU03191</t>
  </si>
  <si>
    <t>WVGBV7AX7DW501335</t>
  </si>
  <si>
    <t>1C4HJXDN4MW531395</t>
  </si>
  <si>
    <t>WRANGLER UNLIMITED</t>
  </si>
  <si>
    <t>1C4NJPBB6CD686360</t>
  </si>
  <si>
    <t>1C4PJLCS2FW535671</t>
  </si>
  <si>
    <t>1C4PJLCSXHW642776</t>
  </si>
  <si>
    <t>1C4PJMCS0GW236543</t>
  </si>
  <si>
    <t>1C4PJMLB4KD404933</t>
  </si>
  <si>
    <t>1C4RJFAG5EC448324</t>
  </si>
  <si>
    <t>1C4RJFCT7DC650641</t>
  </si>
  <si>
    <t>1C6RR7FT5JS200876</t>
  </si>
  <si>
    <t>1FA6P0H72G5116293</t>
  </si>
  <si>
    <t>1FADP3J23JL294658</t>
  </si>
  <si>
    <t>1FM5K8B84DGB18448</t>
  </si>
  <si>
    <t>1FMCU0G61LUB91139</t>
  </si>
  <si>
    <t>ESCAPE FWD 3C</t>
  </si>
  <si>
    <t>1FMCU9GD8HUA15635</t>
  </si>
  <si>
    <t>1G11B5SL4EF216160</t>
  </si>
  <si>
    <t>1G11C5SA2DF197571</t>
  </si>
  <si>
    <t>1G11C5SL6EF138462</t>
  </si>
  <si>
    <t>1G1BC5SM0H7183358</t>
  </si>
  <si>
    <t>1G1JG6SH9H4167735</t>
  </si>
  <si>
    <t>1G1PC5SH8C7147905</t>
  </si>
  <si>
    <t>1G1PE5SB4F7121635</t>
  </si>
  <si>
    <t>1G1ZD5E78BF253526</t>
  </si>
  <si>
    <t>1G1ZE5ST6GF329900</t>
  </si>
  <si>
    <t>1G4GC5EG7AF302744</t>
  </si>
  <si>
    <t>1GKKNKLA7HZ211928</t>
  </si>
  <si>
    <t>1GKKNNLS5KZ208365</t>
  </si>
  <si>
    <t>1GKKVTKD5DJ214126</t>
  </si>
  <si>
    <t>1HGCS2B88BA004155</t>
  </si>
  <si>
    <t>1N4AL3AP2GN372564</t>
  </si>
  <si>
    <t>2C4RC1BG8CR258954</t>
  </si>
  <si>
    <t>TOWN &amp; COUNTRY</t>
  </si>
  <si>
    <t>2C4RDGBG9ER212973</t>
  </si>
  <si>
    <t>2FMPK3J81JBC37008</t>
  </si>
  <si>
    <t>2G1FD1E32F9232193</t>
  </si>
  <si>
    <t>2GKFLTEK8C6274592</t>
  </si>
  <si>
    <t>2HGFB2F96EH547901</t>
  </si>
  <si>
    <t>2T1BURHE9GC599773</t>
  </si>
  <si>
    <t>3C3CFFCR3DT634196</t>
  </si>
  <si>
    <t>3C3CFFKR3HT561337</t>
  </si>
  <si>
    <t>3C4NJDCB1KT843136</t>
  </si>
  <si>
    <t>3C4NJDCB7MT586549</t>
  </si>
  <si>
    <t>3C4PDCAB3ET209859</t>
  </si>
  <si>
    <t>3FA6P0HD3HR415764</t>
  </si>
  <si>
    <t>3FADP4EJXKM148359</t>
  </si>
  <si>
    <t>3GKALPEV8LL205151</t>
  </si>
  <si>
    <t>3GNAXUEV4MS137556</t>
  </si>
  <si>
    <t>3KPF24AD0ME334099</t>
  </si>
  <si>
    <t>3KPF24AD2LE170787</t>
  </si>
  <si>
    <t>3KPF54AD0NE432400</t>
  </si>
  <si>
    <t>3KPFK4A71HE133229</t>
  </si>
  <si>
    <t>3KPFK4A76JE202292</t>
  </si>
  <si>
    <t>3N1AB7AP9HY215285</t>
  </si>
  <si>
    <t>3N1AB7APXKY344160</t>
  </si>
  <si>
    <t>3VV2B7AX4KM124667</t>
  </si>
  <si>
    <t>TIGUAN AWD</t>
  </si>
  <si>
    <t>3VW2K7AJ0FM338956</t>
  </si>
  <si>
    <t>3VWLL7AJXBM034335</t>
  </si>
  <si>
    <t>3VWPL7AJ9EM621275</t>
  </si>
  <si>
    <t>4T1BF1FK7EU796828</t>
  </si>
  <si>
    <t>5FNRL5H62EB125949</t>
  </si>
  <si>
    <t>5J8TB4H73HL021064</t>
  </si>
  <si>
    <t>5N1AT2MT5EC754993</t>
  </si>
  <si>
    <t>5N1AZ2DJ9MC108951</t>
  </si>
  <si>
    <t>5NPD84LF3JH402522</t>
  </si>
  <si>
    <t>5NPD84LF4KH497688</t>
  </si>
  <si>
    <t>5NPD84LF5HH057455</t>
  </si>
  <si>
    <t>5NPDH4AEXFH547168</t>
  </si>
  <si>
    <t>5NPE24AF3JH603104</t>
  </si>
  <si>
    <t>5NPE24AF6JH728291</t>
  </si>
  <si>
    <t>5NPE34AF7GH290693</t>
  </si>
  <si>
    <t>5UXKR0C5XE0H21053</t>
  </si>
  <si>
    <t>5XXGM4A79CG026914</t>
  </si>
  <si>
    <t>5XXGT4L37HG149552</t>
  </si>
  <si>
    <t>5XXGU4L32GG083732</t>
  </si>
  <si>
    <t>5XXGU4L35GG055360</t>
  </si>
  <si>
    <t>5XYKT3A63DG356396</t>
  </si>
  <si>
    <t>5XYKT3A6XFG584429</t>
  </si>
  <si>
    <t>5XYPGDA31GG057841</t>
  </si>
  <si>
    <t>7FARW1H28LE012120</t>
  </si>
  <si>
    <t>JA4AS3AA8JZ057660</t>
  </si>
  <si>
    <t>ECLIPSE CROSS</t>
  </si>
  <si>
    <t>JF1GJAA65EH024653</t>
  </si>
  <si>
    <t>JF2SKADC8LH531676</t>
  </si>
  <si>
    <t>JM1CW2DL0C0100437</t>
  </si>
  <si>
    <t>MAZDA5</t>
  </si>
  <si>
    <t>JM3KE4CY1F0466233</t>
  </si>
  <si>
    <t>CX 5 AWD 4C</t>
  </si>
  <si>
    <t>JN8AS5MV9CW351268</t>
  </si>
  <si>
    <t>JTDBU4EE1C9171588</t>
  </si>
  <si>
    <t>JTHBK1GG6D2060076</t>
  </si>
  <si>
    <t>LEXUS</t>
  </si>
  <si>
    <t>ES 350</t>
  </si>
  <si>
    <t>JTMRJREV5JD197156</t>
  </si>
  <si>
    <t>KL4CJ1SB6JB555937</t>
  </si>
  <si>
    <t>KL4CJASB6HB028457</t>
  </si>
  <si>
    <t>KL4CJASB6KB949567</t>
  </si>
  <si>
    <t>KL4CJASB9GB722557</t>
  </si>
  <si>
    <t>KL4CJESBXGB647889</t>
  </si>
  <si>
    <t>KL7CJLSM8MB373841</t>
  </si>
  <si>
    <t>KM8J33A23HU352180</t>
  </si>
  <si>
    <t>KM8J3CA48GU207183</t>
  </si>
  <si>
    <t>KM8SM4HF7EU046143</t>
  </si>
  <si>
    <t>KMHRB8A30MU067927</t>
  </si>
  <si>
    <t>VENUE</t>
  </si>
  <si>
    <t>KMHTC6AE5GU296987</t>
  </si>
  <si>
    <t>KNDJN2A28K7916758</t>
  </si>
  <si>
    <t>KNDPBCAC2F7756464</t>
  </si>
  <si>
    <t>KNDPM3ACXK7557506</t>
  </si>
  <si>
    <t>MAJ3S2FE5MC418621</t>
  </si>
  <si>
    <t>ML32FUFJ7MHF02967</t>
  </si>
  <si>
    <t>MIRAGE G4</t>
  </si>
  <si>
    <t>WA1CMAFP9FA127712</t>
  </si>
  <si>
    <t>WAUGFAFC5GN084850</t>
  </si>
  <si>
    <t>A6</t>
  </si>
  <si>
    <t>WBXHT3C37H5F68557</t>
  </si>
  <si>
    <t>WDBSK70F19F151485</t>
  </si>
  <si>
    <t>SL 63 AMG</t>
  </si>
  <si>
    <t>WVGRV7AX6HW507941</t>
  </si>
  <si>
    <t>ZACCJABT0FPB58945</t>
  </si>
  <si>
    <t>ZACCJBBB7HPE49802</t>
  </si>
  <si>
    <t>ZACCJBBT0FPB53070</t>
  </si>
  <si>
    <t>1FTEX1EP0JKD95686</t>
  </si>
  <si>
    <t>1G1PC5SB9F7201793</t>
  </si>
  <si>
    <t>2T1BURHE7JC052086</t>
  </si>
  <si>
    <t>3G1BE6SM9HS531143</t>
  </si>
  <si>
    <t>3GYFNAE36DS654370</t>
  </si>
  <si>
    <t>4T1BF1FK1CU186551</t>
  </si>
  <si>
    <t>4T4BF3EK9BR103756</t>
  </si>
  <si>
    <t>KL4CJ2SB4HB221762</t>
  </si>
  <si>
    <t>WVGBV7AXXGW590497</t>
  </si>
  <si>
    <t>ZACCJBDT3FPB79289</t>
  </si>
  <si>
    <t>1C3BC2FB4BN520099</t>
  </si>
  <si>
    <t>1C3CCCCG9FN514315</t>
  </si>
  <si>
    <t>1C4NJCBA3GD560012</t>
  </si>
  <si>
    <t>1C4NJRBB7FD215687</t>
  </si>
  <si>
    <t>1C4PJMCS2GW246295</t>
  </si>
  <si>
    <t>1FADP3E23JL230162</t>
  </si>
  <si>
    <t>1FADP5AU3EL505344</t>
  </si>
  <si>
    <t>C MAX</t>
  </si>
  <si>
    <t>1FMCU9GX3EUA34177</t>
  </si>
  <si>
    <t>1N4AL3AP2EC184622</t>
  </si>
  <si>
    <t>1N4AL3AP3GC196166</t>
  </si>
  <si>
    <t>1N4AL3AP4FC470943</t>
  </si>
  <si>
    <t>2C4RDGCG7DR536517</t>
  </si>
  <si>
    <t>2G1FB3D30E9183755</t>
  </si>
  <si>
    <t>2GNAXKEV6L6103717</t>
  </si>
  <si>
    <t>3FADP4GXXFM160289</t>
  </si>
  <si>
    <t>3GNCJLSB4HL287620</t>
  </si>
  <si>
    <t>3KPFK4A70HE133514</t>
  </si>
  <si>
    <t>3LNHL2JC6CR814927</t>
  </si>
  <si>
    <t>3N1AB7AP6GY259405</t>
  </si>
  <si>
    <t>3VV3B7AX7MM105375</t>
  </si>
  <si>
    <t>4S3BNBL6XF3073888</t>
  </si>
  <si>
    <t>LEGACY</t>
  </si>
  <si>
    <t>4T1BF1FK5FU093861</t>
  </si>
  <si>
    <t>5N1AR2MM7GC621453</t>
  </si>
  <si>
    <t>5NPD84LF8HH145996</t>
  </si>
  <si>
    <t>5XYRG4LC2MG028737</t>
  </si>
  <si>
    <t>JN8AT2MV9HW024906</t>
  </si>
  <si>
    <t>JTHKD5BH4B2029231</t>
  </si>
  <si>
    <t>CT 200H</t>
  </si>
  <si>
    <t>KL4CJ2SB1HB039825</t>
  </si>
  <si>
    <t>KL4CJASB9HB231469</t>
  </si>
  <si>
    <t>KM8JUCAG0EU870770</t>
  </si>
  <si>
    <t>KNAGN4AD6F5090126</t>
  </si>
  <si>
    <t>KNDJN2A21K7651889</t>
  </si>
  <si>
    <t>WBA3B3C56DJ810682</t>
  </si>
  <si>
    <t>WMWLU5C5XJ2G02769</t>
  </si>
  <si>
    <t>CLUBMAN</t>
  </si>
  <si>
    <t>WVGBV7AX4HW506370</t>
  </si>
  <si>
    <t>1C3CCCBB5GN125761</t>
  </si>
  <si>
    <t>1C3CCCDG4FN673838</t>
  </si>
  <si>
    <t>1C3CDFBB3GD717308</t>
  </si>
  <si>
    <t>1C4NJCEA9GD769427</t>
  </si>
  <si>
    <t>1C4NJCEB5HD198853</t>
  </si>
  <si>
    <t>1C4NJRFB0GD725228</t>
  </si>
  <si>
    <t>1C4RDHAG7GC412737</t>
  </si>
  <si>
    <t>1C4RJFAG6DC587215</t>
  </si>
  <si>
    <t>GR CHERO 4X4 V6</t>
  </si>
  <si>
    <t>1C6RR7NG3GS285407</t>
  </si>
  <si>
    <t>1G11C5SA6GF125731</t>
  </si>
  <si>
    <t>1G11F5SL6FF261171</t>
  </si>
  <si>
    <t>1G1BE5SM0J7200000</t>
  </si>
  <si>
    <t>1G1BE5SM3H7154074</t>
  </si>
  <si>
    <t>1G1JC6SB4E4108093</t>
  </si>
  <si>
    <t>1G1JE6SBXE4182791</t>
  </si>
  <si>
    <t>1G1JF5SB8L4119290</t>
  </si>
  <si>
    <t>1G1PC5SB2F7291059</t>
  </si>
  <si>
    <t>1G1PE5SB3G7129808</t>
  </si>
  <si>
    <t>1G1PJ5SCXC7192354</t>
  </si>
  <si>
    <t>1G4GA5G32FF155787</t>
  </si>
  <si>
    <t>1G4GB5GR0FF194122</t>
  </si>
  <si>
    <t>1G6AJ5SX3F0121061</t>
  </si>
  <si>
    <t>1GCVKPEC5EZ300423</t>
  </si>
  <si>
    <t>1500 SLV 4X4 DB</t>
  </si>
  <si>
    <t>1J4AA2D14AL172803</t>
  </si>
  <si>
    <t>WRANGLER</t>
  </si>
  <si>
    <t>1N4AA5AP2CC860209</t>
  </si>
  <si>
    <t>1N4AL3AP0EN340936</t>
  </si>
  <si>
    <t>1N4AL3AP2JC243324</t>
  </si>
  <si>
    <t>1N4AL3AP3GN367700</t>
  </si>
  <si>
    <t>1N4BL4BV0LC244532</t>
  </si>
  <si>
    <t>ALTIMA FWD 4C</t>
  </si>
  <si>
    <t>1VWAT7A34FC049137</t>
  </si>
  <si>
    <t>1ZVBP8AM7C5208790</t>
  </si>
  <si>
    <t>1ZVBP8CF1B5136000</t>
  </si>
  <si>
    <t>2FMPK3J9XJBB27907</t>
  </si>
  <si>
    <t>2GKFLTE31H6309361</t>
  </si>
  <si>
    <t>2GNAXUEV7K6242314</t>
  </si>
  <si>
    <t>2GNFLFEK3H6234108</t>
  </si>
  <si>
    <t>2GNFLNE57C6202999</t>
  </si>
  <si>
    <t>3C3CFFAR9CT384352</t>
  </si>
  <si>
    <t>3C4NJDAB6JT178980</t>
  </si>
  <si>
    <t>3C4PDCAB4FT531881</t>
  </si>
  <si>
    <t>3C4PDCDG0ET308114</t>
  </si>
  <si>
    <t>3C4PDDBG9GT196442</t>
  </si>
  <si>
    <t>3FA6P0H70FR179887</t>
  </si>
  <si>
    <t>3GNCJLSB4KL134792</t>
  </si>
  <si>
    <t>3KPC24A65LE101774</t>
  </si>
  <si>
    <t>3KPFL4A83HE019884</t>
  </si>
  <si>
    <t>3LN6L2J92DR817207</t>
  </si>
  <si>
    <t>3N1AB7AP3KL615332</t>
  </si>
  <si>
    <t>3PCAJ5M11LF112412</t>
  </si>
  <si>
    <t>QX50</t>
  </si>
  <si>
    <t>3VW1K7AJ1FM228042</t>
  </si>
  <si>
    <t>3VW4T7AJ1EM304724</t>
  </si>
  <si>
    <t>55SWF8DB0KU296207</t>
  </si>
  <si>
    <t>5GAKVCKD8FJ298426</t>
  </si>
  <si>
    <t>5N1AR1NB4BC626139</t>
  </si>
  <si>
    <t>5N1AT2MV6EC861567</t>
  </si>
  <si>
    <t>5NMS2CAD4KH090942</t>
  </si>
  <si>
    <t>5NPD84LF0HH017428</t>
  </si>
  <si>
    <t>5NPD84LF1HH012917</t>
  </si>
  <si>
    <t>5NPD84LF2LH630336</t>
  </si>
  <si>
    <t>5NPDH4AEXDH413354</t>
  </si>
  <si>
    <t>5NPE24AF4HH524230</t>
  </si>
  <si>
    <t>5NPE24AF5KH790251</t>
  </si>
  <si>
    <t>5NPE34AB6FH048599</t>
  </si>
  <si>
    <t>5TFLU4EN7CX035837</t>
  </si>
  <si>
    <t>TACOMA</t>
  </si>
  <si>
    <t>5XXGN4A74DG210348</t>
  </si>
  <si>
    <t>5XXGT4L36HG175365</t>
  </si>
  <si>
    <t>5XYKTCA18BG146748</t>
  </si>
  <si>
    <t>5XYZUDLB7GG345241</t>
  </si>
  <si>
    <t>5YFBU4EE7CP055516</t>
  </si>
  <si>
    <t>5YFBURHE5GP528845</t>
  </si>
  <si>
    <t>JHMGE8H43AS021256</t>
  </si>
  <si>
    <t>JM1BL1UG5B1488615</t>
  </si>
  <si>
    <t>JN1EV7AP5JM353746</t>
  </si>
  <si>
    <t>Q50 4X2 V6</t>
  </si>
  <si>
    <t>JN8AZ1MW3CW203100</t>
  </si>
  <si>
    <t>KL4CJBSB9FB153794</t>
  </si>
  <si>
    <t>KL4CJHSB8HB232251</t>
  </si>
  <si>
    <t>KL7CJNSB3FB214366</t>
  </si>
  <si>
    <t>KM8JUCAG1EU896150</t>
  </si>
  <si>
    <t>KMHRC8A31MU096866</t>
  </si>
  <si>
    <t>KNDJN2A23G7362424</t>
  </si>
  <si>
    <t>KNDJP3A56E7744132</t>
  </si>
  <si>
    <t>KNDPM3AC8K7552143</t>
  </si>
  <si>
    <t>MAJ6S3GL8LC365055</t>
  </si>
  <si>
    <t>WA1L2AFP3HA044477</t>
  </si>
  <si>
    <t>WBXHU7C37J5L06206</t>
  </si>
  <si>
    <t>WVWHV7AJ2CW022698</t>
  </si>
  <si>
    <t>1GYKNDRS5JZ155432</t>
  </si>
  <si>
    <t>XT5</t>
  </si>
  <si>
    <t>3FA6P0HD6ER371948</t>
  </si>
  <si>
    <t>3KPF34AD5KE123846</t>
  </si>
  <si>
    <t>4S3BNBC68F3005427</t>
  </si>
  <si>
    <t>1C4BJWEG0GL141836</t>
  </si>
  <si>
    <t>1C4NJPBA3HD145989</t>
  </si>
  <si>
    <t>1C4PJMDS2FW651716</t>
  </si>
  <si>
    <t>1C6RR6LG8HS613645</t>
  </si>
  <si>
    <t>1FA6P0H77F5126090</t>
  </si>
  <si>
    <t>1FMCU9GD4HUB94708</t>
  </si>
  <si>
    <t>1G1JA5SH0C4137706</t>
  </si>
  <si>
    <t>1G1JC5SB9D4111094</t>
  </si>
  <si>
    <t>1G1JD6SB6E4126589</t>
  </si>
  <si>
    <t>1G1PE5SBXG7177368</t>
  </si>
  <si>
    <t>1GNKVHKD6GJ200434</t>
  </si>
  <si>
    <t>1N4AZ0CP3DC424060</t>
  </si>
  <si>
    <t>1VWBN7A31DC109807</t>
  </si>
  <si>
    <t>2C3CDZJG4NH171276</t>
  </si>
  <si>
    <t>2C4RC1BG8GR112303</t>
  </si>
  <si>
    <t>2C4RDGCG3DR522114</t>
  </si>
  <si>
    <t>2C4RDGCG3FR584809</t>
  </si>
  <si>
    <t>2GKFLXEK4F6329051</t>
  </si>
  <si>
    <t>2HGFC3A57LH750106</t>
  </si>
  <si>
    <t>CIVIC SI</t>
  </si>
  <si>
    <t>3C4PDCEG8JT439316</t>
  </si>
  <si>
    <t>3GTP1VEC7EG476745</t>
  </si>
  <si>
    <t>SIERRA 1500</t>
  </si>
  <si>
    <t>3N1AB7AP6JY316984</t>
  </si>
  <si>
    <t>3N1AB7AP8KY261813</t>
  </si>
  <si>
    <t>3TMCZ5AN5MM429616</t>
  </si>
  <si>
    <t>3VWD17AJ1EM265784</t>
  </si>
  <si>
    <t>5LMCJ2D94HUL44488</t>
  </si>
  <si>
    <t>5NPDH4AE3DH382075</t>
  </si>
  <si>
    <t>5NPDH4AEXDH419204</t>
  </si>
  <si>
    <t>JN8AF5MV6ET481002</t>
  </si>
  <si>
    <t>JUKE AWD</t>
  </si>
  <si>
    <t>JTDKN3DU6D5596779</t>
  </si>
  <si>
    <t>KL8CA6SA6KC724496</t>
  </si>
  <si>
    <t>KNALN4D77E5119796</t>
  </si>
  <si>
    <t>KNDERCAA4M7042110</t>
  </si>
  <si>
    <t>SELTOS</t>
  </si>
  <si>
    <t>ZARFANBN6K7600728</t>
  </si>
  <si>
    <t>GIULIA</t>
  </si>
  <si>
    <t>ZFBCFYCB3HP523994</t>
  </si>
  <si>
    <t>1G1PC5SB2E7411960</t>
  </si>
  <si>
    <t>4A4AR4AU0FE050243</t>
  </si>
  <si>
    <t>1C4NJDBB2HD104602</t>
  </si>
  <si>
    <t>1C4RJFCGXFC894435</t>
  </si>
  <si>
    <t>1C6RD7PTXCS174565</t>
  </si>
  <si>
    <t>1FADP3N24EL199624</t>
  </si>
  <si>
    <t>1FMCU9G9XEUA91171</t>
  </si>
  <si>
    <t>1G1BC5SM4K7120965</t>
  </si>
  <si>
    <t>1G1PG5SC4C7255303</t>
  </si>
  <si>
    <t>1GTG5CE37G1199637</t>
  </si>
  <si>
    <t>CANYON</t>
  </si>
  <si>
    <t>1N4BL4CV9KC174512</t>
  </si>
  <si>
    <t>1VWCN7A37CC068800</t>
  </si>
  <si>
    <t>2FMPK4J98GBC65525</t>
  </si>
  <si>
    <t>EDGE AWD SUV</t>
  </si>
  <si>
    <t>2GKFLVEK7F6405642</t>
  </si>
  <si>
    <t>2GNALBEK1G1163036</t>
  </si>
  <si>
    <t>3GKALPEV5ML331274</t>
  </si>
  <si>
    <t>3GNAXKEV9KS579105</t>
  </si>
  <si>
    <t>3N1CN7AP1JL856563</t>
  </si>
  <si>
    <t>3N1CP5BV9NL504106</t>
  </si>
  <si>
    <t>KICKS</t>
  </si>
  <si>
    <t>3VWD17AJ2FM282000</t>
  </si>
  <si>
    <t>4T1BF1FK1EU729464</t>
  </si>
  <si>
    <t>5J6RM3H39CL017548</t>
  </si>
  <si>
    <t>CR-V FWD</t>
  </si>
  <si>
    <t>5NPE24AF9GH354154</t>
  </si>
  <si>
    <t>5NPEL4JA8LH047389</t>
  </si>
  <si>
    <t>JN1BJ1AWXMW430221</t>
  </si>
  <si>
    <t>JN8AS5MT8FW666274</t>
  </si>
  <si>
    <t>ROGUE SEL FWD</t>
  </si>
  <si>
    <t>JN8AS5MV0CW360036</t>
  </si>
  <si>
    <t>JTJYARBZ8K2132895</t>
  </si>
  <si>
    <t>NX 300</t>
  </si>
  <si>
    <t>JTKJF5C70C3025971</t>
  </si>
  <si>
    <t>KNDJN2A28J7532882</t>
  </si>
  <si>
    <t>WA1LFAFP5FA040819</t>
  </si>
  <si>
    <t>WVGAV7AX9FW591621</t>
  </si>
  <si>
    <t>1C3CDFCB9FD243877</t>
  </si>
  <si>
    <t>1FM5K7D83GGB59908</t>
  </si>
  <si>
    <t>1FM5K8B87GGA16775</t>
  </si>
  <si>
    <t>1HGCP2F38CA046777</t>
  </si>
  <si>
    <t>2GKALREK6E6182073</t>
  </si>
  <si>
    <t>19UUB3F56FA007619</t>
  </si>
  <si>
    <t>TLX</t>
  </si>
  <si>
    <t>1FMHK8D89CGA82331</t>
  </si>
  <si>
    <t>2GNAXKEV9K6121921</t>
  </si>
  <si>
    <t>3C4NJCBB3KT706484</t>
  </si>
  <si>
    <t>COMPASS FWD</t>
  </si>
  <si>
    <t>3KPFL4A74JE200960</t>
  </si>
  <si>
    <t>3N1AB7AP5HY356919</t>
  </si>
  <si>
    <t>WMWZC3C52FWT06563</t>
  </si>
  <si>
    <t>ZACCJBBT4GPD78436</t>
  </si>
  <si>
    <t>1C4PJMDS0FW682401</t>
  </si>
  <si>
    <t>1FADP3J20JL289174</t>
  </si>
  <si>
    <t>1FMCU9JX1EUD76722</t>
  </si>
  <si>
    <t>1FMJK2ATXMEA38763</t>
  </si>
  <si>
    <t>EXPEDITION</t>
  </si>
  <si>
    <t>1G1YB2D75F5110269</t>
  </si>
  <si>
    <t>CORVETTE</t>
  </si>
  <si>
    <t>1GNKRHKD3EJ257868</t>
  </si>
  <si>
    <t>1N6BA0EC1CN315077</t>
  </si>
  <si>
    <t>TITAN</t>
  </si>
  <si>
    <t>2GKALMEKXF6289812</t>
  </si>
  <si>
    <t>3GNCJKSB8HL280213</t>
  </si>
  <si>
    <t>3GNCJPSB2JL265449</t>
  </si>
  <si>
    <t>3KPF34AD6LE167601</t>
  </si>
  <si>
    <t>JF1VA1F67F9814564</t>
  </si>
  <si>
    <t>KNDJP3A54J7604235</t>
  </si>
  <si>
    <t>1FADP3M27HL281594</t>
  </si>
  <si>
    <t>1FMCU9GD7HUC04339</t>
  </si>
  <si>
    <t>1FMCU9GX3FUA68458</t>
  </si>
  <si>
    <t>1GNKRGED8CJ423904</t>
  </si>
  <si>
    <t>2GKFLVEK7F6332921</t>
  </si>
  <si>
    <t>2GNALBEKXE6100856</t>
  </si>
  <si>
    <t>3GNAXKEX6JS517368</t>
  </si>
  <si>
    <t>3GNAXSEV0JS628156</t>
  </si>
  <si>
    <t>3MZBN1V74HM135008</t>
  </si>
  <si>
    <t>1FMCU0F79KUB53697</t>
  </si>
  <si>
    <t>1GCGTBEN7K1124074</t>
  </si>
  <si>
    <t>1N4AL3AP5GC239423</t>
  </si>
  <si>
    <t>1N6AA1E56KN529418</t>
  </si>
  <si>
    <t>5GAKRAKD4HJ336794</t>
  </si>
  <si>
    <t>W04WT3N5XGG060533</t>
  </si>
  <si>
    <t>Sum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</si>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</sst>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74" formatCode="&quot;$&quot;#,##0"/>
    <numFmt numFmtId="17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9"/>
  <sheetViews>
    <sheetView tabSelected="1" topLeftCell="E1490" workbookViewId="0">
      <selection activeCell="W1539" sqref="W1539"/>
    </sheetView>
  </sheetViews>
  <sheetFormatPr defaultRowHeight="15" x14ac:dyDescent="0.25"/>
  <cols>
    <col min="1" max="1" width="22.5703125" bestFit="1" customWidth="1"/>
    <col min="2" max="2" width="5" bestFit="1" customWidth="1"/>
    <col min="3" max="3" width="15.7109375" bestFit="1" customWidth="1"/>
    <col min="4" max="4" width="21.85546875" bestFit="1" customWidth="1"/>
    <col min="5" max="5" width="8.28515625" bestFit="1" customWidth="1"/>
    <col min="6" max="6" width="27.42578125" bestFit="1" customWidth="1"/>
    <col min="7" max="7" width="14.85546875" bestFit="1" customWidth="1"/>
    <col min="8" max="8" width="20.5703125" bestFit="1" customWidth="1"/>
    <col min="9" max="9" width="18.42578125" bestFit="1" customWidth="1"/>
    <col min="10" max="10" width="18.28515625" bestFit="1" customWidth="1"/>
    <col min="11" max="11" width="9.28515625" bestFit="1" customWidth="1"/>
    <col min="12" max="12" width="8.140625" customWidth="1"/>
    <col min="13" max="13" width="18.42578125" bestFit="1" customWidth="1"/>
    <col min="14" max="14" width="14" bestFit="1" customWidth="1"/>
    <col min="15" max="15" width="15.7109375" bestFit="1" customWidth="1"/>
    <col min="16" max="16" width="15.85546875" bestFit="1" customWidth="1"/>
    <col min="17" max="17" width="15.85546875" customWidth="1"/>
    <col min="18" max="18" width="20.140625" bestFit="1" customWidth="1"/>
    <col min="19" max="19" width="20.140625" customWidth="1"/>
    <col min="20" max="20" width="27.28515625" bestFit="1" customWidth="1"/>
    <col min="21" max="21" width="27.28515625" customWidth="1"/>
    <col min="22" max="22" width="19.140625" bestFit="1" customWidth="1"/>
    <col min="23" max="23" width="11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1989</v>
      </c>
      <c r="R1" s="1" t="s">
        <v>16</v>
      </c>
      <c r="S1" s="1" t="s">
        <v>1989</v>
      </c>
      <c r="T1" s="1" t="s">
        <v>17</v>
      </c>
      <c r="U1" s="1" t="s">
        <v>1989</v>
      </c>
      <c r="V1" s="1" t="s">
        <v>18</v>
      </c>
      <c r="W1" s="3" t="s">
        <v>1989</v>
      </c>
    </row>
    <row r="2" spans="1:23" x14ac:dyDescent="0.25">
      <c r="A2" t="s">
        <v>19</v>
      </c>
      <c r="B2">
        <v>2013</v>
      </c>
      <c r="C2" t="s">
        <v>20</v>
      </c>
      <c r="D2" t="s">
        <v>21</v>
      </c>
      <c r="E2">
        <v>114069</v>
      </c>
      <c r="F2" t="s">
        <v>22</v>
      </c>
      <c r="G2" t="s">
        <v>23</v>
      </c>
      <c r="H2" t="s">
        <v>24</v>
      </c>
      <c r="I2" t="s">
        <v>25</v>
      </c>
      <c r="J2" s="2">
        <v>45538</v>
      </c>
      <c r="K2" t="s">
        <v>25</v>
      </c>
      <c r="L2">
        <v>43469</v>
      </c>
      <c r="M2">
        <v>222</v>
      </c>
      <c r="N2">
        <v>272</v>
      </c>
      <c r="O2" s="4">
        <v>3600</v>
      </c>
      <c r="P2" s="4">
        <v>2520.09423828125</v>
      </c>
      <c r="Q2" s="5">
        <f>(P2/$O2)-1</f>
        <v>-0.29997382269965278</v>
      </c>
      <c r="R2" s="4">
        <v>3414.017213054944</v>
      </c>
      <c r="S2" s="5">
        <f>(R2/$O2)-1</f>
        <v>-5.1661885262515583E-2</v>
      </c>
      <c r="T2" s="4">
        <v>3235.5335299075068</v>
      </c>
      <c r="U2" s="5">
        <f>(T2/$O2)-1</f>
        <v>-0.1012406861368037</v>
      </c>
      <c r="V2" s="4">
        <v>2402.156005859375</v>
      </c>
      <c r="W2" s="5">
        <f>(V2/$O2)-1</f>
        <v>-0.33273444281684028</v>
      </c>
    </row>
    <row r="3" spans="1:23" x14ac:dyDescent="0.25">
      <c r="A3" t="s">
        <v>26</v>
      </c>
      <c r="B3">
        <v>2013</v>
      </c>
      <c r="C3" t="s">
        <v>27</v>
      </c>
      <c r="D3" t="s">
        <v>28</v>
      </c>
      <c r="E3">
        <v>92052</v>
      </c>
      <c r="F3" t="s">
        <v>29</v>
      </c>
      <c r="G3" t="s">
        <v>30</v>
      </c>
      <c r="H3" t="s">
        <v>24</v>
      </c>
      <c r="I3" t="s">
        <v>25</v>
      </c>
      <c r="J3" s="2">
        <v>45575</v>
      </c>
      <c r="K3" t="s">
        <v>25</v>
      </c>
      <c r="L3">
        <v>43605</v>
      </c>
      <c r="M3">
        <v>264</v>
      </c>
      <c r="N3">
        <v>314</v>
      </c>
      <c r="O3" s="4">
        <v>13271.4285714286</v>
      </c>
      <c r="P3" s="4">
        <v>4524.8564453125</v>
      </c>
      <c r="Q3" s="5">
        <f t="shared" ref="Q3:Q66" si="0">(P3/$O3)-1</f>
        <v>-0.65905279744685219</v>
      </c>
      <c r="R3" s="4">
        <v>5906.4900600666069</v>
      </c>
      <c r="S3" s="5">
        <f t="shared" ref="S3:S66" si="1">(R3/$O3)-1</f>
        <v>-0.55494692765913711</v>
      </c>
      <c r="T3" s="4">
        <v>7131.7773516243669</v>
      </c>
      <c r="U3" s="5">
        <f t="shared" ref="U3:U66" si="2">(T3/$O3)-1</f>
        <v>-0.46262172807997348</v>
      </c>
      <c r="V3" s="4">
        <v>4108.33056640625</v>
      </c>
      <c r="W3" s="5">
        <f t="shared" ref="W3:W66" si="3">(V3/$O3)-1</f>
        <v>-0.69043795516852868</v>
      </c>
    </row>
    <row r="4" spans="1:23" x14ac:dyDescent="0.25">
      <c r="A4" t="s">
        <v>31</v>
      </c>
      <c r="B4">
        <v>2015</v>
      </c>
      <c r="C4" t="s">
        <v>32</v>
      </c>
      <c r="D4" t="s">
        <v>33</v>
      </c>
      <c r="E4">
        <v>98082</v>
      </c>
      <c r="F4" t="s">
        <v>29</v>
      </c>
      <c r="G4" t="s">
        <v>34</v>
      </c>
      <c r="H4" t="s">
        <v>25</v>
      </c>
      <c r="I4" t="s">
        <v>24</v>
      </c>
      <c r="J4" s="2">
        <v>45701</v>
      </c>
      <c r="K4" t="s">
        <v>25</v>
      </c>
      <c r="L4">
        <v>43605</v>
      </c>
      <c r="M4">
        <v>264</v>
      </c>
      <c r="N4">
        <v>314</v>
      </c>
      <c r="O4" s="4">
        <v>13000</v>
      </c>
      <c r="P4" s="4">
        <v>5551.1123046875</v>
      </c>
      <c r="Q4" s="5">
        <f t="shared" si="0"/>
        <v>-0.57299136117788463</v>
      </c>
      <c r="R4" s="4">
        <v>7828.1753043156386</v>
      </c>
      <c r="S4" s="5">
        <f t="shared" si="1"/>
        <v>-0.39783266889879698</v>
      </c>
      <c r="T4" s="4">
        <v>10691.284395262521</v>
      </c>
      <c r="U4" s="5">
        <f t="shared" si="2"/>
        <v>-0.17759350805672913</v>
      </c>
      <c r="V4" s="4">
        <v>5068.59912109375</v>
      </c>
      <c r="W4" s="5">
        <f t="shared" si="3"/>
        <v>-0.61010775991586541</v>
      </c>
    </row>
    <row r="5" spans="1:23" x14ac:dyDescent="0.25">
      <c r="A5" t="s">
        <v>35</v>
      </c>
      <c r="B5">
        <v>2015</v>
      </c>
      <c r="C5" t="s">
        <v>32</v>
      </c>
      <c r="D5" t="s">
        <v>36</v>
      </c>
      <c r="E5">
        <v>105313</v>
      </c>
      <c r="F5" t="s">
        <v>37</v>
      </c>
      <c r="G5" t="s">
        <v>38</v>
      </c>
      <c r="H5" t="s">
        <v>25</v>
      </c>
      <c r="I5" t="s">
        <v>24</v>
      </c>
      <c r="J5" s="2">
        <v>45435</v>
      </c>
      <c r="K5" t="s">
        <v>25</v>
      </c>
      <c r="L5">
        <v>43605</v>
      </c>
      <c r="M5">
        <v>264</v>
      </c>
      <c r="N5">
        <v>314</v>
      </c>
      <c r="O5" s="4">
        <v>9800</v>
      </c>
      <c r="P5" s="4">
        <v>5037.642578125</v>
      </c>
      <c r="Q5" s="5">
        <f t="shared" si="0"/>
        <v>-0.48595483896683678</v>
      </c>
      <c r="R5" s="4">
        <v>7006.8119775010482</v>
      </c>
      <c r="S5" s="5">
        <f t="shared" si="1"/>
        <v>-0.28501918596928077</v>
      </c>
      <c r="T5" s="4">
        <v>10113.719326233781</v>
      </c>
      <c r="U5" s="5">
        <f t="shared" si="2"/>
        <v>3.2012176146304139E-2</v>
      </c>
      <c r="V5" s="4">
        <v>4492.06982421875</v>
      </c>
      <c r="W5" s="5">
        <f t="shared" si="3"/>
        <v>-0.54162552814094389</v>
      </c>
    </row>
    <row r="6" spans="1:23" x14ac:dyDescent="0.25">
      <c r="A6" t="s">
        <v>39</v>
      </c>
      <c r="B6">
        <v>2016</v>
      </c>
      <c r="C6" t="s">
        <v>32</v>
      </c>
      <c r="D6" t="s">
        <v>40</v>
      </c>
      <c r="E6">
        <v>118073</v>
      </c>
      <c r="F6" t="s">
        <v>37</v>
      </c>
      <c r="G6" t="s">
        <v>38</v>
      </c>
      <c r="H6" t="s">
        <v>25</v>
      </c>
      <c r="I6" t="s">
        <v>24</v>
      </c>
      <c r="J6" s="2">
        <v>45701</v>
      </c>
      <c r="K6" t="s">
        <v>25</v>
      </c>
      <c r="L6">
        <v>43605</v>
      </c>
      <c r="M6">
        <v>264</v>
      </c>
      <c r="N6">
        <v>314</v>
      </c>
      <c r="O6" s="4">
        <v>5000</v>
      </c>
      <c r="P6" s="4">
        <v>4695.81298828125</v>
      </c>
      <c r="Q6" s="5">
        <f t="shared" si="0"/>
        <v>-6.0837402343750013E-2</v>
      </c>
      <c r="R6" s="4">
        <v>7329.1646863304577</v>
      </c>
      <c r="S6" s="5">
        <f t="shared" si="1"/>
        <v>0.46583293726609143</v>
      </c>
      <c r="T6" s="4">
        <v>9270.7394503053711</v>
      </c>
      <c r="U6" s="5">
        <f t="shared" si="2"/>
        <v>0.85414789006107417</v>
      </c>
      <c r="V6" s="4">
        <v>4638.6328125</v>
      </c>
      <c r="W6" s="5">
        <f t="shared" si="3"/>
        <v>-7.2273437500000037E-2</v>
      </c>
    </row>
    <row r="7" spans="1:23" x14ac:dyDescent="0.25">
      <c r="A7" t="s">
        <v>41</v>
      </c>
      <c r="B7">
        <v>2016</v>
      </c>
      <c r="C7" t="s">
        <v>32</v>
      </c>
      <c r="D7" t="s">
        <v>42</v>
      </c>
      <c r="E7">
        <v>104344</v>
      </c>
      <c r="F7" t="s">
        <v>43</v>
      </c>
      <c r="G7" t="s">
        <v>44</v>
      </c>
      <c r="H7" t="s">
        <v>25</v>
      </c>
      <c r="I7" t="s">
        <v>24</v>
      </c>
      <c r="J7" s="2">
        <v>45533</v>
      </c>
      <c r="K7" t="s">
        <v>25</v>
      </c>
      <c r="L7">
        <v>43605</v>
      </c>
      <c r="M7">
        <v>264</v>
      </c>
      <c r="N7">
        <v>314</v>
      </c>
      <c r="O7" s="4">
        <v>2600</v>
      </c>
      <c r="P7" s="4">
        <v>9219.2890625</v>
      </c>
      <c r="Q7" s="5">
        <f t="shared" si="0"/>
        <v>2.5458804086538462</v>
      </c>
      <c r="R7" s="4">
        <v>9408.0247639098707</v>
      </c>
      <c r="S7" s="5">
        <f t="shared" si="1"/>
        <v>2.6184710630422581</v>
      </c>
      <c r="T7" s="4">
        <v>12565.509353553511</v>
      </c>
      <c r="U7" s="5">
        <f t="shared" si="2"/>
        <v>3.8328882129051962</v>
      </c>
      <c r="V7" s="4">
        <v>9395.5107421875</v>
      </c>
      <c r="W7" s="5">
        <f t="shared" si="3"/>
        <v>2.6136579777644231</v>
      </c>
    </row>
    <row r="8" spans="1:23" x14ac:dyDescent="0.25">
      <c r="A8" t="s">
        <v>45</v>
      </c>
      <c r="B8">
        <v>2015</v>
      </c>
      <c r="C8" t="s">
        <v>46</v>
      </c>
      <c r="D8" t="s">
        <v>47</v>
      </c>
      <c r="E8">
        <v>173402</v>
      </c>
      <c r="F8" t="s">
        <v>48</v>
      </c>
      <c r="G8" t="s">
        <v>30</v>
      </c>
      <c r="H8" t="s">
        <v>24</v>
      </c>
      <c r="I8" t="s">
        <v>25</v>
      </c>
      <c r="J8" s="2">
        <v>45454</v>
      </c>
      <c r="K8" t="s">
        <v>25</v>
      </c>
      <c r="L8">
        <v>43605</v>
      </c>
      <c r="M8">
        <v>264</v>
      </c>
      <c r="N8">
        <v>314</v>
      </c>
      <c r="O8" s="4">
        <v>2700</v>
      </c>
      <c r="P8" s="4">
        <v>3124.885986328125</v>
      </c>
      <c r="Q8" s="5">
        <f t="shared" si="0"/>
        <v>0.15736518012152767</v>
      </c>
      <c r="R8" s="4">
        <v>4765.757795425825</v>
      </c>
      <c r="S8" s="5">
        <f t="shared" si="1"/>
        <v>0.7650954797873426</v>
      </c>
      <c r="T8" s="4">
        <v>4493.4750296930224</v>
      </c>
      <c r="U8" s="5">
        <f t="shared" si="2"/>
        <v>0.66425001099741565</v>
      </c>
      <c r="V8" s="4">
        <v>2761.2861328125</v>
      </c>
      <c r="W8" s="5">
        <f t="shared" si="3"/>
        <v>2.2698567708333339E-2</v>
      </c>
    </row>
    <row r="9" spans="1:23" x14ac:dyDescent="0.25">
      <c r="A9" t="s">
        <v>49</v>
      </c>
      <c r="B9">
        <v>2017</v>
      </c>
      <c r="C9" t="s">
        <v>50</v>
      </c>
      <c r="D9" t="s">
        <v>51</v>
      </c>
      <c r="E9">
        <v>252965</v>
      </c>
      <c r="F9" t="s">
        <v>29</v>
      </c>
      <c r="G9" t="s">
        <v>30</v>
      </c>
      <c r="H9" t="s">
        <v>24</v>
      </c>
      <c r="I9" t="s">
        <v>25</v>
      </c>
      <c r="J9" s="2">
        <v>45561</v>
      </c>
      <c r="K9" t="s">
        <v>25</v>
      </c>
      <c r="L9">
        <v>43605</v>
      </c>
      <c r="M9">
        <v>264</v>
      </c>
      <c r="N9">
        <v>314</v>
      </c>
      <c r="O9" s="4">
        <v>24800</v>
      </c>
      <c r="P9" s="4">
        <v>6256.17578125</v>
      </c>
      <c r="Q9" s="5">
        <f t="shared" si="0"/>
        <v>-0.74773484753024189</v>
      </c>
      <c r="R9" s="4">
        <v>7959.0091221099738</v>
      </c>
      <c r="S9" s="5">
        <f t="shared" si="1"/>
        <v>-0.67907221281814623</v>
      </c>
      <c r="T9" s="4">
        <v>6973.7106009293129</v>
      </c>
      <c r="U9" s="5">
        <f t="shared" si="2"/>
        <v>-0.71880199189801153</v>
      </c>
      <c r="V9" s="4">
        <v>5562.6005859375</v>
      </c>
      <c r="W9" s="5">
        <f t="shared" si="3"/>
        <v>-0.77570158927671373</v>
      </c>
    </row>
    <row r="10" spans="1:23" x14ac:dyDescent="0.25">
      <c r="A10" t="s">
        <v>52</v>
      </c>
      <c r="B10">
        <v>2017</v>
      </c>
      <c r="C10" t="s">
        <v>53</v>
      </c>
      <c r="D10" t="s">
        <v>54</v>
      </c>
      <c r="E10">
        <v>79699</v>
      </c>
      <c r="F10" t="s">
        <v>55</v>
      </c>
      <c r="G10" t="s">
        <v>30</v>
      </c>
      <c r="H10" t="s">
        <v>24</v>
      </c>
      <c r="I10" t="s">
        <v>25</v>
      </c>
      <c r="J10" s="2">
        <v>45678</v>
      </c>
      <c r="K10" t="s">
        <v>25</v>
      </c>
      <c r="L10">
        <v>43605</v>
      </c>
      <c r="M10">
        <v>264</v>
      </c>
      <c r="N10">
        <v>314</v>
      </c>
      <c r="O10" s="4">
        <v>8000</v>
      </c>
      <c r="P10" s="4">
        <v>8407.595703125</v>
      </c>
      <c r="Q10" s="5">
        <f t="shared" si="0"/>
        <v>5.0949462890625075E-2</v>
      </c>
      <c r="R10" s="4">
        <v>7801.2832443202406</v>
      </c>
      <c r="S10" s="5">
        <f t="shared" si="1"/>
        <v>-2.4839594459969971E-2</v>
      </c>
      <c r="T10" s="4">
        <v>12821.609546695119</v>
      </c>
      <c r="U10" s="5">
        <f t="shared" si="2"/>
        <v>0.60270119333688998</v>
      </c>
      <c r="V10" s="4">
        <v>8481.1162109375</v>
      </c>
      <c r="W10" s="5">
        <f t="shared" si="3"/>
        <v>6.0139526367187557E-2</v>
      </c>
    </row>
    <row r="11" spans="1:23" x14ac:dyDescent="0.25">
      <c r="A11" t="s">
        <v>56</v>
      </c>
      <c r="B11">
        <v>2014</v>
      </c>
      <c r="C11" t="s">
        <v>53</v>
      </c>
      <c r="D11" t="s">
        <v>57</v>
      </c>
      <c r="E11">
        <v>85748</v>
      </c>
      <c r="F11" t="s">
        <v>58</v>
      </c>
      <c r="G11" t="s">
        <v>34</v>
      </c>
      <c r="H11" t="s">
        <v>25</v>
      </c>
      <c r="I11" t="s">
        <v>24</v>
      </c>
      <c r="J11" s="2">
        <v>45510</v>
      </c>
      <c r="K11" t="s">
        <v>25</v>
      </c>
      <c r="L11">
        <v>43605</v>
      </c>
      <c r="M11">
        <v>264</v>
      </c>
      <c r="N11">
        <v>314</v>
      </c>
      <c r="O11" s="4">
        <v>3600</v>
      </c>
      <c r="P11" s="4">
        <v>4616.904296875</v>
      </c>
      <c r="Q11" s="5">
        <f t="shared" si="0"/>
        <v>0.28247341579861107</v>
      </c>
      <c r="R11" s="4">
        <v>5381.1869498650267</v>
      </c>
      <c r="S11" s="5">
        <f t="shared" si="1"/>
        <v>0.49477415274028513</v>
      </c>
      <c r="T11" s="4">
        <v>2878.591373012157</v>
      </c>
      <c r="U11" s="5">
        <f t="shared" si="2"/>
        <v>-0.20039128527440087</v>
      </c>
      <c r="V11" s="4">
        <v>4323.5693359375</v>
      </c>
      <c r="W11" s="5">
        <f t="shared" si="3"/>
        <v>0.20099148220486107</v>
      </c>
    </row>
    <row r="12" spans="1:23" x14ac:dyDescent="0.25">
      <c r="A12" t="s">
        <v>59</v>
      </c>
      <c r="B12">
        <v>2017</v>
      </c>
      <c r="C12" t="s">
        <v>53</v>
      </c>
      <c r="D12" t="s">
        <v>60</v>
      </c>
      <c r="E12">
        <v>130151</v>
      </c>
      <c r="F12" t="s">
        <v>61</v>
      </c>
      <c r="G12" t="s">
        <v>34</v>
      </c>
      <c r="H12" t="s">
        <v>25</v>
      </c>
      <c r="I12" t="s">
        <v>24</v>
      </c>
      <c r="J12" s="2">
        <v>45734</v>
      </c>
      <c r="K12" t="s">
        <v>25</v>
      </c>
      <c r="L12">
        <v>43605</v>
      </c>
      <c r="M12">
        <v>264</v>
      </c>
      <c r="N12">
        <v>314</v>
      </c>
      <c r="O12" s="4">
        <v>2600</v>
      </c>
      <c r="P12" s="4">
        <v>2960.28955078125</v>
      </c>
      <c r="Q12" s="5">
        <f t="shared" si="0"/>
        <v>0.13857290414663459</v>
      </c>
      <c r="R12" s="4">
        <v>4445.7848573511637</v>
      </c>
      <c r="S12" s="5">
        <f t="shared" si="1"/>
        <v>0.70991725282737073</v>
      </c>
      <c r="T12" s="4">
        <v>4434.9047241381058</v>
      </c>
      <c r="U12" s="5">
        <f t="shared" si="2"/>
        <v>0.70573258620696389</v>
      </c>
      <c r="V12" s="4">
        <v>2634.529296875</v>
      </c>
      <c r="W12" s="5">
        <f t="shared" si="3"/>
        <v>1.3280498798077023E-2</v>
      </c>
    </row>
    <row r="13" spans="1:23" x14ac:dyDescent="0.25">
      <c r="A13" t="s">
        <v>62</v>
      </c>
      <c r="B13">
        <v>2020</v>
      </c>
      <c r="C13" t="s">
        <v>53</v>
      </c>
      <c r="D13" t="s">
        <v>60</v>
      </c>
      <c r="E13">
        <v>72425</v>
      </c>
      <c r="F13" t="s">
        <v>63</v>
      </c>
      <c r="G13" t="s">
        <v>44</v>
      </c>
      <c r="H13" t="s">
        <v>25</v>
      </c>
      <c r="I13" t="s">
        <v>24</v>
      </c>
      <c r="J13" s="2">
        <v>45594</v>
      </c>
      <c r="K13" t="s">
        <v>25</v>
      </c>
      <c r="L13">
        <v>43605</v>
      </c>
      <c r="M13">
        <v>264</v>
      </c>
      <c r="N13">
        <v>314</v>
      </c>
      <c r="O13" s="4">
        <v>12200</v>
      </c>
      <c r="P13" s="4">
        <v>14026.2236328125</v>
      </c>
      <c r="Q13" s="5">
        <f t="shared" si="0"/>
        <v>0.14969046170594269</v>
      </c>
      <c r="R13" s="4">
        <v>16634.972257509969</v>
      </c>
      <c r="S13" s="5">
        <f t="shared" si="1"/>
        <v>0.36352231618934172</v>
      </c>
      <c r="T13" s="4">
        <v>14850.485878302539</v>
      </c>
      <c r="U13" s="5">
        <f t="shared" si="2"/>
        <v>0.21725294084447033</v>
      </c>
      <c r="V13" s="4">
        <v>13153.2763671875</v>
      </c>
      <c r="W13" s="5">
        <f t="shared" si="3"/>
        <v>7.8137407146516402E-2</v>
      </c>
    </row>
    <row r="14" spans="1:23" x14ac:dyDescent="0.25">
      <c r="A14" t="s">
        <v>64</v>
      </c>
      <c r="B14">
        <v>2016</v>
      </c>
      <c r="C14" t="s">
        <v>53</v>
      </c>
      <c r="D14" t="s">
        <v>65</v>
      </c>
      <c r="E14">
        <v>99999</v>
      </c>
      <c r="F14" t="s">
        <v>66</v>
      </c>
      <c r="G14" t="s">
        <v>23</v>
      </c>
      <c r="H14" t="s">
        <v>24</v>
      </c>
      <c r="I14" t="s">
        <v>25</v>
      </c>
      <c r="J14" s="2">
        <v>45463</v>
      </c>
      <c r="K14" t="s">
        <v>25</v>
      </c>
      <c r="L14">
        <v>43605</v>
      </c>
      <c r="M14">
        <v>264</v>
      </c>
      <c r="N14">
        <v>314</v>
      </c>
      <c r="O14" s="4">
        <v>3700</v>
      </c>
      <c r="P14" s="4">
        <v>4848.744140625</v>
      </c>
      <c r="Q14" s="5">
        <f t="shared" si="0"/>
        <v>0.31047138935810814</v>
      </c>
      <c r="R14" s="4">
        <v>5420.3233269056354</v>
      </c>
      <c r="S14" s="5">
        <f t="shared" si="1"/>
        <v>0.46495225051503652</v>
      </c>
      <c r="T14" s="4">
        <v>8691.2160101015579</v>
      </c>
      <c r="U14" s="5">
        <f t="shared" si="2"/>
        <v>1.3489773000274479</v>
      </c>
      <c r="V14" s="4">
        <v>4540.6298828125</v>
      </c>
      <c r="W14" s="5">
        <f t="shared" si="3"/>
        <v>0.22719726562500009</v>
      </c>
    </row>
    <row r="15" spans="1:23" x14ac:dyDescent="0.25">
      <c r="A15" t="s">
        <v>67</v>
      </c>
      <c r="B15">
        <v>2014</v>
      </c>
      <c r="C15" t="s">
        <v>53</v>
      </c>
      <c r="D15" t="s">
        <v>65</v>
      </c>
      <c r="E15">
        <v>167894</v>
      </c>
      <c r="F15" t="s">
        <v>55</v>
      </c>
      <c r="G15" t="s">
        <v>30</v>
      </c>
      <c r="H15" t="s">
        <v>24</v>
      </c>
      <c r="I15" t="s">
        <v>25</v>
      </c>
      <c r="J15" s="2">
        <v>45575</v>
      </c>
      <c r="K15" t="s">
        <v>25</v>
      </c>
      <c r="L15">
        <v>43605</v>
      </c>
      <c r="M15">
        <v>264</v>
      </c>
      <c r="N15">
        <v>314</v>
      </c>
      <c r="O15" s="4">
        <v>500</v>
      </c>
      <c r="P15" s="4">
        <v>2549.138916015625</v>
      </c>
      <c r="Q15" s="5">
        <f t="shared" si="0"/>
        <v>4.0982778320312496</v>
      </c>
      <c r="R15" s="4">
        <v>2894.4289969463312</v>
      </c>
      <c r="S15" s="5">
        <f t="shared" si="1"/>
        <v>4.7888579938926625</v>
      </c>
      <c r="T15" s="4">
        <v>4098.3916660166869</v>
      </c>
      <c r="U15" s="5">
        <f t="shared" si="2"/>
        <v>7.1967833320333732</v>
      </c>
      <c r="V15" s="4">
        <v>2484.600830078125</v>
      </c>
      <c r="W15" s="5">
        <f t="shared" si="3"/>
        <v>3.9692016601562496</v>
      </c>
    </row>
    <row r="16" spans="1:23" x14ac:dyDescent="0.25">
      <c r="A16" t="s">
        <v>68</v>
      </c>
      <c r="B16">
        <v>2015</v>
      </c>
      <c r="C16" t="s">
        <v>53</v>
      </c>
      <c r="D16" t="s">
        <v>69</v>
      </c>
      <c r="E16">
        <v>86286</v>
      </c>
      <c r="F16" t="s">
        <v>43</v>
      </c>
      <c r="G16" t="s">
        <v>30</v>
      </c>
      <c r="H16" t="s">
        <v>24</v>
      </c>
      <c r="I16" t="s">
        <v>25</v>
      </c>
      <c r="J16" s="2">
        <v>45323</v>
      </c>
      <c r="K16" t="s">
        <v>25</v>
      </c>
      <c r="L16">
        <v>43605</v>
      </c>
      <c r="M16">
        <v>264</v>
      </c>
      <c r="N16">
        <v>314</v>
      </c>
      <c r="O16" s="4">
        <v>9900</v>
      </c>
      <c r="P16" s="4">
        <v>9683.5908203125</v>
      </c>
      <c r="Q16" s="5">
        <f t="shared" si="0"/>
        <v>-2.185951309974743E-2</v>
      </c>
      <c r="R16" s="4">
        <v>9967.47876466458</v>
      </c>
      <c r="S16" s="5">
        <f t="shared" si="1"/>
        <v>6.8160368348060274E-3</v>
      </c>
      <c r="T16" s="4">
        <v>14033.104565605459</v>
      </c>
      <c r="U16" s="5">
        <f t="shared" si="2"/>
        <v>0.41748530965711717</v>
      </c>
      <c r="V16" s="4">
        <v>9690.09375</v>
      </c>
      <c r="W16" s="5">
        <f t="shared" si="3"/>
        <v>-2.1202651515151549E-2</v>
      </c>
    </row>
    <row r="17" spans="1:23" x14ac:dyDescent="0.25">
      <c r="A17" t="s">
        <v>70</v>
      </c>
      <c r="B17">
        <v>2014</v>
      </c>
      <c r="C17" t="s">
        <v>53</v>
      </c>
      <c r="D17" t="s">
        <v>71</v>
      </c>
      <c r="E17">
        <v>102646</v>
      </c>
      <c r="F17" t="s">
        <v>72</v>
      </c>
      <c r="G17" t="s">
        <v>44</v>
      </c>
      <c r="H17" t="s">
        <v>25</v>
      </c>
      <c r="I17" t="s">
        <v>24</v>
      </c>
      <c r="J17" s="2">
        <v>45421</v>
      </c>
      <c r="K17" t="s">
        <v>25</v>
      </c>
      <c r="L17">
        <v>43605</v>
      </c>
      <c r="M17">
        <v>264</v>
      </c>
      <c r="N17">
        <v>314</v>
      </c>
      <c r="O17" s="4">
        <v>22600</v>
      </c>
      <c r="P17" s="4">
        <v>5878.134765625</v>
      </c>
      <c r="Q17" s="5">
        <f t="shared" si="0"/>
        <v>-0.73990554134402653</v>
      </c>
      <c r="R17" s="4">
        <v>7492.8499317661262</v>
      </c>
      <c r="S17" s="5">
        <f t="shared" si="1"/>
        <v>-0.66845796762096787</v>
      </c>
      <c r="T17" s="4">
        <v>9992.2973538360766</v>
      </c>
      <c r="U17" s="5">
        <f t="shared" si="2"/>
        <v>-0.55786294894530641</v>
      </c>
      <c r="V17" s="4">
        <v>5353.60888671875</v>
      </c>
      <c r="W17" s="5">
        <f t="shared" si="3"/>
        <v>-0.76311465103014386</v>
      </c>
    </row>
    <row r="18" spans="1:23" x14ac:dyDescent="0.25">
      <c r="A18" t="s">
        <v>73</v>
      </c>
      <c r="B18">
        <v>2019</v>
      </c>
      <c r="C18" t="s">
        <v>20</v>
      </c>
      <c r="D18" t="s">
        <v>74</v>
      </c>
      <c r="E18">
        <v>136398</v>
      </c>
      <c r="F18" t="s">
        <v>48</v>
      </c>
      <c r="G18" t="s">
        <v>30</v>
      </c>
      <c r="H18" t="s">
        <v>24</v>
      </c>
      <c r="I18" t="s">
        <v>25</v>
      </c>
      <c r="J18" s="2">
        <v>45678</v>
      </c>
      <c r="K18" t="s">
        <v>25</v>
      </c>
      <c r="L18">
        <v>43605</v>
      </c>
      <c r="M18">
        <v>264</v>
      </c>
      <c r="N18">
        <v>314</v>
      </c>
      <c r="O18" s="4">
        <v>8800</v>
      </c>
      <c r="P18" s="4">
        <v>7079.998046875</v>
      </c>
      <c r="Q18" s="5">
        <f t="shared" si="0"/>
        <v>-0.19545476740056822</v>
      </c>
      <c r="R18" s="4">
        <v>10318.76517295445</v>
      </c>
      <c r="S18" s="5">
        <f t="shared" si="1"/>
        <v>0.17258695147209657</v>
      </c>
      <c r="T18" s="4">
        <v>4375.0293911363569</v>
      </c>
      <c r="U18" s="5">
        <f t="shared" si="2"/>
        <v>-0.50283756918905032</v>
      </c>
      <c r="V18" s="4">
        <v>8195.2001953125</v>
      </c>
      <c r="W18" s="5">
        <f t="shared" si="3"/>
        <v>-6.8727250532670481E-2</v>
      </c>
    </row>
    <row r="19" spans="1:23" x14ac:dyDescent="0.25">
      <c r="A19" t="s">
        <v>75</v>
      </c>
      <c r="B19">
        <v>2015</v>
      </c>
      <c r="C19" t="s">
        <v>20</v>
      </c>
      <c r="D19" t="s">
        <v>76</v>
      </c>
      <c r="E19">
        <v>109933</v>
      </c>
      <c r="F19" t="s">
        <v>77</v>
      </c>
      <c r="G19" t="s">
        <v>30</v>
      </c>
      <c r="H19" t="s">
        <v>24</v>
      </c>
      <c r="I19" t="s">
        <v>25</v>
      </c>
      <c r="J19" s="2">
        <v>45470</v>
      </c>
      <c r="K19" t="s">
        <v>25</v>
      </c>
      <c r="L19">
        <v>43605</v>
      </c>
      <c r="M19">
        <v>264</v>
      </c>
      <c r="N19">
        <v>314</v>
      </c>
      <c r="O19" s="4">
        <v>1100</v>
      </c>
      <c r="P19" s="4">
        <v>4449.42919921875</v>
      </c>
      <c r="Q19" s="5">
        <f t="shared" si="0"/>
        <v>3.0449356356534087</v>
      </c>
      <c r="R19" s="4">
        <v>6836.4566354267117</v>
      </c>
      <c r="S19" s="5">
        <f t="shared" si="1"/>
        <v>5.2149605776606469</v>
      </c>
      <c r="T19" s="4">
        <v>3455.4728488413971</v>
      </c>
      <c r="U19" s="5">
        <f t="shared" si="2"/>
        <v>2.1413389534921792</v>
      </c>
      <c r="V19" s="4">
        <v>4028.86669921875</v>
      </c>
      <c r="W19" s="5">
        <f t="shared" si="3"/>
        <v>2.6626060901988637</v>
      </c>
    </row>
    <row r="20" spans="1:23" x14ac:dyDescent="0.25">
      <c r="A20" t="s">
        <v>78</v>
      </c>
      <c r="B20">
        <v>2015</v>
      </c>
      <c r="C20" t="s">
        <v>20</v>
      </c>
      <c r="D20" t="s">
        <v>74</v>
      </c>
      <c r="E20">
        <v>107650</v>
      </c>
      <c r="F20" t="s">
        <v>79</v>
      </c>
      <c r="G20" t="s">
        <v>38</v>
      </c>
      <c r="H20" t="s">
        <v>25</v>
      </c>
      <c r="I20" t="s">
        <v>24</v>
      </c>
      <c r="J20" s="2">
        <v>45435</v>
      </c>
      <c r="K20" t="s">
        <v>25</v>
      </c>
      <c r="L20">
        <v>43605</v>
      </c>
      <c r="M20">
        <v>264</v>
      </c>
      <c r="N20">
        <v>314</v>
      </c>
      <c r="O20" s="4">
        <v>8000</v>
      </c>
      <c r="P20" s="4">
        <v>4449.42919921875</v>
      </c>
      <c r="Q20" s="5">
        <f t="shared" si="0"/>
        <v>-0.44382135009765622</v>
      </c>
      <c r="R20" s="4">
        <v>4902.3894821606491</v>
      </c>
      <c r="S20" s="5">
        <f t="shared" si="1"/>
        <v>-0.38720131472991881</v>
      </c>
      <c r="T20" s="4">
        <v>2397.5402361232209</v>
      </c>
      <c r="U20" s="5">
        <f t="shared" si="2"/>
        <v>-0.70030747048459741</v>
      </c>
      <c r="V20" s="4">
        <v>4486.13818359375</v>
      </c>
      <c r="W20" s="5">
        <f t="shared" si="3"/>
        <v>-0.4392327270507812</v>
      </c>
    </row>
    <row r="21" spans="1:23" x14ac:dyDescent="0.25">
      <c r="A21" t="s">
        <v>80</v>
      </c>
      <c r="B21">
        <v>2016</v>
      </c>
      <c r="C21" t="s">
        <v>20</v>
      </c>
      <c r="D21" t="s">
        <v>81</v>
      </c>
      <c r="E21">
        <v>132171</v>
      </c>
      <c r="F21" t="s">
        <v>82</v>
      </c>
      <c r="G21" t="s">
        <v>30</v>
      </c>
      <c r="H21" t="s">
        <v>24</v>
      </c>
      <c r="I21" t="s">
        <v>25</v>
      </c>
      <c r="J21" s="2">
        <v>45344</v>
      </c>
      <c r="K21" t="s">
        <v>25</v>
      </c>
      <c r="L21">
        <v>43605</v>
      </c>
      <c r="M21">
        <v>264</v>
      </c>
      <c r="N21">
        <v>314</v>
      </c>
      <c r="O21" s="4">
        <v>10300</v>
      </c>
      <c r="P21" s="4">
        <v>2187.799560546875</v>
      </c>
      <c r="Q21" s="5">
        <f t="shared" si="0"/>
        <v>-0.78759227567506063</v>
      </c>
      <c r="R21" s="4">
        <v>3403.2247223046588</v>
      </c>
      <c r="S21" s="5">
        <f t="shared" si="1"/>
        <v>-0.66958983278595552</v>
      </c>
      <c r="T21" s="4">
        <v>2280.838676239573</v>
      </c>
      <c r="U21" s="5">
        <f t="shared" si="2"/>
        <v>-0.77855935182140068</v>
      </c>
      <c r="V21" s="4">
        <v>2082.657958984375</v>
      </c>
      <c r="W21" s="5">
        <f t="shared" si="3"/>
        <v>-0.79780019815685677</v>
      </c>
    </row>
    <row r="22" spans="1:23" x14ac:dyDescent="0.25">
      <c r="A22" t="s">
        <v>83</v>
      </c>
      <c r="B22">
        <v>2017</v>
      </c>
      <c r="C22" t="s">
        <v>20</v>
      </c>
      <c r="D22" t="s">
        <v>81</v>
      </c>
      <c r="E22">
        <v>76673</v>
      </c>
      <c r="F22" t="s">
        <v>55</v>
      </c>
      <c r="G22" t="s">
        <v>38</v>
      </c>
      <c r="H22" t="s">
        <v>25</v>
      </c>
      <c r="I22" t="s">
        <v>24</v>
      </c>
      <c r="J22" s="2">
        <v>45337</v>
      </c>
      <c r="K22" t="s">
        <v>25</v>
      </c>
      <c r="L22">
        <v>43605</v>
      </c>
      <c r="M22">
        <v>264</v>
      </c>
      <c r="N22">
        <v>314</v>
      </c>
      <c r="O22" s="4">
        <v>4700</v>
      </c>
      <c r="P22" s="4">
        <v>7068.4052734375</v>
      </c>
      <c r="Q22" s="5">
        <f t="shared" si="0"/>
        <v>0.50391601562499999</v>
      </c>
      <c r="R22" s="4">
        <v>7383.6609097347346</v>
      </c>
      <c r="S22" s="5">
        <f t="shared" si="1"/>
        <v>0.57099168292228386</v>
      </c>
      <c r="T22" s="4">
        <v>6066.7517660468202</v>
      </c>
      <c r="U22" s="5">
        <f t="shared" si="2"/>
        <v>0.29079824809506816</v>
      </c>
      <c r="V22" s="4">
        <v>7090.826171875</v>
      </c>
      <c r="W22" s="5">
        <f t="shared" si="3"/>
        <v>0.50868641954787241</v>
      </c>
    </row>
    <row r="23" spans="1:23" x14ac:dyDescent="0.25">
      <c r="A23" t="s">
        <v>84</v>
      </c>
      <c r="B23">
        <v>2020</v>
      </c>
      <c r="C23" t="s">
        <v>20</v>
      </c>
      <c r="D23" t="s">
        <v>81</v>
      </c>
      <c r="E23">
        <v>44230</v>
      </c>
      <c r="F23" t="s">
        <v>82</v>
      </c>
      <c r="G23" t="s">
        <v>85</v>
      </c>
      <c r="H23" t="s">
        <v>24</v>
      </c>
      <c r="I23" t="s">
        <v>25</v>
      </c>
      <c r="J23" s="2">
        <v>45328</v>
      </c>
      <c r="K23" t="s">
        <v>25</v>
      </c>
      <c r="L23">
        <v>43605</v>
      </c>
      <c r="M23">
        <v>264</v>
      </c>
      <c r="N23">
        <v>314</v>
      </c>
      <c r="O23" s="4">
        <v>7000</v>
      </c>
      <c r="P23" s="4">
        <v>6933.71337890625</v>
      </c>
      <c r="Q23" s="5">
        <f t="shared" si="0"/>
        <v>-9.4695172991071663E-3</v>
      </c>
      <c r="R23" s="4">
        <v>11389.327524833479</v>
      </c>
      <c r="S23" s="5">
        <f t="shared" si="1"/>
        <v>0.62704678926192559</v>
      </c>
      <c r="T23" s="4">
        <v>8586.3262718093574</v>
      </c>
      <c r="U23" s="5">
        <f t="shared" si="2"/>
        <v>0.22661803882990816</v>
      </c>
      <c r="V23" s="4">
        <v>13981.13671875</v>
      </c>
      <c r="W23" s="5">
        <f t="shared" si="3"/>
        <v>0.99730524553571431</v>
      </c>
    </row>
    <row r="24" spans="1:23" x14ac:dyDescent="0.25">
      <c r="A24" t="s">
        <v>86</v>
      </c>
      <c r="B24">
        <v>2022</v>
      </c>
      <c r="C24" t="s">
        <v>20</v>
      </c>
      <c r="D24" t="s">
        <v>81</v>
      </c>
      <c r="E24">
        <v>44748</v>
      </c>
      <c r="F24" t="s">
        <v>87</v>
      </c>
      <c r="G24" t="s">
        <v>44</v>
      </c>
      <c r="H24" t="s">
        <v>25</v>
      </c>
      <c r="I24" t="s">
        <v>24</v>
      </c>
      <c r="J24" s="2">
        <v>45678</v>
      </c>
      <c r="K24" t="s">
        <v>25</v>
      </c>
      <c r="L24">
        <v>43605</v>
      </c>
      <c r="M24">
        <v>264</v>
      </c>
      <c r="N24">
        <v>314</v>
      </c>
      <c r="O24" s="4">
        <v>15400</v>
      </c>
      <c r="P24" s="4">
        <v>21554.9765625</v>
      </c>
      <c r="Q24" s="5">
        <f t="shared" si="0"/>
        <v>0.39967380275974018</v>
      </c>
      <c r="R24" s="4">
        <v>23134.661929318929</v>
      </c>
      <c r="S24" s="5">
        <f t="shared" si="1"/>
        <v>0.50225077463109935</v>
      </c>
      <c r="T24" s="4">
        <v>17416.906180238289</v>
      </c>
      <c r="U24" s="5">
        <f t="shared" si="2"/>
        <v>0.13096793378170712</v>
      </c>
      <c r="V24" s="4">
        <v>21157.064453125</v>
      </c>
      <c r="W24" s="5">
        <f t="shared" si="3"/>
        <v>0.37383535409902602</v>
      </c>
    </row>
    <row r="25" spans="1:23" x14ac:dyDescent="0.25">
      <c r="A25" t="s">
        <v>88</v>
      </c>
      <c r="B25">
        <v>2018</v>
      </c>
      <c r="C25" t="s">
        <v>20</v>
      </c>
      <c r="D25" t="s">
        <v>81</v>
      </c>
      <c r="E25">
        <v>148393</v>
      </c>
      <c r="F25" t="s">
        <v>89</v>
      </c>
      <c r="G25" t="s">
        <v>38</v>
      </c>
      <c r="H25" t="s">
        <v>25</v>
      </c>
      <c r="I25" t="s">
        <v>24</v>
      </c>
      <c r="J25" s="2">
        <v>45554</v>
      </c>
      <c r="K25" t="s">
        <v>25</v>
      </c>
      <c r="L25">
        <v>43605</v>
      </c>
      <c r="M25">
        <v>264</v>
      </c>
      <c r="N25">
        <v>314</v>
      </c>
      <c r="O25" s="4">
        <v>13200</v>
      </c>
      <c r="P25" s="4">
        <v>4406.00146484375</v>
      </c>
      <c r="Q25" s="5">
        <f t="shared" si="0"/>
        <v>-0.66621201023910981</v>
      </c>
      <c r="R25" s="4">
        <v>5076.0224316260656</v>
      </c>
      <c r="S25" s="5">
        <f t="shared" si="1"/>
        <v>-0.61545284608893436</v>
      </c>
      <c r="T25" s="4">
        <v>3081.6461648567411</v>
      </c>
      <c r="U25" s="5">
        <f t="shared" si="2"/>
        <v>-0.7665419572078227</v>
      </c>
      <c r="V25" s="4">
        <v>4142.06689453125</v>
      </c>
      <c r="W25" s="5">
        <f t="shared" si="3"/>
        <v>-0.68620705344460231</v>
      </c>
    </row>
    <row r="26" spans="1:23" x14ac:dyDescent="0.25">
      <c r="A26" t="s">
        <v>90</v>
      </c>
      <c r="B26">
        <v>2013</v>
      </c>
      <c r="C26" t="s">
        <v>91</v>
      </c>
      <c r="D26" t="s">
        <v>92</v>
      </c>
      <c r="E26">
        <v>97710</v>
      </c>
      <c r="F26" t="s">
        <v>72</v>
      </c>
      <c r="G26" t="s">
        <v>34</v>
      </c>
      <c r="H26" t="s">
        <v>25</v>
      </c>
      <c r="I26" t="s">
        <v>24</v>
      </c>
      <c r="J26" s="2">
        <v>45568</v>
      </c>
      <c r="K26" t="s">
        <v>25</v>
      </c>
      <c r="L26">
        <v>43605</v>
      </c>
      <c r="M26">
        <v>264</v>
      </c>
      <c r="N26">
        <v>314</v>
      </c>
      <c r="O26" s="4">
        <v>8800</v>
      </c>
      <c r="P26" s="4">
        <v>4663.37060546875</v>
      </c>
      <c r="Q26" s="5">
        <f t="shared" si="0"/>
        <v>-0.47007152210582381</v>
      </c>
      <c r="R26" s="4">
        <v>6364.9328094216644</v>
      </c>
      <c r="S26" s="5">
        <f t="shared" si="1"/>
        <v>-0.27671218074753812</v>
      </c>
      <c r="T26" s="4">
        <v>6581.8778031913171</v>
      </c>
      <c r="U26" s="5">
        <f t="shared" si="2"/>
        <v>-0.25205934054644119</v>
      </c>
      <c r="V26" s="4">
        <v>4191.64111328125</v>
      </c>
      <c r="W26" s="5">
        <f t="shared" si="3"/>
        <v>-0.52367714621803985</v>
      </c>
    </row>
    <row r="27" spans="1:23" x14ac:dyDescent="0.25">
      <c r="A27" t="s">
        <v>93</v>
      </c>
      <c r="B27">
        <v>2014</v>
      </c>
      <c r="C27" t="s">
        <v>94</v>
      </c>
      <c r="D27" t="s">
        <v>95</v>
      </c>
      <c r="E27">
        <v>108695</v>
      </c>
      <c r="F27" t="s">
        <v>29</v>
      </c>
      <c r="G27" t="s">
        <v>23</v>
      </c>
      <c r="H27" t="s">
        <v>24</v>
      </c>
      <c r="I27" t="s">
        <v>25</v>
      </c>
      <c r="J27" s="2">
        <v>45384</v>
      </c>
      <c r="K27" t="s">
        <v>25</v>
      </c>
      <c r="L27">
        <v>43605</v>
      </c>
      <c r="M27">
        <v>264</v>
      </c>
      <c r="N27">
        <v>314</v>
      </c>
      <c r="O27" s="4">
        <v>8900</v>
      </c>
      <c r="P27" s="4">
        <v>4460.18017578125</v>
      </c>
      <c r="Q27" s="5">
        <f t="shared" si="0"/>
        <v>-0.49885616002457867</v>
      </c>
      <c r="R27" s="4">
        <v>5940.8833001712574</v>
      </c>
      <c r="S27" s="5">
        <f t="shared" si="1"/>
        <v>-0.33248502245266776</v>
      </c>
      <c r="T27" s="4">
        <v>4357.3170926288449</v>
      </c>
      <c r="U27" s="5">
        <f t="shared" si="2"/>
        <v>-0.5104138098169837</v>
      </c>
      <c r="V27" s="4">
        <v>4095.42578125</v>
      </c>
      <c r="W27" s="5">
        <f t="shared" si="3"/>
        <v>-0.53983979985955055</v>
      </c>
    </row>
    <row r="28" spans="1:23" x14ac:dyDescent="0.25">
      <c r="A28" t="s">
        <v>96</v>
      </c>
      <c r="B28">
        <v>2014</v>
      </c>
      <c r="C28" t="s">
        <v>20</v>
      </c>
      <c r="D28" t="s">
        <v>97</v>
      </c>
      <c r="E28">
        <v>123214</v>
      </c>
      <c r="F28" t="s">
        <v>98</v>
      </c>
      <c r="G28" t="s">
        <v>44</v>
      </c>
      <c r="H28" t="s">
        <v>25</v>
      </c>
      <c r="I28" t="s">
        <v>24</v>
      </c>
      <c r="J28" s="2">
        <v>45510</v>
      </c>
      <c r="K28" t="s">
        <v>25</v>
      </c>
      <c r="L28">
        <v>43605</v>
      </c>
      <c r="M28">
        <v>264</v>
      </c>
      <c r="N28">
        <v>314</v>
      </c>
      <c r="O28" s="4">
        <v>8200</v>
      </c>
      <c r="P28" s="4">
        <v>9141.1279296875</v>
      </c>
      <c r="Q28" s="5">
        <f t="shared" si="0"/>
        <v>0.11477169874237814</v>
      </c>
      <c r="R28" s="4">
        <v>6560.1929996827512</v>
      </c>
      <c r="S28" s="5">
        <f t="shared" si="1"/>
        <v>-0.19997646345332298</v>
      </c>
      <c r="T28" s="4">
        <v>16921.08264866364</v>
      </c>
      <c r="U28" s="5">
        <f t="shared" si="2"/>
        <v>1.0635466644711755</v>
      </c>
      <c r="V28" s="4">
        <v>9182.0244140625</v>
      </c>
      <c r="W28" s="5">
        <f t="shared" si="3"/>
        <v>0.11975907488567072</v>
      </c>
    </row>
    <row r="29" spans="1:23" x14ac:dyDescent="0.25">
      <c r="A29" t="s">
        <v>99</v>
      </c>
      <c r="B29">
        <v>2011</v>
      </c>
      <c r="C29" t="s">
        <v>20</v>
      </c>
      <c r="D29" t="s">
        <v>100</v>
      </c>
      <c r="E29">
        <v>178899</v>
      </c>
      <c r="F29" t="s">
        <v>55</v>
      </c>
      <c r="G29" t="s">
        <v>30</v>
      </c>
      <c r="H29" t="s">
        <v>24</v>
      </c>
      <c r="I29" t="s">
        <v>25</v>
      </c>
      <c r="J29" s="2">
        <v>45617</v>
      </c>
      <c r="K29" t="s">
        <v>25</v>
      </c>
      <c r="L29">
        <v>43605</v>
      </c>
      <c r="M29">
        <v>264</v>
      </c>
      <c r="N29">
        <v>314</v>
      </c>
      <c r="O29" s="4">
        <v>1600</v>
      </c>
      <c r="P29" s="4">
        <v>1831.581176757812</v>
      </c>
      <c r="Q29" s="5">
        <f t="shared" si="0"/>
        <v>0.14473823547363263</v>
      </c>
      <c r="R29" s="4">
        <v>1864.664971187703</v>
      </c>
      <c r="S29" s="5">
        <f t="shared" si="1"/>
        <v>0.1654156069923145</v>
      </c>
      <c r="T29" s="4">
        <v>2763.7079060543711</v>
      </c>
      <c r="U29" s="5">
        <f t="shared" si="2"/>
        <v>0.72731744128398201</v>
      </c>
      <c r="V29" s="4">
        <v>1802.579833984375</v>
      </c>
      <c r="W29" s="5">
        <f t="shared" si="3"/>
        <v>0.12661239624023435</v>
      </c>
    </row>
    <row r="30" spans="1:23" x14ac:dyDescent="0.25">
      <c r="A30" t="s">
        <v>101</v>
      </c>
      <c r="B30">
        <v>2016</v>
      </c>
      <c r="C30" t="s">
        <v>20</v>
      </c>
      <c r="D30" t="s">
        <v>97</v>
      </c>
      <c r="E30">
        <v>73526</v>
      </c>
      <c r="F30" t="s">
        <v>102</v>
      </c>
      <c r="G30" t="s">
        <v>44</v>
      </c>
      <c r="H30" t="s">
        <v>25</v>
      </c>
      <c r="I30" t="s">
        <v>24</v>
      </c>
      <c r="J30" s="2">
        <v>45356</v>
      </c>
      <c r="K30" t="s">
        <v>25</v>
      </c>
      <c r="L30">
        <v>43605</v>
      </c>
      <c r="M30">
        <v>264</v>
      </c>
      <c r="N30">
        <v>314</v>
      </c>
      <c r="O30" s="4">
        <v>19000</v>
      </c>
      <c r="P30" s="4">
        <v>16161.078125</v>
      </c>
      <c r="Q30" s="5">
        <f t="shared" si="0"/>
        <v>-0.14941694078947365</v>
      </c>
      <c r="R30" s="4">
        <v>11918.099561698849</v>
      </c>
      <c r="S30" s="5">
        <f t="shared" si="1"/>
        <v>-0.37273160201584998</v>
      </c>
      <c r="T30" s="4">
        <v>22872.51136950852</v>
      </c>
      <c r="U30" s="5">
        <f t="shared" si="2"/>
        <v>0.20381638786886946</v>
      </c>
      <c r="V30" s="4">
        <v>17296.662109375</v>
      </c>
      <c r="W30" s="5">
        <f t="shared" si="3"/>
        <v>-8.9649362664473653E-2</v>
      </c>
    </row>
    <row r="31" spans="1:23" x14ac:dyDescent="0.25">
      <c r="A31" t="s">
        <v>103</v>
      </c>
      <c r="B31">
        <v>2019</v>
      </c>
      <c r="C31" t="s">
        <v>104</v>
      </c>
      <c r="D31" t="s">
        <v>105</v>
      </c>
      <c r="E31">
        <v>64565</v>
      </c>
      <c r="F31" t="s">
        <v>106</v>
      </c>
      <c r="G31" t="s">
        <v>38</v>
      </c>
      <c r="H31" t="s">
        <v>25</v>
      </c>
      <c r="I31" t="s">
        <v>24</v>
      </c>
      <c r="J31" s="2">
        <v>45454</v>
      </c>
      <c r="K31" t="s">
        <v>25</v>
      </c>
      <c r="L31">
        <v>43605</v>
      </c>
      <c r="M31">
        <v>264</v>
      </c>
      <c r="N31">
        <v>314</v>
      </c>
      <c r="O31" s="4">
        <v>28800</v>
      </c>
      <c r="P31" s="4">
        <v>22922.8359375</v>
      </c>
      <c r="Q31" s="5">
        <f t="shared" si="0"/>
        <v>-0.20406819661458331</v>
      </c>
      <c r="R31" s="4">
        <v>22396.125195615699</v>
      </c>
      <c r="S31" s="5">
        <f t="shared" si="1"/>
        <v>-0.22235676404112159</v>
      </c>
      <c r="T31" s="4">
        <v>16805.729284322129</v>
      </c>
      <c r="U31" s="5">
        <f t="shared" si="2"/>
        <v>-0.41646773318325936</v>
      </c>
      <c r="V31" s="4">
        <v>23323.462890625</v>
      </c>
      <c r="W31" s="5">
        <f t="shared" si="3"/>
        <v>-0.19015753851996531</v>
      </c>
    </row>
    <row r="32" spans="1:23" x14ac:dyDescent="0.25">
      <c r="A32" t="s">
        <v>107</v>
      </c>
      <c r="B32">
        <v>2015</v>
      </c>
      <c r="C32" t="s">
        <v>20</v>
      </c>
      <c r="D32" t="s">
        <v>108</v>
      </c>
      <c r="E32">
        <v>115284</v>
      </c>
      <c r="F32" t="s">
        <v>77</v>
      </c>
      <c r="G32" t="s">
        <v>30</v>
      </c>
      <c r="H32" t="s">
        <v>24</v>
      </c>
      <c r="I32" t="s">
        <v>25</v>
      </c>
      <c r="J32" s="2">
        <v>45498</v>
      </c>
      <c r="K32" t="s">
        <v>25</v>
      </c>
      <c r="L32">
        <v>43605</v>
      </c>
      <c r="M32">
        <v>264</v>
      </c>
      <c r="N32">
        <v>314</v>
      </c>
      <c r="O32" s="4">
        <v>2700</v>
      </c>
      <c r="P32" s="4">
        <v>4176.0400390625</v>
      </c>
      <c r="Q32" s="5">
        <f t="shared" si="0"/>
        <v>0.546681495949074</v>
      </c>
      <c r="R32" s="4">
        <v>6590.648041589734</v>
      </c>
      <c r="S32" s="5">
        <f t="shared" si="1"/>
        <v>1.440980756144346</v>
      </c>
      <c r="T32" s="4">
        <v>8243.3621355702562</v>
      </c>
      <c r="U32" s="5">
        <f t="shared" si="2"/>
        <v>2.053097087248243</v>
      </c>
      <c r="V32" s="4">
        <v>3714.127197265625</v>
      </c>
      <c r="W32" s="5">
        <f t="shared" si="3"/>
        <v>0.37560266565393507</v>
      </c>
    </row>
    <row r="33" spans="1:23" x14ac:dyDescent="0.25">
      <c r="A33" t="s">
        <v>109</v>
      </c>
      <c r="B33">
        <v>2014</v>
      </c>
      <c r="C33" t="s">
        <v>20</v>
      </c>
      <c r="D33" t="s">
        <v>110</v>
      </c>
      <c r="E33">
        <v>126767</v>
      </c>
      <c r="F33" t="s">
        <v>111</v>
      </c>
      <c r="G33" t="s">
        <v>30</v>
      </c>
      <c r="H33" t="s">
        <v>24</v>
      </c>
      <c r="I33" t="s">
        <v>25</v>
      </c>
      <c r="J33" s="2">
        <v>45608</v>
      </c>
      <c r="K33" t="s">
        <v>25</v>
      </c>
      <c r="L33">
        <v>43605</v>
      </c>
      <c r="M33">
        <v>264</v>
      </c>
      <c r="N33">
        <v>314</v>
      </c>
      <c r="O33" s="4">
        <v>1500</v>
      </c>
      <c r="P33" s="4">
        <v>3003.512939453125</v>
      </c>
      <c r="Q33" s="5">
        <f t="shared" si="0"/>
        <v>1.0023419596354168</v>
      </c>
      <c r="R33" s="4">
        <v>3178.026972303549</v>
      </c>
      <c r="S33" s="5">
        <f t="shared" si="1"/>
        <v>1.118684648202366</v>
      </c>
      <c r="T33" s="4">
        <v>3819.9476163036888</v>
      </c>
      <c r="U33" s="5">
        <f t="shared" si="2"/>
        <v>1.5466317442024593</v>
      </c>
      <c r="V33" s="4">
        <v>2881.152099609375</v>
      </c>
      <c r="W33" s="5">
        <f t="shared" si="3"/>
        <v>0.92076806640625009</v>
      </c>
    </row>
    <row r="34" spans="1:23" x14ac:dyDescent="0.25">
      <c r="A34" t="s">
        <v>112</v>
      </c>
      <c r="B34">
        <v>2009</v>
      </c>
      <c r="C34" t="s">
        <v>113</v>
      </c>
      <c r="D34" t="s">
        <v>114</v>
      </c>
      <c r="E34">
        <v>120977</v>
      </c>
      <c r="F34" t="s">
        <v>115</v>
      </c>
      <c r="G34" t="s">
        <v>34</v>
      </c>
      <c r="H34" t="s">
        <v>25</v>
      </c>
      <c r="I34" t="s">
        <v>24</v>
      </c>
      <c r="J34" s="2">
        <v>45384</v>
      </c>
      <c r="K34" t="s">
        <v>25</v>
      </c>
      <c r="L34">
        <v>43605</v>
      </c>
      <c r="M34">
        <v>264</v>
      </c>
      <c r="N34">
        <v>314</v>
      </c>
      <c r="O34" s="4">
        <v>4000</v>
      </c>
      <c r="P34" s="4">
        <v>2863.666015625</v>
      </c>
      <c r="Q34" s="5">
        <f t="shared" si="0"/>
        <v>-0.28408349609375005</v>
      </c>
      <c r="R34" s="4">
        <v>2835.2250601002102</v>
      </c>
      <c r="S34" s="5">
        <f t="shared" si="1"/>
        <v>-0.29119373497494749</v>
      </c>
      <c r="T34" s="4">
        <v>4601.5118852506102</v>
      </c>
      <c r="U34" s="5">
        <f t="shared" si="2"/>
        <v>0.15037797131265251</v>
      </c>
      <c r="V34" s="4">
        <v>2788.082275390625</v>
      </c>
      <c r="W34" s="5">
        <f t="shared" si="3"/>
        <v>-0.30297943115234371</v>
      </c>
    </row>
    <row r="35" spans="1:23" x14ac:dyDescent="0.25">
      <c r="A35" t="s">
        <v>116</v>
      </c>
      <c r="B35">
        <v>2015</v>
      </c>
      <c r="C35" t="s">
        <v>113</v>
      </c>
      <c r="D35" t="s">
        <v>114</v>
      </c>
      <c r="E35">
        <v>61540</v>
      </c>
      <c r="F35" t="s">
        <v>48</v>
      </c>
      <c r="G35" t="s">
        <v>38</v>
      </c>
      <c r="H35" t="s">
        <v>25</v>
      </c>
      <c r="I35" t="s">
        <v>24</v>
      </c>
      <c r="J35" s="2">
        <v>45398</v>
      </c>
      <c r="K35" t="s">
        <v>25</v>
      </c>
      <c r="L35">
        <v>43605</v>
      </c>
      <c r="M35">
        <v>264</v>
      </c>
      <c r="N35">
        <v>314</v>
      </c>
      <c r="O35" s="4">
        <v>3400</v>
      </c>
      <c r="P35" s="4">
        <v>9405.373046875</v>
      </c>
      <c r="Q35" s="5">
        <f t="shared" si="0"/>
        <v>1.766286190257353</v>
      </c>
      <c r="R35" s="4">
        <v>11382.06277629746</v>
      </c>
      <c r="S35" s="5">
        <f t="shared" si="1"/>
        <v>2.3476655224404293</v>
      </c>
      <c r="T35" s="4">
        <v>13025.540791951091</v>
      </c>
      <c r="U35" s="5">
        <f t="shared" si="2"/>
        <v>2.8310414093973795</v>
      </c>
      <c r="V35" s="4">
        <v>8782.2353515625</v>
      </c>
      <c r="W35" s="5">
        <f t="shared" si="3"/>
        <v>1.5830103975183825</v>
      </c>
    </row>
    <row r="36" spans="1:23" x14ac:dyDescent="0.25">
      <c r="A36" t="s">
        <v>117</v>
      </c>
      <c r="B36">
        <v>2010</v>
      </c>
      <c r="C36" t="s">
        <v>32</v>
      </c>
      <c r="D36" t="s">
        <v>118</v>
      </c>
      <c r="E36">
        <v>108230</v>
      </c>
      <c r="F36" t="s">
        <v>82</v>
      </c>
      <c r="G36" t="s">
        <v>23</v>
      </c>
      <c r="H36" t="s">
        <v>24</v>
      </c>
      <c r="I36" t="s">
        <v>25</v>
      </c>
      <c r="J36" s="2">
        <v>45496</v>
      </c>
      <c r="K36" t="s">
        <v>25</v>
      </c>
      <c r="L36">
        <v>43605</v>
      </c>
      <c r="M36">
        <v>264</v>
      </c>
      <c r="N36">
        <v>314</v>
      </c>
      <c r="O36" s="4">
        <v>3500</v>
      </c>
      <c r="P36" s="4">
        <v>3025.230712890625</v>
      </c>
      <c r="Q36" s="5">
        <f t="shared" si="0"/>
        <v>-0.13564836774553568</v>
      </c>
      <c r="R36" s="4">
        <v>2397.2228459118091</v>
      </c>
      <c r="S36" s="5">
        <f t="shared" si="1"/>
        <v>-0.31507918688234027</v>
      </c>
      <c r="T36" s="4">
        <v>4944.1387317333974</v>
      </c>
      <c r="U36" s="5">
        <f t="shared" si="2"/>
        <v>0.41261106620954213</v>
      </c>
      <c r="V36" s="4">
        <v>2926.701416015625</v>
      </c>
      <c r="W36" s="5">
        <f t="shared" si="3"/>
        <v>-0.16379959542410716</v>
      </c>
    </row>
    <row r="37" spans="1:23" x14ac:dyDescent="0.25">
      <c r="A37" t="s">
        <v>119</v>
      </c>
      <c r="B37">
        <v>2010</v>
      </c>
      <c r="C37" t="s">
        <v>120</v>
      </c>
      <c r="D37">
        <v>300</v>
      </c>
      <c r="E37">
        <v>103023</v>
      </c>
      <c r="F37" t="s">
        <v>82</v>
      </c>
      <c r="G37" t="s">
        <v>30</v>
      </c>
      <c r="H37" t="s">
        <v>24</v>
      </c>
      <c r="I37" t="s">
        <v>25</v>
      </c>
      <c r="J37" s="2">
        <v>45566</v>
      </c>
      <c r="K37" t="s">
        <v>25</v>
      </c>
      <c r="L37">
        <v>43605</v>
      </c>
      <c r="M37">
        <v>264</v>
      </c>
      <c r="N37">
        <v>314</v>
      </c>
      <c r="O37" s="4">
        <v>3500</v>
      </c>
      <c r="P37" s="4">
        <v>1908.285034179688</v>
      </c>
      <c r="Q37" s="5">
        <f t="shared" si="0"/>
        <v>-0.4547757045200892</v>
      </c>
      <c r="R37" s="4">
        <v>1593.544176053198</v>
      </c>
      <c r="S37" s="5">
        <f t="shared" si="1"/>
        <v>-0.54470166398480058</v>
      </c>
      <c r="T37" s="4">
        <v>2853.125796732757</v>
      </c>
      <c r="U37" s="5">
        <f t="shared" si="2"/>
        <v>-0.18482120093349796</v>
      </c>
      <c r="V37" s="4">
        <v>1838.3515625</v>
      </c>
      <c r="W37" s="5">
        <f t="shared" si="3"/>
        <v>-0.47475669642857143</v>
      </c>
    </row>
    <row r="38" spans="1:23" x14ac:dyDescent="0.25">
      <c r="A38" t="s">
        <v>121</v>
      </c>
      <c r="B38">
        <v>2022</v>
      </c>
      <c r="C38" t="s">
        <v>46</v>
      </c>
      <c r="D38" t="s">
        <v>122</v>
      </c>
      <c r="E38">
        <v>79248</v>
      </c>
      <c r="F38" t="s">
        <v>37</v>
      </c>
      <c r="G38" t="s">
        <v>38</v>
      </c>
      <c r="H38" t="s">
        <v>25</v>
      </c>
      <c r="I38" t="s">
        <v>24</v>
      </c>
      <c r="J38" s="2">
        <v>45608</v>
      </c>
      <c r="K38" t="s">
        <v>25</v>
      </c>
      <c r="L38">
        <v>43605</v>
      </c>
      <c r="M38">
        <v>264</v>
      </c>
      <c r="N38">
        <v>314</v>
      </c>
      <c r="O38" s="4">
        <v>22700</v>
      </c>
      <c r="P38" s="4">
        <v>15467.5810546875</v>
      </c>
      <c r="Q38" s="5">
        <f t="shared" si="0"/>
        <v>-0.31860876411068284</v>
      </c>
      <c r="R38" s="4">
        <v>21074.137445957509</v>
      </c>
      <c r="S38" s="5">
        <f t="shared" si="1"/>
        <v>-7.1623901059140516E-2</v>
      </c>
      <c r="T38" s="4">
        <v>19525.613809525301</v>
      </c>
      <c r="U38" s="5">
        <f t="shared" si="2"/>
        <v>-0.13984080134249777</v>
      </c>
      <c r="V38" s="4">
        <v>18441.80078125</v>
      </c>
      <c r="W38" s="5">
        <f t="shared" si="3"/>
        <v>-0.1875858686674009</v>
      </c>
    </row>
    <row r="39" spans="1:23" x14ac:dyDescent="0.25">
      <c r="A39" t="s">
        <v>123</v>
      </c>
      <c r="B39">
        <v>2015</v>
      </c>
      <c r="C39" t="s">
        <v>46</v>
      </c>
      <c r="D39" t="s">
        <v>124</v>
      </c>
      <c r="E39">
        <v>105256</v>
      </c>
      <c r="F39" t="s">
        <v>102</v>
      </c>
      <c r="G39" t="s">
        <v>44</v>
      </c>
      <c r="H39" t="s">
        <v>25</v>
      </c>
      <c r="I39" t="s">
        <v>24</v>
      </c>
      <c r="J39" s="2">
        <v>45300</v>
      </c>
      <c r="K39" t="s">
        <v>25</v>
      </c>
      <c r="L39">
        <v>43605</v>
      </c>
      <c r="M39">
        <v>264</v>
      </c>
      <c r="N39">
        <v>314</v>
      </c>
      <c r="O39" s="4">
        <v>3800</v>
      </c>
      <c r="P39" s="4">
        <v>8655.7333984375</v>
      </c>
      <c r="Q39" s="5">
        <f t="shared" si="0"/>
        <v>1.2778245785361841</v>
      </c>
      <c r="R39" s="4">
        <v>8616.4400687255147</v>
      </c>
      <c r="S39" s="5">
        <f t="shared" si="1"/>
        <v>1.2674842286119774</v>
      </c>
      <c r="T39" s="4">
        <v>11057.93685258713</v>
      </c>
      <c r="U39" s="5">
        <f t="shared" si="2"/>
        <v>1.9099833822597714</v>
      </c>
      <c r="V39" s="4">
        <v>8808.11328125</v>
      </c>
      <c r="W39" s="5">
        <f t="shared" si="3"/>
        <v>1.3179245476973684</v>
      </c>
    </row>
    <row r="40" spans="1:23" x14ac:dyDescent="0.25">
      <c r="A40" t="s">
        <v>125</v>
      </c>
      <c r="B40">
        <v>2011</v>
      </c>
      <c r="C40" t="s">
        <v>104</v>
      </c>
      <c r="D40" t="s">
        <v>126</v>
      </c>
      <c r="E40">
        <v>139708</v>
      </c>
      <c r="F40" t="s">
        <v>111</v>
      </c>
      <c r="G40" t="s">
        <v>30</v>
      </c>
      <c r="H40" t="s">
        <v>24</v>
      </c>
      <c r="I40" t="s">
        <v>25</v>
      </c>
      <c r="J40" s="2">
        <v>45608</v>
      </c>
      <c r="K40" t="s">
        <v>25</v>
      </c>
      <c r="L40">
        <v>43605</v>
      </c>
      <c r="M40">
        <v>264</v>
      </c>
      <c r="N40">
        <v>314</v>
      </c>
      <c r="O40" s="4">
        <v>2700</v>
      </c>
      <c r="P40" s="4">
        <v>2846.91357421875</v>
      </c>
      <c r="Q40" s="5">
        <f t="shared" si="0"/>
        <v>5.441243489583325E-2</v>
      </c>
      <c r="R40" s="4">
        <v>3516.6143093148921</v>
      </c>
      <c r="S40" s="5">
        <f t="shared" si="1"/>
        <v>0.30244974419070081</v>
      </c>
      <c r="T40" s="4">
        <v>2861.9148663313572</v>
      </c>
      <c r="U40" s="5">
        <f t="shared" si="2"/>
        <v>5.996846901161379E-2</v>
      </c>
      <c r="V40" s="4">
        <v>2663.752197265625</v>
      </c>
      <c r="W40" s="5">
        <f t="shared" si="3"/>
        <v>-1.3425112123842564E-2</v>
      </c>
    </row>
    <row r="41" spans="1:23" x14ac:dyDescent="0.25">
      <c r="A41" t="s">
        <v>127</v>
      </c>
      <c r="B41">
        <v>2011</v>
      </c>
      <c r="C41" t="s">
        <v>20</v>
      </c>
      <c r="D41" t="s">
        <v>128</v>
      </c>
      <c r="E41">
        <v>93301</v>
      </c>
      <c r="F41" t="s">
        <v>82</v>
      </c>
      <c r="G41" t="s">
        <v>30</v>
      </c>
      <c r="H41" t="s">
        <v>24</v>
      </c>
      <c r="I41" t="s">
        <v>25</v>
      </c>
      <c r="J41" s="2">
        <v>45622</v>
      </c>
      <c r="K41" t="s">
        <v>25</v>
      </c>
      <c r="L41">
        <v>43605</v>
      </c>
      <c r="M41">
        <v>264</v>
      </c>
      <c r="N41">
        <v>314</v>
      </c>
      <c r="O41" s="4">
        <v>3300</v>
      </c>
      <c r="P41" s="4">
        <v>3618.207763671875</v>
      </c>
      <c r="Q41" s="5">
        <f t="shared" si="0"/>
        <v>9.6426595052083286E-2</v>
      </c>
      <c r="R41" s="4">
        <v>3157.148630587933</v>
      </c>
      <c r="S41" s="5">
        <f t="shared" si="1"/>
        <v>-4.3288293761232444E-2</v>
      </c>
      <c r="T41" s="4">
        <v>2592.3603995773492</v>
      </c>
      <c r="U41" s="5">
        <f t="shared" si="2"/>
        <v>-0.21443624255231841</v>
      </c>
      <c r="V41" s="4">
        <v>3635.765380859375</v>
      </c>
      <c r="W41" s="5">
        <f t="shared" si="3"/>
        <v>0.10174708510890151</v>
      </c>
    </row>
    <row r="42" spans="1:23" x14ac:dyDescent="0.25">
      <c r="A42" t="s">
        <v>129</v>
      </c>
      <c r="B42">
        <v>2013</v>
      </c>
      <c r="C42" t="s">
        <v>91</v>
      </c>
      <c r="D42" t="s">
        <v>130</v>
      </c>
      <c r="E42">
        <v>73135</v>
      </c>
      <c r="F42" t="s">
        <v>102</v>
      </c>
      <c r="G42" t="s">
        <v>44</v>
      </c>
      <c r="H42" t="s">
        <v>25</v>
      </c>
      <c r="I42" t="s">
        <v>24</v>
      </c>
      <c r="J42" s="2">
        <v>45510</v>
      </c>
      <c r="K42" t="s">
        <v>25</v>
      </c>
      <c r="L42">
        <v>43605</v>
      </c>
      <c r="M42">
        <v>264</v>
      </c>
      <c r="N42">
        <v>314</v>
      </c>
      <c r="O42" s="4">
        <v>1000</v>
      </c>
      <c r="P42" s="4">
        <v>6833.15771484375</v>
      </c>
      <c r="Q42" s="5">
        <f t="shared" si="0"/>
        <v>5.8331577148437503</v>
      </c>
      <c r="R42" s="4">
        <v>7796.0815821271499</v>
      </c>
      <c r="S42" s="5">
        <f t="shared" si="1"/>
        <v>6.7960815821271501</v>
      </c>
      <c r="T42" s="4">
        <v>7109.1676355780983</v>
      </c>
      <c r="U42" s="5">
        <f t="shared" si="2"/>
        <v>6.1091676355780979</v>
      </c>
      <c r="V42" s="4">
        <v>6376.9111328125</v>
      </c>
      <c r="W42" s="5">
        <f t="shared" si="3"/>
        <v>5.3769111328125003</v>
      </c>
    </row>
    <row r="43" spans="1:23" x14ac:dyDescent="0.25">
      <c r="A43" t="s">
        <v>131</v>
      </c>
      <c r="B43">
        <v>2016</v>
      </c>
      <c r="C43" t="s">
        <v>104</v>
      </c>
      <c r="D43" t="s">
        <v>132</v>
      </c>
      <c r="E43">
        <v>93955</v>
      </c>
      <c r="F43" t="s">
        <v>29</v>
      </c>
      <c r="G43" t="s">
        <v>23</v>
      </c>
      <c r="H43" t="s">
        <v>24</v>
      </c>
      <c r="I43" t="s">
        <v>25</v>
      </c>
      <c r="J43" s="2">
        <v>45659</v>
      </c>
      <c r="K43" t="s">
        <v>25</v>
      </c>
      <c r="L43">
        <v>43605</v>
      </c>
      <c r="M43">
        <v>264</v>
      </c>
      <c r="N43">
        <v>314</v>
      </c>
      <c r="O43" s="4">
        <v>10700</v>
      </c>
      <c r="P43" s="4">
        <v>9461.3525390625</v>
      </c>
      <c r="Q43" s="5">
        <f t="shared" si="0"/>
        <v>-0.1157614449474299</v>
      </c>
      <c r="R43" s="4">
        <v>12257.40648708331</v>
      </c>
      <c r="S43" s="5">
        <f t="shared" si="1"/>
        <v>0.14555200813862701</v>
      </c>
      <c r="T43" s="4">
        <v>13313.50121689064</v>
      </c>
      <c r="U43" s="5">
        <f t="shared" si="2"/>
        <v>0.24425245017669539</v>
      </c>
      <c r="V43" s="4">
        <v>8865.5986328125</v>
      </c>
      <c r="W43" s="5">
        <f t="shared" si="3"/>
        <v>-0.17143938011098125</v>
      </c>
    </row>
    <row r="44" spans="1:23" x14ac:dyDescent="0.25">
      <c r="A44" t="s">
        <v>133</v>
      </c>
      <c r="B44">
        <v>2014</v>
      </c>
      <c r="C44" t="s">
        <v>20</v>
      </c>
      <c r="D44" t="s">
        <v>134</v>
      </c>
      <c r="E44">
        <v>95875</v>
      </c>
      <c r="F44" t="s">
        <v>135</v>
      </c>
      <c r="G44" t="s">
        <v>44</v>
      </c>
      <c r="H44" t="s">
        <v>25</v>
      </c>
      <c r="I44" t="s">
        <v>24</v>
      </c>
      <c r="J44" s="2">
        <v>45407</v>
      </c>
      <c r="K44" t="s">
        <v>25</v>
      </c>
      <c r="L44">
        <v>43605</v>
      </c>
      <c r="M44">
        <v>264</v>
      </c>
      <c r="N44">
        <v>314</v>
      </c>
      <c r="O44" s="4">
        <v>4200</v>
      </c>
      <c r="P44" s="4">
        <v>7786.87646484375</v>
      </c>
      <c r="Q44" s="5">
        <f t="shared" si="0"/>
        <v>0.85401820591517863</v>
      </c>
      <c r="R44" s="4">
        <v>10297.92252594455</v>
      </c>
      <c r="S44" s="5">
        <f t="shared" si="1"/>
        <v>1.4518863157010835</v>
      </c>
      <c r="T44" s="4">
        <v>14281.50629176413</v>
      </c>
      <c r="U44" s="5">
        <f t="shared" si="2"/>
        <v>2.4003586408962212</v>
      </c>
      <c r="V44" s="4">
        <v>7166.18505859375</v>
      </c>
      <c r="W44" s="5">
        <f t="shared" si="3"/>
        <v>0.70623453776041667</v>
      </c>
    </row>
    <row r="45" spans="1:23" x14ac:dyDescent="0.25">
      <c r="A45" t="s">
        <v>136</v>
      </c>
      <c r="B45">
        <v>2015</v>
      </c>
      <c r="C45" t="s">
        <v>20</v>
      </c>
      <c r="D45" t="s">
        <v>134</v>
      </c>
      <c r="E45">
        <v>169145</v>
      </c>
      <c r="F45" t="s">
        <v>29</v>
      </c>
      <c r="G45" t="s">
        <v>23</v>
      </c>
      <c r="H45" t="s">
        <v>24</v>
      </c>
      <c r="I45" t="s">
        <v>25</v>
      </c>
      <c r="J45" s="2">
        <v>45610</v>
      </c>
      <c r="K45" t="s">
        <v>25</v>
      </c>
      <c r="L45">
        <v>43605</v>
      </c>
      <c r="M45">
        <v>264</v>
      </c>
      <c r="N45">
        <v>314</v>
      </c>
      <c r="O45" s="4">
        <v>9000</v>
      </c>
      <c r="P45" s="4">
        <v>2967.625244140625</v>
      </c>
      <c r="Q45" s="5">
        <f t="shared" si="0"/>
        <v>-0.6702638617621528</v>
      </c>
      <c r="R45" s="4">
        <v>4764.3156045988744</v>
      </c>
      <c r="S45" s="5">
        <f t="shared" si="1"/>
        <v>-0.47063159948901401</v>
      </c>
      <c r="T45" s="4">
        <v>5597.564850772711</v>
      </c>
      <c r="U45" s="5">
        <f t="shared" si="2"/>
        <v>-0.37804834991414327</v>
      </c>
      <c r="V45" s="4">
        <v>2616.571044921875</v>
      </c>
      <c r="W45" s="5">
        <f t="shared" si="3"/>
        <v>-0.70926988389756951</v>
      </c>
    </row>
    <row r="46" spans="1:23" x14ac:dyDescent="0.25">
      <c r="A46" t="s">
        <v>137</v>
      </c>
      <c r="B46">
        <v>2015</v>
      </c>
      <c r="C46" t="s">
        <v>20</v>
      </c>
      <c r="D46" t="s">
        <v>134</v>
      </c>
      <c r="E46">
        <v>147163</v>
      </c>
      <c r="F46" t="s">
        <v>58</v>
      </c>
      <c r="G46" t="s">
        <v>23</v>
      </c>
      <c r="H46" t="s">
        <v>24</v>
      </c>
      <c r="I46" t="s">
        <v>25</v>
      </c>
      <c r="J46" s="2">
        <v>45400</v>
      </c>
      <c r="K46" t="s">
        <v>25</v>
      </c>
      <c r="L46">
        <v>43605</v>
      </c>
      <c r="M46">
        <v>264</v>
      </c>
      <c r="N46">
        <v>314</v>
      </c>
      <c r="O46" s="4">
        <v>2700</v>
      </c>
      <c r="P46" s="4">
        <v>2747.014892578125</v>
      </c>
      <c r="Q46" s="5">
        <f t="shared" si="0"/>
        <v>1.7412923177083428E-2</v>
      </c>
      <c r="R46" s="4">
        <v>3589.135132564691</v>
      </c>
      <c r="S46" s="5">
        <f t="shared" si="1"/>
        <v>0.32930930835729288</v>
      </c>
      <c r="T46" s="4">
        <v>4893.2157539416048</v>
      </c>
      <c r="U46" s="5">
        <f t="shared" si="2"/>
        <v>0.81230213108948335</v>
      </c>
      <c r="V46" s="4">
        <v>2525.667724609375</v>
      </c>
      <c r="W46" s="5">
        <f t="shared" si="3"/>
        <v>-6.4567509403935186E-2</v>
      </c>
    </row>
    <row r="47" spans="1:23" x14ac:dyDescent="0.25">
      <c r="A47" t="s">
        <v>138</v>
      </c>
      <c r="B47">
        <v>2015</v>
      </c>
      <c r="C47" t="s">
        <v>139</v>
      </c>
      <c r="D47" t="s">
        <v>140</v>
      </c>
      <c r="E47">
        <v>113381</v>
      </c>
      <c r="F47" t="s">
        <v>141</v>
      </c>
      <c r="G47" t="s">
        <v>38</v>
      </c>
      <c r="H47" t="s">
        <v>25</v>
      </c>
      <c r="I47" t="s">
        <v>24</v>
      </c>
      <c r="J47" s="2">
        <v>45617</v>
      </c>
      <c r="K47" t="s">
        <v>25</v>
      </c>
      <c r="L47">
        <v>43605</v>
      </c>
      <c r="M47">
        <v>264</v>
      </c>
      <c r="N47">
        <v>314</v>
      </c>
      <c r="O47" s="4">
        <v>12000</v>
      </c>
      <c r="P47" s="4">
        <v>9994.0390625</v>
      </c>
      <c r="Q47" s="5">
        <f t="shared" si="0"/>
        <v>-0.16716341145833336</v>
      </c>
      <c r="R47" s="4">
        <v>7859.338349324802</v>
      </c>
      <c r="S47" s="5">
        <f t="shared" si="1"/>
        <v>-0.34505513755626649</v>
      </c>
      <c r="T47" s="4">
        <v>10776.99035451451</v>
      </c>
      <c r="U47" s="5">
        <f t="shared" si="2"/>
        <v>-0.10191747045712418</v>
      </c>
      <c r="V47" s="4">
        <v>9817.451171875</v>
      </c>
      <c r="W47" s="5">
        <f t="shared" si="3"/>
        <v>-0.18187906901041662</v>
      </c>
    </row>
    <row r="48" spans="1:23" x14ac:dyDescent="0.25">
      <c r="A48" t="s">
        <v>142</v>
      </c>
      <c r="B48">
        <v>2019</v>
      </c>
      <c r="C48" t="s">
        <v>32</v>
      </c>
      <c r="D48" t="s">
        <v>143</v>
      </c>
      <c r="E48">
        <v>64293</v>
      </c>
      <c r="F48" t="s">
        <v>63</v>
      </c>
      <c r="G48" t="s">
        <v>44</v>
      </c>
      <c r="H48" t="s">
        <v>25</v>
      </c>
      <c r="I48" t="s">
        <v>24</v>
      </c>
      <c r="J48" s="2">
        <v>45496</v>
      </c>
      <c r="K48" t="s">
        <v>25</v>
      </c>
      <c r="L48">
        <v>43605</v>
      </c>
      <c r="M48">
        <v>264</v>
      </c>
      <c r="N48">
        <v>314</v>
      </c>
      <c r="O48" s="4">
        <v>19000</v>
      </c>
      <c r="P48" s="4">
        <v>15418.5966796875</v>
      </c>
      <c r="Q48" s="5">
        <f t="shared" si="0"/>
        <v>-0.18849491159539478</v>
      </c>
      <c r="R48" s="4">
        <v>16474.735304508638</v>
      </c>
      <c r="S48" s="5">
        <f t="shared" si="1"/>
        <v>-0.13290866818375591</v>
      </c>
      <c r="T48" s="4">
        <v>17316.043738163371</v>
      </c>
      <c r="U48" s="5">
        <f t="shared" si="2"/>
        <v>-8.8629276938769985E-2</v>
      </c>
      <c r="V48" s="4">
        <v>15517.1826171875</v>
      </c>
      <c r="W48" s="5">
        <f t="shared" si="3"/>
        <v>-0.18330617804276317</v>
      </c>
    </row>
    <row r="49" spans="1:23" x14ac:dyDescent="0.25">
      <c r="A49" t="s">
        <v>144</v>
      </c>
      <c r="B49">
        <v>2016</v>
      </c>
      <c r="C49" t="s">
        <v>46</v>
      </c>
      <c r="D49" t="s">
        <v>145</v>
      </c>
      <c r="E49">
        <v>100936</v>
      </c>
      <c r="F49" t="s">
        <v>48</v>
      </c>
      <c r="G49" t="s">
        <v>38</v>
      </c>
      <c r="H49" t="s">
        <v>25</v>
      </c>
      <c r="I49" t="s">
        <v>24</v>
      </c>
      <c r="J49" s="2">
        <v>45552</v>
      </c>
      <c r="K49" t="s">
        <v>25</v>
      </c>
      <c r="L49">
        <v>43605</v>
      </c>
      <c r="M49">
        <v>264</v>
      </c>
      <c r="N49">
        <v>314</v>
      </c>
      <c r="O49" s="4">
        <v>8400</v>
      </c>
      <c r="P49" s="4">
        <v>5262.6923828125</v>
      </c>
      <c r="Q49" s="5">
        <f t="shared" si="0"/>
        <v>-0.373489002046131</v>
      </c>
      <c r="R49" s="4">
        <v>8055.6876158965806</v>
      </c>
      <c r="S49" s="5">
        <f t="shared" si="1"/>
        <v>-4.0989569536121317E-2</v>
      </c>
      <c r="T49" s="4">
        <v>4314.7216181598351</v>
      </c>
      <c r="U49" s="5">
        <f t="shared" si="2"/>
        <v>-0.48634266450478159</v>
      </c>
      <c r="V49" s="4">
        <v>4755.78369140625</v>
      </c>
      <c r="W49" s="5">
        <f t="shared" si="3"/>
        <v>-0.43383527483258932</v>
      </c>
    </row>
    <row r="50" spans="1:23" x14ac:dyDescent="0.25">
      <c r="A50" t="s">
        <v>146</v>
      </c>
      <c r="B50">
        <v>2020</v>
      </c>
      <c r="C50" t="s">
        <v>46</v>
      </c>
      <c r="D50" t="s">
        <v>145</v>
      </c>
      <c r="E50">
        <v>75626</v>
      </c>
      <c r="F50" t="s">
        <v>66</v>
      </c>
      <c r="G50" t="s">
        <v>85</v>
      </c>
      <c r="H50" t="s">
        <v>24</v>
      </c>
      <c r="I50" t="s">
        <v>25</v>
      </c>
      <c r="J50" s="2">
        <v>45519</v>
      </c>
      <c r="K50" t="s">
        <v>25</v>
      </c>
      <c r="L50">
        <v>43605</v>
      </c>
      <c r="M50">
        <v>264</v>
      </c>
      <c r="N50">
        <v>314</v>
      </c>
      <c r="O50" s="4">
        <v>9200</v>
      </c>
      <c r="P50" s="4">
        <v>8949.98046875</v>
      </c>
      <c r="Q50" s="5">
        <f t="shared" si="0"/>
        <v>-2.7176036005434834E-2</v>
      </c>
      <c r="R50" s="4">
        <v>10391.42246047415</v>
      </c>
      <c r="S50" s="5">
        <f t="shared" si="1"/>
        <v>0.12950244135588584</v>
      </c>
      <c r="T50" s="4">
        <v>6904.4612337585168</v>
      </c>
      <c r="U50" s="5">
        <f t="shared" si="2"/>
        <v>-0.24951508328711769</v>
      </c>
      <c r="V50" s="4">
        <v>8371.49609375</v>
      </c>
      <c r="W50" s="5">
        <f t="shared" si="3"/>
        <v>-9.0054772418478257E-2</v>
      </c>
    </row>
    <row r="51" spans="1:23" x14ac:dyDescent="0.25">
      <c r="A51" t="s">
        <v>147</v>
      </c>
      <c r="B51">
        <v>2017</v>
      </c>
      <c r="C51" t="s">
        <v>53</v>
      </c>
      <c r="D51" t="s">
        <v>148</v>
      </c>
      <c r="E51">
        <v>80660</v>
      </c>
      <c r="F51" t="s">
        <v>37</v>
      </c>
      <c r="G51" t="s">
        <v>38</v>
      </c>
      <c r="H51" t="s">
        <v>25</v>
      </c>
      <c r="I51" t="s">
        <v>24</v>
      </c>
      <c r="J51" s="2">
        <v>45316</v>
      </c>
      <c r="K51" t="s">
        <v>25</v>
      </c>
      <c r="L51">
        <v>43605</v>
      </c>
      <c r="M51">
        <v>264</v>
      </c>
      <c r="N51">
        <v>314</v>
      </c>
      <c r="O51" s="4">
        <v>4200</v>
      </c>
      <c r="P51" s="4">
        <v>8304.5771484375</v>
      </c>
      <c r="Q51" s="5">
        <f t="shared" si="0"/>
        <v>0.9772802734374999</v>
      </c>
      <c r="R51" s="4">
        <v>11101.77367961858</v>
      </c>
      <c r="S51" s="5">
        <f t="shared" si="1"/>
        <v>1.6432794475282333</v>
      </c>
      <c r="T51" s="4">
        <v>14854.07949433421</v>
      </c>
      <c r="U51" s="5">
        <f t="shared" si="2"/>
        <v>2.5366855938890978</v>
      </c>
      <c r="V51" s="4">
        <v>7473.4501953125</v>
      </c>
      <c r="W51" s="5">
        <f t="shared" si="3"/>
        <v>0.77939290364583336</v>
      </c>
    </row>
    <row r="52" spans="1:23" x14ac:dyDescent="0.25">
      <c r="A52" t="s">
        <v>149</v>
      </c>
      <c r="B52">
        <v>2018</v>
      </c>
      <c r="C52" t="s">
        <v>53</v>
      </c>
      <c r="D52" t="s">
        <v>150</v>
      </c>
      <c r="E52">
        <v>86341</v>
      </c>
      <c r="F52" t="s">
        <v>151</v>
      </c>
      <c r="G52" t="s">
        <v>44</v>
      </c>
      <c r="H52" t="s">
        <v>25</v>
      </c>
      <c r="I52" t="s">
        <v>24</v>
      </c>
      <c r="J52" s="2">
        <v>45330</v>
      </c>
      <c r="K52" t="s">
        <v>25</v>
      </c>
      <c r="L52">
        <v>43605</v>
      </c>
      <c r="M52">
        <v>264</v>
      </c>
      <c r="N52">
        <v>314</v>
      </c>
      <c r="O52" s="4">
        <v>3700</v>
      </c>
      <c r="P52" s="4">
        <v>13577.1611328125</v>
      </c>
      <c r="Q52" s="5">
        <f t="shared" si="0"/>
        <v>2.6695030088682432</v>
      </c>
      <c r="R52" s="4">
        <v>13462.633050120879</v>
      </c>
      <c r="S52" s="5">
        <f t="shared" si="1"/>
        <v>2.6385494730056429</v>
      </c>
      <c r="T52" s="4">
        <v>6812.4919743538048</v>
      </c>
      <c r="U52" s="5">
        <f t="shared" si="2"/>
        <v>0.84121404712264991</v>
      </c>
      <c r="V52" s="4">
        <v>13751.91015625</v>
      </c>
      <c r="W52" s="5">
        <f t="shared" si="3"/>
        <v>2.7167324746621619</v>
      </c>
    </row>
    <row r="53" spans="1:23" x14ac:dyDescent="0.25">
      <c r="A53" t="s">
        <v>152</v>
      </c>
      <c r="B53">
        <v>2010</v>
      </c>
      <c r="C53" t="s">
        <v>94</v>
      </c>
      <c r="D53" t="s">
        <v>153</v>
      </c>
      <c r="E53">
        <v>129272</v>
      </c>
      <c r="F53" t="s">
        <v>82</v>
      </c>
      <c r="G53" t="s">
        <v>30</v>
      </c>
      <c r="H53" t="s">
        <v>24</v>
      </c>
      <c r="I53" t="s">
        <v>25</v>
      </c>
      <c r="J53" s="2">
        <v>45608</v>
      </c>
      <c r="K53" t="s">
        <v>25</v>
      </c>
      <c r="L53">
        <v>43605</v>
      </c>
      <c r="M53">
        <v>264</v>
      </c>
      <c r="N53">
        <v>314</v>
      </c>
      <c r="O53" s="4">
        <v>1400</v>
      </c>
      <c r="P53" s="4">
        <v>2500.29443359375</v>
      </c>
      <c r="Q53" s="5">
        <f t="shared" si="0"/>
        <v>0.7859245954241072</v>
      </c>
      <c r="R53" s="4">
        <v>1955.495073017242</v>
      </c>
      <c r="S53" s="5">
        <f t="shared" si="1"/>
        <v>0.39678219501231582</v>
      </c>
      <c r="T53" s="4">
        <v>2252.9389123597671</v>
      </c>
      <c r="U53" s="5">
        <f t="shared" si="2"/>
        <v>0.60924208025697646</v>
      </c>
      <c r="V53" s="4">
        <v>2487.482177734375</v>
      </c>
      <c r="W53" s="5">
        <f t="shared" si="3"/>
        <v>0.77677298409598206</v>
      </c>
    </row>
    <row r="54" spans="1:23" x14ac:dyDescent="0.25">
      <c r="A54" t="s">
        <v>154</v>
      </c>
      <c r="B54">
        <v>2015</v>
      </c>
      <c r="C54" t="s">
        <v>94</v>
      </c>
      <c r="D54" t="s">
        <v>153</v>
      </c>
      <c r="E54">
        <v>95036</v>
      </c>
      <c r="F54" t="s">
        <v>63</v>
      </c>
      <c r="G54" t="s">
        <v>44</v>
      </c>
      <c r="H54" t="s">
        <v>25</v>
      </c>
      <c r="I54" t="s">
        <v>24</v>
      </c>
      <c r="J54" s="2">
        <v>45384</v>
      </c>
      <c r="K54" t="s">
        <v>25</v>
      </c>
      <c r="L54">
        <v>43605</v>
      </c>
      <c r="M54">
        <v>264</v>
      </c>
      <c r="N54">
        <v>314</v>
      </c>
      <c r="O54" s="4">
        <v>15400</v>
      </c>
      <c r="P54" s="4">
        <v>9250.1875</v>
      </c>
      <c r="Q54" s="5">
        <f t="shared" si="0"/>
        <v>-0.399338474025974</v>
      </c>
      <c r="R54" s="4">
        <v>9889.3563200924655</v>
      </c>
      <c r="S54" s="5">
        <f t="shared" si="1"/>
        <v>-0.35783400518880093</v>
      </c>
      <c r="T54" s="4">
        <v>8684.7241434331645</v>
      </c>
      <c r="U54" s="5">
        <f t="shared" si="2"/>
        <v>-0.43605687380304126</v>
      </c>
      <c r="V54" s="4">
        <v>9062.0810546875</v>
      </c>
      <c r="W54" s="5">
        <f t="shared" si="3"/>
        <v>-0.41155317826704541</v>
      </c>
    </row>
    <row r="55" spans="1:23" x14ac:dyDescent="0.25">
      <c r="A55" t="s">
        <v>155</v>
      </c>
      <c r="B55">
        <v>2018</v>
      </c>
      <c r="C55" t="s">
        <v>156</v>
      </c>
      <c r="D55" t="s">
        <v>157</v>
      </c>
      <c r="E55">
        <v>38512</v>
      </c>
      <c r="F55" t="s">
        <v>135</v>
      </c>
      <c r="G55" t="s">
        <v>44</v>
      </c>
      <c r="H55" t="s">
        <v>25</v>
      </c>
      <c r="I55" t="s">
        <v>24</v>
      </c>
      <c r="J55" s="2">
        <v>45664</v>
      </c>
      <c r="K55" t="s">
        <v>25</v>
      </c>
      <c r="L55">
        <v>43605</v>
      </c>
      <c r="M55">
        <v>264</v>
      </c>
      <c r="N55">
        <v>314</v>
      </c>
      <c r="O55" s="4">
        <v>5200</v>
      </c>
      <c r="P55" s="4">
        <v>12364.138671875</v>
      </c>
      <c r="Q55" s="5">
        <f t="shared" si="0"/>
        <v>1.377718975360577</v>
      </c>
      <c r="R55" s="4">
        <v>15945.548711587289</v>
      </c>
      <c r="S55" s="5">
        <f t="shared" si="1"/>
        <v>2.066451675305248</v>
      </c>
      <c r="T55" s="4">
        <v>14479.60156933964</v>
      </c>
      <c r="U55" s="5">
        <f t="shared" si="2"/>
        <v>1.7845387633345462</v>
      </c>
      <c r="V55" s="4">
        <v>11230.1025390625</v>
      </c>
      <c r="W55" s="5">
        <f t="shared" si="3"/>
        <v>1.1596351036658654</v>
      </c>
    </row>
    <row r="56" spans="1:23" x14ac:dyDescent="0.25">
      <c r="A56" t="s">
        <v>158</v>
      </c>
      <c r="B56">
        <v>2016</v>
      </c>
      <c r="C56" t="s">
        <v>159</v>
      </c>
      <c r="D56" t="s">
        <v>160</v>
      </c>
      <c r="E56">
        <v>95888</v>
      </c>
      <c r="F56" t="s">
        <v>161</v>
      </c>
      <c r="G56" t="s">
        <v>44</v>
      </c>
      <c r="H56" t="s">
        <v>25</v>
      </c>
      <c r="I56" t="s">
        <v>24</v>
      </c>
      <c r="J56" s="2">
        <v>45680</v>
      </c>
      <c r="K56" t="s">
        <v>25</v>
      </c>
      <c r="L56">
        <v>43605</v>
      </c>
      <c r="M56">
        <v>264</v>
      </c>
      <c r="N56">
        <v>314</v>
      </c>
      <c r="O56" s="4">
        <v>9200</v>
      </c>
      <c r="P56" s="4">
        <v>10141.1640625</v>
      </c>
      <c r="Q56" s="5">
        <f t="shared" si="0"/>
        <v>0.10230044157608686</v>
      </c>
      <c r="R56" s="4">
        <v>10154.436933304951</v>
      </c>
      <c r="S56" s="5">
        <f t="shared" si="1"/>
        <v>0.10374314492445125</v>
      </c>
      <c r="T56" s="4">
        <v>10065.090545923869</v>
      </c>
      <c r="U56" s="5">
        <f t="shared" si="2"/>
        <v>9.403158107868137E-2</v>
      </c>
      <c r="V56" s="4">
        <v>10191.55859375</v>
      </c>
      <c r="W56" s="5">
        <f t="shared" si="3"/>
        <v>0.10777810801630427</v>
      </c>
    </row>
    <row r="57" spans="1:23" x14ac:dyDescent="0.25">
      <c r="A57" t="s">
        <v>162</v>
      </c>
      <c r="B57">
        <v>2012</v>
      </c>
      <c r="C57" t="s">
        <v>139</v>
      </c>
      <c r="D57" t="s">
        <v>163</v>
      </c>
      <c r="E57">
        <v>73427</v>
      </c>
      <c r="F57" t="s">
        <v>43</v>
      </c>
      <c r="G57" t="s">
        <v>44</v>
      </c>
      <c r="H57" t="s">
        <v>25</v>
      </c>
      <c r="I57" t="s">
        <v>24</v>
      </c>
      <c r="J57" s="2">
        <v>45300</v>
      </c>
      <c r="K57" t="s">
        <v>25</v>
      </c>
      <c r="L57">
        <v>43605</v>
      </c>
      <c r="M57">
        <v>264</v>
      </c>
      <c r="N57">
        <v>314</v>
      </c>
      <c r="O57" s="4">
        <v>7000</v>
      </c>
      <c r="P57" s="4">
        <v>7956.353515625</v>
      </c>
      <c r="Q57" s="5">
        <f t="shared" si="0"/>
        <v>0.13662193080357143</v>
      </c>
      <c r="R57" s="4">
        <v>9276.1875645213568</v>
      </c>
      <c r="S57" s="5">
        <f t="shared" si="1"/>
        <v>0.32516965207447956</v>
      </c>
      <c r="T57" s="4">
        <v>12099.456004923921</v>
      </c>
      <c r="U57" s="5">
        <f t="shared" si="2"/>
        <v>0.72849371498913151</v>
      </c>
      <c r="V57" s="4">
        <v>7463.02880859375</v>
      </c>
      <c r="W57" s="5">
        <f t="shared" si="3"/>
        <v>6.6146972656250025E-2</v>
      </c>
    </row>
    <row r="58" spans="1:23" x14ac:dyDescent="0.25">
      <c r="A58" t="s">
        <v>164</v>
      </c>
      <c r="B58">
        <v>2017</v>
      </c>
      <c r="C58" t="s">
        <v>159</v>
      </c>
      <c r="D58" t="s">
        <v>165</v>
      </c>
      <c r="E58">
        <v>74330</v>
      </c>
      <c r="F58" t="s">
        <v>77</v>
      </c>
      <c r="G58" t="s">
        <v>38</v>
      </c>
      <c r="H58" t="s">
        <v>25</v>
      </c>
      <c r="I58" t="s">
        <v>24</v>
      </c>
      <c r="J58" s="2">
        <v>45666</v>
      </c>
      <c r="K58" t="s">
        <v>25</v>
      </c>
      <c r="L58">
        <v>43605</v>
      </c>
      <c r="M58">
        <v>264</v>
      </c>
      <c r="N58">
        <v>314</v>
      </c>
      <c r="O58" s="4">
        <v>11400</v>
      </c>
      <c r="P58" s="4">
        <v>8589.4765625</v>
      </c>
      <c r="Q58" s="5">
        <f t="shared" si="0"/>
        <v>-0.24653714364035084</v>
      </c>
      <c r="R58" s="4">
        <v>11594.65256201187</v>
      </c>
      <c r="S58" s="5">
        <f t="shared" si="1"/>
        <v>1.7074786141392018E-2</v>
      </c>
      <c r="T58" s="4">
        <v>10938.512147897811</v>
      </c>
      <c r="U58" s="5">
        <f t="shared" si="2"/>
        <v>-4.0481390535279771E-2</v>
      </c>
      <c r="V58" s="4">
        <v>7764.3525390625</v>
      </c>
      <c r="W58" s="5">
        <f t="shared" si="3"/>
        <v>-0.31891644394188601</v>
      </c>
    </row>
    <row r="59" spans="1:23" x14ac:dyDescent="0.25">
      <c r="A59" t="s">
        <v>166</v>
      </c>
      <c r="B59">
        <v>2018</v>
      </c>
      <c r="C59" t="s">
        <v>167</v>
      </c>
      <c r="D59" t="s">
        <v>168</v>
      </c>
      <c r="E59">
        <v>78628</v>
      </c>
      <c r="F59" t="s">
        <v>79</v>
      </c>
      <c r="G59" t="s">
        <v>38</v>
      </c>
      <c r="H59" t="s">
        <v>25</v>
      </c>
      <c r="I59" t="s">
        <v>24</v>
      </c>
      <c r="J59" s="2">
        <v>45596</v>
      </c>
      <c r="K59" t="s">
        <v>25</v>
      </c>
      <c r="L59">
        <v>43605</v>
      </c>
      <c r="M59">
        <v>264</v>
      </c>
      <c r="N59">
        <v>314</v>
      </c>
      <c r="O59" s="4">
        <v>9000</v>
      </c>
      <c r="P59" s="4">
        <v>6218.8818359375</v>
      </c>
      <c r="Q59" s="5">
        <f t="shared" si="0"/>
        <v>-0.3090131293402778</v>
      </c>
      <c r="R59" s="4">
        <v>5714.6332999924098</v>
      </c>
      <c r="S59" s="5">
        <f t="shared" si="1"/>
        <v>-0.36504074444528778</v>
      </c>
      <c r="T59" s="4">
        <v>5738.9507359405052</v>
      </c>
      <c r="U59" s="5">
        <f t="shared" si="2"/>
        <v>-0.3623388071177216</v>
      </c>
      <c r="V59" s="4">
        <v>6116.775390625</v>
      </c>
      <c r="W59" s="5">
        <f t="shared" si="3"/>
        <v>-0.3203582899305556</v>
      </c>
    </row>
    <row r="60" spans="1:23" x14ac:dyDescent="0.25">
      <c r="A60" t="s">
        <v>169</v>
      </c>
      <c r="B60">
        <v>2020</v>
      </c>
      <c r="C60" t="s">
        <v>167</v>
      </c>
      <c r="D60" t="s">
        <v>168</v>
      </c>
      <c r="E60">
        <v>97995</v>
      </c>
      <c r="F60" t="s">
        <v>89</v>
      </c>
      <c r="G60" t="s">
        <v>34</v>
      </c>
      <c r="H60" t="s">
        <v>25</v>
      </c>
      <c r="I60" t="s">
        <v>24</v>
      </c>
      <c r="J60" s="2">
        <v>45666</v>
      </c>
      <c r="K60" t="s">
        <v>25</v>
      </c>
      <c r="L60">
        <v>43605</v>
      </c>
      <c r="M60">
        <v>264</v>
      </c>
      <c r="N60">
        <v>314</v>
      </c>
      <c r="O60" s="4">
        <v>8800</v>
      </c>
      <c r="P60" s="4">
        <v>6274.96142578125</v>
      </c>
      <c r="Q60" s="5">
        <f t="shared" si="0"/>
        <v>-0.28693620161576705</v>
      </c>
      <c r="R60" s="4">
        <v>6464.4925923020128</v>
      </c>
      <c r="S60" s="5">
        <f t="shared" si="1"/>
        <v>-0.26539856905658943</v>
      </c>
      <c r="T60" s="4">
        <v>5525.7104812166608</v>
      </c>
      <c r="U60" s="5">
        <f t="shared" si="2"/>
        <v>-0.37207835440719761</v>
      </c>
      <c r="V60" s="4">
        <v>6191.29833984375</v>
      </c>
      <c r="W60" s="5">
        <f t="shared" si="3"/>
        <v>-0.29644337047230118</v>
      </c>
    </row>
    <row r="61" spans="1:23" x14ac:dyDescent="0.25">
      <c r="A61" t="s">
        <v>170</v>
      </c>
      <c r="B61">
        <v>2019</v>
      </c>
      <c r="C61" t="s">
        <v>167</v>
      </c>
      <c r="D61" t="s">
        <v>171</v>
      </c>
      <c r="E61">
        <v>78270</v>
      </c>
      <c r="F61" t="s">
        <v>43</v>
      </c>
      <c r="G61" t="s">
        <v>44</v>
      </c>
      <c r="H61" t="s">
        <v>25</v>
      </c>
      <c r="I61" t="s">
        <v>24</v>
      </c>
      <c r="J61" s="2">
        <v>45449</v>
      </c>
      <c r="K61" t="s">
        <v>25</v>
      </c>
      <c r="L61">
        <v>43605</v>
      </c>
      <c r="M61">
        <v>264</v>
      </c>
      <c r="N61">
        <v>314</v>
      </c>
      <c r="O61" s="4">
        <v>16100</v>
      </c>
      <c r="P61" s="4">
        <v>11413.0712890625</v>
      </c>
      <c r="Q61" s="5">
        <f t="shared" si="0"/>
        <v>-0.29111358453027947</v>
      </c>
      <c r="R61" s="4">
        <v>11481.65054966262</v>
      </c>
      <c r="S61" s="5">
        <f t="shared" si="1"/>
        <v>-0.28685400312654541</v>
      </c>
      <c r="T61" s="4">
        <v>11178.220604855531</v>
      </c>
      <c r="U61" s="5">
        <f t="shared" si="2"/>
        <v>-0.30570058354934593</v>
      </c>
      <c r="V61" s="4">
        <v>11338.146484375</v>
      </c>
      <c r="W61" s="5">
        <f t="shared" si="3"/>
        <v>-0.29576729910714283</v>
      </c>
    </row>
    <row r="62" spans="1:23" x14ac:dyDescent="0.25">
      <c r="A62" t="s">
        <v>172</v>
      </c>
      <c r="B62">
        <v>2018</v>
      </c>
      <c r="C62" t="s">
        <v>156</v>
      </c>
      <c r="D62" t="s">
        <v>173</v>
      </c>
      <c r="E62">
        <v>76588</v>
      </c>
      <c r="F62" t="s">
        <v>174</v>
      </c>
      <c r="G62" t="s">
        <v>44</v>
      </c>
      <c r="H62" t="s">
        <v>25</v>
      </c>
      <c r="I62" t="s">
        <v>24</v>
      </c>
      <c r="J62" s="2">
        <v>45596</v>
      </c>
      <c r="K62" t="s">
        <v>25</v>
      </c>
      <c r="L62">
        <v>43605</v>
      </c>
      <c r="M62">
        <v>264</v>
      </c>
      <c r="N62">
        <v>314</v>
      </c>
      <c r="O62" s="4">
        <v>8800</v>
      </c>
      <c r="P62" s="4">
        <v>9759.8642578125</v>
      </c>
      <c r="Q62" s="5">
        <f t="shared" si="0"/>
        <v>0.10907548384232957</v>
      </c>
      <c r="R62" s="4">
        <v>12004.835148914101</v>
      </c>
      <c r="S62" s="5">
        <f t="shared" si="1"/>
        <v>0.36418581237660241</v>
      </c>
      <c r="T62" s="4">
        <v>8944.5511692028849</v>
      </c>
      <c r="U62" s="5">
        <f t="shared" si="2"/>
        <v>1.6426269227600487E-2</v>
      </c>
      <c r="V62" s="4">
        <v>8919.90234375</v>
      </c>
      <c r="W62" s="5">
        <f t="shared" si="3"/>
        <v>1.3625266335227204E-2</v>
      </c>
    </row>
    <row r="63" spans="1:23" x14ac:dyDescent="0.25">
      <c r="A63" t="s">
        <v>175</v>
      </c>
      <c r="B63">
        <v>2015</v>
      </c>
      <c r="C63" t="s">
        <v>156</v>
      </c>
      <c r="D63" t="s">
        <v>176</v>
      </c>
      <c r="E63">
        <v>121732</v>
      </c>
      <c r="F63" t="s">
        <v>79</v>
      </c>
      <c r="G63" t="s">
        <v>30</v>
      </c>
      <c r="H63" t="s">
        <v>24</v>
      </c>
      <c r="I63" t="s">
        <v>25</v>
      </c>
      <c r="J63" s="2">
        <v>45596</v>
      </c>
      <c r="K63" t="s">
        <v>25</v>
      </c>
      <c r="L63">
        <v>43605</v>
      </c>
      <c r="M63">
        <v>264</v>
      </c>
      <c r="N63">
        <v>314</v>
      </c>
      <c r="O63" s="4">
        <v>9000</v>
      </c>
      <c r="P63" s="4">
        <v>2300.273193359375</v>
      </c>
      <c r="Q63" s="5">
        <f t="shared" si="0"/>
        <v>-0.74441408962673616</v>
      </c>
      <c r="R63" s="4">
        <v>2488.047802304749</v>
      </c>
      <c r="S63" s="5">
        <f t="shared" si="1"/>
        <v>-0.72355024418836122</v>
      </c>
      <c r="T63" s="4">
        <v>4672.5941765042753</v>
      </c>
      <c r="U63" s="5">
        <f t="shared" si="2"/>
        <v>-0.48082286927730278</v>
      </c>
      <c r="V63" s="4">
        <v>2232.905517578125</v>
      </c>
      <c r="W63" s="5">
        <f t="shared" si="3"/>
        <v>-0.75189938693576386</v>
      </c>
    </row>
    <row r="64" spans="1:23" x14ac:dyDescent="0.25">
      <c r="A64" t="s">
        <v>177</v>
      </c>
      <c r="B64">
        <v>2016</v>
      </c>
      <c r="C64" t="s">
        <v>156</v>
      </c>
      <c r="D64" t="s">
        <v>178</v>
      </c>
      <c r="E64">
        <v>124895</v>
      </c>
      <c r="F64" t="s">
        <v>43</v>
      </c>
      <c r="G64" t="s">
        <v>44</v>
      </c>
      <c r="H64" t="s">
        <v>25</v>
      </c>
      <c r="I64" t="s">
        <v>24</v>
      </c>
      <c r="J64" s="2">
        <v>45554</v>
      </c>
      <c r="K64" t="s">
        <v>25</v>
      </c>
      <c r="L64">
        <v>43605</v>
      </c>
      <c r="M64">
        <v>264</v>
      </c>
      <c r="N64">
        <v>314</v>
      </c>
      <c r="O64" s="4">
        <v>7600</v>
      </c>
      <c r="P64" s="4">
        <v>5230.23876953125</v>
      </c>
      <c r="Q64" s="5">
        <f t="shared" si="0"/>
        <v>-0.31181068821957236</v>
      </c>
      <c r="R64" s="4">
        <v>6119.7411434320938</v>
      </c>
      <c r="S64" s="5">
        <f t="shared" si="1"/>
        <v>-0.1947709021799876</v>
      </c>
      <c r="T64" s="4">
        <v>6791.8495566415104</v>
      </c>
      <c r="U64" s="5">
        <f t="shared" si="2"/>
        <v>-0.10633558465243287</v>
      </c>
      <c r="V64" s="4">
        <v>4964.55419921875</v>
      </c>
      <c r="W64" s="5">
        <f t="shared" si="3"/>
        <v>-0.34676918431332238</v>
      </c>
    </row>
    <row r="65" spans="1:23" x14ac:dyDescent="0.25">
      <c r="A65" t="s">
        <v>179</v>
      </c>
      <c r="B65">
        <v>2018</v>
      </c>
      <c r="C65" t="s">
        <v>167</v>
      </c>
      <c r="D65" t="s">
        <v>180</v>
      </c>
      <c r="E65">
        <v>96240</v>
      </c>
      <c r="F65" t="s">
        <v>106</v>
      </c>
      <c r="G65" t="s">
        <v>23</v>
      </c>
      <c r="H65" t="s">
        <v>24</v>
      </c>
      <c r="I65" t="s">
        <v>25</v>
      </c>
      <c r="J65" s="2">
        <v>45610</v>
      </c>
      <c r="K65" t="s">
        <v>25</v>
      </c>
      <c r="L65">
        <v>43605</v>
      </c>
      <c r="M65">
        <v>264</v>
      </c>
      <c r="N65">
        <v>314</v>
      </c>
      <c r="O65" s="4">
        <v>4000</v>
      </c>
      <c r="P65" s="4">
        <v>7471.2373046875</v>
      </c>
      <c r="Q65" s="5">
        <f t="shared" si="0"/>
        <v>0.8678093261718749</v>
      </c>
      <c r="R65" s="4">
        <v>7852.8413076239322</v>
      </c>
      <c r="S65" s="5">
        <f t="shared" si="1"/>
        <v>0.96321032690598307</v>
      </c>
      <c r="T65" s="4">
        <v>8974.419555831515</v>
      </c>
      <c r="U65" s="5">
        <f t="shared" si="2"/>
        <v>1.2436048889578788</v>
      </c>
      <c r="V65" s="4">
        <v>7447.20654296875</v>
      </c>
      <c r="W65" s="5">
        <f t="shared" si="3"/>
        <v>0.8618016357421876</v>
      </c>
    </row>
    <row r="66" spans="1:23" x14ac:dyDescent="0.25">
      <c r="A66" t="s">
        <v>181</v>
      </c>
      <c r="B66">
        <v>2020</v>
      </c>
      <c r="C66" t="s">
        <v>182</v>
      </c>
      <c r="D66" t="s">
        <v>183</v>
      </c>
      <c r="E66">
        <v>36199</v>
      </c>
      <c r="F66" t="s">
        <v>174</v>
      </c>
      <c r="G66" t="s">
        <v>44</v>
      </c>
      <c r="H66" t="s">
        <v>25</v>
      </c>
      <c r="I66" t="s">
        <v>24</v>
      </c>
      <c r="J66" s="2">
        <v>45482</v>
      </c>
      <c r="K66" t="s">
        <v>25</v>
      </c>
      <c r="L66">
        <v>43605</v>
      </c>
      <c r="M66">
        <v>264</v>
      </c>
      <c r="N66">
        <v>314</v>
      </c>
      <c r="O66" s="4">
        <v>23000</v>
      </c>
      <c r="P66" s="4">
        <v>21338.615234375</v>
      </c>
      <c r="Q66" s="5">
        <f t="shared" si="0"/>
        <v>-7.2234120244565214E-2</v>
      </c>
      <c r="R66" s="4">
        <v>23196.132651632939</v>
      </c>
      <c r="S66" s="5">
        <f t="shared" si="1"/>
        <v>8.527506592736378E-3</v>
      </c>
      <c r="T66" s="4">
        <v>18747.951459602049</v>
      </c>
      <c r="U66" s="5">
        <f t="shared" si="2"/>
        <v>-0.18487167566947615</v>
      </c>
      <c r="V66" s="4">
        <v>20781.103515625</v>
      </c>
      <c r="W66" s="5">
        <f t="shared" si="3"/>
        <v>-9.6473760190217361E-2</v>
      </c>
    </row>
    <row r="67" spans="1:23" x14ac:dyDescent="0.25">
      <c r="A67" t="s">
        <v>184</v>
      </c>
      <c r="B67">
        <v>2013</v>
      </c>
      <c r="C67" t="s">
        <v>185</v>
      </c>
      <c r="D67" t="s">
        <v>186</v>
      </c>
      <c r="E67">
        <v>101511</v>
      </c>
      <c r="F67" t="s">
        <v>102</v>
      </c>
      <c r="G67" t="s">
        <v>44</v>
      </c>
      <c r="H67" t="s">
        <v>25</v>
      </c>
      <c r="I67" t="s">
        <v>24</v>
      </c>
      <c r="J67" s="2">
        <v>45538</v>
      </c>
      <c r="K67" t="s">
        <v>25</v>
      </c>
      <c r="L67">
        <v>43605</v>
      </c>
      <c r="M67">
        <v>264</v>
      </c>
      <c r="N67">
        <v>314</v>
      </c>
      <c r="O67" s="4">
        <v>2600</v>
      </c>
      <c r="P67" s="4">
        <v>5581.2392578125</v>
      </c>
      <c r="Q67" s="5">
        <f t="shared" ref="Q67:Q130" si="4">(P67/$O67)-1</f>
        <v>1.1466304837740386</v>
      </c>
      <c r="R67" s="4">
        <v>4694.5822445465919</v>
      </c>
      <c r="S67" s="5">
        <f t="shared" ref="S67:S130" si="5">(R67/$O67)-1</f>
        <v>0.80560855559484312</v>
      </c>
      <c r="T67" s="4">
        <v>5362.5841906912374</v>
      </c>
      <c r="U67" s="5">
        <f t="shared" ref="U67:U130" si="6">(T67/$O67)-1</f>
        <v>1.0625323810350915</v>
      </c>
      <c r="V67" s="4">
        <v>5640.04443359375</v>
      </c>
      <c r="W67" s="5">
        <f t="shared" ref="W67:W130" si="7">(V67/$O67)-1</f>
        <v>1.1692478590745194</v>
      </c>
    </row>
    <row r="68" spans="1:23" x14ac:dyDescent="0.25">
      <c r="A68" t="s">
        <v>187</v>
      </c>
      <c r="B68">
        <v>2021</v>
      </c>
      <c r="C68" t="s">
        <v>167</v>
      </c>
      <c r="D68" t="s">
        <v>188</v>
      </c>
      <c r="E68">
        <v>25977</v>
      </c>
      <c r="F68" t="s">
        <v>189</v>
      </c>
      <c r="G68" t="s">
        <v>44</v>
      </c>
      <c r="H68" t="s">
        <v>25</v>
      </c>
      <c r="I68" t="s">
        <v>24</v>
      </c>
      <c r="J68" s="2">
        <v>45631</v>
      </c>
      <c r="K68" t="s">
        <v>25</v>
      </c>
      <c r="L68">
        <v>43605</v>
      </c>
      <c r="M68">
        <v>264</v>
      </c>
      <c r="N68">
        <v>314</v>
      </c>
      <c r="O68" s="4">
        <v>22900</v>
      </c>
      <c r="P68" s="4">
        <v>18384.583984375</v>
      </c>
      <c r="Q68" s="5">
        <f t="shared" si="4"/>
        <v>-0.19717973867358074</v>
      </c>
      <c r="R68" s="4">
        <v>21653.277952692159</v>
      </c>
      <c r="S68" s="5">
        <f t="shared" si="5"/>
        <v>-5.4442010799469087E-2</v>
      </c>
      <c r="T68" s="4">
        <v>22091.946040723389</v>
      </c>
      <c r="U68" s="5">
        <f t="shared" si="6"/>
        <v>-3.5286199095048487E-2</v>
      </c>
      <c r="V68" s="4">
        <v>17764.109375</v>
      </c>
      <c r="W68" s="5">
        <f t="shared" si="7"/>
        <v>-0.22427469978165937</v>
      </c>
    </row>
    <row r="69" spans="1:23" x14ac:dyDescent="0.25">
      <c r="A69" t="s">
        <v>190</v>
      </c>
      <c r="B69">
        <v>2014</v>
      </c>
      <c r="C69" t="s">
        <v>167</v>
      </c>
      <c r="D69" t="s">
        <v>168</v>
      </c>
      <c r="E69">
        <v>111147</v>
      </c>
      <c r="F69" t="s">
        <v>77</v>
      </c>
      <c r="G69" t="s">
        <v>38</v>
      </c>
      <c r="H69" t="s">
        <v>25</v>
      </c>
      <c r="I69" t="s">
        <v>24</v>
      </c>
      <c r="J69" s="2">
        <v>45428</v>
      </c>
      <c r="K69" t="s">
        <v>25</v>
      </c>
      <c r="L69">
        <v>43605</v>
      </c>
      <c r="M69">
        <v>264</v>
      </c>
      <c r="N69">
        <v>314</v>
      </c>
      <c r="O69" s="4">
        <v>6700</v>
      </c>
      <c r="P69" s="4">
        <v>3009.737548828125</v>
      </c>
      <c r="Q69" s="5">
        <f t="shared" si="4"/>
        <v>-0.55078544047341416</v>
      </c>
      <c r="R69" s="4">
        <v>4193.5147707181541</v>
      </c>
      <c r="S69" s="5">
        <f t="shared" si="5"/>
        <v>-0.37410227302714116</v>
      </c>
      <c r="T69" s="4">
        <v>3246.8724938198052</v>
      </c>
      <c r="U69" s="5">
        <f t="shared" si="6"/>
        <v>-0.51539216510152164</v>
      </c>
      <c r="V69" s="4">
        <v>2651.050048828125</v>
      </c>
      <c r="W69" s="5">
        <f t="shared" si="7"/>
        <v>-0.60432088823460828</v>
      </c>
    </row>
    <row r="70" spans="1:23" x14ac:dyDescent="0.25">
      <c r="A70" t="s">
        <v>191</v>
      </c>
      <c r="B70">
        <v>2013</v>
      </c>
      <c r="C70" t="s">
        <v>167</v>
      </c>
      <c r="D70" t="s">
        <v>192</v>
      </c>
      <c r="E70">
        <v>140436</v>
      </c>
      <c r="F70" t="s">
        <v>22</v>
      </c>
      <c r="G70" t="s">
        <v>23</v>
      </c>
      <c r="H70" t="s">
        <v>24</v>
      </c>
      <c r="I70" t="s">
        <v>25</v>
      </c>
      <c r="J70" s="2">
        <v>45449</v>
      </c>
      <c r="K70" t="s">
        <v>25</v>
      </c>
      <c r="L70">
        <v>43605</v>
      </c>
      <c r="M70">
        <v>264</v>
      </c>
      <c r="N70">
        <v>314</v>
      </c>
      <c r="O70" s="4">
        <v>2700</v>
      </c>
      <c r="P70" s="4">
        <v>1639.1240234375</v>
      </c>
      <c r="Q70" s="5">
        <f t="shared" si="4"/>
        <v>-0.39291702835648146</v>
      </c>
      <c r="R70" s="4">
        <v>1612.565077692718</v>
      </c>
      <c r="S70" s="5">
        <f t="shared" si="5"/>
        <v>-0.40275367492862302</v>
      </c>
      <c r="T70" s="4">
        <v>1648.581373316636</v>
      </c>
      <c r="U70" s="5">
        <f t="shared" si="6"/>
        <v>-0.38941430617902373</v>
      </c>
      <c r="V70" s="4">
        <v>1612.918701171875</v>
      </c>
      <c r="W70" s="5">
        <f t="shared" si="7"/>
        <v>-0.40262270326967597</v>
      </c>
    </row>
    <row r="71" spans="1:23" x14ac:dyDescent="0.25">
      <c r="A71" t="s">
        <v>193</v>
      </c>
      <c r="B71">
        <v>2013</v>
      </c>
      <c r="C71" t="s">
        <v>156</v>
      </c>
      <c r="D71" t="s">
        <v>194</v>
      </c>
      <c r="E71">
        <v>112824</v>
      </c>
      <c r="F71" t="s">
        <v>37</v>
      </c>
      <c r="G71" t="s">
        <v>38</v>
      </c>
      <c r="H71" t="s">
        <v>25</v>
      </c>
      <c r="I71" t="s">
        <v>24</v>
      </c>
      <c r="J71" s="2">
        <v>45664</v>
      </c>
      <c r="K71" t="s">
        <v>25</v>
      </c>
      <c r="L71">
        <v>43605</v>
      </c>
      <c r="M71">
        <v>264</v>
      </c>
      <c r="N71">
        <v>314</v>
      </c>
      <c r="O71" s="4">
        <v>2300</v>
      </c>
      <c r="P71" s="4">
        <v>2043.806030273438</v>
      </c>
      <c r="Q71" s="5">
        <f t="shared" si="4"/>
        <v>-0.1113886824898096</v>
      </c>
      <c r="R71" s="4">
        <v>3132.2994646805591</v>
      </c>
      <c r="S71" s="5">
        <f t="shared" si="5"/>
        <v>0.36186933246980835</v>
      </c>
      <c r="T71" s="4">
        <v>4865.6453478102831</v>
      </c>
      <c r="U71" s="5">
        <f t="shared" si="6"/>
        <v>1.1154979773088187</v>
      </c>
      <c r="V71" s="4">
        <v>1928.441772460938</v>
      </c>
      <c r="W71" s="5">
        <f t="shared" si="7"/>
        <v>-0.16154705545176606</v>
      </c>
    </row>
    <row r="72" spans="1:23" x14ac:dyDescent="0.25">
      <c r="A72" t="s">
        <v>195</v>
      </c>
      <c r="B72">
        <v>2020</v>
      </c>
      <c r="C72" t="s">
        <v>156</v>
      </c>
      <c r="D72" t="s">
        <v>196</v>
      </c>
      <c r="E72">
        <v>80143</v>
      </c>
      <c r="F72" t="s">
        <v>89</v>
      </c>
      <c r="G72" t="s">
        <v>38</v>
      </c>
      <c r="H72" t="s">
        <v>25</v>
      </c>
      <c r="I72" t="s">
        <v>24</v>
      </c>
      <c r="J72" s="2">
        <v>45596</v>
      </c>
      <c r="K72" t="s">
        <v>25</v>
      </c>
      <c r="L72">
        <v>43605</v>
      </c>
      <c r="M72">
        <v>264</v>
      </c>
      <c r="N72">
        <v>314</v>
      </c>
      <c r="O72" s="4">
        <v>9500</v>
      </c>
      <c r="P72" s="4">
        <v>7260.66943359375</v>
      </c>
      <c r="Q72" s="5">
        <f t="shared" si="4"/>
        <v>-0.2357190069901316</v>
      </c>
      <c r="R72" s="4">
        <v>6890.006504317631</v>
      </c>
      <c r="S72" s="5">
        <f t="shared" si="5"/>
        <v>-0.27473615744024937</v>
      </c>
      <c r="T72" s="4">
        <v>7731.5673364350569</v>
      </c>
      <c r="U72" s="5">
        <f t="shared" si="6"/>
        <v>-0.18615080669104667</v>
      </c>
      <c r="V72" s="4">
        <v>7398.59814453125</v>
      </c>
      <c r="W72" s="5">
        <f t="shared" si="7"/>
        <v>-0.22120019531250001</v>
      </c>
    </row>
    <row r="73" spans="1:23" x14ac:dyDescent="0.25">
      <c r="A73" t="s">
        <v>197</v>
      </c>
      <c r="B73">
        <v>2019</v>
      </c>
      <c r="C73" t="s">
        <v>156</v>
      </c>
      <c r="D73" t="s">
        <v>196</v>
      </c>
      <c r="E73">
        <v>94701</v>
      </c>
      <c r="F73" t="s">
        <v>82</v>
      </c>
      <c r="G73" t="s">
        <v>34</v>
      </c>
      <c r="H73" t="s">
        <v>25</v>
      </c>
      <c r="I73" t="s">
        <v>24</v>
      </c>
      <c r="J73" s="2">
        <v>45412</v>
      </c>
      <c r="K73" t="s">
        <v>25</v>
      </c>
      <c r="L73">
        <v>43605</v>
      </c>
      <c r="M73">
        <v>264</v>
      </c>
      <c r="N73">
        <v>314</v>
      </c>
      <c r="O73" s="4">
        <v>11200</v>
      </c>
      <c r="P73" s="4">
        <v>5192.2138671875</v>
      </c>
      <c r="Q73" s="5">
        <f t="shared" si="4"/>
        <v>-0.53640947614397327</v>
      </c>
      <c r="R73" s="4">
        <v>4958.1681876250632</v>
      </c>
      <c r="S73" s="5">
        <f t="shared" si="5"/>
        <v>-0.55730641181919083</v>
      </c>
      <c r="T73" s="4">
        <v>5055.5169207701756</v>
      </c>
      <c r="U73" s="5">
        <f t="shared" si="6"/>
        <v>-0.54861456064552006</v>
      </c>
      <c r="V73" s="4">
        <v>5165.44580078125</v>
      </c>
      <c r="W73" s="5">
        <f t="shared" si="7"/>
        <v>-0.53879948207310269</v>
      </c>
    </row>
    <row r="74" spans="1:23" x14ac:dyDescent="0.25">
      <c r="A74" t="s">
        <v>198</v>
      </c>
      <c r="B74">
        <v>2013</v>
      </c>
      <c r="C74" t="s">
        <v>199</v>
      </c>
      <c r="D74" t="s">
        <v>200</v>
      </c>
      <c r="E74">
        <v>75903</v>
      </c>
      <c r="F74" t="s">
        <v>77</v>
      </c>
      <c r="G74" t="s">
        <v>34</v>
      </c>
      <c r="H74" t="s">
        <v>25</v>
      </c>
      <c r="I74" t="s">
        <v>24</v>
      </c>
      <c r="J74" s="2">
        <v>45720</v>
      </c>
      <c r="K74" t="s">
        <v>25</v>
      </c>
      <c r="L74">
        <v>43605</v>
      </c>
      <c r="M74">
        <v>264</v>
      </c>
      <c r="N74">
        <v>314</v>
      </c>
      <c r="O74" s="4">
        <v>2441.6666666666702</v>
      </c>
      <c r="P74" s="4">
        <v>4000.056396484375</v>
      </c>
      <c r="Q74" s="5">
        <f t="shared" si="4"/>
        <v>0.6382483535089567</v>
      </c>
      <c r="R74" s="4">
        <v>6085.347705701839</v>
      </c>
      <c r="S74" s="5">
        <f t="shared" si="5"/>
        <v>1.4922925757140604</v>
      </c>
      <c r="T74" s="4">
        <v>6389.2614611295394</v>
      </c>
      <c r="U74" s="5">
        <f t="shared" si="6"/>
        <v>1.6167623731588519</v>
      </c>
      <c r="V74" s="4">
        <v>3585.58642578125</v>
      </c>
      <c r="W74" s="5">
        <f t="shared" si="7"/>
        <v>0.46849956004692617</v>
      </c>
    </row>
    <row r="75" spans="1:23" x14ac:dyDescent="0.25">
      <c r="A75" t="s">
        <v>201</v>
      </c>
      <c r="B75">
        <v>2013</v>
      </c>
      <c r="C75" t="s">
        <v>202</v>
      </c>
      <c r="D75" t="s">
        <v>203</v>
      </c>
      <c r="E75">
        <v>84025</v>
      </c>
      <c r="F75" t="s">
        <v>151</v>
      </c>
      <c r="G75" t="s">
        <v>44</v>
      </c>
      <c r="H75" t="s">
        <v>25</v>
      </c>
      <c r="I75" t="s">
        <v>24</v>
      </c>
      <c r="J75" s="2">
        <v>45356</v>
      </c>
      <c r="K75" t="s">
        <v>25</v>
      </c>
      <c r="L75">
        <v>43605</v>
      </c>
      <c r="M75">
        <v>264</v>
      </c>
      <c r="N75">
        <v>314</v>
      </c>
      <c r="O75" s="4">
        <v>16855.8823529412</v>
      </c>
      <c r="P75" s="4">
        <v>7835.9658203125</v>
      </c>
      <c r="Q75" s="5">
        <f t="shared" si="4"/>
        <v>-0.53511980825226901</v>
      </c>
      <c r="R75" s="4">
        <v>7955.6481047381694</v>
      </c>
      <c r="S75" s="5">
        <f t="shared" si="5"/>
        <v>-0.52801948078677818</v>
      </c>
      <c r="T75" s="4">
        <v>8104.8024702195253</v>
      </c>
      <c r="U75" s="5">
        <f t="shared" si="6"/>
        <v>-0.51917067878648848</v>
      </c>
      <c r="V75" s="4">
        <v>7800.67724609375</v>
      </c>
      <c r="W75" s="5">
        <f t="shared" si="7"/>
        <v>-0.53721335479464816</v>
      </c>
    </row>
    <row r="76" spans="1:23" x14ac:dyDescent="0.25">
      <c r="A76" t="s">
        <v>204</v>
      </c>
      <c r="B76">
        <v>2015</v>
      </c>
      <c r="C76" t="s">
        <v>120</v>
      </c>
      <c r="D76">
        <v>200</v>
      </c>
      <c r="E76">
        <v>97687</v>
      </c>
      <c r="F76" t="s">
        <v>77</v>
      </c>
      <c r="G76" t="s">
        <v>38</v>
      </c>
      <c r="H76" t="s">
        <v>25</v>
      </c>
      <c r="I76" t="s">
        <v>24</v>
      </c>
      <c r="J76" s="2">
        <v>45720</v>
      </c>
      <c r="K76" t="s">
        <v>25</v>
      </c>
      <c r="L76">
        <v>43608</v>
      </c>
      <c r="M76">
        <v>264</v>
      </c>
      <c r="N76">
        <v>314</v>
      </c>
      <c r="O76" s="4">
        <v>1600</v>
      </c>
      <c r="P76" s="4">
        <v>4583.00537109375</v>
      </c>
      <c r="Q76" s="5">
        <f t="shared" si="4"/>
        <v>1.8643783569335937</v>
      </c>
      <c r="R76" s="4">
        <v>6856.1516052599254</v>
      </c>
      <c r="S76" s="5">
        <f t="shared" si="5"/>
        <v>3.2850947532874537</v>
      </c>
      <c r="T76" s="4">
        <v>4449.4855098409826</v>
      </c>
      <c r="U76" s="5">
        <f t="shared" si="6"/>
        <v>1.7809284436506143</v>
      </c>
      <c r="V76" s="4">
        <v>4133.3515625</v>
      </c>
      <c r="W76" s="5">
        <f t="shared" si="7"/>
        <v>1.5833447265624998</v>
      </c>
    </row>
    <row r="77" spans="1:23" x14ac:dyDescent="0.25">
      <c r="A77" t="s">
        <v>205</v>
      </c>
      <c r="B77">
        <v>2015</v>
      </c>
      <c r="C77" t="s">
        <v>120</v>
      </c>
      <c r="D77" t="s">
        <v>206</v>
      </c>
      <c r="E77">
        <v>103281</v>
      </c>
      <c r="F77" t="s">
        <v>48</v>
      </c>
      <c r="G77" t="s">
        <v>30</v>
      </c>
      <c r="H77" t="s">
        <v>24</v>
      </c>
      <c r="I77" t="s">
        <v>25</v>
      </c>
      <c r="J77" s="2">
        <v>45484</v>
      </c>
      <c r="K77" t="s">
        <v>25</v>
      </c>
      <c r="L77">
        <v>43608</v>
      </c>
      <c r="M77">
        <v>264</v>
      </c>
      <c r="N77">
        <v>314</v>
      </c>
      <c r="O77" s="4">
        <v>9000</v>
      </c>
      <c r="P77" s="4">
        <v>4182.02197265625</v>
      </c>
      <c r="Q77" s="5">
        <f t="shared" si="4"/>
        <v>-0.53533089192708339</v>
      </c>
      <c r="R77" s="4">
        <v>6034.7882784453204</v>
      </c>
      <c r="S77" s="5">
        <f t="shared" si="5"/>
        <v>-0.32946796906163112</v>
      </c>
      <c r="T77" s="4">
        <v>7023.8681971499655</v>
      </c>
      <c r="U77" s="5">
        <f t="shared" si="6"/>
        <v>-0.21957020031667052</v>
      </c>
      <c r="V77" s="4">
        <v>3744.175048828125</v>
      </c>
      <c r="W77" s="5">
        <f t="shared" si="7"/>
        <v>-0.58398055013020833</v>
      </c>
    </row>
    <row r="78" spans="1:23" x14ac:dyDescent="0.25">
      <c r="A78" t="s">
        <v>207</v>
      </c>
      <c r="B78">
        <v>2016</v>
      </c>
      <c r="C78" t="s">
        <v>120</v>
      </c>
      <c r="D78">
        <v>200</v>
      </c>
      <c r="E78">
        <v>99156</v>
      </c>
      <c r="F78" t="s">
        <v>61</v>
      </c>
      <c r="G78" t="s">
        <v>30</v>
      </c>
      <c r="H78" t="s">
        <v>24</v>
      </c>
      <c r="I78" t="s">
        <v>25</v>
      </c>
      <c r="J78" s="2">
        <v>45566</v>
      </c>
      <c r="K78" t="s">
        <v>25</v>
      </c>
      <c r="L78">
        <v>43608</v>
      </c>
      <c r="M78">
        <v>264</v>
      </c>
      <c r="N78">
        <v>314</v>
      </c>
      <c r="O78" s="4">
        <v>3200</v>
      </c>
      <c r="P78" s="4">
        <v>3821.347412109375</v>
      </c>
      <c r="Q78" s="5">
        <f t="shared" si="4"/>
        <v>0.19417106628417979</v>
      </c>
      <c r="R78" s="4">
        <v>4983.4058410815387</v>
      </c>
      <c r="S78" s="5">
        <f t="shared" si="5"/>
        <v>0.55731432533798086</v>
      </c>
      <c r="T78" s="4">
        <v>3353.3352408003461</v>
      </c>
      <c r="U78" s="5">
        <f t="shared" si="6"/>
        <v>4.7917262750108103E-2</v>
      </c>
      <c r="V78" s="4">
        <v>3333.580322265625</v>
      </c>
      <c r="W78" s="5">
        <f t="shared" si="7"/>
        <v>4.1743850708007901E-2</v>
      </c>
    </row>
    <row r="79" spans="1:23" x14ac:dyDescent="0.25">
      <c r="A79" t="s">
        <v>208</v>
      </c>
      <c r="B79">
        <v>2015</v>
      </c>
      <c r="C79" t="s">
        <v>32</v>
      </c>
      <c r="D79" t="s">
        <v>33</v>
      </c>
      <c r="E79">
        <v>115086</v>
      </c>
      <c r="F79" t="s">
        <v>98</v>
      </c>
      <c r="G79" t="s">
        <v>30</v>
      </c>
      <c r="H79" t="s">
        <v>24</v>
      </c>
      <c r="I79" t="s">
        <v>25</v>
      </c>
      <c r="J79" s="2">
        <v>45610</v>
      </c>
      <c r="K79" t="s">
        <v>25</v>
      </c>
      <c r="L79">
        <v>43608</v>
      </c>
      <c r="M79">
        <v>264</v>
      </c>
      <c r="N79">
        <v>314</v>
      </c>
      <c r="O79" s="4">
        <v>16000</v>
      </c>
      <c r="P79" s="4">
        <v>6357.22802734375</v>
      </c>
      <c r="Q79" s="5">
        <f t="shared" si="4"/>
        <v>-0.60267324829101565</v>
      </c>
      <c r="R79" s="4">
        <v>8390.9817123707926</v>
      </c>
      <c r="S79" s="5">
        <f t="shared" si="5"/>
        <v>-0.47556364297682552</v>
      </c>
      <c r="T79" s="4">
        <v>11492.60240722954</v>
      </c>
      <c r="U79" s="5">
        <f t="shared" si="6"/>
        <v>-0.28171234954815372</v>
      </c>
      <c r="V79" s="4">
        <v>5587.6181640625</v>
      </c>
      <c r="W79" s="5">
        <f t="shared" si="7"/>
        <v>-0.65077386474609378</v>
      </c>
    </row>
    <row r="80" spans="1:23" x14ac:dyDescent="0.25">
      <c r="A80" t="s">
        <v>209</v>
      </c>
      <c r="B80">
        <v>2017</v>
      </c>
      <c r="C80" t="s">
        <v>32</v>
      </c>
      <c r="D80" t="s">
        <v>210</v>
      </c>
      <c r="E80">
        <v>76353</v>
      </c>
      <c r="F80" t="s">
        <v>151</v>
      </c>
      <c r="G80" t="s">
        <v>44</v>
      </c>
      <c r="H80" t="s">
        <v>25</v>
      </c>
      <c r="I80" t="s">
        <v>24</v>
      </c>
      <c r="J80" s="2">
        <v>45456</v>
      </c>
      <c r="K80" t="s">
        <v>25</v>
      </c>
      <c r="L80">
        <v>43608</v>
      </c>
      <c r="M80">
        <v>264</v>
      </c>
      <c r="N80">
        <v>314</v>
      </c>
      <c r="O80" s="4">
        <v>15200</v>
      </c>
      <c r="P80" s="4">
        <v>12912.783203125</v>
      </c>
      <c r="Q80" s="5">
        <f t="shared" si="4"/>
        <v>-0.1504747892680921</v>
      </c>
      <c r="R80" s="4">
        <v>12587.054907216019</v>
      </c>
      <c r="S80" s="5">
        <f t="shared" si="5"/>
        <v>-0.17190428241999878</v>
      </c>
      <c r="T80" s="4">
        <v>15910.62727846187</v>
      </c>
      <c r="U80" s="5">
        <f t="shared" si="6"/>
        <v>4.6751794635649269E-2</v>
      </c>
      <c r="V80" s="4">
        <v>13015.5361328125</v>
      </c>
      <c r="W80" s="5">
        <f t="shared" si="7"/>
        <v>-0.14371472810444075</v>
      </c>
    </row>
    <row r="81" spans="1:23" x14ac:dyDescent="0.25">
      <c r="A81" t="s">
        <v>211</v>
      </c>
      <c r="B81">
        <v>2019</v>
      </c>
      <c r="C81" t="s">
        <v>32</v>
      </c>
      <c r="D81" t="s">
        <v>212</v>
      </c>
      <c r="E81">
        <v>106217</v>
      </c>
      <c r="F81" t="s">
        <v>141</v>
      </c>
      <c r="G81" t="s">
        <v>30</v>
      </c>
      <c r="H81" t="s">
        <v>24</v>
      </c>
      <c r="I81" t="s">
        <v>25</v>
      </c>
      <c r="J81" s="2">
        <v>45701</v>
      </c>
      <c r="K81" t="s">
        <v>25</v>
      </c>
      <c r="L81">
        <v>43608</v>
      </c>
      <c r="M81">
        <v>264</v>
      </c>
      <c r="N81">
        <v>314</v>
      </c>
      <c r="O81" s="4">
        <v>15200</v>
      </c>
      <c r="P81" s="4">
        <v>11642.2158203125</v>
      </c>
      <c r="Q81" s="5">
        <f t="shared" si="4"/>
        <v>-0.23406474866365135</v>
      </c>
      <c r="R81" s="4">
        <v>11995.48376704839</v>
      </c>
      <c r="S81" s="5">
        <f t="shared" si="5"/>
        <v>-0.2108234363783954</v>
      </c>
      <c r="T81" s="4">
        <v>13704.406985133781</v>
      </c>
      <c r="U81" s="5">
        <f t="shared" si="6"/>
        <v>-9.8394277293830212E-2</v>
      </c>
      <c r="V81" s="4">
        <v>11523.6923828125</v>
      </c>
      <c r="W81" s="5">
        <f t="shared" si="7"/>
        <v>-0.24186234323601974</v>
      </c>
    </row>
    <row r="82" spans="1:23" x14ac:dyDescent="0.25">
      <c r="A82" t="s">
        <v>213</v>
      </c>
      <c r="B82">
        <v>2017</v>
      </c>
      <c r="C82" t="s">
        <v>50</v>
      </c>
      <c r="D82">
        <v>1500</v>
      </c>
      <c r="E82">
        <v>112084</v>
      </c>
      <c r="F82" t="s">
        <v>214</v>
      </c>
      <c r="G82" t="s">
        <v>44</v>
      </c>
      <c r="H82" t="s">
        <v>25</v>
      </c>
      <c r="I82" t="s">
        <v>24</v>
      </c>
      <c r="J82" s="2">
        <v>45678</v>
      </c>
      <c r="K82" t="s">
        <v>25</v>
      </c>
      <c r="L82">
        <v>43608</v>
      </c>
      <c r="M82">
        <v>264</v>
      </c>
      <c r="N82">
        <v>314</v>
      </c>
      <c r="O82" s="4">
        <v>18900</v>
      </c>
      <c r="P82" s="4">
        <v>12496.12890625</v>
      </c>
      <c r="Q82" s="5">
        <f t="shared" si="4"/>
        <v>-0.33882915839947092</v>
      </c>
      <c r="R82" s="4">
        <v>14024.387657390669</v>
      </c>
      <c r="S82" s="5">
        <f t="shared" si="5"/>
        <v>-0.25796890701636677</v>
      </c>
      <c r="T82" s="4">
        <v>15945.732766823299</v>
      </c>
      <c r="U82" s="5">
        <f t="shared" si="6"/>
        <v>-0.15631043561781488</v>
      </c>
      <c r="V82" s="4">
        <v>11989.435546875</v>
      </c>
      <c r="W82" s="5">
        <f t="shared" si="7"/>
        <v>-0.36563833085317465</v>
      </c>
    </row>
    <row r="83" spans="1:23" x14ac:dyDescent="0.25">
      <c r="A83" t="s">
        <v>215</v>
      </c>
      <c r="B83">
        <v>2017</v>
      </c>
      <c r="C83" t="s">
        <v>53</v>
      </c>
      <c r="D83" t="s">
        <v>57</v>
      </c>
      <c r="E83">
        <v>57039</v>
      </c>
      <c r="F83" t="s">
        <v>102</v>
      </c>
      <c r="G83" t="s">
        <v>44</v>
      </c>
      <c r="H83" t="s">
        <v>25</v>
      </c>
      <c r="I83" t="s">
        <v>24</v>
      </c>
      <c r="J83" s="2">
        <v>45328</v>
      </c>
      <c r="K83" t="s">
        <v>25</v>
      </c>
      <c r="L83">
        <v>43608</v>
      </c>
      <c r="M83">
        <v>264</v>
      </c>
      <c r="N83">
        <v>314</v>
      </c>
      <c r="O83" s="4">
        <v>4600</v>
      </c>
      <c r="P83" s="4">
        <v>14994.427734375</v>
      </c>
      <c r="Q83" s="5">
        <f t="shared" si="4"/>
        <v>2.2596582031249999</v>
      </c>
      <c r="R83" s="4">
        <v>14621.12220224573</v>
      </c>
      <c r="S83" s="5">
        <f t="shared" si="5"/>
        <v>2.1785048265751588</v>
      </c>
      <c r="T83" s="4">
        <v>9955.1986722810361</v>
      </c>
      <c r="U83" s="5">
        <f t="shared" si="6"/>
        <v>1.1641736244089209</v>
      </c>
      <c r="V83" s="4">
        <v>15052.0009765625</v>
      </c>
      <c r="W83" s="5">
        <f t="shared" si="7"/>
        <v>2.2721741253396739</v>
      </c>
    </row>
    <row r="84" spans="1:23" x14ac:dyDescent="0.25">
      <c r="A84" t="s">
        <v>216</v>
      </c>
      <c r="B84">
        <v>2018</v>
      </c>
      <c r="C84" t="s">
        <v>53</v>
      </c>
      <c r="D84" t="s">
        <v>69</v>
      </c>
      <c r="E84">
        <v>118216</v>
      </c>
      <c r="F84" t="s">
        <v>66</v>
      </c>
      <c r="G84" t="s">
        <v>23</v>
      </c>
      <c r="H84" t="s">
        <v>24</v>
      </c>
      <c r="I84" t="s">
        <v>25</v>
      </c>
      <c r="J84" s="2">
        <v>45638</v>
      </c>
      <c r="K84" t="s">
        <v>25</v>
      </c>
      <c r="L84">
        <v>43608</v>
      </c>
      <c r="M84">
        <v>264</v>
      </c>
      <c r="N84">
        <v>314</v>
      </c>
      <c r="O84" s="4">
        <v>6800</v>
      </c>
      <c r="P84" s="4">
        <v>6016.63916015625</v>
      </c>
      <c r="Q84" s="5">
        <f t="shared" si="4"/>
        <v>-0.11520012350643383</v>
      </c>
      <c r="R84" s="4">
        <v>6389.2154118150984</v>
      </c>
      <c r="S84" s="5">
        <f t="shared" si="5"/>
        <v>-6.0409498262485539E-2</v>
      </c>
      <c r="T84" s="4">
        <v>9301.0684965086002</v>
      </c>
      <c r="U84" s="5">
        <f t="shared" si="6"/>
        <v>0.36780419066302938</v>
      </c>
      <c r="V84" s="4">
        <v>5845.16552734375</v>
      </c>
      <c r="W84" s="5">
        <f t="shared" si="7"/>
        <v>-0.14041683421415441</v>
      </c>
    </row>
    <row r="85" spans="1:23" x14ac:dyDescent="0.25">
      <c r="A85" t="s">
        <v>217</v>
      </c>
      <c r="B85">
        <v>2016</v>
      </c>
      <c r="C85" t="s">
        <v>20</v>
      </c>
      <c r="D85" t="s">
        <v>218</v>
      </c>
      <c r="E85">
        <v>81919</v>
      </c>
      <c r="F85" t="s">
        <v>219</v>
      </c>
      <c r="G85" t="s">
        <v>30</v>
      </c>
      <c r="H85" t="s">
        <v>24</v>
      </c>
      <c r="I85" t="s">
        <v>25</v>
      </c>
      <c r="J85" s="2">
        <v>45720</v>
      </c>
      <c r="K85" t="s">
        <v>25</v>
      </c>
      <c r="L85">
        <v>43608</v>
      </c>
      <c r="M85">
        <v>264</v>
      </c>
      <c r="N85">
        <v>314</v>
      </c>
      <c r="O85" s="4">
        <v>7400</v>
      </c>
      <c r="P85" s="4">
        <v>9907.009765625</v>
      </c>
      <c r="Q85" s="5">
        <f t="shared" si="4"/>
        <v>0.33878510346283774</v>
      </c>
      <c r="R85" s="4">
        <v>9614.8427837581512</v>
      </c>
      <c r="S85" s="5">
        <f t="shared" si="5"/>
        <v>0.29930307888623675</v>
      </c>
      <c r="T85" s="4">
        <v>4080.4871828733808</v>
      </c>
      <c r="U85" s="5">
        <f t="shared" si="6"/>
        <v>-0.44858281312521886</v>
      </c>
      <c r="V85" s="4">
        <v>9762.3056640625</v>
      </c>
      <c r="W85" s="5">
        <f t="shared" si="7"/>
        <v>0.31923049514358115</v>
      </c>
    </row>
    <row r="86" spans="1:23" x14ac:dyDescent="0.25">
      <c r="A86" t="s">
        <v>220</v>
      </c>
      <c r="B86">
        <v>2016</v>
      </c>
      <c r="C86" t="s">
        <v>20</v>
      </c>
      <c r="D86" t="s">
        <v>81</v>
      </c>
      <c r="E86">
        <v>132847</v>
      </c>
      <c r="F86" t="s">
        <v>48</v>
      </c>
      <c r="G86" t="s">
        <v>38</v>
      </c>
      <c r="H86" t="s">
        <v>25</v>
      </c>
      <c r="I86" t="s">
        <v>24</v>
      </c>
      <c r="J86" s="2">
        <v>45645</v>
      </c>
      <c r="K86" t="s">
        <v>25</v>
      </c>
      <c r="L86">
        <v>43608</v>
      </c>
      <c r="M86">
        <v>264</v>
      </c>
      <c r="N86">
        <v>314</v>
      </c>
      <c r="O86" s="4">
        <v>3700</v>
      </c>
      <c r="P86" s="4">
        <v>2612.723388671875</v>
      </c>
      <c r="Q86" s="5">
        <f t="shared" si="4"/>
        <v>-0.29385854360219599</v>
      </c>
      <c r="R86" s="4">
        <v>5893.4567360618948</v>
      </c>
      <c r="S86" s="5">
        <f t="shared" si="5"/>
        <v>0.59282614488159324</v>
      </c>
      <c r="T86" s="4">
        <v>3685.194892547016</v>
      </c>
      <c r="U86" s="5">
        <f t="shared" si="6"/>
        <v>-4.0013803926983726E-3</v>
      </c>
      <c r="V86" s="4">
        <v>2461.083251953125</v>
      </c>
      <c r="W86" s="5">
        <f t="shared" si="7"/>
        <v>-0.33484236433699321</v>
      </c>
    </row>
    <row r="87" spans="1:23" x14ac:dyDescent="0.25">
      <c r="A87" t="s">
        <v>221</v>
      </c>
      <c r="B87">
        <v>2019</v>
      </c>
      <c r="C87" t="s">
        <v>20</v>
      </c>
      <c r="D87" t="s">
        <v>81</v>
      </c>
      <c r="E87">
        <v>115057</v>
      </c>
      <c r="F87" t="s">
        <v>37</v>
      </c>
      <c r="G87" t="s">
        <v>38</v>
      </c>
      <c r="H87" t="s">
        <v>25</v>
      </c>
      <c r="I87" t="s">
        <v>24</v>
      </c>
      <c r="J87" s="2">
        <v>45608</v>
      </c>
      <c r="K87" t="s">
        <v>25</v>
      </c>
      <c r="L87">
        <v>43608</v>
      </c>
      <c r="M87">
        <v>264</v>
      </c>
      <c r="N87">
        <v>314</v>
      </c>
      <c r="O87" s="4">
        <v>10800</v>
      </c>
      <c r="P87" s="4">
        <v>6157.96533203125</v>
      </c>
      <c r="Q87" s="5">
        <f t="shared" si="4"/>
        <v>-0.42981802481192133</v>
      </c>
      <c r="R87" s="4">
        <v>10947.95179462409</v>
      </c>
      <c r="S87" s="5">
        <f t="shared" si="5"/>
        <v>1.3699240242971422E-2</v>
      </c>
      <c r="T87" s="4">
        <v>6415.2287426136327</v>
      </c>
      <c r="U87" s="5">
        <f t="shared" si="6"/>
        <v>-0.40599733864688581</v>
      </c>
      <c r="V87" s="4">
        <v>6369.91552734375</v>
      </c>
      <c r="W87" s="5">
        <f t="shared" si="7"/>
        <v>-0.41019300672743053</v>
      </c>
    </row>
    <row r="88" spans="1:23" x14ac:dyDescent="0.25">
      <c r="A88" t="s">
        <v>222</v>
      </c>
      <c r="B88">
        <v>2014</v>
      </c>
      <c r="C88" t="s">
        <v>94</v>
      </c>
      <c r="D88" t="s">
        <v>223</v>
      </c>
      <c r="E88">
        <v>92209</v>
      </c>
      <c r="F88" t="s">
        <v>161</v>
      </c>
      <c r="G88" t="s">
        <v>30</v>
      </c>
      <c r="H88" t="s">
        <v>24</v>
      </c>
      <c r="I88" t="s">
        <v>25</v>
      </c>
      <c r="J88" s="2">
        <v>45720</v>
      </c>
      <c r="K88" t="s">
        <v>25</v>
      </c>
      <c r="L88">
        <v>43608</v>
      </c>
      <c r="M88">
        <v>264</v>
      </c>
      <c r="N88">
        <v>314</v>
      </c>
      <c r="O88" s="4">
        <v>8000</v>
      </c>
      <c r="P88" s="4">
        <v>8240.626953125</v>
      </c>
      <c r="Q88" s="5">
        <f t="shared" si="4"/>
        <v>3.0078369140625005E-2</v>
      </c>
      <c r="R88" s="4">
        <v>8360.4309742977912</v>
      </c>
      <c r="S88" s="5">
        <f t="shared" si="5"/>
        <v>4.5053871787223976E-2</v>
      </c>
      <c r="T88" s="4">
        <v>7061.8864057215724</v>
      </c>
      <c r="U88" s="5">
        <f t="shared" si="6"/>
        <v>-0.11726419928480347</v>
      </c>
      <c r="V88" s="4">
        <v>8145.23388671875</v>
      </c>
      <c r="W88" s="5">
        <f t="shared" si="7"/>
        <v>1.8154235839843658E-2</v>
      </c>
    </row>
    <row r="89" spans="1:23" x14ac:dyDescent="0.25">
      <c r="A89" t="s">
        <v>224</v>
      </c>
      <c r="B89">
        <v>2022</v>
      </c>
      <c r="C89" t="s">
        <v>20</v>
      </c>
      <c r="D89" t="s">
        <v>97</v>
      </c>
      <c r="E89">
        <v>33045</v>
      </c>
      <c r="F89" t="s">
        <v>135</v>
      </c>
      <c r="G89" t="s">
        <v>44</v>
      </c>
      <c r="H89" t="s">
        <v>25</v>
      </c>
      <c r="I89" t="s">
        <v>24</v>
      </c>
      <c r="J89" s="2">
        <v>45608</v>
      </c>
      <c r="K89" t="s">
        <v>25</v>
      </c>
      <c r="L89">
        <v>43608</v>
      </c>
      <c r="M89">
        <v>264</v>
      </c>
      <c r="N89">
        <v>314</v>
      </c>
      <c r="O89" s="4">
        <v>31000</v>
      </c>
      <c r="P89" s="4">
        <v>30278.578125</v>
      </c>
      <c r="Q89" s="5">
        <f t="shared" si="4"/>
        <v>-2.3271673387096792E-2</v>
      </c>
      <c r="R89" s="4">
        <v>27397.38224930294</v>
      </c>
      <c r="S89" s="5">
        <f t="shared" si="5"/>
        <v>-0.11621347582893737</v>
      </c>
      <c r="T89" s="4">
        <v>30935.247740597209</v>
      </c>
      <c r="U89" s="5">
        <f t="shared" si="6"/>
        <v>-2.0887825613803424E-3</v>
      </c>
      <c r="V89" s="4">
        <v>30969.865234375</v>
      </c>
      <c r="W89" s="5">
        <f t="shared" si="7"/>
        <v>-9.720892137097259E-4</v>
      </c>
    </row>
    <row r="90" spans="1:23" x14ac:dyDescent="0.25">
      <c r="A90" t="s">
        <v>225</v>
      </c>
      <c r="B90">
        <v>2019</v>
      </c>
      <c r="C90" t="s">
        <v>104</v>
      </c>
      <c r="D90" t="s">
        <v>105</v>
      </c>
      <c r="E90">
        <v>80236</v>
      </c>
      <c r="F90" t="s">
        <v>77</v>
      </c>
      <c r="G90" t="s">
        <v>34</v>
      </c>
      <c r="H90" t="s">
        <v>25</v>
      </c>
      <c r="I90" t="s">
        <v>24</v>
      </c>
      <c r="J90" s="2">
        <v>45510</v>
      </c>
      <c r="K90" t="s">
        <v>25</v>
      </c>
      <c r="L90">
        <v>43608</v>
      </c>
      <c r="M90">
        <v>264</v>
      </c>
      <c r="N90">
        <v>314</v>
      </c>
      <c r="O90" s="4">
        <v>20100</v>
      </c>
      <c r="P90" s="4">
        <v>17540.015625</v>
      </c>
      <c r="Q90" s="5">
        <f t="shared" si="4"/>
        <v>-0.12736240671641796</v>
      </c>
      <c r="R90" s="4">
        <v>20564.32203528129</v>
      </c>
      <c r="S90" s="5">
        <f t="shared" si="5"/>
        <v>2.310059877021331E-2</v>
      </c>
      <c r="T90" s="4">
        <v>15569.438957246381</v>
      </c>
      <c r="U90" s="5">
        <f t="shared" si="6"/>
        <v>-0.22540104690316509</v>
      </c>
      <c r="V90" s="4">
        <v>16819.0390625</v>
      </c>
      <c r="W90" s="5">
        <f t="shared" si="7"/>
        <v>-0.16323188743781092</v>
      </c>
    </row>
    <row r="91" spans="1:23" x14ac:dyDescent="0.25">
      <c r="A91" t="s">
        <v>226</v>
      </c>
      <c r="B91">
        <v>2013</v>
      </c>
      <c r="C91" t="s">
        <v>113</v>
      </c>
      <c r="D91" t="s">
        <v>114</v>
      </c>
      <c r="E91">
        <v>270358</v>
      </c>
      <c r="F91" t="s">
        <v>227</v>
      </c>
      <c r="G91" t="s">
        <v>23</v>
      </c>
      <c r="H91" t="s">
        <v>24</v>
      </c>
      <c r="I91" t="s">
        <v>25</v>
      </c>
      <c r="J91" s="2">
        <v>45720</v>
      </c>
      <c r="K91" t="s">
        <v>25</v>
      </c>
      <c r="L91">
        <v>43608</v>
      </c>
      <c r="M91">
        <v>264</v>
      </c>
      <c r="N91">
        <v>314</v>
      </c>
      <c r="O91" s="4">
        <v>6600</v>
      </c>
      <c r="P91" s="4">
        <v>2191.290771484375</v>
      </c>
      <c r="Q91" s="5">
        <f t="shared" si="4"/>
        <v>-0.66798624674479168</v>
      </c>
      <c r="R91" s="4">
        <v>2417.5336732751889</v>
      </c>
      <c r="S91" s="5">
        <f t="shared" si="5"/>
        <v>-0.63370701920072903</v>
      </c>
      <c r="T91" s="4">
        <v>2127.176904208291</v>
      </c>
      <c r="U91" s="5">
        <f t="shared" si="6"/>
        <v>-0.67770046905934977</v>
      </c>
      <c r="V91" s="4">
        <v>2157.72900390625</v>
      </c>
      <c r="W91" s="5">
        <f t="shared" si="7"/>
        <v>-0.67307136304450754</v>
      </c>
    </row>
    <row r="92" spans="1:23" x14ac:dyDescent="0.25">
      <c r="A92" t="s">
        <v>228</v>
      </c>
      <c r="B92">
        <v>2016</v>
      </c>
      <c r="C92" t="s">
        <v>185</v>
      </c>
      <c r="D92" t="s">
        <v>229</v>
      </c>
      <c r="E92">
        <v>97168</v>
      </c>
      <c r="F92" t="s">
        <v>174</v>
      </c>
      <c r="G92" t="s">
        <v>44</v>
      </c>
      <c r="H92" t="s">
        <v>25</v>
      </c>
      <c r="I92" t="s">
        <v>24</v>
      </c>
      <c r="J92" s="2">
        <v>45720</v>
      </c>
      <c r="K92" t="s">
        <v>25</v>
      </c>
      <c r="L92">
        <v>43608</v>
      </c>
      <c r="M92">
        <v>264</v>
      </c>
      <c r="N92">
        <v>314</v>
      </c>
      <c r="O92" s="4">
        <v>8500</v>
      </c>
      <c r="P92" s="4">
        <v>8396.1201171875</v>
      </c>
      <c r="Q92" s="5">
        <f t="shared" si="4"/>
        <v>-1.2221162683823561E-2</v>
      </c>
      <c r="R92" s="4">
        <v>10048.98554753526</v>
      </c>
      <c r="S92" s="5">
        <f t="shared" si="5"/>
        <v>0.18223359382767756</v>
      </c>
      <c r="T92" s="4">
        <v>7294.9115005493713</v>
      </c>
      <c r="U92" s="5">
        <f t="shared" si="6"/>
        <v>-0.14177511758242689</v>
      </c>
      <c r="V92" s="4">
        <v>7745.3955078125</v>
      </c>
      <c r="W92" s="5">
        <f t="shared" si="7"/>
        <v>-8.8776999080882324E-2</v>
      </c>
    </row>
    <row r="93" spans="1:23" x14ac:dyDescent="0.25">
      <c r="A93" t="s">
        <v>230</v>
      </c>
      <c r="B93">
        <v>2017</v>
      </c>
      <c r="C93" t="s">
        <v>46</v>
      </c>
      <c r="D93" t="s">
        <v>231</v>
      </c>
      <c r="E93">
        <v>140149</v>
      </c>
      <c r="F93" t="s">
        <v>141</v>
      </c>
      <c r="G93" t="s">
        <v>34</v>
      </c>
      <c r="H93" t="s">
        <v>25</v>
      </c>
      <c r="I93" t="s">
        <v>24</v>
      </c>
      <c r="J93" s="2">
        <v>45729</v>
      </c>
      <c r="K93" t="s">
        <v>25</v>
      </c>
      <c r="L93">
        <v>43608</v>
      </c>
      <c r="M93">
        <v>264</v>
      </c>
      <c r="N93">
        <v>314</v>
      </c>
      <c r="O93" s="4">
        <v>40500</v>
      </c>
      <c r="P93" s="4">
        <v>6160.06982421875</v>
      </c>
      <c r="Q93" s="5">
        <f t="shared" si="4"/>
        <v>-0.84789951051311729</v>
      </c>
      <c r="R93" s="4">
        <v>6988.9946526582826</v>
      </c>
      <c r="S93" s="5">
        <f t="shared" si="5"/>
        <v>-0.82743223079856087</v>
      </c>
      <c r="T93" s="4">
        <v>5520.2954693717356</v>
      </c>
      <c r="U93" s="5">
        <f t="shared" si="6"/>
        <v>-0.86369640816366089</v>
      </c>
      <c r="V93" s="4">
        <v>5942.8662109375</v>
      </c>
      <c r="W93" s="5">
        <f t="shared" si="7"/>
        <v>-0.85326256269290124</v>
      </c>
    </row>
    <row r="94" spans="1:23" x14ac:dyDescent="0.25">
      <c r="A94" t="s">
        <v>232</v>
      </c>
      <c r="B94">
        <v>2018</v>
      </c>
      <c r="C94" t="s">
        <v>46</v>
      </c>
      <c r="D94" t="s">
        <v>122</v>
      </c>
      <c r="E94">
        <v>66570</v>
      </c>
      <c r="F94" t="s">
        <v>37</v>
      </c>
      <c r="G94" t="s">
        <v>38</v>
      </c>
      <c r="H94" t="s">
        <v>25</v>
      </c>
      <c r="I94" t="s">
        <v>24</v>
      </c>
      <c r="J94" s="2">
        <v>45510</v>
      </c>
      <c r="K94" t="s">
        <v>25</v>
      </c>
      <c r="L94">
        <v>43608</v>
      </c>
      <c r="M94">
        <v>264</v>
      </c>
      <c r="N94">
        <v>314</v>
      </c>
      <c r="O94" s="4">
        <v>20100</v>
      </c>
      <c r="P94" s="4">
        <v>10285.498046875</v>
      </c>
      <c r="Q94" s="5">
        <f t="shared" si="4"/>
        <v>-0.4882836792599502</v>
      </c>
      <c r="R94" s="4">
        <v>13934.84213220052</v>
      </c>
      <c r="S94" s="5">
        <f t="shared" si="5"/>
        <v>-0.30672427202982488</v>
      </c>
      <c r="T94" s="4">
        <v>15824.26465263622</v>
      </c>
      <c r="U94" s="5">
        <f t="shared" si="6"/>
        <v>-0.21272315161013833</v>
      </c>
      <c r="V94" s="4">
        <v>9993.7529296875</v>
      </c>
      <c r="W94" s="5">
        <f t="shared" si="7"/>
        <v>-0.50279836170708947</v>
      </c>
    </row>
    <row r="95" spans="1:23" x14ac:dyDescent="0.25">
      <c r="A95" t="s">
        <v>233</v>
      </c>
      <c r="B95">
        <v>2016</v>
      </c>
      <c r="C95" t="s">
        <v>46</v>
      </c>
      <c r="D95" t="s">
        <v>234</v>
      </c>
      <c r="E95">
        <v>129116</v>
      </c>
      <c r="F95" t="s">
        <v>141</v>
      </c>
      <c r="G95" t="s">
        <v>30</v>
      </c>
      <c r="H95" t="s">
        <v>24</v>
      </c>
      <c r="I95" t="s">
        <v>25</v>
      </c>
      <c r="J95" s="2">
        <v>45722</v>
      </c>
      <c r="K95" t="s">
        <v>25</v>
      </c>
      <c r="L95">
        <v>43608</v>
      </c>
      <c r="M95">
        <v>264</v>
      </c>
      <c r="N95">
        <v>314</v>
      </c>
      <c r="O95" s="4">
        <v>3700</v>
      </c>
      <c r="P95" s="4">
        <v>6052.453125</v>
      </c>
      <c r="Q95" s="5">
        <f t="shared" si="4"/>
        <v>0.63579814189189188</v>
      </c>
      <c r="R95" s="4">
        <v>6380.1850541418462</v>
      </c>
      <c r="S95" s="5">
        <f t="shared" si="5"/>
        <v>0.72437433895725567</v>
      </c>
      <c r="T95" s="4">
        <v>3493.8184899754001</v>
      </c>
      <c r="U95" s="5">
        <f t="shared" si="6"/>
        <v>-5.5724732439081048E-2</v>
      </c>
      <c r="V95" s="4">
        <v>6124.21875</v>
      </c>
      <c r="W95" s="5">
        <f t="shared" si="7"/>
        <v>0.6551942567567568</v>
      </c>
    </row>
    <row r="96" spans="1:23" x14ac:dyDescent="0.25">
      <c r="A96" t="s">
        <v>235</v>
      </c>
      <c r="B96">
        <v>2010</v>
      </c>
      <c r="C96" t="s">
        <v>20</v>
      </c>
      <c r="D96" t="s">
        <v>236</v>
      </c>
      <c r="E96">
        <v>22671</v>
      </c>
      <c r="F96" t="s">
        <v>43</v>
      </c>
      <c r="G96" t="s">
        <v>44</v>
      </c>
      <c r="H96" t="s">
        <v>25</v>
      </c>
      <c r="I96" t="s">
        <v>24</v>
      </c>
      <c r="J96" s="2">
        <v>45314</v>
      </c>
      <c r="K96" t="s">
        <v>25</v>
      </c>
      <c r="L96">
        <v>43608</v>
      </c>
      <c r="M96">
        <v>264</v>
      </c>
      <c r="N96">
        <v>314</v>
      </c>
      <c r="O96" s="4">
        <v>16776.190476190499</v>
      </c>
      <c r="P96" s="4">
        <v>14937.8896484375</v>
      </c>
      <c r="Q96" s="5">
        <f t="shared" si="4"/>
        <v>-0.10957796588933555</v>
      </c>
      <c r="R96" s="4">
        <v>13794.249451735641</v>
      </c>
      <c r="S96" s="5">
        <f t="shared" si="5"/>
        <v>-0.17774840054939522</v>
      </c>
      <c r="T96" s="4">
        <v>17428.123495576121</v>
      </c>
      <c r="U96" s="5">
        <f t="shared" si="6"/>
        <v>3.8860611430877157E-2</v>
      </c>
      <c r="V96" s="4">
        <v>15052.0009765625</v>
      </c>
      <c r="W96" s="5">
        <f t="shared" si="7"/>
        <v>-0.10277598493382889</v>
      </c>
    </row>
    <row r="97" spans="1:23" x14ac:dyDescent="0.25">
      <c r="A97" t="s">
        <v>237</v>
      </c>
      <c r="B97">
        <v>2014</v>
      </c>
      <c r="C97" t="s">
        <v>91</v>
      </c>
      <c r="D97" t="s">
        <v>130</v>
      </c>
      <c r="E97">
        <v>123379</v>
      </c>
      <c r="F97" t="s">
        <v>22</v>
      </c>
      <c r="G97" t="s">
        <v>30</v>
      </c>
      <c r="H97" t="s">
        <v>24</v>
      </c>
      <c r="I97" t="s">
        <v>25</v>
      </c>
      <c r="J97" s="2">
        <v>45664</v>
      </c>
      <c r="K97" t="s">
        <v>25</v>
      </c>
      <c r="L97">
        <v>43608</v>
      </c>
      <c r="M97">
        <v>264</v>
      </c>
      <c r="N97">
        <v>314</v>
      </c>
      <c r="O97" s="4">
        <v>6500</v>
      </c>
      <c r="P97" s="4">
        <v>2923.712158203125</v>
      </c>
      <c r="Q97" s="5">
        <f t="shared" si="4"/>
        <v>-0.55019812950721159</v>
      </c>
      <c r="R97" s="4">
        <v>3203.5142795778788</v>
      </c>
      <c r="S97" s="5">
        <f t="shared" si="5"/>
        <v>-0.50715164929571088</v>
      </c>
      <c r="T97" s="4">
        <v>2749.6508568143918</v>
      </c>
      <c r="U97" s="5">
        <f t="shared" si="6"/>
        <v>-0.57697679125932433</v>
      </c>
      <c r="V97" s="4">
        <v>2831.903076171875</v>
      </c>
      <c r="W97" s="5">
        <f t="shared" si="7"/>
        <v>-0.5643226036658654</v>
      </c>
    </row>
    <row r="98" spans="1:23" x14ac:dyDescent="0.25">
      <c r="A98" t="s">
        <v>238</v>
      </c>
      <c r="B98">
        <v>2017</v>
      </c>
      <c r="C98" t="s">
        <v>104</v>
      </c>
      <c r="D98" t="s">
        <v>126</v>
      </c>
      <c r="E98">
        <v>87729</v>
      </c>
      <c r="F98" t="s">
        <v>89</v>
      </c>
      <c r="G98" t="s">
        <v>30</v>
      </c>
      <c r="H98" t="s">
        <v>24</v>
      </c>
      <c r="I98" t="s">
        <v>25</v>
      </c>
      <c r="J98" s="2">
        <v>45566</v>
      </c>
      <c r="K98" t="s">
        <v>25</v>
      </c>
      <c r="L98">
        <v>43608</v>
      </c>
      <c r="M98">
        <v>264</v>
      </c>
      <c r="N98">
        <v>314</v>
      </c>
      <c r="O98" s="4">
        <v>9900</v>
      </c>
      <c r="P98" s="4">
        <v>7401.91259765625</v>
      </c>
      <c r="Q98" s="5">
        <f t="shared" si="4"/>
        <v>-0.25233206084280302</v>
      </c>
      <c r="R98" s="4">
        <v>11152.649442270969</v>
      </c>
      <c r="S98" s="5">
        <f t="shared" si="5"/>
        <v>0.12653024669403723</v>
      </c>
      <c r="T98" s="4">
        <v>9381.9342224810971</v>
      </c>
      <c r="U98" s="5">
        <f t="shared" si="6"/>
        <v>-5.2329876517060891E-2</v>
      </c>
      <c r="V98" s="4">
        <v>9915.5302734375</v>
      </c>
      <c r="W98" s="5">
        <f t="shared" si="7"/>
        <v>1.5687144886362692E-3</v>
      </c>
    </row>
    <row r="99" spans="1:23" x14ac:dyDescent="0.25">
      <c r="A99" t="s">
        <v>239</v>
      </c>
      <c r="B99">
        <v>2016</v>
      </c>
      <c r="C99" t="s">
        <v>20</v>
      </c>
      <c r="D99" t="s">
        <v>21</v>
      </c>
      <c r="E99">
        <v>86386</v>
      </c>
      <c r="F99" t="s">
        <v>55</v>
      </c>
      <c r="G99" t="s">
        <v>23</v>
      </c>
      <c r="H99" t="s">
        <v>24</v>
      </c>
      <c r="I99" t="s">
        <v>25</v>
      </c>
      <c r="J99" s="2">
        <v>45314</v>
      </c>
      <c r="K99" t="s">
        <v>25</v>
      </c>
      <c r="L99">
        <v>43608</v>
      </c>
      <c r="M99">
        <v>264</v>
      </c>
      <c r="N99">
        <v>314</v>
      </c>
      <c r="O99" s="4">
        <v>7200</v>
      </c>
      <c r="P99" s="4">
        <v>5602.513671875</v>
      </c>
      <c r="Q99" s="5">
        <f t="shared" si="4"/>
        <v>-0.22187310112847225</v>
      </c>
      <c r="R99" s="4">
        <v>6181.1807490152814</v>
      </c>
      <c r="S99" s="5">
        <f t="shared" si="5"/>
        <v>-0.14150267374787762</v>
      </c>
      <c r="T99" s="4">
        <v>6039.3797589566911</v>
      </c>
      <c r="U99" s="5">
        <f t="shared" si="6"/>
        <v>-0.16119725570045951</v>
      </c>
      <c r="V99" s="4">
        <v>5610.6728515625</v>
      </c>
      <c r="W99" s="5">
        <f t="shared" si="7"/>
        <v>-0.22073988172743053</v>
      </c>
    </row>
    <row r="100" spans="1:23" x14ac:dyDescent="0.25">
      <c r="A100" t="s">
        <v>240</v>
      </c>
      <c r="B100">
        <v>2018</v>
      </c>
      <c r="C100" t="s">
        <v>20</v>
      </c>
      <c r="D100" t="s">
        <v>134</v>
      </c>
      <c r="E100">
        <v>103684</v>
      </c>
      <c r="F100" t="s">
        <v>82</v>
      </c>
      <c r="G100" t="s">
        <v>30</v>
      </c>
      <c r="H100" t="s">
        <v>24</v>
      </c>
      <c r="I100" t="s">
        <v>25</v>
      </c>
      <c r="J100" s="2">
        <v>45463</v>
      </c>
      <c r="K100" t="s">
        <v>25</v>
      </c>
      <c r="L100">
        <v>43608</v>
      </c>
      <c r="M100">
        <v>264</v>
      </c>
      <c r="N100">
        <v>314</v>
      </c>
      <c r="O100" s="4">
        <v>13600</v>
      </c>
      <c r="P100" s="4">
        <v>6331.74072265625</v>
      </c>
      <c r="Q100" s="5">
        <f t="shared" si="4"/>
        <v>-0.53443082921645213</v>
      </c>
      <c r="R100" s="4">
        <v>6599.6890040364524</v>
      </c>
      <c r="S100" s="5">
        <f t="shared" si="5"/>
        <v>-0.51472874970320204</v>
      </c>
      <c r="T100" s="4">
        <v>8723.515715079242</v>
      </c>
      <c r="U100" s="5">
        <f t="shared" si="6"/>
        <v>-0.35856502095005571</v>
      </c>
      <c r="V100" s="4">
        <v>6230.2119140625</v>
      </c>
      <c r="W100" s="5">
        <f t="shared" si="7"/>
        <v>-0.54189618278952212</v>
      </c>
    </row>
    <row r="101" spans="1:23" x14ac:dyDescent="0.25">
      <c r="A101" t="s">
        <v>241</v>
      </c>
      <c r="B101">
        <v>2015</v>
      </c>
      <c r="C101" t="s">
        <v>20</v>
      </c>
      <c r="D101" t="s">
        <v>242</v>
      </c>
      <c r="E101">
        <v>136993</v>
      </c>
      <c r="F101" t="s">
        <v>55</v>
      </c>
      <c r="G101" t="s">
        <v>30</v>
      </c>
      <c r="H101" t="s">
        <v>24</v>
      </c>
      <c r="I101" t="s">
        <v>25</v>
      </c>
      <c r="J101" s="2">
        <v>45400</v>
      </c>
      <c r="K101" t="s">
        <v>25</v>
      </c>
      <c r="L101">
        <v>43608</v>
      </c>
      <c r="M101">
        <v>264</v>
      </c>
      <c r="N101">
        <v>314</v>
      </c>
      <c r="O101" s="4">
        <v>10500</v>
      </c>
      <c r="P101" s="4">
        <v>3444.23779296875</v>
      </c>
      <c r="Q101" s="5">
        <f t="shared" si="4"/>
        <v>-0.67197735305059525</v>
      </c>
      <c r="R101" s="4">
        <v>3870.5109303484901</v>
      </c>
      <c r="S101" s="5">
        <f t="shared" si="5"/>
        <v>-0.63137991139538197</v>
      </c>
      <c r="T101" s="4">
        <v>5401.6583565591081</v>
      </c>
      <c r="U101" s="5">
        <f t="shared" si="6"/>
        <v>-0.48555634699437067</v>
      </c>
      <c r="V101" s="4">
        <v>3128.13525390625</v>
      </c>
      <c r="W101" s="5">
        <f t="shared" si="7"/>
        <v>-0.70208235677083342</v>
      </c>
    </row>
    <row r="102" spans="1:23" x14ac:dyDescent="0.25">
      <c r="A102" t="s">
        <v>243</v>
      </c>
      <c r="B102">
        <v>2016</v>
      </c>
      <c r="C102" t="s">
        <v>20</v>
      </c>
      <c r="D102" t="s">
        <v>108</v>
      </c>
      <c r="E102">
        <v>106909</v>
      </c>
      <c r="F102" t="s">
        <v>63</v>
      </c>
      <c r="G102" t="s">
        <v>44</v>
      </c>
      <c r="H102" t="s">
        <v>25</v>
      </c>
      <c r="I102" t="s">
        <v>24</v>
      </c>
      <c r="J102" s="2">
        <v>45463</v>
      </c>
      <c r="K102" t="s">
        <v>25</v>
      </c>
      <c r="L102">
        <v>43608</v>
      </c>
      <c r="M102">
        <v>264</v>
      </c>
      <c r="N102">
        <v>314</v>
      </c>
      <c r="O102" s="4">
        <v>7800</v>
      </c>
      <c r="P102" s="4">
        <v>8553.001953125</v>
      </c>
      <c r="Q102" s="5">
        <f t="shared" si="4"/>
        <v>9.6538711939102573E-2</v>
      </c>
      <c r="R102" s="4">
        <v>9300.9921196027353</v>
      </c>
      <c r="S102" s="5">
        <f t="shared" si="5"/>
        <v>0.19243488712855572</v>
      </c>
      <c r="T102" s="4">
        <v>11622.46061912117</v>
      </c>
      <c r="U102" s="5">
        <f t="shared" si="6"/>
        <v>0.49005905373348324</v>
      </c>
      <c r="V102" s="4">
        <v>8398.26171875</v>
      </c>
      <c r="W102" s="5">
        <f t="shared" si="7"/>
        <v>7.6700220352564186E-2</v>
      </c>
    </row>
    <row r="103" spans="1:23" x14ac:dyDescent="0.25">
      <c r="A103" t="s">
        <v>244</v>
      </c>
      <c r="B103">
        <v>2014</v>
      </c>
      <c r="C103" t="s">
        <v>20</v>
      </c>
      <c r="D103" t="s">
        <v>245</v>
      </c>
      <c r="E103">
        <v>109455</v>
      </c>
      <c r="F103" t="s">
        <v>246</v>
      </c>
      <c r="G103" t="s">
        <v>38</v>
      </c>
      <c r="H103" t="s">
        <v>25</v>
      </c>
      <c r="I103" t="s">
        <v>24</v>
      </c>
      <c r="J103" s="2">
        <v>45701</v>
      </c>
      <c r="K103" t="s">
        <v>25</v>
      </c>
      <c r="L103">
        <v>43608</v>
      </c>
      <c r="M103">
        <v>264</v>
      </c>
      <c r="N103">
        <v>314</v>
      </c>
      <c r="O103" s="4">
        <v>9500</v>
      </c>
      <c r="P103" s="4">
        <v>4168.1630859375</v>
      </c>
      <c r="Q103" s="5">
        <f t="shared" si="4"/>
        <v>-0.56124599095394734</v>
      </c>
      <c r="R103" s="4">
        <v>4203.1361212225638</v>
      </c>
      <c r="S103" s="5">
        <f t="shared" si="5"/>
        <v>-0.55756461881867747</v>
      </c>
      <c r="T103" s="4">
        <v>6432.381322212228</v>
      </c>
      <c r="U103" s="5">
        <f t="shared" si="6"/>
        <v>-0.32290722924081805</v>
      </c>
      <c r="V103" s="4">
        <v>4202.115234375</v>
      </c>
      <c r="W103" s="5">
        <f t="shared" si="7"/>
        <v>-0.55767208059210527</v>
      </c>
    </row>
    <row r="104" spans="1:23" x14ac:dyDescent="0.25">
      <c r="A104" t="s">
        <v>247</v>
      </c>
      <c r="B104">
        <v>2014</v>
      </c>
      <c r="C104" t="s">
        <v>248</v>
      </c>
      <c r="D104">
        <v>500</v>
      </c>
      <c r="E104">
        <v>51861</v>
      </c>
      <c r="F104" t="s">
        <v>29</v>
      </c>
      <c r="G104" t="s">
        <v>30</v>
      </c>
      <c r="H104" t="s">
        <v>24</v>
      </c>
      <c r="I104" t="s">
        <v>25</v>
      </c>
      <c r="J104" s="2">
        <v>45538</v>
      </c>
      <c r="K104" t="s">
        <v>25</v>
      </c>
      <c r="L104">
        <v>43608</v>
      </c>
      <c r="M104">
        <v>264</v>
      </c>
      <c r="N104">
        <v>314</v>
      </c>
      <c r="O104" s="4">
        <v>6400</v>
      </c>
      <c r="P104" s="4">
        <v>7551.177734375</v>
      </c>
      <c r="Q104" s="5">
        <f t="shared" si="4"/>
        <v>0.17987152099609371</v>
      </c>
      <c r="R104" s="4">
        <v>10116.321293437381</v>
      </c>
      <c r="S104" s="5">
        <f t="shared" si="5"/>
        <v>0.58067520209959067</v>
      </c>
      <c r="T104" s="4">
        <v>3976.5416300170209</v>
      </c>
      <c r="U104" s="5">
        <f t="shared" si="6"/>
        <v>-0.37866537030984049</v>
      </c>
      <c r="V104" s="4">
        <v>6873.86474609375</v>
      </c>
      <c r="W104" s="5">
        <f t="shared" si="7"/>
        <v>7.4041366577148438E-2</v>
      </c>
    </row>
    <row r="105" spans="1:23" x14ac:dyDescent="0.25">
      <c r="A105" t="s">
        <v>249</v>
      </c>
      <c r="B105">
        <v>2015</v>
      </c>
      <c r="C105" t="s">
        <v>53</v>
      </c>
      <c r="D105" t="s">
        <v>148</v>
      </c>
      <c r="E105">
        <v>51610</v>
      </c>
      <c r="F105" t="s">
        <v>250</v>
      </c>
      <c r="G105" t="s">
        <v>38</v>
      </c>
      <c r="H105" t="s">
        <v>25</v>
      </c>
      <c r="I105" t="s">
        <v>24</v>
      </c>
      <c r="J105" s="2">
        <v>45561</v>
      </c>
      <c r="K105" t="s">
        <v>25</v>
      </c>
      <c r="L105">
        <v>43608</v>
      </c>
      <c r="M105">
        <v>264</v>
      </c>
      <c r="N105">
        <v>314</v>
      </c>
      <c r="O105" s="4">
        <v>6200</v>
      </c>
      <c r="P105" s="4">
        <v>13270.3037109375</v>
      </c>
      <c r="Q105" s="5">
        <f t="shared" si="4"/>
        <v>1.1403715662802418</v>
      </c>
      <c r="R105" s="4">
        <v>12466.976574357879</v>
      </c>
      <c r="S105" s="5">
        <f t="shared" si="5"/>
        <v>1.0108026732835289</v>
      </c>
      <c r="T105" s="4">
        <v>16588.23075547308</v>
      </c>
      <c r="U105" s="5">
        <f t="shared" si="6"/>
        <v>1.6755210895924324</v>
      </c>
      <c r="V105" s="4">
        <v>13454.2236328125</v>
      </c>
      <c r="W105" s="5">
        <f t="shared" si="7"/>
        <v>1.1700360698084675</v>
      </c>
    </row>
    <row r="106" spans="1:23" x14ac:dyDescent="0.25">
      <c r="A106" t="s">
        <v>251</v>
      </c>
      <c r="B106">
        <v>2016</v>
      </c>
      <c r="C106" t="s">
        <v>53</v>
      </c>
      <c r="D106" t="s">
        <v>252</v>
      </c>
      <c r="E106">
        <v>73291</v>
      </c>
      <c r="F106" t="s">
        <v>79</v>
      </c>
      <c r="G106" t="s">
        <v>38</v>
      </c>
      <c r="H106" t="s">
        <v>25</v>
      </c>
      <c r="I106" t="s">
        <v>24</v>
      </c>
      <c r="J106" s="2">
        <v>45701</v>
      </c>
      <c r="K106" t="s">
        <v>25</v>
      </c>
      <c r="L106">
        <v>43608</v>
      </c>
      <c r="M106">
        <v>264</v>
      </c>
      <c r="N106">
        <v>314</v>
      </c>
      <c r="O106" s="4">
        <v>2000</v>
      </c>
      <c r="P106" s="4">
        <v>8028.30419921875</v>
      </c>
      <c r="Q106" s="5">
        <f t="shared" si="4"/>
        <v>3.0141520996093751</v>
      </c>
      <c r="R106" s="4">
        <v>7626.182561920692</v>
      </c>
      <c r="S106" s="5">
        <f t="shared" si="5"/>
        <v>2.8130912809603461</v>
      </c>
      <c r="T106" s="4">
        <v>12689.864738920691</v>
      </c>
      <c r="U106" s="5">
        <f t="shared" si="6"/>
        <v>5.344932369460345</v>
      </c>
      <c r="V106" s="4">
        <v>7912.015625</v>
      </c>
      <c r="W106" s="5">
        <f t="shared" si="7"/>
        <v>2.9560078125000002</v>
      </c>
    </row>
    <row r="107" spans="1:23" x14ac:dyDescent="0.25">
      <c r="A107" t="s">
        <v>253</v>
      </c>
      <c r="B107">
        <v>2021</v>
      </c>
      <c r="C107" t="s">
        <v>104</v>
      </c>
      <c r="D107" t="s">
        <v>126</v>
      </c>
      <c r="E107">
        <v>89762</v>
      </c>
      <c r="F107" t="s">
        <v>254</v>
      </c>
      <c r="G107" t="s">
        <v>38</v>
      </c>
      <c r="H107" t="s">
        <v>25</v>
      </c>
      <c r="I107" t="s">
        <v>24</v>
      </c>
      <c r="J107" s="2">
        <v>45398</v>
      </c>
      <c r="K107" t="s">
        <v>25</v>
      </c>
      <c r="L107">
        <v>43608</v>
      </c>
      <c r="M107">
        <v>264</v>
      </c>
      <c r="N107">
        <v>314</v>
      </c>
      <c r="O107" s="4">
        <v>21900</v>
      </c>
      <c r="P107" s="4">
        <v>26843.107421875</v>
      </c>
      <c r="Q107" s="5">
        <f t="shared" si="4"/>
        <v>0.22571266766552522</v>
      </c>
      <c r="R107" s="4">
        <v>25489.81390288148</v>
      </c>
      <c r="S107" s="5">
        <f t="shared" si="5"/>
        <v>0.16391844305394887</v>
      </c>
      <c r="T107" s="4">
        <v>18514.619548032952</v>
      </c>
      <c r="U107" s="5">
        <f t="shared" si="6"/>
        <v>-0.15458358228160041</v>
      </c>
      <c r="V107" s="4">
        <v>26721.541015625</v>
      </c>
      <c r="W107" s="5">
        <f t="shared" si="7"/>
        <v>0.22016169021118714</v>
      </c>
    </row>
    <row r="108" spans="1:23" x14ac:dyDescent="0.25">
      <c r="A108" t="s">
        <v>255</v>
      </c>
      <c r="B108">
        <v>2021</v>
      </c>
      <c r="C108" t="s">
        <v>20</v>
      </c>
      <c r="D108" t="s">
        <v>256</v>
      </c>
      <c r="E108">
        <v>125529</v>
      </c>
      <c r="F108" t="s">
        <v>89</v>
      </c>
      <c r="G108" t="s">
        <v>34</v>
      </c>
      <c r="H108" t="s">
        <v>25</v>
      </c>
      <c r="I108" t="s">
        <v>24</v>
      </c>
      <c r="J108" s="2">
        <v>45680</v>
      </c>
      <c r="K108" t="s">
        <v>25</v>
      </c>
      <c r="L108">
        <v>43608</v>
      </c>
      <c r="M108">
        <v>264</v>
      </c>
      <c r="N108">
        <v>314</v>
      </c>
      <c r="O108" s="4">
        <v>18000</v>
      </c>
      <c r="P108" s="4">
        <v>11711.2626953125</v>
      </c>
      <c r="Q108" s="5">
        <f t="shared" si="4"/>
        <v>-0.34937429470486114</v>
      </c>
      <c r="R108" s="4">
        <v>10885.816997997041</v>
      </c>
      <c r="S108" s="5">
        <f t="shared" si="5"/>
        <v>-0.39523238900016444</v>
      </c>
      <c r="T108" s="4">
        <v>12402.383931177121</v>
      </c>
      <c r="U108" s="5">
        <f t="shared" si="6"/>
        <v>-0.31097867049015993</v>
      </c>
      <c r="V108" s="4">
        <v>11684.7646484375</v>
      </c>
      <c r="W108" s="5">
        <f t="shared" si="7"/>
        <v>-0.35084640842013892</v>
      </c>
    </row>
    <row r="109" spans="1:23" x14ac:dyDescent="0.25">
      <c r="A109" t="s">
        <v>257</v>
      </c>
      <c r="B109">
        <v>2016</v>
      </c>
      <c r="C109" t="s">
        <v>20</v>
      </c>
      <c r="D109" t="s">
        <v>258</v>
      </c>
      <c r="E109">
        <v>111697</v>
      </c>
      <c r="F109" t="s">
        <v>77</v>
      </c>
      <c r="G109" t="s">
        <v>30</v>
      </c>
      <c r="H109" t="s">
        <v>24</v>
      </c>
      <c r="I109" t="s">
        <v>25</v>
      </c>
      <c r="J109" s="2">
        <v>45561</v>
      </c>
      <c r="K109" t="s">
        <v>25</v>
      </c>
      <c r="L109">
        <v>43608</v>
      </c>
      <c r="M109">
        <v>264</v>
      </c>
      <c r="N109">
        <v>314</v>
      </c>
      <c r="O109" s="4">
        <v>10600</v>
      </c>
      <c r="P109" s="4">
        <v>4507.23486328125</v>
      </c>
      <c r="Q109" s="5">
        <f t="shared" si="4"/>
        <v>-0.57478916384139156</v>
      </c>
      <c r="R109" s="4">
        <v>7480.004851622225</v>
      </c>
      <c r="S109" s="5">
        <f t="shared" si="5"/>
        <v>-0.29433916494129952</v>
      </c>
      <c r="T109" s="4">
        <v>8851.8046822965171</v>
      </c>
      <c r="U109" s="5">
        <f t="shared" si="6"/>
        <v>-0.16492408657580027</v>
      </c>
      <c r="V109" s="4">
        <v>4439.2041015625</v>
      </c>
      <c r="W109" s="5">
        <f t="shared" si="7"/>
        <v>-0.58120716022995289</v>
      </c>
    </row>
    <row r="110" spans="1:23" x14ac:dyDescent="0.25">
      <c r="A110" t="s">
        <v>259</v>
      </c>
      <c r="B110">
        <v>2017</v>
      </c>
      <c r="C110" t="s">
        <v>159</v>
      </c>
      <c r="D110" t="s">
        <v>260</v>
      </c>
      <c r="E110">
        <v>112344</v>
      </c>
      <c r="F110" t="s">
        <v>261</v>
      </c>
      <c r="G110" t="s">
        <v>30</v>
      </c>
      <c r="H110" t="s">
        <v>24</v>
      </c>
      <c r="I110" t="s">
        <v>25</v>
      </c>
      <c r="J110" s="2">
        <v>45426</v>
      </c>
      <c r="K110" t="s">
        <v>25</v>
      </c>
      <c r="L110">
        <v>43608</v>
      </c>
      <c r="M110">
        <v>264</v>
      </c>
      <c r="N110">
        <v>314</v>
      </c>
      <c r="O110" s="4">
        <v>7600</v>
      </c>
      <c r="P110" s="4">
        <v>4835.4912109375</v>
      </c>
      <c r="Q110" s="5">
        <f t="shared" si="4"/>
        <v>-0.36375115645559208</v>
      </c>
      <c r="R110" s="4">
        <v>5275.1608319619472</v>
      </c>
      <c r="S110" s="5">
        <f t="shared" si="5"/>
        <v>-0.30589989053132272</v>
      </c>
      <c r="T110" s="4">
        <v>3918.4109830443508</v>
      </c>
      <c r="U110" s="5">
        <f t="shared" si="6"/>
        <v>-0.48441960749416435</v>
      </c>
      <c r="V110" s="4">
        <v>4638.63232421875</v>
      </c>
      <c r="W110" s="5">
        <f t="shared" si="7"/>
        <v>-0.38965364155016446</v>
      </c>
    </row>
    <row r="111" spans="1:23" x14ac:dyDescent="0.25">
      <c r="A111" t="s">
        <v>262</v>
      </c>
      <c r="B111">
        <v>2010</v>
      </c>
      <c r="C111" t="s">
        <v>159</v>
      </c>
      <c r="D111" t="s">
        <v>260</v>
      </c>
      <c r="E111">
        <v>100775</v>
      </c>
      <c r="F111" t="s">
        <v>77</v>
      </c>
      <c r="G111" t="s">
        <v>34</v>
      </c>
      <c r="H111" t="s">
        <v>25</v>
      </c>
      <c r="I111" t="s">
        <v>24</v>
      </c>
      <c r="J111" s="2">
        <v>45398</v>
      </c>
      <c r="K111" t="s">
        <v>25</v>
      </c>
      <c r="L111">
        <v>43608</v>
      </c>
      <c r="M111">
        <v>264</v>
      </c>
      <c r="N111">
        <v>314</v>
      </c>
      <c r="O111" s="4">
        <v>6429.8701298701299</v>
      </c>
      <c r="P111" s="4">
        <v>3387.799072265625</v>
      </c>
      <c r="Q111" s="5">
        <f t="shared" si="4"/>
        <v>-0.47311547452140346</v>
      </c>
      <c r="R111" s="4">
        <v>3988.091560603279</v>
      </c>
      <c r="S111" s="5">
        <f t="shared" si="5"/>
        <v>-0.37975550360239851</v>
      </c>
      <c r="T111" s="4">
        <v>3166.5641397653999</v>
      </c>
      <c r="U111" s="5">
        <f t="shared" si="6"/>
        <v>-0.50752284637055989</v>
      </c>
      <c r="V111" s="4">
        <v>3128.13525390625</v>
      </c>
      <c r="W111" s="5">
        <f t="shared" si="7"/>
        <v>-0.51349946566192428</v>
      </c>
    </row>
    <row r="112" spans="1:23" x14ac:dyDescent="0.25">
      <c r="A112" t="s">
        <v>263</v>
      </c>
      <c r="B112">
        <v>2016</v>
      </c>
      <c r="C112" t="s">
        <v>185</v>
      </c>
      <c r="D112" t="s">
        <v>264</v>
      </c>
      <c r="E112">
        <v>91904</v>
      </c>
      <c r="F112" t="s">
        <v>219</v>
      </c>
      <c r="G112" t="s">
        <v>30</v>
      </c>
      <c r="H112" t="s">
        <v>24</v>
      </c>
      <c r="I112" t="s">
        <v>25</v>
      </c>
      <c r="J112" s="2">
        <v>45463</v>
      </c>
      <c r="K112" t="s">
        <v>25</v>
      </c>
      <c r="L112">
        <v>43608</v>
      </c>
      <c r="M112">
        <v>264</v>
      </c>
      <c r="N112">
        <v>314</v>
      </c>
      <c r="O112" s="4">
        <v>5500</v>
      </c>
      <c r="P112" s="4">
        <v>6941.41552734375</v>
      </c>
      <c r="Q112" s="5">
        <f t="shared" si="4"/>
        <v>0.26207555042613628</v>
      </c>
      <c r="R112" s="4">
        <v>6858.0993555792247</v>
      </c>
      <c r="S112" s="5">
        <f t="shared" si="5"/>
        <v>0.24692715555985911</v>
      </c>
      <c r="T112" s="4">
        <v>4938.0621639582059</v>
      </c>
      <c r="U112" s="5">
        <f t="shared" si="6"/>
        <v>-0.10217051564396251</v>
      </c>
      <c r="V112" s="4">
        <v>7080.947265625</v>
      </c>
      <c r="W112" s="5">
        <f t="shared" si="7"/>
        <v>0.28744495738636355</v>
      </c>
    </row>
    <row r="113" spans="1:23" x14ac:dyDescent="0.25">
      <c r="A113" t="s">
        <v>265</v>
      </c>
      <c r="B113">
        <v>2020</v>
      </c>
      <c r="C113" t="s">
        <v>266</v>
      </c>
      <c r="D113" t="s">
        <v>267</v>
      </c>
      <c r="E113">
        <v>68335</v>
      </c>
      <c r="F113" t="s">
        <v>141</v>
      </c>
      <c r="G113" t="s">
        <v>30</v>
      </c>
      <c r="H113" t="s">
        <v>24</v>
      </c>
      <c r="I113" t="s">
        <v>25</v>
      </c>
      <c r="J113" s="2">
        <v>45687</v>
      </c>
      <c r="K113" t="s">
        <v>25</v>
      </c>
      <c r="L113">
        <v>43608</v>
      </c>
      <c r="M113">
        <v>264</v>
      </c>
      <c r="N113">
        <v>314</v>
      </c>
      <c r="O113" s="4">
        <v>13700</v>
      </c>
      <c r="P113" s="4">
        <v>14546.013671875</v>
      </c>
      <c r="Q113" s="5">
        <f t="shared" si="4"/>
        <v>6.1752822764598481E-2</v>
      </c>
      <c r="R113" s="4">
        <v>14543.82751728009</v>
      </c>
      <c r="S113" s="5">
        <f t="shared" si="5"/>
        <v>6.1593249436502795E-2</v>
      </c>
      <c r="T113" s="4">
        <v>10994.87243848775</v>
      </c>
      <c r="U113" s="5">
        <f t="shared" si="6"/>
        <v>-0.19745456653374094</v>
      </c>
      <c r="V113" s="4">
        <v>14758.77734375</v>
      </c>
      <c r="W113" s="5">
        <f t="shared" si="7"/>
        <v>7.7283017791970776E-2</v>
      </c>
    </row>
    <row r="114" spans="1:23" x14ac:dyDescent="0.25">
      <c r="A114" t="s">
        <v>268</v>
      </c>
      <c r="B114">
        <v>2011</v>
      </c>
      <c r="C114" t="s">
        <v>269</v>
      </c>
      <c r="D114" t="s">
        <v>270</v>
      </c>
      <c r="E114">
        <v>99999</v>
      </c>
      <c r="F114" t="s">
        <v>271</v>
      </c>
      <c r="G114" t="s">
        <v>23</v>
      </c>
      <c r="H114" t="s">
        <v>24</v>
      </c>
      <c r="I114" t="s">
        <v>25</v>
      </c>
      <c r="J114" s="2">
        <v>45440</v>
      </c>
      <c r="K114" t="s">
        <v>25</v>
      </c>
      <c r="L114">
        <v>43608</v>
      </c>
      <c r="M114">
        <v>264</v>
      </c>
      <c r="N114">
        <v>314</v>
      </c>
      <c r="O114" s="4">
        <v>2000</v>
      </c>
      <c r="P114" s="4">
        <v>4113.98583984375</v>
      </c>
      <c r="Q114" s="5">
        <f t="shared" si="4"/>
        <v>1.0569929199218748</v>
      </c>
      <c r="R114" s="4">
        <v>3653.603975690366</v>
      </c>
      <c r="S114" s="5">
        <f t="shared" si="5"/>
        <v>0.82680198784518311</v>
      </c>
      <c r="T114" s="4">
        <v>8242.8469608158248</v>
      </c>
      <c r="U114" s="5">
        <f t="shared" si="6"/>
        <v>3.1214234804079126</v>
      </c>
      <c r="V114" s="4">
        <v>4089.43994140625</v>
      </c>
      <c r="W114" s="5">
        <f t="shared" si="7"/>
        <v>1.0447199707031252</v>
      </c>
    </row>
    <row r="115" spans="1:23" x14ac:dyDescent="0.25">
      <c r="A115" t="s">
        <v>272</v>
      </c>
      <c r="B115">
        <v>2019</v>
      </c>
      <c r="C115" t="s">
        <v>139</v>
      </c>
      <c r="D115" t="s">
        <v>273</v>
      </c>
      <c r="E115">
        <v>120246</v>
      </c>
      <c r="F115" t="s">
        <v>89</v>
      </c>
      <c r="G115" t="s">
        <v>38</v>
      </c>
      <c r="H115" t="s">
        <v>25</v>
      </c>
      <c r="I115" t="s">
        <v>24</v>
      </c>
      <c r="J115" s="2">
        <v>45666</v>
      </c>
      <c r="K115" t="s">
        <v>25</v>
      </c>
      <c r="L115">
        <v>43608</v>
      </c>
      <c r="M115">
        <v>264</v>
      </c>
      <c r="N115">
        <v>314</v>
      </c>
      <c r="O115" s="4">
        <v>20800</v>
      </c>
      <c r="P115" s="4">
        <v>9039.568359375</v>
      </c>
      <c r="Q115" s="5">
        <f t="shared" si="4"/>
        <v>-0.56540536733774038</v>
      </c>
      <c r="R115" s="4">
        <v>9378.420014533207</v>
      </c>
      <c r="S115" s="5">
        <f t="shared" si="5"/>
        <v>-0.54911442237821118</v>
      </c>
      <c r="T115" s="4">
        <v>11615.57398175719</v>
      </c>
      <c r="U115" s="5">
        <f t="shared" si="6"/>
        <v>-0.44155894318475042</v>
      </c>
      <c r="V115" s="4">
        <v>9076.4013671875</v>
      </c>
      <c r="W115" s="5">
        <f t="shared" si="7"/>
        <v>-0.56363454965444704</v>
      </c>
    </row>
    <row r="116" spans="1:23" x14ac:dyDescent="0.25">
      <c r="A116" t="s">
        <v>274</v>
      </c>
      <c r="B116">
        <v>2017</v>
      </c>
      <c r="C116" t="s">
        <v>91</v>
      </c>
      <c r="D116" t="s">
        <v>275</v>
      </c>
      <c r="E116">
        <v>125258</v>
      </c>
      <c r="F116" t="s">
        <v>77</v>
      </c>
      <c r="G116" t="s">
        <v>34</v>
      </c>
      <c r="H116" t="s">
        <v>25</v>
      </c>
      <c r="I116" t="s">
        <v>24</v>
      </c>
      <c r="J116" s="2">
        <v>45440</v>
      </c>
      <c r="K116" t="s">
        <v>25</v>
      </c>
      <c r="L116">
        <v>43608</v>
      </c>
      <c r="M116">
        <v>264</v>
      </c>
      <c r="N116">
        <v>314</v>
      </c>
      <c r="O116" s="4">
        <v>20200</v>
      </c>
      <c r="P116" s="4">
        <v>3994.801513671875</v>
      </c>
      <c r="Q116" s="5">
        <f t="shared" si="4"/>
        <v>-0.80223754882812504</v>
      </c>
      <c r="R116" s="4">
        <v>6873.0115057038074</v>
      </c>
      <c r="S116" s="5">
        <f t="shared" si="5"/>
        <v>-0.65975190565822728</v>
      </c>
      <c r="T116" s="4">
        <v>7443.9913571125908</v>
      </c>
      <c r="U116" s="5">
        <f t="shared" si="6"/>
        <v>-0.63148557638056479</v>
      </c>
      <c r="V116" s="4">
        <v>3628.836181640625</v>
      </c>
      <c r="W116" s="5">
        <f t="shared" si="7"/>
        <v>-0.82035464447323636</v>
      </c>
    </row>
    <row r="117" spans="1:23" x14ac:dyDescent="0.25">
      <c r="A117" t="s">
        <v>276</v>
      </c>
      <c r="B117">
        <v>2018</v>
      </c>
      <c r="C117" t="s">
        <v>185</v>
      </c>
      <c r="D117" t="s">
        <v>277</v>
      </c>
      <c r="E117">
        <v>92457</v>
      </c>
      <c r="F117" t="s">
        <v>77</v>
      </c>
      <c r="G117" t="s">
        <v>34</v>
      </c>
      <c r="H117" t="s">
        <v>25</v>
      </c>
      <c r="I117" t="s">
        <v>24</v>
      </c>
      <c r="J117" s="2">
        <v>45440</v>
      </c>
      <c r="K117" t="s">
        <v>25</v>
      </c>
      <c r="L117">
        <v>43608</v>
      </c>
      <c r="M117">
        <v>264</v>
      </c>
      <c r="N117">
        <v>314</v>
      </c>
      <c r="O117" s="4">
        <v>6800</v>
      </c>
      <c r="P117" s="4">
        <v>5866.47314453125</v>
      </c>
      <c r="Q117" s="5">
        <f t="shared" si="4"/>
        <v>-0.1372833610983456</v>
      </c>
      <c r="R117" s="4">
        <v>8362.1108350225331</v>
      </c>
      <c r="S117" s="5">
        <f t="shared" si="5"/>
        <v>0.2297221816209607</v>
      </c>
      <c r="T117" s="4">
        <v>7382.4584074095892</v>
      </c>
      <c r="U117" s="5">
        <f t="shared" si="6"/>
        <v>8.5655648148468932E-2</v>
      </c>
      <c r="V117" s="4">
        <v>5279.4296875</v>
      </c>
      <c r="W117" s="5">
        <f t="shared" si="7"/>
        <v>-0.22361328125000002</v>
      </c>
    </row>
    <row r="118" spans="1:23" x14ac:dyDescent="0.25">
      <c r="A118" t="s">
        <v>278</v>
      </c>
      <c r="B118">
        <v>2020</v>
      </c>
      <c r="C118" t="s">
        <v>167</v>
      </c>
      <c r="D118" t="s">
        <v>168</v>
      </c>
      <c r="E118">
        <v>48374</v>
      </c>
      <c r="F118" t="s">
        <v>174</v>
      </c>
      <c r="G118" t="s">
        <v>44</v>
      </c>
      <c r="H118" t="s">
        <v>25</v>
      </c>
      <c r="I118" t="s">
        <v>24</v>
      </c>
      <c r="J118" s="2">
        <v>45526</v>
      </c>
      <c r="K118" t="s">
        <v>25</v>
      </c>
      <c r="L118">
        <v>43608</v>
      </c>
      <c r="M118">
        <v>264</v>
      </c>
      <c r="N118">
        <v>314</v>
      </c>
      <c r="O118" s="4">
        <v>11600</v>
      </c>
      <c r="P118" s="4">
        <v>14209.216796875</v>
      </c>
      <c r="Q118" s="5">
        <f t="shared" si="4"/>
        <v>0.22493248248922404</v>
      </c>
      <c r="R118" s="4">
        <v>17290.949732934969</v>
      </c>
      <c r="S118" s="5">
        <f t="shared" si="5"/>
        <v>0.49059911490818697</v>
      </c>
      <c r="T118" s="4">
        <v>13148.57266292538</v>
      </c>
      <c r="U118" s="5">
        <f t="shared" si="6"/>
        <v>0.1334976433556363</v>
      </c>
      <c r="V118" s="4">
        <v>13672.0048828125</v>
      </c>
      <c r="W118" s="5">
        <f t="shared" si="7"/>
        <v>0.17862111058728458</v>
      </c>
    </row>
    <row r="119" spans="1:23" x14ac:dyDescent="0.25">
      <c r="A119" t="s">
        <v>279</v>
      </c>
      <c r="B119">
        <v>2016</v>
      </c>
      <c r="C119" t="s">
        <v>167</v>
      </c>
      <c r="D119" t="s">
        <v>168</v>
      </c>
      <c r="E119">
        <v>138690</v>
      </c>
      <c r="F119" t="s">
        <v>79</v>
      </c>
      <c r="G119" t="s">
        <v>38</v>
      </c>
      <c r="H119" t="s">
        <v>25</v>
      </c>
      <c r="I119" t="s">
        <v>24</v>
      </c>
      <c r="J119" s="2">
        <v>45608</v>
      </c>
      <c r="K119" t="s">
        <v>25</v>
      </c>
      <c r="L119">
        <v>43608</v>
      </c>
      <c r="M119">
        <v>264</v>
      </c>
      <c r="N119">
        <v>314</v>
      </c>
      <c r="O119" s="4">
        <v>8000</v>
      </c>
      <c r="P119" s="4">
        <v>2384.949462890625</v>
      </c>
      <c r="Q119" s="5">
        <f t="shared" si="4"/>
        <v>-0.70188131713867186</v>
      </c>
      <c r="R119" s="4">
        <v>2245.293193328524</v>
      </c>
      <c r="S119" s="5">
        <f t="shared" si="5"/>
        <v>-0.71933835083393449</v>
      </c>
      <c r="T119" s="4">
        <v>2449.691912006012</v>
      </c>
      <c r="U119" s="5">
        <f t="shared" si="6"/>
        <v>-0.69378851099924854</v>
      </c>
      <c r="V119" s="4">
        <v>2330.412841796875</v>
      </c>
      <c r="W119" s="5">
        <f t="shared" si="7"/>
        <v>-0.70869839477539065</v>
      </c>
    </row>
    <row r="120" spans="1:23" x14ac:dyDescent="0.25">
      <c r="A120" t="s">
        <v>280</v>
      </c>
      <c r="B120">
        <v>2020</v>
      </c>
      <c r="C120" t="s">
        <v>156</v>
      </c>
      <c r="D120" t="s">
        <v>173</v>
      </c>
      <c r="E120">
        <v>99654</v>
      </c>
      <c r="F120" t="s">
        <v>87</v>
      </c>
      <c r="G120" t="s">
        <v>38</v>
      </c>
      <c r="H120" t="s">
        <v>25</v>
      </c>
      <c r="I120" t="s">
        <v>24</v>
      </c>
      <c r="J120" s="2">
        <v>45701</v>
      </c>
      <c r="K120" t="s">
        <v>25</v>
      </c>
      <c r="L120">
        <v>43608</v>
      </c>
      <c r="M120">
        <v>264</v>
      </c>
      <c r="N120">
        <v>314</v>
      </c>
      <c r="O120" s="4">
        <v>11200</v>
      </c>
      <c r="P120" s="4">
        <v>9103.658203125</v>
      </c>
      <c r="Q120" s="5">
        <f t="shared" si="4"/>
        <v>-0.18717337472098217</v>
      </c>
      <c r="R120" s="4">
        <v>10821.16547325088</v>
      </c>
      <c r="S120" s="5">
        <f t="shared" si="5"/>
        <v>-3.3824511316885797E-2</v>
      </c>
      <c r="T120" s="4">
        <v>8225.4134384073877</v>
      </c>
      <c r="U120" s="5">
        <f t="shared" si="6"/>
        <v>-0.26558808585648319</v>
      </c>
      <c r="V120" s="4">
        <v>8579.3203125</v>
      </c>
      <c r="W120" s="5">
        <f t="shared" si="7"/>
        <v>-0.23398925781250002</v>
      </c>
    </row>
    <row r="121" spans="1:23" x14ac:dyDescent="0.25">
      <c r="A121" t="s">
        <v>281</v>
      </c>
      <c r="B121">
        <v>2013</v>
      </c>
      <c r="C121" t="s">
        <v>156</v>
      </c>
      <c r="D121" t="s">
        <v>176</v>
      </c>
      <c r="E121">
        <v>155907</v>
      </c>
      <c r="F121" t="s">
        <v>98</v>
      </c>
      <c r="G121" t="s">
        <v>30</v>
      </c>
      <c r="H121" t="s">
        <v>24</v>
      </c>
      <c r="I121" t="s">
        <v>25</v>
      </c>
      <c r="J121" s="2">
        <v>45561</v>
      </c>
      <c r="K121" t="s">
        <v>25</v>
      </c>
      <c r="L121">
        <v>43608</v>
      </c>
      <c r="M121">
        <v>264</v>
      </c>
      <c r="N121">
        <v>314</v>
      </c>
      <c r="O121" s="4">
        <v>9000</v>
      </c>
      <c r="P121" s="4">
        <v>2010.302734375</v>
      </c>
      <c r="Q121" s="5">
        <f t="shared" si="4"/>
        <v>-0.77663302951388891</v>
      </c>
      <c r="R121" s="4">
        <v>2744.6787400963858</v>
      </c>
      <c r="S121" s="5">
        <f t="shared" si="5"/>
        <v>-0.69503569554484601</v>
      </c>
      <c r="T121" s="4">
        <v>3574.655753628459</v>
      </c>
      <c r="U121" s="5">
        <f t="shared" si="6"/>
        <v>-0.6028160273746157</v>
      </c>
      <c r="V121" s="4">
        <v>1915.73095703125</v>
      </c>
      <c r="W121" s="5">
        <f t="shared" si="7"/>
        <v>-0.7871410047743056</v>
      </c>
    </row>
    <row r="122" spans="1:23" x14ac:dyDescent="0.25">
      <c r="A122" t="s">
        <v>282</v>
      </c>
      <c r="B122">
        <v>2016</v>
      </c>
      <c r="C122" t="s">
        <v>139</v>
      </c>
      <c r="D122" t="s">
        <v>283</v>
      </c>
      <c r="E122">
        <v>62906</v>
      </c>
      <c r="F122" t="s">
        <v>63</v>
      </c>
      <c r="G122" t="s">
        <v>44</v>
      </c>
      <c r="H122" t="s">
        <v>25</v>
      </c>
      <c r="I122" t="s">
        <v>24</v>
      </c>
      <c r="J122" s="2">
        <v>45622</v>
      </c>
      <c r="K122" t="s">
        <v>25</v>
      </c>
      <c r="L122">
        <v>43608</v>
      </c>
      <c r="M122">
        <v>264</v>
      </c>
      <c r="N122">
        <v>314</v>
      </c>
      <c r="O122" s="4">
        <v>12300</v>
      </c>
      <c r="P122" s="4">
        <v>13913.66015625</v>
      </c>
      <c r="Q122" s="5">
        <f t="shared" si="4"/>
        <v>0.13119188262195114</v>
      </c>
      <c r="R122" s="4">
        <v>14531.67949903549</v>
      </c>
      <c r="S122" s="5">
        <f t="shared" si="5"/>
        <v>0.18143735764516178</v>
      </c>
      <c r="T122" s="4">
        <v>12805.85022253959</v>
      </c>
      <c r="U122" s="5">
        <f t="shared" si="6"/>
        <v>4.1126034352812146E-2</v>
      </c>
      <c r="V122" s="4">
        <v>14082.8505859375</v>
      </c>
      <c r="W122" s="5">
        <f t="shared" si="7"/>
        <v>0.1449472021087399</v>
      </c>
    </row>
    <row r="123" spans="1:23" x14ac:dyDescent="0.25">
      <c r="A123" t="s">
        <v>284</v>
      </c>
      <c r="B123">
        <v>2012</v>
      </c>
      <c r="C123" t="s">
        <v>139</v>
      </c>
      <c r="D123" t="s">
        <v>285</v>
      </c>
      <c r="E123">
        <v>138350</v>
      </c>
      <c r="F123" t="s">
        <v>254</v>
      </c>
      <c r="G123" t="s">
        <v>38</v>
      </c>
      <c r="H123" t="s">
        <v>25</v>
      </c>
      <c r="I123" t="s">
        <v>24</v>
      </c>
      <c r="J123" s="2">
        <v>45496</v>
      </c>
      <c r="K123" t="s">
        <v>25</v>
      </c>
      <c r="L123">
        <v>43608</v>
      </c>
      <c r="M123">
        <v>264</v>
      </c>
      <c r="N123">
        <v>314</v>
      </c>
      <c r="O123" s="4">
        <v>10100</v>
      </c>
      <c r="P123" s="4">
        <v>6002.9892578125</v>
      </c>
      <c r="Q123" s="5">
        <f t="shared" si="4"/>
        <v>-0.40564462793935641</v>
      </c>
      <c r="R123" s="4">
        <v>4590.3103046422048</v>
      </c>
      <c r="S123" s="5">
        <f t="shared" si="5"/>
        <v>-0.54551383122354413</v>
      </c>
      <c r="T123" s="4">
        <v>5686.2954894817503</v>
      </c>
      <c r="U123" s="5">
        <f t="shared" si="6"/>
        <v>-0.43700044658596526</v>
      </c>
      <c r="V123" s="4">
        <v>5934.7451171875</v>
      </c>
      <c r="W123" s="5">
        <f t="shared" si="7"/>
        <v>-0.41240147354579204</v>
      </c>
    </row>
    <row r="124" spans="1:23" x14ac:dyDescent="0.25">
      <c r="A124" t="s">
        <v>286</v>
      </c>
      <c r="B124">
        <v>2017</v>
      </c>
      <c r="C124" t="s">
        <v>91</v>
      </c>
      <c r="D124" t="s">
        <v>287</v>
      </c>
      <c r="E124">
        <v>83391</v>
      </c>
      <c r="F124" t="s">
        <v>141</v>
      </c>
      <c r="G124" t="s">
        <v>38</v>
      </c>
      <c r="H124" t="s">
        <v>25</v>
      </c>
      <c r="I124" t="s">
        <v>24</v>
      </c>
      <c r="J124" s="2">
        <v>45720</v>
      </c>
      <c r="K124" t="s">
        <v>25</v>
      </c>
      <c r="L124">
        <v>43608</v>
      </c>
      <c r="M124">
        <v>264</v>
      </c>
      <c r="N124">
        <v>314</v>
      </c>
      <c r="O124" s="4">
        <v>8800</v>
      </c>
      <c r="P124" s="4">
        <v>9638.0478515625</v>
      </c>
      <c r="Q124" s="5">
        <f t="shared" si="4"/>
        <v>9.5232710404829612E-2</v>
      </c>
      <c r="R124" s="4">
        <v>9961.3904992944808</v>
      </c>
      <c r="S124" s="5">
        <f t="shared" si="5"/>
        <v>0.13197619310164566</v>
      </c>
      <c r="T124" s="4">
        <v>6614.9935935659487</v>
      </c>
      <c r="U124" s="5">
        <f t="shared" si="6"/>
        <v>-0.24829618254932406</v>
      </c>
      <c r="V124" s="4">
        <v>9690.09375</v>
      </c>
      <c r="W124" s="5">
        <f t="shared" si="7"/>
        <v>0.10114701704545448</v>
      </c>
    </row>
    <row r="125" spans="1:23" x14ac:dyDescent="0.25">
      <c r="A125" t="s">
        <v>288</v>
      </c>
      <c r="B125">
        <v>2021</v>
      </c>
      <c r="C125" t="s">
        <v>20</v>
      </c>
      <c r="D125" t="s">
        <v>289</v>
      </c>
      <c r="E125">
        <v>55343</v>
      </c>
      <c r="F125" t="s">
        <v>29</v>
      </c>
      <c r="G125" t="s">
        <v>38</v>
      </c>
      <c r="H125" t="s">
        <v>25</v>
      </c>
      <c r="I125" t="s">
        <v>24</v>
      </c>
      <c r="J125" s="2">
        <v>45622</v>
      </c>
      <c r="K125" t="s">
        <v>25</v>
      </c>
      <c r="L125">
        <v>43608</v>
      </c>
      <c r="M125">
        <v>264</v>
      </c>
      <c r="N125">
        <v>314</v>
      </c>
      <c r="O125" s="4">
        <v>18900</v>
      </c>
      <c r="P125" s="4">
        <v>15077.4541015625</v>
      </c>
      <c r="Q125" s="5">
        <f t="shared" si="4"/>
        <v>-0.20225110573743388</v>
      </c>
      <c r="R125" s="4">
        <v>22639.731205322161</v>
      </c>
      <c r="S125" s="5">
        <f t="shared" si="5"/>
        <v>0.19786937594297149</v>
      </c>
      <c r="T125" s="4">
        <v>32522.078131905379</v>
      </c>
      <c r="U125" s="5">
        <f t="shared" si="6"/>
        <v>0.72074487470398818</v>
      </c>
      <c r="V125" s="4">
        <v>15733.837890625</v>
      </c>
      <c r="W125" s="5">
        <f t="shared" si="7"/>
        <v>-0.16752180472883593</v>
      </c>
    </row>
    <row r="126" spans="1:23" x14ac:dyDescent="0.25">
      <c r="A126" t="s">
        <v>290</v>
      </c>
      <c r="B126">
        <v>2016</v>
      </c>
      <c r="C126" t="s">
        <v>167</v>
      </c>
      <c r="D126" t="s">
        <v>291</v>
      </c>
      <c r="E126">
        <v>85615</v>
      </c>
      <c r="F126" t="s">
        <v>48</v>
      </c>
      <c r="G126" t="s">
        <v>34</v>
      </c>
      <c r="H126" t="s">
        <v>25</v>
      </c>
      <c r="I126" t="s">
        <v>24</v>
      </c>
      <c r="J126" s="2">
        <v>45589</v>
      </c>
      <c r="K126" t="s">
        <v>25</v>
      </c>
      <c r="L126">
        <v>43608</v>
      </c>
      <c r="M126">
        <v>264</v>
      </c>
      <c r="N126">
        <v>314</v>
      </c>
      <c r="O126" s="4">
        <v>4000</v>
      </c>
      <c r="P126" s="4">
        <v>4640.693359375</v>
      </c>
      <c r="Q126" s="5">
        <f t="shared" si="4"/>
        <v>0.16017333984374993</v>
      </c>
      <c r="R126" s="4">
        <v>6891.7584716675156</v>
      </c>
      <c r="S126" s="5">
        <f t="shared" si="5"/>
        <v>0.722939617916879</v>
      </c>
      <c r="T126" s="4">
        <v>8392.3830878266126</v>
      </c>
      <c r="U126" s="5">
        <f t="shared" si="6"/>
        <v>1.0980957719566531</v>
      </c>
      <c r="V126" s="4">
        <v>4153.27294921875</v>
      </c>
      <c r="W126" s="5">
        <f t="shared" si="7"/>
        <v>3.831823730468753E-2</v>
      </c>
    </row>
    <row r="127" spans="1:23" x14ac:dyDescent="0.25">
      <c r="A127" t="s">
        <v>292</v>
      </c>
      <c r="B127">
        <v>2017</v>
      </c>
      <c r="C127" t="s">
        <v>167</v>
      </c>
      <c r="D127" t="s">
        <v>293</v>
      </c>
      <c r="E127">
        <v>136589</v>
      </c>
      <c r="F127" t="s">
        <v>111</v>
      </c>
      <c r="G127" t="s">
        <v>30</v>
      </c>
      <c r="H127" t="s">
        <v>24</v>
      </c>
      <c r="I127" t="s">
        <v>25</v>
      </c>
      <c r="J127" s="2">
        <v>45566</v>
      </c>
      <c r="K127" t="s">
        <v>25</v>
      </c>
      <c r="L127">
        <v>43608</v>
      </c>
      <c r="M127">
        <v>264</v>
      </c>
      <c r="N127">
        <v>314</v>
      </c>
      <c r="O127" s="4">
        <v>800</v>
      </c>
      <c r="P127" s="4">
        <v>2508.77294921875</v>
      </c>
      <c r="Q127" s="5">
        <f t="shared" si="4"/>
        <v>2.1359661865234374</v>
      </c>
      <c r="R127" s="4">
        <v>2438.9169952847392</v>
      </c>
      <c r="S127" s="5">
        <f t="shared" si="5"/>
        <v>2.0486462441059241</v>
      </c>
      <c r="T127" s="4">
        <v>2788.953488504847</v>
      </c>
      <c r="U127" s="5">
        <f t="shared" si="6"/>
        <v>2.4861918606310587</v>
      </c>
      <c r="V127" s="4">
        <v>2487.482177734375</v>
      </c>
      <c r="W127" s="5">
        <f t="shared" si="7"/>
        <v>2.1093527221679689</v>
      </c>
    </row>
    <row r="128" spans="1:23" x14ac:dyDescent="0.25">
      <c r="A128" t="s">
        <v>294</v>
      </c>
      <c r="B128">
        <v>2015</v>
      </c>
      <c r="C128" t="s">
        <v>167</v>
      </c>
      <c r="D128" t="s">
        <v>168</v>
      </c>
      <c r="E128">
        <v>117094</v>
      </c>
      <c r="F128" t="s">
        <v>79</v>
      </c>
      <c r="G128" t="s">
        <v>30</v>
      </c>
      <c r="H128" t="s">
        <v>24</v>
      </c>
      <c r="I128" t="s">
        <v>25</v>
      </c>
      <c r="J128" s="2">
        <v>45400</v>
      </c>
      <c r="K128" t="s">
        <v>25</v>
      </c>
      <c r="L128">
        <v>43608</v>
      </c>
      <c r="M128">
        <v>264</v>
      </c>
      <c r="N128">
        <v>314</v>
      </c>
      <c r="O128" s="4">
        <v>1600</v>
      </c>
      <c r="P128" s="4">
        <v>3107.19580078125</v>
      </c>
      <c r="Q128" s="5">
        <f t="shared" si="4"/>
        <v>0.94199737548828133</v>
      </c>
      <c r="R128" s="4">
        <v>2952.55928575709</v>
      </c>
      <c r="S128" s="5">
        <f t="shared" si="5"/>
        <v>0.8453495535981812</v>
      </c>
      <c r="T128" s="4">
        <v>2745.959785592006</v>
      </c>
      <c r="U128" s="5">
        <f t="shared" si="6"/>
        <v>0.71622486599500368</v>
      </c>
      <c r="V128" s="4">
        <v>3074.977294921875</v>
      </c>
      <c r="W128" s="5">
        <f t="shared" si="7"/>
        <v>0.92186080932617198</v>
      </c>
    </row>
    <row r="129" spans="1:23" x14ac:dyDescent="0.25">
      <c r="A129" t="s">
        <v>295</v>
      </c>
      <c r="B129">
        <v>2019</v>
      </c>
      <c r="C129" t="s">
        <v>156</v>
      </c>
      <c r="D129" t="s">
        <v>196</v>
      </c>
      <c r="E129">
        <v>83905</v>
      </c>
      <c r="F129" t="s">
        <v>37</v>
      </c>
      <c r="G129" t="s">
        <v>38</v>
      </c>
      <c r="H129" t="s">
        <v>25</v>
      </c>
      <c r="I129" t="s">
        <v>24</v>
      </c>
      <c r="J129" s="2">
        <v>45701</v>
      </c>
      <c r="K129" t="s">
        <v>25</v>
      </c>
      <c r="L129">
        <v>43608</v>
      </c>
      <c r="M129">
        <v>264</v>
      </c>
      <c r="N129">
        <v>314</v>
      </c>
      <c r="O129" s="4">
        <v>6300</v>
      </c>
      <c r="P129" s="4">
        <v>6969.25830078125</v>
      </c>
      <c r="Q129" s="5">
        <f t="shared" si="4"/>
        <v>0.10623147631448404</v>
      </c>
      <c r="R129" s="4">
        <v>9858.657447825608</v>
      </c>
      <c r="S129" s="5">
        <f t="shared" si="5"/>
        <v>0.56486626155962028</v>
      </c>
      <c r="T129" s="4">
        <v>7932.8343792645474</v>
      </c>
      <c r="U129" s="5">
        <f t="shared" si="6"/>
        <v>0.25918006020072171</v>
      </c>
      <c r="V129" s="4">
        <v>6535.45654296875</v>
      </c>
      <c r="W129" s="5">
        <f t="shared" si="7"/>
        <v>3.737405443948405E-2</v>
      </c>
    </row>
    <row r="130" spans="1:23" x14ac:dyDescent="0.25">
      <c r="A130" t="s">
        <v>296</v>
      </c>
      <c r="B130">
        <v>2016</v>
      </c>
      <c r="C130" t="s">
        <v>297</v>
      </c>
      <c r="D130" t="s">
        <v>298</v>
      </c>
      <c r="E130">
        <v>73356</v>
      </c>
      <c r="F130" t="s">
        <v>115</v>
      </c>
      <c r="G130" t="s">
        <v>30</v>
      </c>
      <c r="H130" t="s">
        <v>24</v>
      </c>
      <c r="I130" t="s">
        <v>25</v>
      </c>
      <c r="J130" s="2">
        <v>45454</v>
      </c>
      <c r="K130" t="s">
        <v>25</v>
      </c>
      <c r="L130">
        <v>43608</v>
      </c>
      <c r="M130">
        <v>264</v>
      </c>
      <c r="N130">
        <v>314</v>
      </c>
      <c r="O130" s="4">
        <v>8058.3333333333303</v>
      </c>
      <c r="P130" s="4">
        <v>8028.30419921875</v>
      </c>
      <c r="Q130" s="5">
        <f t="shared" si="4"/>
        <v>-3.726469590227155E-3</v>
      </c>
      <c r="R130" s="4">
        <v>7591.6040203764751</v>
      </c>
      <c r="S130" s="5">
        <f t="shared" si="5"/>
        <v>-5.7918839250075127E-2</v>
      </c>
      <c r="T130" s="4">
        <v>4656.0805097933771</v>
      </c>
      <c r="U130" s="5">
        <f t="shared" si="6"/>
        <v>-0.42220303911560964</v>
      </c>
      <c r="V130" s="4">
        <v>7912.015625</v>
      </c>
      <c r="W130" s="5">
        <f t="shared" si="7"/>
        <v>-1.8157316442605653E-2</v>
      </c>
    </row>
    <row r="131" spans="1:23" x14ac:dyDescent="0.25">
      <c r="A131" t="s">
        <v>299</v>
      </c>
      <c r="B131">
        <v>2016</v>
      </c>
      <c r="C131" t="s">
        <v>91</v>
      </c>
      <c r="D131" t="s">
        <v>300</v>
      </c>
      <c r="E131">
        <v>88620</v>
      </c>
      <c r="F131" t="s">
        <v>98</v>
      </c>
      <c r="G131" t="s">
        <v>44</v>
      </c>
      <c r="H131" t="s">
        <v>25</v>
      </c>
      <c r="I131" t="s">
        <v>24</v>
      </c>
      <c r="J131" s="2">
        <v>45664</v>
      </c>
      <c r="K131" t="s">
        <v>25</v>
      </c>
      <c r="L131">
        <v>43608</v>
      </c>
      <c r="M131">
        <v>264</v>
      </c>
      <c r="N131">
        <v>314</v>
      </c>
      <c r="O131" s="4">
        <v>12000</v>
      </c>
      <c r="P131" s="4">
        <v>8077.7978515625</v>
      </c>
      <c r="Q131" s="5">
        <f t="shared" ref="Q131:Q194" si="8">(P131/$O131)-1</f>
        <v>-0.3268501790364583</v>
      </c>
      <c r="R131" s="4">
        <v>9727.8065485474053</v>
      </c>
      <c r="S131" s="5">
        <f t="shared" ref="S131:S194" si="9">(R131/$O131)-1</f>
        <v>-0.18934945428771621</v>
      </c>
      <c r="T131" s="4">
        <v>11003.317504017081</v>
      </c>
      <c r="U131" s="5">
        <f t="shared" ref="U131:U194" si="10">(T131/$O131)-1</f>
        <v>-8.3056874665243252E-2</v>
      </c>
      <c r="V131" s="4">
        <v>7394.6845703125</v>
      </c>
      <c r="W131" s="5">
        <f t="shared" ref="W131:W194" si="11">(V131/$O131)-1</f>
        <v>-0.38377628580729162</v>
      </c>
    </row>
    <row r="132" spans="1:23" x14ac:dyDescent="0.25">
      <c r="A132" t="s">
        <v>301</v>
      </c>
      <c r="B132">
        <v>2016</v>
      </c>
      <c r="C132" t="s">
        <v>302</v>
      </c>
      <c r="D132" t="s">
        <v>303</v>
      </c>
      <c r="E132">
        <v>82426</v>
      </c>
      <c r="F132" t="s">
        <v>72</v>
      </c>
      <c r="G132" t="s">
        <v>34</v>
      </c>
      <c r="H132" t="s">
        <v>25</v>
      </c>
      <c r="I132" t="s">
        <v>24</v>
      </c>
      <c r="J132" s="2">
        <v>45482</v>
      </c>
      <c r="K132" t="s">
        <v>25</v>
      </c>
      <c r="L132">
        <v>43608</v>
      </c>
      <c r="M132">
        <v>264</v>
      </c>
      <c r="N132">
        <v>314</v>
      </c>
      <c r="O132" s="4">
        <v>15500</v>
      </c>
      <c r="P132" s="4">
        <v>10093.2509765625</v>
      </c>
      <c r="Q132" s="5">
        <f t="shared" si="8"/>
        <v>-0.34882251764112904</v>
      </c>
      <c r="R132" s="4">
        <v>11212.814609459499</v>
      </c>
      <c r="S132" s="5">
        <f t="shared" si="9"/>
        <v>-0.27659260584132261</v>
      </c>
      <c r="T132" s="4">
        <v>14778.0176233569</v>
      </c>
      <c r="U132" s="5">
        <f t="shared" si="10"/>
        <v>-4.6579508170522588E-2</v>
      </c>
      <c r="V132" s="4">
        <v>9602.2197265625</v>
      </c>
      <c r="W132" s="5">
        <f t="shared" si="11"/>
        <v>-0.38050195312500001</v>
      </c>
    </row>
    <row r="133" spans="1:23" x14ac:dyDescent="0.25">
      <c r="A133" t="s">
        <v>304</v>
      </c>
      <c r="B133">
        <v>2018</v>
      </c>
      <c r="C133" t="s">
        <v>269</v>
      </c>
      <c r="D133" t="s">
        <v>305</v>
      </c>
      <c r="E133">
        <v>55301</v>
      </c>
      <c r="F133" t="s">
        <v>43</v>
      </c>
      <c r="G133" t="s">
        <v>44</v>
      </c>
      <c r="H133" t="s">
        <v>25</v>
      </c>
      <c r="I133" t="s">
        <v>24</v>
      </c>
      <c r="J133" s="2">
        <v>45482</v>
      </c>
      <c r="K133" t="s">
        <v>25</v>
      </c>
      <c r="L133">
        <v>43608</v>
      </c>
      <c r="M133">
        <v>264</v>
      </c>
      <c r="N133">
        <v>314</v>
      </c>
      <c r="O133" s="4">
        <v>21400</v>
      </c>
      <c r="P133" s="4">
        <v>17860.4765625</v>
      </c>
      <c r="Q133" s="5">
        <f t="shared" si="8"/>
        <v>-0.16539829147196261</v>
      </c>
      <c r="R133" s="4">
        <v>18511.57064893009</v>
      </c>
      <c r="S133" s="5">
        <f t="shared" si="9"/>
        <v>-0.1349733341621453</v>
      </c>
      <c r="T133" s="4">
        <v>23558.362306567349</v>
      </c>
      <c r="U133" s="5">
        <f t="shared" si="10"/>
        <v>0.10085805170875473</v>
      </c>
      <c r="V133" s="4">
        <v>17731.888671875</v>
      </c>
      <c r="W133" s="5">
        <f t="shared" si="11"/>
        <v>-0.17140707140771028</v>
      </c>
    </row>
    <row r="134" spans="1:23" x14ac:dyDescent="0.25">
      <c r="A134" t="s">
        <v>306</v>
      </c>
      <c r="B134">
        <v>2012</v>
      </c>
      <c r="C134" t="s">
        <v>269</v>
      </c>
      <c r="D134" t="s">
        <v>307</v>
      </c>
      <c r="E134">
        <v>28203</v>
      </c>
      <c r="F134" t="s">
        <v>63</v>
      </c>
      <c r="G134" t="s">
        <v>44</v>
      </c>
      <c r="H134" t="s">
        <v>25</v>
      </c>
      <c r="I134" t="s">
        <v>24</v>
      </c>
      <c r="J134" s="2">
        <v>45384</v>
      </c>
      <c r="K134" t="s">
        <v>25</v>
      </c>
      <c r="L134">
        <v>43608</v>
      </c>
      <c r="M134">
        <v>264</v>
      </c>
      <c r="N134">
        <v>314</v>
      </c>
      <c r="O134" s="4">
        <v>3800</v>
      </c>
      <c r="P134" s="4">
        <v>17242.9921875</v>
      </c>
      <c r="Q134" s="5">
        <f t="shared" si="8"/>
        <v>3.5376295230263155</v>
      </c>
      <c r="R134" s="4">
        <v>17096.77659466476</v>
      </c>
      <c r="S134" s="5">
        <f t="shared" si="9"/>
        <v>3.4991517354380948</v>
      </c>
      <c r="T134" s="4">
        <v>23082.994469467889</v>
      </c>
      <c r="U134" s="5">
        <f t="shared" si="10"/>
        <v>5.0744722288073394</v>
      </c>
      <c r="V134" s="4">
        <v>17335.052734375</v>
      </c>
      <c r="W134" s="5">
        <f t="shared" si="11"/>
        <v>3.5618559827302629</v>
      </c>
    </row>
    <row r="135" spans="1:23" x14ac:dyDescent="0.25">
      <c r="A135" t="s">
        <v>308</v>
      </c>
      <c r="B135">
        <v>2012</v>
      </c>
      <c r="C135" t="s">
        <v>269</v>
      </c>
      <c r="D135" t="s">
        <v>309</v>
      </c>
      <c r="E135">
        <v>116807</v>
      </c>
      <c r="F135" t="s">
        <v>61</v>
      </c>
      <c r="G135" t="s">
        <v>30</v>
      </c>
      <c r="H135" t="s">
        <v>24</v>
      </c>
      <c r="I135" t="s">
        <v>25</v>
      </c>
      <c r="J135" s="2">
        <v>45356</v>
      </c>
      <c r="K135" t="s">
        <v>25</v>
      </c>
      <c r="L135">
        <v>43608</v>
      </c>
      <c r="M135">
        <v>264</v>
      </c>
      <c r="N135">
        <v>314</v>
      </c>
      <c r="O135" s="4">
        <v>5600</v>
      </c>
      <c r="P135" s="4">
        <v>3102.943359375</v>
      </c>
      <c r="Q135" s="5">
        <f t="shared" si="8"/>
        <v>-0.44590297154017855</v>
      </c>
      <c r="R135" s="4">
        <v>3751.611979499748</v>
      </c>
      <c r="S135" s="5">
        <f t="shared" si="9"/>
        <v>-0.33006928937504498</v>
      </c>
      <c r="T135" s="4">
        <v>7276.3840124302351</v>
      </c>
      <c r="U135" s="5">
        <f t="shared" si="10"/>
        <v>0.29935428793397056</v>
      </c>
      <c r="V135" s="4">
        <v>2837.971923828125</v>
      </c>
      <c r="W135" s="5">
        <f t="shared" si="11"/>
        <v>-0.49321929931640629</v>
      </c>
    </row>
    <row r="136" spans="1:23" x14ac:dyDescent="0.25">
      <c r="A136" t="s">
        <v>310</v>
      </c>
      <c r="B136">
        <v>2013</v>
      </c>
      <c r="C136" t="s">
        <v>202</v>
      </c>
      <c r="D136" t="s">
        <v>311</v>
      </c>
      <c r="E136">
        <v>87969</v>
      </c>
      <c r="F136" t="s">
        <v>22</v>
      </c>
      <c r="G136" t="s">
        <v>30</v>
      </c>
      <c r="H136" t="s">
        <v>24</v>
      </c>
      <c r="I136" t="s">
        <v>25</v>
      </c>
      <c r="J136" s="2">
        <v>45426</v>
      </c>
      <c r="K136" t="s">
        <v>25</v>
      </c>
      <c r="L136">
        <v>43608</v>
      </c>
      <c r="M136">
        <v>264</v>
      </c>
      <c r="N136">
        <v>314</v>
      </c>
      <c r="O136" s="4">
        <v>1100</v>
      </c>
      <c r="P136" s="4">
        <v>4634.6416015625</v>
      </c>
      <c r="Q136" s="5">
        <f t="shared" si="8"/>
        <v>3.2133105468750003</v>
      </c>
      <c r="R136" s="4">
        <v>4661.0341396363592</v>
      </c>
      <c r="S136" s="5">
        <f t="shared" si="9"/>
        <v>3.2373037633057811</v>
      </c>
      <c r="T136" s="4">
        <v>6930.1942967836912</v>
      </c>
      <c r="U136" s="5">
        <f t="shared" si="10"/>
        <v>5.3001766334397189</v>
      </c>
      <c r="V136" s="4">
        <v>4603.8955078125</v>
      </c>
      <c r="W136" s="5">
        <f t="shared" si="11"/>
        <v>3.1853595525568181</v>
      </c>
    </row>
    <row r="137" spans="1:23" x14ac:dyDescent="0.25">
      <c r="A137" t="s">
        <v>312</v>
      </c>
      <c r="B137">
        <v>2015</v>
      </c>
      <c r="C137" t="s">
        <v>120</v>
      </c>
      <c r="D137" t="s">
        <v>206</v>
      </c>
      <c r="E137">
        <v>167986</v>
      </c>
      <c r="F137" t="s">
        <v>250</v>
      </c>
      <c r="G137" t="s">
        <v>30</v>
      </c>
      <c r="H137" t="s">
        <v>24</v>
      </c>
      <c r="I137" t="s">
        <v>25</v>
      </c>
      <c r="J137" s="2">
        <v>45365</v>
      </c>
      <c r="K137" t="s">
        <v>25</v>
      </c>
      <c r="L137">
        <v>43612</v>
      </c>
      <c r="M137">
        <v>264</v>
      </c>
      <c r="N137">
        <v>314</v>
      </c>
      <c r="O137" s="4">
        <v>8800</v>
      </c>
      <c r="P137" s="4">
        <v>3532.9072265625</v>
      </c>
      <c r="Q137" s="5">
        <f t="shared" si="8"/>
        <v>-0.59853326970880683</v>
      </c>
      <c r="R137" s="4">
        <v>3914.22126527928</v>
      </c>
      <c r="S137" s="5">
        <f t="shared" si="9"/>
        <v>-0.55520212894553633</v>
      </c>
      <c r="T137" s="4">
        <v>3822.091259842718</v>
      </c>
      <c r="U137" s="5">
        <f t="shared" si="10"/>
        <v>-0.56567144774514566</v>
      </c>
      <c r="V137" s="4">
        <v>3401.466552734375</v>
      </c>
      <c r="W137" s="5">
        <f t="shared" si="11"/>
        <v>-0.61346970991654826</v>
      </c>
    </row>
    <row r="138" spans="1:23" x14ac:dyDescent="0.25">
      <c r="A138" t="s">
        <v>313</v>
      </c>
      <c r="B138">
        <v>2015</v>
      </c>
      <c r="C138" t="s">
        <v>120</v>
      </c>
      <c r="D138">
        <v>200</v>
      </c>
      <c r="E138">
        <v>161430</v>
      </c>
      <c r="F138" t="s">
        <v>111</v>
      </c>
      <c r="G138" t="s">
        <v>30</v>
      </c>
      <c r="H138" t="s">
        <v>24</v>
      </c>
      <c r="I138" t="s">
        <v>25</v>
      </c>
      <c r="J138" s="2">
        <v>45692</v>
      </c>
      <c r="K138" t="s">
        <v>25</v>
      </c>
      <c r="L138">
        <v>43612</v>
      </c>
      <c r="M138">
        <v>264</v>
      </c>
      <c r="N138">
        <v>314</v>
      </c>
      <c r="O138" s="4">
        <v>8200</v>
      </c>
      <c r="P138" s="4">
        <v>1914.934448242188</v>
      </c>
      <c r="Q138" s="5">
        <f t="shared" si="8"/>
        <v>-0.76647140875095265</v>
      </c>
      <c r="R138" s="4">
        <v>2291.958876187578</v>
      </c>
      <c r="S138" s="5">
        <f t="shared" si="9"/>
        <v>-0.72049281997712455</v>
      </c>
      <c r="T138" s="4">
        <v>1677.2810567981919</v>
      </c>
      <c r="U138" s="5">
        <f t="shared" si="10"/>
        <v>-0.79545352965875704</v>
      </c>
      <c r="V138" s="4">
        <v>1830.625122070312</v>
      </c>
      <c r="W138" s="5">
        <f t="shared" si="11"/>
        <v>-0.77675303389386441</v>
      </c>
    </row>
    <row r="139" spans="1:23" x14ac:dyDescent="0.25">
      <c r="A139" t="s">
        <v>314</v>
      </c>
      <c r="B139">
        <v>2016</v>
      </c>
      <c r="C139" t="s">
        <v>46</v>
      </c>
      <c r="D139" t="s">
        <v>315</v>
      </c>
      <c r="E139">
        <v>208579</v>
      </c>
      <c r="F139" t="s">
        <v>58</v>
      </c>
      <c r="G139" t="s">
        <v>23</v>
      </c>
      <c r="H139" t="s">
        <v>24</v>
      </c>
      <c r="I139" t="s">
        <v>25</v>
      </c>
      <c r="J139" s="2">
        <v>45692</v>
      </c>
      <c r="K139" t="s">
        <v>25</v>
      </c>
      <c r="L139">
        <v>43612</v>
      </c>
      <c r="M139">
        <v>264</v>
      </c>
      <c r="N139">
        <v>314</v>
      </c>
      <c r="O139" s="4">
        <v>3200</v>
      </c>
      <c r="P139" s="4">
        <v>2793.495361328125</v>
      </c>
      <c r="Q139" s="5">
        <f t="shared" si="8"/>
        <v>-0.12703269958496088</v>
      </c>
      <c r="R139" s="4">
        <v>3264.677946534634</v>
      </c>
      <c r="S139" s="5">
        <f t="shared" si="9"/>
        <v>2.021185829207317E-2</v>
      </c>
      <c r="T139" s="4">
        <v>1067.241598667373</v>
      </c>
      <c r="U139" s="5">
        <f t="shared" si="10"/>
        <v>-0.66648700041644593</v>
      </c>
      <c r="V139" s="4">
        <v>2617.515380859375</v>
      </c>
      <c r="W139" s="5">
        <f t="shared" si="11"/>
        <v>-0.18202644348144537</v>
      </c>
    </row>
    <row r="140" spans="1:23" x14ac:dyDescent="0.25">
      <c r="A140" t="s">
        <v>316</v>
      </c>
      <c r="B140">
        <v>2014</v>
      </c>
      <c r="C140" t="s">
        <v>32</v>
      </c>
      <c r="D140" t="s">
        <v>36</v>
      </c>
      <c r="E140">
        <v>95051</v>
      </c>
      <c r="F140" t="s">
        <v>250</v>
      </c>
      <c r="G140" t="s">
        <v>30</v>
      </c>
      <c r="H140" t="s">
        <v>24</v>
      </c>
      <c r="I140" t="s">
        <v>25</v>
      </c>
      <c r="J140" s="2">
        <v>45701</v>
      </c>
      <c r="K140" t="s">
        <v>25</v>
      </c>
      <c r="L140">
        <v>43612</v>
      </c>
      <c r="M140">
        <v>264</v>
      </c>
      <c r="N140">
        <v>314</v>
      </c>
      <c r="O140" s="4">
        <v>6400</v>
      </c>
      <c r="P140" s="4">
        <v>6757.6171875</v>
      </c>
      <c r="Q140" s="5">
        <f t="shared" si="8"/>
        <v>5.5877685546875E-2</v>
      </c>
      <c r="R140" s="4">
        <v>6660.5602294095979</v>
      </c>
      <c r="S140" s="5">
        <f t="shared" si="9"/>
        <v>4.0712535845249587E-2</v>
      </c>
      <c r="T140" s="4">
        <v>9870.263768468767</v>
      </c>
      <c r="U140" s="5">
        <f t="shared" si="10"/>
        <v>0.54222871382324489</v>
      </c>
      <c r="V140" s="4">
        <v>6757.75244140625</v>
      </c>
      <c r="W140" s="5">
        <f t="shared" si="11"/>
        <v>5.5898818969726483E-2</v>
      </c>
    </row>
    <row r="141" spans="1:23" x14ac:dyDescent="0.25">
      <c r="A141" t="s">
        <v>317</v>
      </c>
      <c r="B141">
        <v>2015</v>
      </c>
      <c r="C141" t="s">
        <v>32</v>
      </c>
      <c r="D141" t="s">
        <v>318</v>
      </c>
      <c r="E141">
        <v>132770</v>
      </c>
      <c r="F141" t="s">
        <v>61</v>
      </c>
      <c r="G141" t="s">
        <v>30</v>
      </c>
      <c r="H141" t="s">
        <v>24</v>
      </c>
      <c r="I141" t="s">
        <v>25</v>
      </c>
      <c r="J141" s="2">
        <v>45440</v>
      </c>
      <c r="K141" t="s">
        <v>25</v>
      </c>
      <c r="L141">
        <v>43612</v>
      </c>
      <c r="M141">
        <v>264</v>
      </c>
      <c r="N141">
        <v>314</v>
      </c>
      <c r="O141" s="4">
        <v>7800</v>
      </c>
      <c r="P141" s="4">
        <v>3294.75</v>
      </c>
      <c r="Q141" s="5">
        <f t="shared" si="8"/>
        <v>-0.57759615384615381</v>
      </c>
      <c r="R141" s="4">
        <v>4075.4079908015619</v>
      </c>
      <c r="S141" s="5">
        <f t="shared" si="9"/>
        <v>-0.47751179605108185</v>
      </c>
      <c r="T141" s="4">
        <v>2442.0964866551822</v>
      </c>
      <c r="U141" s="5">
        <f t="shared" si="10"/>
        <v>-0.68691070683907918</v>
      </c>
      <c r="V141" s="4">
        <v>2975.30029296875</v>
      </c>
      <c r="W141" s="5">
        <f t="shared" si="11"/>
        <v>-0.61855124449118581</v>
      </c>
    </row>
    <row r="142" spans="1:23" x14ac:dyDescent="0.25">
      <c r="A142" t="s">
        <v>319</v>
      </c>
      <c r="B142">
        <v>2014</v>
      </c>
      <c r="C142" t="s">
        <v>32</v>
      </c>
      <c r="D142" t="s">
        <v>320</v>
      </c>
      <c r="E142">
        <v>131989</v>
      </c>
      <c r="F142" t="s">
        <v>79</v>
      </c>
      <c r="G142" t="s">
        <v>30</v>
      </c>
      <c r="H142" t="s">
        <v>24</v>
      </c>
      <c r="I142" t="s">
        <v>25</v>
      </c>
      <c r="J142" s="2">
        <v>45316</v>
      </c>
      <c r="K142" t="s">
        <v>25</v>
      </c>
      <c r="L142">
        <v>43612</v>
      </c>
      <c r="M142">
        <v>264</v>
      </c>
      <c r="N142">
        <v>314</v>
      </c>
      <c r="O142" s="4">
        <v>1400</v>
      </c>
      <c r="P142" s="4">
        <v>3445.06201171875</v>
      </c>
      <c r="Q142" s="5">
        <f t="shared" si="8"/>
        <v>1.4607585797991072</v>
      </c>
      <c r="R142" s="4">
        <v>3496.862624864194</v>
      </c>
      <c r="S142" s="5">
        <f t="shared" si="9"/>
        <v>1.4977590177601385</v>
      </c>
      <c r="T142" s="4">
        <v>5576.3815975879479</v>
      </c>
      <c r="U142" s="5">
        <f t="shared" si="10"/>
        <v>2.9831297125628198</v>
      </c>
      <c r="V142" s="4">
        <v>3408.173828125</v>
      </c>
      <c r="W142" s="5">
        <f t="shared" si="11"/>
        <v>1.434409877232143</v>
      </c>
    </row>
    <row r="143" spans="1:23" x14ac:dyDescent="0.25">
      <c r="A143" t="s">
        <v>321</v>
      </c>
      <c r="B143">
        <v>2016</v>
      </c>
      <c r="C143" t="s">
        <v>32</v>
      </c>
      <c r="D143" t="s">
        <v>322</v>
      </c>
      <c r="E143">
        <v>102705</v>
      </c>
      <c r="F143" t="s">
        <v>135</v>
      </c>
      <c r="G143" t="s">
        <v>44</v>
      </c>
      <c r="H143" t="s">
        <v>25</v>
      </c>
      <c r="I143" t="s">
        <v>24</v>
      </c>
      <c r="J143" s="2">
        <v>45314</v>
      </c>
      <c r="K143" t="s">
        <v>25</v>
      </c>
      <c r="L143">
        <v>43612</v>
      </c>
      <c r="M143">
        <v>264</v>
      </c>
      <c r="N143">
        <v>314</v>
      </c>
      <c r="O143" s="4">
        <v>9500</v>
      </c>
      <c r="P143" s="4">
        <v>9371.6083984375</v>
      </c>
      <c r="Q143" s="5">
        <f t="shared" si="8"/>
        <v>-1.3514905427631563E-2</v>
      </c>
      <c r="R143" s="4">
        <v>11637.24952977254</v>
      </c>
      <c r="S143" s="5">
        <f t="shared" si="9"/>
        <v>0.224973634712899</v>
      </c>
      <c r="T143" s="4">
        <v>10347.29821076486</v>
      </c>
      <c r="U143" s="5">
        <f t="shared" si="10"/>
        <v>8.9189285343669544E-2</v>
      </c>
      <c r="V143" s="4">
        <v>8493.0087890625</v>
      </c>
      <c r="W143" s="5">
        <f t="shared" si="11"/>
        <v>-0.10599907483552629</v>
      </c>
    </row>
    <row r="144" spans="1:23" x14ac:dyDescent="0.25">
      <c r="A144" t="s">
        <v>323</v>
      </c>
      <c r="B144">
        <v>2017</v>
      </c>
      <c r="C144" t="s">
        <v>32</v>
      </c>
      <c r="D144" t="s">
        <v>212</v>
      </c>
      <c r="E144">
        <v>125171</v>
      </c>
      <c r="F144" t="s">
        <v>106</v>
      </c>
      <c r="G144" t="s">
        <v>38</v>
      </c>
      <c r="H144" t="s">
        <v>25</v>
      </c>
      <c r="I144" t="s">
        <v>24</v>
      </c>
      <c r="J144" s="2">
        <v>45617</v>
      </c>
      <c r="K144" t="s">
        <v>25</v>
      </c>
      <c r="L144">
        <v>43612</v>
      </c>
      <c r="M144">
        <v>264</v>
      </c>
      <c r="N144">
        <v>314</v>
      </c>
      <c r="O144" s="4">
        <v>9600</v>
      </c>
      <c r="P144" s="4">
        <v>7474.47265625</v>
      </c>
      <c r="Q144" s="5">
        <f t="shared" si="8"/>
        <v>-0.22140909830729172</v>
      </c>
      <c r="R144" s="4">
        <v>7623.5310002660353</v>
      </c>
      <c r="S144" s="5">
        <f t="shared" si="9"/>
        <v>-0.20588218747228804</v>
      </c>
      <c r="T144" s="4">
        <v>8931.084632408265</v>
      </c>
      <c r="U144" s="5">
        <f t="shared" si="10"/>
        <v>-6.9678684124139023E-2</v>
      </c>
      <c r="V144" s="4">
        <v>7435.8046875</v>
      </c>
      <c r="W144" s="5">
        <f t="shared" si="11"/>
        <v>-0.22543701171874997</v>
      </c>
    </row>
    <row r="145" spans="1:23" x14ac:dyDescent="0.25">
      <c r="A145" t="s">
        <v>324</v>
      </c>
      <c r="B145">
        <v>2015</v>
      </c>
      <c r="C145" t="s">
        <v>32</v>
      </c>
      <c r="D145" t="s">
        <v>42</v>
      </c>
      <c r="E145">
        <v>112104</v>
      </c>
      <c r="F145" t="s">
        <v>79</v>
      </c>
      <c r="G145" t="s">
        <v>34</v>
      </c>
      <c r="H145" t="s">
        <v>25</v>
      </c>
      <c r="I145" t="s">
        <v>24</v>
      </c>
      <c r="J145" s="2">
        <v>45701</v>
      </c>
      <c r="K145" t="s">
        <v>25</v>
      </c>
      <c r="L145">
        <v>43612</v>
      </c>
      <c r="M145">
        <v>264</v>
      </c>
      <c r="N145">
        <v>314</v>
      </c>
      <c r="O145" s="4">
        <v>10400</v>
      </c>
      <c r="P145" s="4">
        <v>4591.1083984375</v>
      </c>
      <c r="Q145" s="5">
        <f t="shared" si="8"/>
        <v>-0.55854726938100963</v>
      </c>
      <c r="R145" s="4">
        <v>4922.835394826584</v>
      </c>
      <c r="S145" s="5">
        <f t="shared" si="9"/>
        <v>-0.52665044280513618</v>
      </c>
      <c r="T145" s="4">
        <v>8458.0410743175235</v>
      </c>
      <c r="U145" s="5">
        <f t="shared" si="10"/>
        <v>-0.18672681977716121</v>
      </c>
      <c r="V145" s="4">
        <v>4474.669921875</v>
      </c>
      <c r="W145" s="5">
        <f t="shared" si="11"/>
        <v>-0.56974327674278846</v>
      </c>
    </row>
    <row r="146" spans="1:23" x14ac:dyDescent="0.25">
      <c r="A146" t="s">
        <v>325</v>
      </c>
      <c r="B146">
        <v>2018</v>
      </c>
      <c r="C146" t="s">
        <v>32</v>
      </c>
      <c r="D146" t="s">
        <v>42</v>
      </c>
      <c r="E146">
        <v>113797</v>
      </c>
      <c r="F146" t="s">
        <v>48</v>
      </c>
      <c r="G146" t="s">
        <v>34</v>
      </c>
      <c r="H146" t="s">
        <v>25</v>
      </c>
      <c r="I146" t="s">
        <v>24</v>
      </c>
      <c r="J146" s="2">
        <v>45666</v>
      </c>
      <c r="K146" t="s">
        <v>25</v>
      </c>
      <c r="L146">
        <v>43612</v>
      </c>
      <c r="M146">
        <v>264</v>
      </c>
      <c r="N146">
        <v>314</v>
      </c>
      <c r="O146" s="4">
        <v>12900</v>
      </c>
      <c r="P146" s="4">
        <v>6825.7421875</v>
      </c>
      <c r="Q146" s="5">
        <f t="shared" si="8"/>
        <v>-0.47087269864341086</v>
      </c>
      <c r="R146" s="4">
        <v>9990.1868971584317</v>
      </c>
      <c r="S146" s="5">
        <f t="shared" si="9"/>
        <v>-0.22556690719702077</v>
      </c>
      <c r="T146" s="4">
        <v>11281.412216587671</v>
      </c>
      <c r="U146" s="5">
        <f t="shared" si="10"/>
        <v>-0.12547192119475425</v>
      </c>
      <c r="V146" s="4">
        <v>6328.03662109375</v>
      </c>
      <c r="W146" s="5">
        <f t="shared" si="11"/>
        <v>-0.50945452549660852</v>
      </c>
    </row>
    <row r="147" spans="1:23" x14ac:dyDescent="0.25">
      <c r="A147" t="s">
        <v>326</v>
      </c>
      <c r="B147">
        <v>2018</v>
      </c>
      <c r="C147" t="s">
        <v>32</v>
      </c>
      <c r="D147" t="s">
        <v>322</v>
      </c>
      <c r="E147">
        <v>100594</v>
      </c>
      <c r="F147" t="s">
        <v>72</v>
      </c>
      <c r="G147" t="s">
        <v>44</v>
      </c>
      <c r="H147" t="s">
        <v>25</v>
      </c>
      <c r="I147" t="s">
        <v>24</v>
      </c>
      <c r="J147" s="2">
        <v>45636</v>
      </c>
      <c r="K147" t="s">
        <v>25</v>
      </c>
      <c r="L147">
        <v>43612</v>
      </c>
      <c r="M147">
        <v>264</v>
      </c>
      <c r="N147">
        <v>314</v>
      </c>
      <c r="O147" s="4">
        <v>14400</v>
      </c>
      <c r="P147" s="4">
        <v>10790.2900390625</v>
      </c>
      <c r="Q147" s="5">
        <f t="shared" si="8"/>
        <v>-0.25067430284288195</v>
      </c>
      <c r="R147" s="4">
        <v>12470.51249465432</v>
      </c>
      <c r="S147" s="5">
        <f t="shared" si="9"/>
        <v>-0.1339921878712278</v>
      </c>
      <c r="T147" s="4">
        <v>9974.5290677509838</v>
      </c>
      <c r="U147" s="5">
        <f t="shared" si="10"/>
        <v>-0.30732437029507054</v>
      </c>
      <c r="V147" s="4">
        <v>10556.14453125</v>
      </c>
      <c r="W147" s="5">
        <f t="shared" si="11"/>
        <v>-0.26693440755208331</v>
      </c>
    </row>
    <row r="148" spans="1:23" x14ac:dyDescent="0.25">
      <c r="A148" t="s">
        <v>327</v>
      </c>
      <c r="B148">
        <v>2014</v>
      </c>
      <c r="C148" t="s">
        <v>32</v>
      </c>
      <c r="D148" t="s">
        <v>118</v>
      </c>
      <c r="E148">
        <v>154810</v>
      </c>
      <c r="F148" t="s">
        <v>82</v>
      </c>
      <c r="G148" t="s">
        <v>30</v>
      </c>
      <c r="H148" t="s">
        <v>24</v>
      </c>
      <c r="I148" t="s">
        <v>25</v>
      </c>
      <c r="J148" s="2">
        <v>45566</v>
      </c>
      <c r="K148" t="s">
        <v>25</v>
      </c>
      <c r="L148">
        <v>43612</v>
      </c>
      <c r="M148">
        <v>264</v>
      </c>
      <c r="N148">
        <v>314</v>
      </c>
      <c r="O148" s="4">
        <v>15000</v>
      </c>
      <c r="P148" s="4">
        <v>2555.20703125</v>
      </c>
      <c r="Q148" s="5">
        <f t="shared" si="8"/>
        <v>-0.82965286458333332</v>
      </c>
      <c r="R148" s="4">
        <v>2682.1766969421378</v>
      </c>
      <c r="S148" s="5">
        <f t="shared" si="9"/>
        <v>-0.82118822020385751</v>
      </c>
      <c r="T148" s="4">
        <v>4738.1742897493841</v>
      </c>
      <c r="U148" s="5">
        <f t="shared" si="10"/>
        <v>-0.68412171401670774</v>
      </c>
      <c r="V148" s="4">
        <v>2490.8193359375</v>
      </c>
      <c r="W148" s="5">
        <f t="shared" si="11"/>
        <v>-0.83394537760416665</v>
      </c>
    </row>
    <row r="149" spans="1:23" x14ac:dyDescent="0.25">
      <c r="A149" t="s">
        <v>328</v>
      </c>
      <c r="B149">
        <v>2015</v>
      </c>
      <c r="C149" t="s">
        <v>32</v>
      </c>
      <c r="D149" t="s">
        <v>118</v>
      </c>
      <c r="E149">
        <v>111502</v>
      </c>
      <c r="F149" t="s">
        <v>29</v>
      </c>
      <c r="G149" t="s">
        <v>38</v>
      </c>
      <c r="H149" t="s">
        <v>25</v>
      </c>
      <c r="I149" t="s">
        <v>24</v>
      </c>
      <c r="J149" s="2">
        <v>45328</v>
      </c>
      <c r="K149" t="s">
        <v>25</v>
      </c>
      <c r="L149">
        <v>43612</v>
      </c>
      <c r="M149">
        <v>264</v>
      </c>
      <c r="N149">
        <v>314</v>
      </c>
      <c r="O149" s="4">
        <v>14600</v>
      </c>
      <c r="P149" s="4">
        <v>4591.1083984375</v>
      </c>
      <c r="Q149" s="5">
        <f t="shared" si="8"/>
        <v>-0.68554052065496573</v>
      </c>
      <c r="R149" s="4">
        <v>6903.0687024516455</v>
      </c>
      <c r="S149" s="5">
        <f t="shared" si="9"/>
        <v>-0.52718707517454488</v>
      </c>
      <c r="T149" s="4">
        <v>10594.22580535106</v>
      </c>
      <c r="U149" s="5">
        <f t="shared" si="10"/>
        <v>-0.27436809552390007</v>
      </c>
      <c r="V149" s="4">
        <v>4134.60107421875</v>
      </c>
      <c r="W149" s="5">
        <f t="shared" si="11"/>
        <v>-0.71680814560145545</v>
      </c>
    </row>
    <row r="150" spans="1:23" x14ac:dyDescent="0.25">
      <c r="A150" t="s">
        <v>329</v>
      </c>
      <c r="B150">
        <v>2015</v>
      </c>
      <c r="C150" t="s">
        <v>50</v>
      </c>
      <c r="D150" t="s">
        <v>330</v>
      </c>
      <c r="E150">
        <v>121249</v>
      </c>
      <c r="F150" t="s">
        <v>141</v>
      </c>
      <c r="G150" t="s">
        <v>34</v>
      </c>
      <c r="H150" t="s">
        <v>25</v>
      </c>
      <c r="I150" t="s">
        <v>24</v>
      </c>
      <c r="J150" s="2">
        <v>45519</v>
      </c>
      <c r="K150" t="s">
        <v>25</v>
      </c>
      <c r="L150">
        <v>43612</v>
      </c>
      <c r="M150">
        <v>264</v>
      </c>
      <c r="N150">
        <v>314</v>
      </c>
      <c r="O150" s="4">
        <v>20250</v>
      </c>
      <c r="P150" s="4">
        <v>10687.5390625</v>
      </c>
      <c r="Q150" s="5">
        <f t="shared" si="8"/>
        <v>-0.47222029320987657</v>
      </c>
      <c r="R150" s="4">
        <v>9707.0101387154482</v>
      </c>
      <c r="S150" s="5">
        <f t="shared" si="9"/>
        <v>-0.52064147463133592</v>
      </c>
      <c r="T150" s="4">
        <v>8299.9830903608981</v>
      </c>
      <c r="U150" s="5">
        <f t="shared" si="10"/>
        <v>-0.5901242918340297</v>
      </c>
      <c r="V150" s="4">
        <v>10777.173828125</v>
      </c>
      <c r="W150" s="5">
        <f t="shared" si="11"/>
        <v>-0.46779388503086416</v>
      </c>
    </row>
    <row r="151" spans="1:23" x14ac:dyDescent="0.25">
      <c r="A151" t="s">
        <v>331</v>
      </c>
      <c r="B151">
        <v>2011</v>
      </c>
      <c r="C151" t="s">
        <v>46</v>
      </c>
      <c r="D151" t="s">
        <v>47</v>
      </c>
      <c r="E151">
        <v>97213</v>
      </c>
      <c r="F151" t="s">
        <v>214</v>
      </c>
      <c r="G151" t="s">
        <v>34</v>
      </c>
      <c r="H151" t="s">
        <v>25</v>
      </c>
      <c r="I151" t="s">
        <v>24</v>
      </c>
      <c r="J151" s="2">
        <v>45692</v>
      </c>
      <c r="K151" t="s">
        <v>25</v>
      </c>
      <c r="L151">
        <v>43612</v>
      </c>
      <c r="M151">
        <v>264</v>
      </c>
      <c r="N151">
        <v>314</v>
      </c>
      <c r="O151" s="4">
        <v>17868.571428571398</v>
      </c>
      <c r="P151" s="4">
        <v>4968.33203125</v>
      </c>
      <c r="Q151" s="5">
        <f t="shared" si="8"/>
        <v>-0.72195135738127547</v>
      </c>
      <c r="R151" s="4">
        <v>6429.5772592379853</v>
      </c>
      <c r="S151" s="5">
        <f t="shared" si="9"/>
        <v>-0.64017396214689826</v>
      </c>
      <c r="T151" s="4">
        <v>8456.3053247321768</v>
      </c>
      <c r="U151" s="5">
        <f t="shared" si="10"/>
        <v>-0.52674978195454636</v>
      </c>
      <c r="V151" s="4">
        <v>4491.35986328125</v>
      </c>
      <c r="W151" s="5">
        <f t="shared" si="11"/>
        <v>-0.74864471503862484</v>
      </c>
    </row>
    <row r="152" spans="1:23" x14ac:dyDescent="0.25">
      <c r="A152" t="s">
        <v>332</v>
      </c>
      <c r="B152">
        <v>2014</v>
      </c>
      <c r="C152" t="s">
        <v>53</v>
      </c>
      <c r="D152" t="s">
        <v>148</v>
      </c>
      <c r="E152">
        <v>104921</v>
      </c>
      <c r="F152" t="s">
        <v>246</v>
      </c>
      <c r="G152" t="s">
        <v>34</v>
      </c>
      <c r="H152" t="s">
        <v>25</v>
      </c>
      <c r="I152" t="s">
        <v>24</v>
      </c>
      <c r="J152" s="2">
        <v>45694</v>
      </c>
      <c r="K152" t="s">
        <v>25</v>
      </c>
      <c r="L152">
        <v>43612</v>
      </c>
      <c r="M152">
        <v>264</v>
      </c>
      <c r="N152">
        <v>314</v>
      </c>
      <c r="O152" s="4">
        <v>5000</v>
      </c>
      <c r="P152" s="4">
        <v>4583.95361328125</v>
      </c>
      <c r="Q152" s="5">
        <f t="shared" si="8"/>
        <v>-8.3209277343750054E-2</v>
      </c>
      <c r="R152" s="4">
        <v>4359.9620013494896</v>
      </c>
      <c r="S152" s="5">
        <f t="shared" si="9"/>
        <v>-0.12800759973010212</v>
      </c>
      <c r="T152" s="4">
        <v>7273.4438332908467</v>
      </c>
      <c r="U152" s="5">
        <f t="shared" si="10"/>
        <v>0.45468876665816937</v>
      </c>
      <c r="V152" s="4">
        <v>4585.64501953125</v>
      </c>
      <c r="W152" s="5">
        <f t="shared" si="11"/>
        <v>-8.2870996093750038E-2</v>
      </c>
    </row>
    <row r="153" spans="1:23" x14ac:dyDescent="0.25">
      <c r="A153" t="s">
        <v>333</v>
      </c>
      <c r="B153">
        <v>2016</v>
      </c>
      <c r="C153" t="s">
        <v>53</v>
      </c>
      <c r="D153" t="s">
        <v>57</v>
      </c>
      <c r="E153">
        <v>78653</v>
      </c>
      <c r="F153" t="s">
        <v>334</v>
      </c>
      <c r="G153" t="s">
        <v>30</v>
      </c>
      <c r="H153" t="s">
        <v>24</v>
      </c>
      <c r="I153" t="s">
        <v>25</v>
      </c>
      <c r="J153" s="2">
        <v>45398</v>
      </c>
      <c r="K153" t="s">
        <v>25</v>
      </c>
      <c r="L153">
        <v>43612</v>
      </c>
      <c r="M153">
        <v>264</v>
      </c>
      <c r="N153">
        <v>314</v>
      </c>
      <c r="O153" s="4">
        <v>4600</v>
      </c>
      <c r="P153" s="4">
        <v>6164.306640625</v>
      </c>
      <c r="Q153" s="5">
        <f t="shared" si="8"/>
        <v>0.34006666100543481</v>
      </c>
      <c r="R153" s="4">
        <v>7121.9507022024518</v>
      </c>
      <c r="S153" s="5">
        <f t="shared" si="9"/>
        <v>0.54825015265270682</v>
      </c>
      <c r="T153" s="4">
        <v>4388.4049391524632</v>
      </c>
      <c r="U153" s="5">
        <f t="shared" si="10"/>
        <v>-4.5998926271203611E-2</v>
      </c>
      <c r="V153" s="4">
        <v>5717.671875</v>
      </c>
      <c r="W153" s="5">
        <f t="shared" si="11"/>
        <v>0.24297214673913037</v>
      </c>
    </row>
    <row r="154" spans="1:23" x14ac:dyDescent="0.25">
      <c r="A154" t="s">
        <v>335</v>
      </c>
      <c r="B154">
        <v>2017</v>
      </c>
      <c r="C154" t="s">
        <v>53</v>
      </c>
      <c r="D154" t="s">
        <v>57</v>
      </c>
      <c r="E154">
        <v>75684</v>
      </c>
      <c r="F154" t="s">
        <v>189</v>
      </c>
      <c r="G154" t="s">
        <v>44</v>
      </c>
      <c r="H154" t="s">
        <v>25</v>
      </c>
      <c r="I154" t="s">
        <v>24</v>
      </c>
      <c r="J154" s="2">
        <v>45328</v>
      </c>
      <c r="K154" t="s">
        <v>25</v>
      </c>
      <c r="L154">
        <v>43612</v>
      </c>
      <c r="M154">
        <v>264</v>
      </c>
      <c r="N154">
        <v>314</v>
      </c>
      <c r="O154" s="4">
        <v>7800</v>
      </c>
      <c r="P154" s="4">
        <v>13211.2421875</v>
      </c>
      <c r="Q154" s="5">
        <f t="shared" si="8"/>
        <v>0.69374899839743587</v>
      </c>
      <c r="R154" s="4">
        <v>14807.90193887026</v>
      </c>
      <c r="S154" s="5">
        <f t="shared" si="9"/>
        <v>0.89844896652182826</v>
      </c>
      <c r="T154" s="4">
        <v>10125.7680819829</v>
      </c>
      <c r="U154" s="5">
        <f t="shared" si="10"/>
        <v>0.29817539512601288</v>
      </c>
      <c r="V154" s="4">
        <v>12766.9833984375</v>
      </c>
      <c r="W154" s="5">
        <f t="shared" si="11"/>
        <v>0.63679274338942315</v>
      </c>
    </row>
    <row r="155" spans="1:23" x14ac:dyDescent="0.25">
      <c r="A155" t="s">
        <v>336</v>
      </c>
      <c r="B155">
        <v>2016</v>
      </c>
      <c r="C155" t="s">
        <v>53</v>
      </c>
      <c r="D155" t="s">
        <v>337</v>
      </c>
      <c r="E155">
        <v>62644</v>
      </c>
      <c r="F155" t="s">
        <v>254</v>
      </c>
      <c r="G155" t="s">
        <v>38</v>
      </c>
      <c r="H155" t="s">
        <v>25</v>
      </c>
      <c r="I155" t="s">
        <v>24</v>
      </c>
      <c r="J155" s="2">
        <v>45510</v>
      </c>
      <c r="K155" t="s">
        <v>25</v>
      </c>
      <c r="L155">
        <v>43612</v>
      </c>
      <c r="M155">
        <v>264</v>
      </c>
      <c r="N155">
        <v>314</v>
      </c>
      <c r="O155" s="4">
        <v>1500</v>
      </c>
      <c r="P155" s="4">
        <v>12910.3515625</v>
      </c>
      <c r="Q155" s="5">
        <f t="shared" si="8"/>
        <v>7.6069010416666671</v>
      </c>
      <c r="R155" s="4">
        <v>11964.604817776701</v>
      </c>
      <c r="S155" s="5">
        <f t="shared" si="9"/>
        <v>6.9764032118511334</v>
      </c>
      <c r="T155" s="4">
        <v>7230.725813937268</v>
      </c>
      <c r="U155" s="5">
        <f t="shared" si="10"/>
        <v>3.8204838759581783</v>
      </c>
      <c r="V155" s="4">
        <v>13001.7666015625</v>
      </c>
      <c r="W155" s="5">
        <f t="shared" si="11"/>
        <v>7.6678444010416662</v>
      </c>
    </row>
    <row r="156" spans="1:23" x14ac:dyDescent="0.25">
      <c r="A156" t="s">
        <v>338</v>
      </c>
      <c r="B156">
        <v>2017</v>
      </c>
      <c r="C156" t="s">
        <v>53</v>
      </c>
      <c r="D156" t="s">
        <v>337</v>
      </c>
      <c r="E156">
        <v>143324</v>
      </c>
      <c r="F156" t="s">
        <v>72</v>
      </c>
      <c r="G156" t="s">
        <v>30</v>
      </c>
      <c r="H156" t="s">
        <v>24</v>
      </c>
      <c r="I156" t="s">
        <v>25</v>
      </c>
      <c r="J156" s="2">
        <v>45706</v>
      </c>
      <c r="K156" t="s">
        <v>25</v>
      </c>
      <c r="L156">
        <v>43612</v>
      </c>
      <c r="M156">
        <v>264</v>
      </c>
      <c r="N156">
        <v>314</v>
      </c>
      <c r="O156" s="4">
        <v>13000</v>
      </c>
      <c r="P156" s="4">
        <v>6670.5498046875</v>
      </c>
      <c r="Q156" s="5">
        <f t="shared" si="8"/>
        <v>-0.48688078425480774</v>
      </c>
      <c r="R156" s="4">
        <v>8765.803955941552</v>
      </c>
      <c r="S156" s="5">
        <f t="shared" si="9"/>
        <v>-0.32570738800449606</v>
      </c>
      <c r="T156" s="4">
        <v>5584.5090446070253</v>
      </c>
      <c r="U156" s="5">
        <f t="shared" si="10"/>
        <v>-0.57042238118407496</v>
      </c>
      <c r="V156" s="4">
        <v>6145.0302734375</v>
      </c>
      <c r="W156" s="5">
        <f t="shared" si="11"/>
        <v>-0.52730536358173075</v>
      </c>
    </row>
    <row r="157" spans="1:23" x14ac:dyDescent="0.25">
      <c r="A157" t="s">
        <v>339</v>
      </c>
      <c r="B157">
        <v>2016</v>
      </c>
      <c r="C157" t="s">
        <v>53</v>
      </c>
      <c r="D157" t="s">
        <v>340</v>
      </c>
      <c r="E157">
        <v>118331</v>
      </c>
      <c r="F157" t="s">
        <v>141</v>
      </c>
      <c r="G157" t="s">
        <v>34</v>
      </c>
      <c r="H157" t="s">
        <v>25</v>
      </c>
      <c r="I157" t="s">
        <v>24</v>
      </c>
      <c r="J157" s="2">
        <v>45706</v>
      </c>
      <c r="K157" t="s">
        <v>25</v>
      </c>
      <c r="L157">
        <v>43612</v>
      </c>
      <c r="M157">
        <v>264</v>
      </c>
      <c r="N157">
        <v>314</v>
      </c>
      <c r="O157" s="4">
        <v>9400</v>
      </c>
      <c r="P157" s="4">
        <v>6838.49951171875</v>
      </c>
      <c r="Q157" s="5">
        <f t="shared" si="8"/>
        <v>-0.27250005194481386</v>
      </c>
      <c r="R157" s="4">
        <v>7260.7324729397042</v>
      </c>
      <c r="S157" s="5">
        <f t="shared" si="9"/>
        <v>-0.22758165181492507</v>
      </c>
      <c r="T157" s="4">
        <v>9681.3152333503749</v>
      </c>
      <c r="U157" s="5">
        <f t="shared" si="10"/>
        <v>2.9927152484082509E-2</v>
      </c>
      <c r="V157" s="4">
        <v>6514.73046875</v>
      </c>
      <c r="W157" s="5">
        <f t="shared" si="11"/>
        <v>-0.3069435671542553</v>
      </c>
    </row>
    <row r="158" spans="1:23" x14ac:dyDescent="0.25">
      <c r="A158" t="s">
        <v>341</v>
      </c>
      <c r="B158">
        <v>2014</v>
      </c>
      <c r="C158" t="s">
        <v>53</v>
      </c>
      <c r="D158" t="s">
        <v>340</v>
      </c>
      <c r="E158">
        <v>142214</v>
      </c>
      <c r="F158" t="s">
        <v>82</v>
      </c>
      <c r="G158" t="s">
        <v>30</v>
      </c>
      <c r="H158" t="s">
        <v>24</v>
      </c>
      <c r="I158" t="s">
        <v>25</v>
      </c>
      <c r="J158" s="2">
        <v>45370</v>
      </c>
      <c r="K158" t="s">
        <v>25</v>
      </c>
      <c r="L158">
        <v>43612</v>
      </c>
      <c r="M158">
        <v>264</v>
      </c>
      <c r="N158">
        <v>314</v>
      </c>
      <c r="O158" s="4">
        <v>5100</v>
      </c>
      <c r="P158" s="4">
        <v>2717.75</v>
      </c>
      <c r="Q158" s="5">
        <f t="shared" si="8"/>
        <v>-0.46710784313725495</v>
      </c>
      <c r="R158" s="4">
        <v>2889.3213452468308</v>
      </c>
      <c r="S158" s="5">
        <f t="shared" si="9"/>
        <v>-0.43346640289277827</v>
      </c>
      <c r="T158" s="4">
        <v>4140.5964533054457</v>
      </c>
      <c r="U158" s="5">
        <f t="shared" si="10"/>
        <v>-0.18811834248912829</v>
      </c>
      <c r="V158" s="4">
        <v>2649.997802734375</v>
      </c>
      <c r="W158" s="5">
        <f t="shared" si="11"/>
        <v>-0.48039258769914217</v>
      </c>
    </row>
    <row r="159" spans="1:23" x14ac:dyDescent="0.25">
      <c r="A159" t="s">
        <v>342</v>
      </c>
      <c r="B159">
        <v>2013</v>
      </c>
      <c r="C159" t="s">
        <v>53</v>
      </c>
      <c r="D159" t="s">
        <v>340</v>
      </c>
      <c r="E159">
        <v>134020</v>
      </c>
      <c r="F159" t="s">
        <v>89</v>
      </c>
      <c r="G159" t="s">
        <v>30</v>
      </c>
      <c r="H159" t="s">
        <v>24</v>
      </c>
      <c r="I159" t="s">
        <v>25</v>
      </c>
      <c r="J159" s="2">
        <v>45398</v>
      </c>
      <c r="K159" t="s">
        <v>25</v>
      </c>
      <c r="L159">
        <v>43612</v>
      </c>
      <c r="M159">
        <v>264</v>
      </c>
      <c r="N159">
        <v>314</v>
      </c>
      <c r="O159" s="4">
        <v>11200</v>
      </c>
      <c r="P159" s="4">
        <v>3010.956298828125</v>
      </c>
      <c r="Q159" s="5">
        <f t="shared" si="8"/>
        <v>-0.73116461617606032</v>
      </c>
      <c r="R159" s="4">
        <v>3117.7750827876589</v>
      </c>
      <c r="S159" s="5">
        <f t="shared" si="9"/>
        <v>-0.72162722475110186</v>
      </c>
      <c r="T159" s="4">
        <v>5216.7574077242134</v>
      </c>
      <c r="U159" s="5">
        <f t="shared" si="10"/>
        <v>-0.53421808859605235</v>
      </c>
      <c r="V159" s="4">
        <v>2901.926025390625</v>
      </c>
      <c r="W159" s="5">
        <f t="shared" si="11"/>
        <v>-0.74089946201869417</v>
      </c>
    </row>
    <row r="160" spans="1:23" x14ac:dyDescent="0.25">
      <c r="A160" t="s">
        <v>343</v>
      </c>
      <c r="B160">
        <v>2019</v>
      </c>
      <c r="C160" t="s">
        <v>53</v>
      </c>
      <c r="D160" t="s">
        <v>65</v>
      </c>
      <c r="E160">
        <v>87434</v>
      </c>
      <c r="F160" t="s">
        <v>106</v>
      </c>
      <c r="G160" t="s">
        <v>38</v>
      </c>
      <c r="H160" t="s">
        <v>25</v>
      </c>
      <c r="I160" t="s">
        <v>24</v>
      </c>
      <c r="J160" s="2">
        <v>45687</v>
      </c>
      <c r="K160" t="s">
        <v>25</v>
      </c>
      <c r="L160">
        <v>43612</v>
      </c>
      <c r="M160">
        <v>264</v>
      </c>
      <c r="N160">
        <v>314</v>
      </c>
      <c r="O160" s="4">
        <v>9000</v>
      </c>
      <c r="P160" s="4">
        <v>14439.5908203125</v>
      </c>
      <c r="Q160" s="5">
        <f t="shared" si="8"/>
        <v>0.60439898003472226</v>
      </c>
      <c r="R160" s="4">
        <v>13658.341247463441</v>
      </c>
      <c r="S160" s="5">
        <f t="shared" si="9"/>
        <v>0.5175934719403823</v>
      </c>
      <c r="T160" s="4">
        <v>16826.09089055498</v>
      </c>
      <c r="U160" s="5">
        <f t="shared" si="10"/>
        <v>0.86956565450610901</v>
      </c>
      <c r="V160" s="4">
        <v>14576.5009765625</v>
      </c>
      <c r="W160" s="5">
        <f t="shared" si="11"/>
        <v>0.61961121961805565</v>
      </c>
    </row>
    <row r="161" spans="1:23" x14ac:dyDescent="0.25">
      <c r="A161" t="s">
        <v>344</v>
      </c>
      <c r="B161">
        <v>2017</v>
      </c>
      <c r="C161" t="s">
        <v>53</v>
      </c>
      <c r="D161" t="s">
        <v>60</v>
      </c>
      <c r="E161">
        <v>70649</v>
      </c>
      <c r="F161" t="s">
        <v>102</v>
      </c>
      <c r="G161" t="s">
        <v>44</v>
      </c>
      <c r="H161" t="s">
        <v>25</v>
      </c>
      <c r="I161" t="s">
        <v>24</v>
      </c>
      <c r="J161" s="2">
        <v>45664</v>
      </c>
      <c r="K161" t="s">
        <v>25</v>
      </c>
      <c r="L161">
        <v>43612</v>
      </c>
      <c r="M161">
        <v>264</v>
      </c>
      <c r="N161">
        <v>314</v>
      </c>
      <c r="O161" s="4">
        <v>3100</v>
      </c>
      <c r="P161" s="4">
        <v>11883.9462890625</v>
      </c>
      <c r="Q161" s="5">
        <f t="shared" si="8"/>
        <v>2.8335310609879034</v>
      </c>
      <c r="R161" s="4">
        <v>12321.142551767911</v>
      </c>
      <c r="S161" s="5">
        <f t="shared" si="9"/>
        <v>2.9745621134735196</v>
      </c>
      <c r="T161" s="4">
        <v>11639.990945714861</v>
      </c>
      <c r="U161" s="5">
        <f t="shared" si="10"/>
        <v>2.7548357889402775</v>
      </c>
      <c r="V161" s="4">
        <v>12171.951171875</v>
      </c>
      <c r="W161" s="5">
        <f t="shared" si="11"/>
        <v>2.9264358618951611</v>
      </c>
    </row>
    <row r="162" spans="1:23" x14ac:dyDescent="0.25">
      <c r="A162" t="s">
        <v>345</v>
      </c>
      <c r="B162">
        <v>2018</v>
      </c>
      <c r="C162" t="s">
        <v>53</v>
      </c>
      <c r="D162" t="s">
        <v>60</v>
      </c>
      <c r="E162">
        <v>89438</v>
      </c>
      <c r="F162" t="s">
        <v>22</v>
      </c>
      <c r="G162" t="s">
        <v>34</v>
      </c>
      <c r="H162" t="s">
        <v>25</v>
      </c>
      <c r="I162" t="s">
        <v>24</v>
      </c>
      <c r="J162" s="2">
        <v>45580</v>
      </c>
      <c r="K162" t="s">
        <v>25</v>
      </c>
      <c r="L162">
        <v>43612</v>
      </c>
      <c r="M162">
        <v>264</v>
      </c>
      <c r="N162">
        <v>314</v>
      </c>
      <c r="O162" s="4">
        <v>10800</v>
      </c>
      <c r="P162" s="4">
        <v>6766.43115234375</v>
      </c>
      <c r="Q162" s="5">
        <f t="shared" si="8"/>
        <v>-0.37347859700520836</v>
      </c>
      <c r="R162" s="4">
        <v>7571.4803548535383</v>
      </c>
      <c r="S162" s="5">
        <f t="shared" si="9"/>
        <v>-0.29893700418022795</v>
      </c>
      <c r="T162" s="4">
        <v>7176.7211183911886</v>
      </c>
      <c r="U162" s="5">
        <f t="shared" si="10"/>
        <v>-0.33548878533414916</v>
      </c>
      <c r="V162" s="4">
        <v>6514.73046875</v>
      </c>
      <c r="W162" s="5">
        <f t="shared" si="11"/>
        <v>-0.39678421585648149</v>
      </c>
    </row>
    <row r="163" spans="1:23" x14ac:dyDescent="0.25">
      <c r="A163" t="s">
        <v>346</v>
      </c>
      <c r="B163">
        <v>2017</v>
      </c>
      <c r="C163" t="s">
        <v>53</v>
      </c>
      <c r="D163" t="s">
        <v>69</v>
      </c>
      <c r="E163">
        <v>178102</v>
      </c>
      <c r="F163" t="s">
        <v>87</v>
      </c>
      <c r="G163" t="s">
        <v>23</v>
      </c>
      <c r="H163" t="s">
        <v>24</v>
      </c>
      <c r="I163" t="s">
        <v>25</v>
      </c>
      <c r="J163" s="2">
        <v>45589</v>
      </c>
      <c r="K163" t="s">
        <v>25</v>
      </c>
      <c r="L163">
        <v>43612</v>
      </c>
      <c r="M163">
        <v>264</v>
      </c>
      <c r="N163">
        <v>314</v>
      </c>
      <c r="O163" s="4">
        <v>10500</v>
      </c>
      <c r="P163" s="4">
        <v>6218.83642578125</v>
      </c>
      <c r="Q163" s="5">
        <f t="shared" si="8"/>
        <v>-0.40772986421130952</v>
      </c>
      <c r="R163" s="4">
        <v>7778.638503804681</v>
      </c>
      <c r="S163" s="5">
        <f t="shared" si="9"/>
        <v>-0.25917728535193518</v>
      </c>
      <c r="T163" s="4">
        <v>9204.9259852312425</v>
      </c>
      <c r="U163" s="5">
        <f t="shared" si="10"/>
        <v>-0.1233403823589293</v>
      </c>
      <c r="V163" s="4">
        <v>5639.07177734375</v>
      </c>
      <c r="W163" s="5">
        <f t="shared" si="11"/>
        <v>-0.46294554501488094</v>
      </c>
    </row>
    <row r="164" spans="1:23" x14ac:dyDescent="0.25">
      <c r="A164" t="s">
        <v>347</v>
      </c>
      <c r="B164">
        <v>2015</v>
      </c>
      <c r="C164" t="s">
        <v>53</v>
      </c>
      <c r="D164" t="s">
        <v>69</v>
      </c>
      <c r="E164">
        <v>130525</v>
      </c>
      <c r="F164" t="s">
        <v>22</v>
      </c>
      <c r="G164" t="s">
        <v>23</v>
      </c>
      <c r="H164" t="s">
        <v>24</v>
      </c>
      <c r="I164" t="s">
        <v>25</v>
      </c>
      <c r="J164" s="2">
        <v>45673</v>
      </c>
      <c r="K164" t="s">
        <v>25</v>
      </c>
      <c r="L164">
        <v>43612</v>
      </c>
      <c r="M164">
        <v>264</v>
      </c>
      <c r="N164">
        <v>314</v>
      </c>
      <c r="O164" s="4">
        <v>600</v>
      </c>
      <c r="P164" s="4">
        <v>3932.97607421875</v>
      </c>
      <c r="Q164" s="5">
        <f t="shared" si="8"/>
        <v>5.5549601236979163</v>
      </c>
      <c r="R164" s="4">
        <v>4189.4154598400437</v>
      </c>
      <c r="S164" s="5">
        <f t="shared" si="9"/>
        <v>5.9823590997334062</v>
      </c>
      <c r="T164" s="4">
        <v>6715.2243771719768</v>
      </c>
      <c r="U164" s="5">
        <f t="shared" si="10"/>
        <v>10.192040628619962</v>
      </c>
      <c r="V164" s="4">
        <v>3966.1533203125</v>
      </c>
      <c r="W164" s="5">
        <f t="shared" si="11"/>
        <v>5.6102555338541666</v>
      </c>
    </row>
    <row r="165" spans="1:23" x14ac:dyDescent="0.25">
      <c r="A165" t="s">
        <v>348</v>
      </c>
      <c r="B165">
        <v>2016</v>
      </c>
      <c r="C165" t="s">
        <v>53</v>
      </c>
      <c r="D165" t="s">
        <v>60</v>
      </c>
      <c r="E165">
        <v>109160</v>
      </c>
      <c r="F165" t="s">
        <v>37</v>
      </c>
      <c r="G165" t="s">
        <v>38</v>
      </c>
      <c r="H165" t="s">
        <v>25</v>
      </c>
      <c r="I165" t="s">
        <v>24</v>
      </c>
      <c r="J165" s="2">
        <v>45622</v>
      </c>
      <c r="K165" t="s">
        <v>25</v>
      </c>
      <c r="L165">
        <v>43612</v>
      </c>
      <c r="M165">
        <v>264</v>
      </c>
      <c r="N165">
        <v>314</v>
      </c>
      <c r="O165" s="4">
        <v>6800</v>
      </c>
      <c r="P165" s="4">
        <v>3771.75048828125</v>
      </c>
      <c r="Q165" s="5">
        <f t="shared" si="8"/>
        <v>-0.44533081054687496</v>
      </c>
      <c r="R165" s="4">
        <v>6888.146028330907</v>
      </c>
      <c r="S165" s="5">
        <f t="shared" si="9"/>
        <v>1.2962651225133293E-2</v>
      </c>
      <c r="T165" s="4">
        <v>6016.9944480309723</v>
      </c>
      <c r="U165" s="5">
        <f t="shared" si="10"/>
        <v>-0.11514787528956294</v>
      </c>
      <c r="V165" s="4">
        <v>3413.917236328125</v>
      </c>
      <c r="W165" s="5">
        <f t="shared" si="11"/>
        <v>-0.49795334759880516</v>
      </c>
    </row>
    <row r="166" spans="1:23" x14ac:dyDescent="0.25">
      <c r="A166" t="s">
        <v>349</v>
      </c>
      <c r="B166">
        <v>2015</v>
      </c>
      <c r="C166" t="s">
        <v>20</v>
      </c>
      <c r="D166" t="s">
        <v>81</v>
      </c>
      <c r="E166">
        <v>102978</v>
      </c>
      <c r="F166" t="s">
        <v>37</v>
      </c>
      <c r="G166" t="s">
        <v>38</v>
      </c>
      <c r="H166" t="s">
        <v>25</v>
      </c>
      <c r="I166" t="s">
        <v>24</v>
      </c>
      <c r="J166" s="2">
        <v>45328</v>
      </c>
      <c r="K166" t="s">
        <v>25</v>
      </c>
      <c r="L166">
        <v>43612</v>
      </c>
      <c r="M166">
        <v>264</v>
      </c>
      <c r="N166">
        <v>314</v>
      </c>
      <c r="O166" s="4">
        <v>3400</v>
      </c>
      <c r="P166" s="4">
        <v>3739.0712890625</v>
      </c>
      <c r="Q166" s="5">
        <f t="shared" si="8"/>
        <v>9.972684972426471E-2</v>
      </c>
      <c r="R166" s="4">
        <v>6521.2415571647352</v>
      </c>
      <c r="S166" s="5">
        <f t="shared" si="9"/>
        <v>0.9180122226955103</v>
      </c>
      <c r="T166" s="4">
        <v>4697.4410353766016</v>
      </c>
      <c r="U166" s="5">
        <f t="shared" si="10"/>
        <v>0.3816003045225298</v>
      </c>
      <c r="V166" s="4">
        <v>3381.66064453125</v>
      </c>
      <c r="W166" s="5">
        <f t="shared" si="11"/>
        <v>-5.3939280790441524E-3</v>
      </c>
    </row>
    <row r="167" spans="1:23" x14ac:dyDescent="0.25">
      <c r="A167" t="s">
        <v>350</v>
      </c>
      <c r="B167">
        <v>2016</v>
      </c>
      <c r="C167" t="s">
        <v>20</v>
      </c>
      <c r="D167" t="s">
        <v>74</v>
      </c>
      <c r="E167">
        <v>106403</v>
      </c>
      <c r="F167" t="s">
        <v>55</v>
      </c>
      <c r="G167" t="s">
        <v>23</v>
      </c>
      <c r="H167" t="s">
        <v>24</v>
      </c>
      <c r="I167" t="s">
        <v>25</v>
      </c>
      <c r="J167" s="2">
        <v>45300</v>
      </c>
      <c r="K167" t="s">
        <v>25</v>
      </c>
      <c r="L167">
        <v>43612</v>
      </c>
      <c r="M167">
        <v>264</v>
      </c>
      <c r="N167">
        <v>314</v>
      </c>
      <c r="O167" s="4">
        <v>7500</v>
      </c>
      <c r="P167" s="4">
        <v>4821.91943359375</v>
      </c>
      <c r="Q167" s="5">
        <f t="shared" si="8"/>
        <v>-0.35707740885416661</v>
      </c>
      <c r="R167" s="4">
        <v>5286.6892287144046</v>
      </c>
      <c r="S167" s="5">
        <f t="shared" si="9"/>
        <v>-0.29510810283807942</v>
      </c>
      <c r="T167" s="4">
        <v>2532.742930242523</v>
      </c>
      <c r="U167" s="5">
        <f t="shared" si="10"/>
        <v>-0.66230094263433026</v>
      </c>
      <c r="V167" s="4">
        <v>4638.63232421875</v>
      </c>
      <c r="W167" s="5">
        <f t="shared" si="11"/>
        <v>-0.38151569010416664</v>
      </c>
    </row>
    <row r="168" spans="1:23" x14ac:dyDescent="0.25">
      <c r="A168" t="s">
        <v>351</v>
      </c>
      <c r="B168">
        <v>2014</v>
      </c>
      <c r="C168" t="s">
        <v>20</v>
      </c>
      <c r="D168" t="s">
        <v>76</v>
      </c>
      <c r="E168">
        <v>84494</v>
      </c>
      <c r="F168" t="s">
        <v>151</v>
      </c>
      <c r="G168" t="s">
        <v>44</v>
      </c>
      <c r="H168" t="s">
        <v>25</v>
      </c>
      <c r="I168" t="s">
        <v>24</v>
      </c>
      <c r="J168" s="2">
        <v>45356</v>
      </c>
      <c r="K168" t="s">
        <v>25</v>
      </c>
      <c r="L168">
        <v>43612</v>
      </c>
      <c r="M168">
        <v>264</v>
      </c>
      <c r="N168">
        <v>314</v>
      </c>
      <c r="O168" s="4">
        <v>4200</v>
      </c>
      <c r="P168" s="4">
        <v>8732.087890625</v>
      </c>
      <c r="Q168" s="5">
        <f t="shared" si="8"/>
        <v>1.0790685453869049</v>
      </c>
      <c r="R168" s="4">
        <v>8857.3342217623649</v>
      </c>
      <c r="S168" s="5">
        <f t="shared" si="9"/>
        <v>1.1088891004196109</v>
      </c>
      <c r="T168" s="4">
        <v>5088.0719361317888</v>
      </c>
      <c r="U168" s="5">
        <f t="shared" si="10"/>
        <v>0.21144569907899724</v>
      </c>
      <c r="V168" s="4">
        <v>8826.58984375</v>
      </c>
      <c r="W168" s="5">
        <f t="shared" si="11"/>
        <v>1.1015690104166667</v>
      </c>
    </row>
    <row r="169" spans="1:23" x14ac:dyDescent="0.25">
      <c r="A169" t="s">
        <v>352</v>
      </c>
      <c r="B169">
        <v>2018</v>
      </c>
      <c r="C169" t="s">
        <v>20</v>
      </c>
      <c r="D169" t="s">
        <v>76</v>
      </c>
      <c r="E169">
        <v>143837</v>
      </c>
      <c r="F169" t="s">
        <v>48</v>
      </c>
      <c r="G169" t="s">
        <v>30</v>
      </c>
      <c r="H169" t="s">
        <v>24</v>
      </c>
      <c r="I169" t="s">
        <v>25</v>
      </c>
      <c r="J169" s="2">
        <v>45720</v>
      </c>
      <c r="K169" t="s">
        <v>25</v>
      </c>
      <c r="L169">
        <v>43612</v>
      </c>
      <c r="M169">
        <v>264</v>
      </c>
      <c r="N169">
        <v>314</v>
      </c>
      <c r="O169" s="4">
        <v>7900</v>
      </c>
      <c r="P169" s="4">
        <v>5551.30029296875</v>
      </c>
      <c r="Q169" s="5">
        <f t="shared" si="8"/>
        <v>-0.29730376038370254</v>
      </c>
      <c r="R169" s="4">
        <v>8512.1131655097797</v>
      </c>
      <c r="S169" s="5">
        <f t="shared" si="9"/>
        <v>7.7482679178453084E-2</v>
      </c>
      <c r="T169" s="4">
        <v>3322.7381414552442</v>
      </c>
      <c r="U169" s="5">
        <f t="shared" si="10"/>
        <v>-0.57940023525882989</v>
      </c>
      <c r="V169" s="4">
        <v>5534.7646484375</v>
      </c>
      <c r="W169" s="5">
        <f t="shared" si="11"/>
        <v>-0.29939687994462028</v>
      </c>
    </row>
    <row r="170" spans="1:23" x14ac:dyDescent="0.25">
      <c r="A170" t="s">
        <v>353</v>
      </c>
      <c r="B170">
        <v>2015</v>
      </c>
      <c r="C170" t="s">
        <v>20</v>
      </c>
      <c r="D170" t="s">
        <v>74</v>
      </c>
      <c r="E170">
        <v>91450</v>
      </c>
      <c r="F170" t="s">
        <v>219</v>
      </c>
      <c r="G170" t="s">
        <v>30</v>
      </c>
      <c r="H170" t="s">
        <v>24</v>
      </c>
      <c r="I170" t="s">
        <v>25</v>
      </c>
      <c r="J170" s="2">
        <v>45720</v>
      </c>
      <c r="K170" t="s">
        <v>25</v>
      </c>
      <c r="L170">
        <v>43612</v>
      </c>
      <c r="M170">
        <v>264</v>
      </c>
      <c r="N170">
        <v>314</v>
      </c>
      <c r="O170" s="4">
        <v>2300</v>
      </c>
      <c r="P170" s="4">
        <v>8108.4052734375</v>
      </c>
      <c r="Q170" s="5">
        <f t="shared" si="8"/>
        <v>2.5253935971467389</v>
      </c>
      <c r="R170" s="4">
        <v>7948.1728304598</v>
      </c>
      <c r="S170" s="5">
        <f t="shared" si="9"/>
        <v>2.4557273175912173</v>
      </c>
      <c r="T170" s="4">
        <v>4243.0385456934646</v>
      </c>
      <c r="U170" s="5">
        <f t="shared" si="10"/>
        <v>0.84479936769281072</v>
      </c>
      <c r="V170" s="4">
        <v>8079.73974609375</v>
      </c>
      <c r="W170" s="5">
        <f t="shared" si="11"/>
        <v>2.512930324388587</v>
      </c>
    </row>
    <row r="171" spans="1:23" x14ac:dyDescent="0.25">
      <c r="A171" t="s">
        <v>354</v>
      </c>
      <c r="B171">
        <v>2013</v>
      </c>
      <c r="C171" t="s">
        <v>20</v>
      </c>
      <c r="D171" t="s">
        <v>74</v>
      </c>
      <c r="E171">
        <v>103937</v>
      </c>
      <c r="F171" t="s">
        <v>77</v>
      </c>
      <c r="G171" t="s">
        <v>38</v>
      </c>
      <c r="H171" t="s">
        <v>25</v>
      </c>
      <c r="I171" t="s">
        <v>24</v>
      </c>
      <c r="J171" s="2">
        <v>45300</v>
      </c>
      <c r="K171" t="s">
        <v>25</v>
      </c>
      <c r="L171">
        <v>43612</v>
      </c>
      <c r="M171">
        <v>264</v>
      </c>
      <c r="N171">
        <v>314</v>
      </c>
      <c r="O171" s="4">
        <v>1400</v>
      </c>
      <c r="P171" s="4">
        <v>3694.60888671875</v>
      </c>
      <c r="Q171" s="5">
        <f t="shared" si="8"/>
        <v>1.6390063476562502</v>
      </c>
      <c r="R171" s="4">
        <v>4983.6303373371766</v>
      </c>
      <c r="S171" s="5">
        <f t="shared" si="9"/>
        <v>2.5597359552408405</v>
      </c>
      <c r="T171" s="4">
        <v>2551.523765047808</v>
      </c>
      <c r="U171" s="5">
        <f t="shared" si="10"/>
        <v>0.82251697503414856</v>
      </c>
      <c r="V171" s="4">
        <v>3305.70068359375</v>
      </c>
      <c r="W171" s="5">
        <f t="shared" si="11"/>
        <v>1.3612147739955356</v>
      </c>
    </row>
    <row r="172" spans="1:23" x14ac:dyDescent="0.25">
      <c r="A172" t="s">
        <v>355</v>
      </c>
      <c r="B172">
        <v>2014</v>
      </c>
      <c r="C172" t="s">
        <v>20</v>
      </c>
      <c r="D172" t="s">
        <v>74</v>
      </c>
      <c r="E172">
        <v>99033</v>
      </c>
      <c r="F172" t="s">
        <v>161</v>
      </c>
      <c r="G172" t="s">
        <v>34</v>
      </c>
      <c r="H172" t="s">
        <v>25</v>
      </c>
      <c r="I172" t="s">
        <v>24</v>
      </c>
      <c r="J172" s="2">
        <v>45300</v>
      </c>
      <c r="K172" t="s">
        <v>25</v>
      </c>
      <c r="L172">
        <v>43612</v>
      </c>
      <c r="M172">
        <v>264</v>
      </c>
      <c r="N172">
        <v>314</v>
      </c>
      <c r="O172" s="4">
        <v>7800</v>
      </c>
      <c r="P172" s="4">
        <v>7757.43310546875</v>
      </c>
      <c r="Q172" s="5">
        <f t="shared" si="8"/>
        <v>-5.4572941706730882E-3</v>
      </c>
      <c r="R172" s="4">
        <v>8075.9017335360231</v>
      </c>
      <c r="S172" s="5">
        <f t="shared" si="9"/>
        <v>3.537201712000293E-2</v>
      </c>
      <c r="T172" s="4">
        <v>4587.3193553045476</v>
      </c>
      <c r="U172" s="5">
        <f t="shared" si="10"/>
        <v>-0.41188213393531437</v>
      </c>
      <c r="V172" s="4">
        <v>7800.67724609375</v>
      </c>
      <c r="W172" s="5">
        <f t="shared" si="11"/>
        <v>8.6826422275532167E-5</v>
      </c>
    </row>
    <row r="173" spans="1:23" x14ac:dyDescent="0.25">
      <c r="A173" t="s">
        <v>356</v>
      </c>
      <c r="B173">
        <v>2014</v>
      </c>
      <c r="C173" t="s">
        <v>20</v>
      </c>
      <c r="D173" t="s">
        <v>74</v>
      </c>
      <c r="E173">
        <v>78945</v>
      </c>
      <c r="F173" t="s">
        <v>250</v>
      </c>
      <c r="G173" t="s">
        <v>38</v>
      </c>
      <c r="H173" t="s">
        <v>25</v>
      </c>
      <c r="I173" t="s">
        <v>24</v>
      </c>
      <c r="J173" s="2">
        <v>45622</v>
      </c>
      <c r="K173" t="s">
        <v>25</v>
      </c>
      <c r="L173">
        <v>43612</v>
      </c>
      <c r="M173">
        <v>264</v>
      </c>
      <c r="N173">
        <v>314</v>
      </c>
      <c r="O173" s="4">
        <v>800</v>
      </c>
      <c r="P173" s="4">
        <v>7489.28076171875</v>
      </c>
      <c r="Q173" s="5">
        <f t="shared" si="8"/>
        <v>8.3616009521484376</v>
      </c>
      <c r="R173" s="4">
        <v>7540.3465884306661</v>
      </c>
      <c r="S173" s="5">
        <f t="shared" si="9"/>
        <v>8.4254332355383319</v>
      </c>
      <c r="T173" s="4">
        <v>4036.316620937499</v>
      </c>
      <c r="U173" s="5">
        <f t="shared" si="10"/>
        <v>4.0453957761718735</v>
      </c>
      <c r="V173" s="4">
        <v>7435.8046875</v>
      </c>
      <c r="W173" s="5">
        <f t="shared" si="11"/>
        <v>8.2947558593749999</v>
      </c>
    </row>
    <row r="174" spans="1:23" x14ac:dyDescent="0.25">
      <c r="A174" t="s">
        <v>357</v>
      </c>
      <c r="B174">
        <v>2014</v>
      </c>
      <c r="C174" t="s">
        <v>20</v>
      </c>
      <c r="D174" t="s">
        <v>74</v>
      </c>
      <c r="E174">
        <v>119388</v>
      </c>
      <c r="F174" t="s">
        <v>82</v>
      </c>
      <c r="G174" t="s">
        <v>30</v>
      </c>
      <c r="H174" t="s">
        <v>24</v>
      </c>
      <c r="I174" t="s">
        <v>25</v>
      </c>
      <c r="J174" s="2">
        <v>45720</v>
      </c>
      <c r="K174" t="s">
        <v>25</v>
      </c>
      <c r="L174">
        <v>43612</v>
      </c>
      <c r="M174">
        <v>264</v>
      </c>
      <c r="N174">
        <v>314</v>
      </c>
      <c r="O174" s="4">
        <v>2300</v>
      </c>
      <c r="P174" s="4">
        <v>3232.416748046875</v>
      </c>
      <c r="Q174" s="5">
        <f t="shared" si="8"/>
        <v>0.40539858610733703</v>
      </c>
      <c r="R174" s="4">
        <v>3479.9779922858638</v>
      </c>
      <c r="S174" s="5">
        <f t="shared" si="9"/>
        <v>0.51303390968950602</v>
      </c>
      <c r="T174" s="4">
        <v>1453.294196961057</v>
      </c>
      <c r="U174" s="5">
        <f t="shared" si="10"/>
        <v>-0.36813295784301869</v>
      </c>
      <c r="V174" s="4">
        <v>3135.379150390625</v>
      </c>
      <c r="W174" s="5">
        <f t="shared" si="11"/>
        <v>0.36320832625679356</v>
      </c>
    </row>
    <row r="175" spans="1:23" x14ac:dyDescent="0.25">
      <c r="A175" t="s">
        <v>358</v>
      </c>
      <c r="B175">
        <v>2012</v>
      </c>
      <c r="C175" t="s">
        <v>20</v>
      </c>
      <c r="D175" t="s">
        <v>74</v>
      </c>
      <c r="E175">
        <v>123765</v>
      </c>
      <c r="F175" t="s">
        <v>82</v>
      </c>
      <c r="G175" t="s">
        <v>30</v>
      </c>
      <c r="H175" t="s">
        <v>24</v>
      </c>
      <c r="I175" t="s">
        <v>25</v>
      </c>
      <c r="J175" s="2">
        <v>45678</v>
      </c>
      <c r="K175" t="s">
        <v>25</v>
      </c>
      <c r="L175">
        <v>43612</v>
      </c>
      <c r="M175">
        <v>264</v>
      </c>
      <c r="N175">
        <v>314</v>
      </c>
      <c r="O175" s="4">
        <v>3700</v>
      </c>
      <c r="P175" s="4">
        <v>2621.879638671875</v>
      </c>
      <c r="Q175" s="5">
        <f t="shared" si="8"/>
        <v>-0.2913838814400338</v>
      </c>
      <c r="R175" s="4">
        <v>2431.1464828989901</v>
      </c>
      <c r="S175" s="5">
        <f t="shared" si="9"/>
        <v>-0.34293338300027298</v>
      </c>
      <c r="T175" s="4">
        <v>1148.699381267123</v>
      </c>
      <c r="U175" s="5">
        <f t="shared" si="10"/>
        <v>-0.68954070776564236</v>
      </c>
      <c r="V175" s="4">
        <v>2575.91015625</v>
      </c>
      <c r="W175" s="5">
        <f t="shared" si="11"/>
        <v>-0.30380806587837839</v>
      </c>
    </row>
    <row r="176" spans="1:23" x14ac:dyDescent="0.25">
      <c r="A176" t="s">
        <v>359</v>
      </c>
      <c r="B176">
        <v>2019</v>
      </c>
      <c r="C176" t="s">
        <v>20</v>
      </c>
      <c r="D176" t="s">
        <v>81</v>
      </c>
      <c r="E176">
        <v>111803</v>
      </c>
      <c r="F176" t="s">
        <v>72</v>
      </c>
      <c r="G176" t="s">
        <v>44</v>
      </c>
      <c r="H176" t="s">
        <v>25</v>
      </c>
      <c r="I176" t="s">
        <v>24</v>
      </c>
      <c r="J176" s="2">
        <v>45720</v>
      </c>
      <c r="K176" t="s">
        <v>25</v>
      </c>
      <c r="L176">
        <v>43612</v>
      </c>
      <c r="M176">
        <v>264</v>
      </c>
      <c r="N176">
        <v>314</v>
      </c>
      <c r="O176" s="4">
        <v>17800</v>
      </c>
      <c r="P176" s="4">
        <v>8635.1142578125</v>
      </c>
      <c r="Q176" s="5">
        <f t="shared" si="8"/>
        <v>-0.51488122147120785</v>
      </c>
      <c r="R176" s="4">
        <v>13018.393931297511</v>
      </c>
      <c r="S176" s="5">
        <f t="shared" si="9"/>
        <v>-0.26862955442148817</v>
      </c>
      <c r="T176" s="4">
        <v>8792.3670711379073</v>
      </c>
      <c r="U176" s="5">
        <f t="shared" si="10"/>
        <v>-0.50604679375629735</v>
      </c>
      <c r="V176" s="4">
        <v>7789.39404296875</v>
      </c>
      <c r="W176" s="5">
        <f t="shared" si="11"/>
        <v>-0.56239359309164327</v>
      </c>
    </row>
    <row r="177" spans="1:23" x14ac:dyDescent="0.25">
      <c r="A177" t="s">
        <v>360</v>
      </c>
      <c r="B177">
        <v>2016</v>
      </c>
      <c r="C177" t="s">
        <v>20</v>
      </c>
      <c r="D177" t="s">
        <v>81</v>
      </c>
      <c r="E177">
        <v>95990</v>
      </c>
      <c r="F177" t="s">
        <v>87</v>
      </c>
      <c r="G177" t="s">
        <v>38</v>
      </c>
      <c r="H177" t="s">
        <v>25</v>
      </c>
      <c r="I177" t="s">
        <v>24</v>
      </c>
      <c r="J177" s="2">
        <v>45356</v>
      </c>
      <c r="K177" t="s">
        <v>25</v>
      </c>
      <c r="L177">
        <v>43612</v>
      </c>
      <c r="M177">
        <v>264</v>
      </c>
      <c r="N177">
        <v>314</v>
      </c>
      <c r="O177" s="4">
        <v>12100</v>
      </c>
      <c r="P177" s="4">
        <v>7416.0458984375</v>
      </c>
      <c r="Q177" s="5">
        <f t="shared" si="8"/>
        <v>-0.38710364475723136</v>
      </c>
      <c r="R177" s="4">
        <v>10011.199142024991</v>
      </c>
      <c r="S177" s="5">
        <f t="shared" si="9"/>
        <v>-0.17262817008057929</v>
      </c>
      <c r="T177" s="4">
        <v>7729.4259587204506</v>
      </c>
      <c r="U177" s="5">
        <f t="shared" si="10"/>
        <v>-0.36120446622145042</v>
      </c>
      <c r="V177" s="4">
        <v>9325.150390625</v>
      </c>
      <c r="W177" s="5">
        <f t="shared" si="11"/>
        <v>-0.22932641399793385</v>
      </c>
    </row>
    <row r="178" spans="1:23" x14ac:dyDescent="0.25">
      <c r="A178" t="s">
        <v>361</v>
      </c>
      <c r="B178">
        <v>2016</v>
      </c>
      <c r="C178" t="s">
        <v>20</v>
      </c>
      <c r="D178" t="s">
        <v>81</v>
      </c>
      <c r="E178">
        <v>119490</v>
      </c>
      <c r="F178" t="s">
        <v>246</v>
      </c>
      <c r="G178" t="s">
        <v>34</v>
      </c>
      <c r="H178" t="s">
        <v>25</v>
      </c>
      <c r="I178" t="s">
        <v>24</v>
      </c>
      <c r="J178" s="2">
        <v>45356</v>
      </c>
      <c r="K178" t="s">
        <v>25</v>
      </c>
      <c r="L178">
        <v>43612</v>
      </c>
      <c r="M178">
        <v>264</v>
      </c>
      <c r="N178">
        <v>314</v>
      </c>
      <c r="O178" s="4">
        <v>10100</v>
      </c>
      <c r="P178" s="4">
        <v>3284.75537109375</v>
      </c>
      <c r="Q178" s="5">
        <f t="shared" si="8"/>
        <v>-0.67477669593131195</v>
      </c>
      <c r="R178" s="4">
        <v>4549.1617780114584</v>
      </c>
      <c r="S178" s="5">
        <f t="shared" si="9"/>
        <v>-0.54958794277114276</v>
      </c>
      <c r="T178" s="4">
        <v>3063.437906907955</v>
      </c>
      <c r="U178" s="5">
        <f t="shared" si="10"/>
        <v>-0.69668931614772722</v>
      </c>
      <c r="V178" s="4">
        <v>2931.904052734375</v>
      </c>
      <c r="W178" s="5">
        <f t="shared" si="11"/>
        <v>-0.70971247002629956</v>
      </c>
    </row>
    <row r="179" spans="1:23" x14ac:dyDescent="0.25">
      <c r="A179" t="s">
        <v>362</v>
      </c>
      <c r="B179">
        <v>2017</v>
      </c>
      <c r="C179" t="s">
        <v>20</v>
      </c>
      <c r="D179" t="s">
        <v>81</v>
      </c>
      <c r="E179">
        <v>86912</v>
      </c>
      <c r="F179" t="s">
        <v>37</v>
      </c>
      <c r="G179" t="s">
        <v>38</v>
      </c>
      <c r="H179" t="s">
        <v>25</v>
      </c>
      <c r="I179" t="s">
        <v>24</v>
      </c>
      <c r="J179" s="2">
        <v>45356</v>
      </c>
      <c r="K179" t="s">
        <v>25</v>
      </c>
      <c r="L179">
        <v>43612</v>
      </c>
      <c r="M179">
        <v>264</v>
      </c>
      <c r="N179">
        <v>314</v>
      </c>
      <c r="O179" s="4">
        <v>13200</v>
      </c>
      <c r="P179" s="4">
        <v>6057.0830078125</v>
      </c>
      <c r="Q179" s="5">
        <f t="shared" si="8"/>
        <v>-0.54113007516571976</v>
      </c>
      <c r="R179" s="4">
        <v>9710.5441897012442</v>
      </c>
      <c r="S179" s="5">
        <f t="shared" si="9"/>
        <v>-0.26435271290142093</v>
      </c>
      <c r="T179" s="4">
        <v>6974.995124359195</v>
      </c>
      <c r="U179" s="5">
        <f t="shared" si="10"/>
        <v>-0.47159127845763671</v>
      </c>
      <c r="V179" s="4">
        <v>5524.67578125</v>
      </c>
      <c r="W179" s="5">
        <f t="shared" si="11"/>
        <v>-0.58146395596590916</v>
      </c>
    </row>
    <row r="180" spans="1:23" x14ac:dyDescent="0.25">
      <c r="A180" t="s">
        <v>363</v>
      </c>
      <c r="B180">
        <v>2012</v>
      </c>
      <c r="C180" t="s">
        <v>91</v>
      </c>
      <c r="D180" t="s">
        <v>364</v>
      </c>
      <c r="E180">
        <v>129700</v>
      </c>
      <c r="F180" t="s">
        <v>261</v>
      </c>
      <c r="G180" t="s">
        <v>30</v>
      </c>
      <c r="H180" t="s">
        <v>24</v>
      </c>
      <c r="I180" t="s">
        <v>25</v>
      </c>
      <c r="J180" s="2">
        <v>45638</v>
      </c>
      <c r="K180" t="s">
        <v>25</v>
      </c>
      <c r="L180">
        <v>43612</v>
      </c>
      <c r="M180">
        <v>264</v>
      </c>
      <c r="N180">
        <v>314</v>
      </c>
      <c r="O180" s="4">
        <v>500</v>
      </c>
      <c r="P180" s="4">
        <v>1863.658325195312</v>
      </c>
      <c r="Q180" s="5">
        <f t="shared" si="8"/>
        <v>2.7273166503906241</v>
      </c>
      <c r="R180" s="4">
        <v>1709.252251549429</v>
      </c>
      <c r="S180" s="5">
        <f t="shared" si="9"/>
        <v>2.4185045030988581</v>
      </c>
      <c r="T180" s="4">
        <v>1456.432731018695</v>
      </c>
      <c r="U180" s="5">
        <f t="shared" si="10"/>
        <v>1.9128654620373902</v>
      </c>
      <c r="V180" s="4">
        <v>1824.325927734375</v>
      </c>
      <c r="W180" s="5">
        <f t="shared" si="11"/>
        <v>2.6486518554687501</v>
      </c>
    </row>
    <row r="181" spans="1:23" x14ac:dyDescent="0.25">
      <c r="A181" t="s">
        <v>365</v>
      </c>
      <c r="B181">
        <v>2015</v>
      </c>
      <c r="C181" t="s">
        <v>20</v>
      </c>
      <c r="D181" t="s">
        <v>366</v>
      </c>
      <c r="E181">
        <v>80125</v>
      </c>
      <c r="F181" t="s">
        <v>219</v>
      </c>
      <c r="G181" t="s">
        <v>38</v>
      </c>
      <c r="H181" t="s">
        <v>25</v>
      </c>
      <c r="I181" t="s">
        <v>24</v>
      </c>
      <c r="J181" s="2">
        <v>45566</v>
      </c>
      <c r="K181" t="s">
        <v>25</v>
      </c>
      <c r="L181">
        <v>43612</v>
      </c>
      <c r="M181">
        <v>264</v>
      </c>
      <c r="N181">
        <v>314</v>
      </c>
      <c r="O181" s="4">
        <v>19500</v>
      </c>
      <c r="P181" s="4">
        <v>9195.4912109375</v>
      </c>
      <c r="Q181" s="5">
        <f t="shared" si="8"/>
        <v>-0.52843634815705132</v>
      </c>
      <c r="R181" s="4">
        <v>9001.966561284029</v>
      </c>
      <c r="S181" s="5">
        <f t="shared" si="9"/>
        <v>-0.53836068916492152</v>
      </c>
      <c r="T181" s="4">
        <v>14271.2818521305</v>
      </c>
      <c r="U181" s="5">
        <f t="shared" si="10"/>
        <v>-0.26813939219843586</v>
      </c>
      <c r="V181" s="4">
        <v>9319.890625</v>
      </c>
      <c r="W181" s="5">
        <f t="shared" si="11"/>
        <v>-0.52205689102564101</v>
      </c>
    </row>
    <row r="182" spans="1:23" x14ac:dyDescent="0.25">
      <c r="A182" t="s">
        <v>367</v>
      </c>
      <c r="B182">
        <v>2016</v>
      </c>
      <c r="C182" t="s">
        <v>20</v>
      </c>
      <c r="D182" t="s">
        <v>366</v>
      </c>
      <c r="E182">
        <v>128349</v>
      </c>
      <c r="F182" t="s">
        <v>141</v>
      </c>
      <c r="G182" t="s">
        <v>38</v>
      </c>
      <c r="H182" t="s">
        <v>25</v>
      </c>
      <c r="I182" t="s">
        <v>24</v>
      </c>
      <c r="J182" s="2">
        <v>45720</v>
      </c>
      <c r="K182" t="s">
        <v>25</v>
      </c>
      <c r="L182">
        <v>43612</v>
      </c>
      <c r="M182">
        <v>264</v>
      </c>
      <c r="N182">
        <v>314</v>
      </c>
      <c r="O182" s="4">
        <v>17100</v>
      </c>
      <c r="P182" s="4">
        <v>5895.19287109375</v>
      </c>
      <c r="Q182" s="5">
        <f t="shared" si="8"/>
        <v>-0.65525187888340641</v>
      </c>
      <c r="R182" s="4">
        <v>6395.5446617543448</v>
      </c>
      <c r="S182" s="5">
        <f t="shared" si="9"/>
        <v>-0.62599154024828385</v>
      </c>
      <c r="T182" s="4">
        <v>11084.677752883699</v>
      </c>
      <c r="U182" s="5">
        <f t="shared" si="10"/>
        <v>-0.3517732308255147</v>
      </c>
      <c r="V182" s="4">
        <v>5828.00537109375</v>
      </c>
      <c r="W182" s="5">
        <f t="shared" si="11"/>
        <v>-0.65918097245065788</v>
      </c>
    </row>
    <row r="183" spans="1:23" x14ac:dyDescent="0.25">
      <c r="A183" t="s">
        <v>368</v>
      </c>
      <c r="B183">
        <v>2015</v>
      </c>
      <c r="C183" t="s">
        <v>369</v>
      </c>
      <c r="D183" t="s">
        <v>370</v>
      </c>
      <c r="E183">
        <v>172088</v>
      </c>
      <c r="F183" t="s">
        <v>87</v>
      </c>
      <c r="G183" t="s">
        <v>30</v>
      </c>
      <c r="H183" t="s">
        <v>24</v>
      </c>
      <c r="I183" t="s">
        <v>25</v>
      </c>
      <c r="J183" s="2">
        <v>45547</v>
      </c>
      <c r="K183" t="s">
        <v>25</v>
      </c>
      <c r="L183">
        <v>43612</v>
      </c>
      <c r="M183">
        <v>264</v>
      </c>
      <c r="N183">
        <v>314</v>
      </c>
      <c r="O183" s="4">
        <v>6500</v>
      </c>
      <c r="P183" s="4">
        <v>4620.955078125</v>
      </c>
      <c r="Q183" s="5">
        <f t="shared" si="8"/>
        <v>-0.28908383413461536</v>
      </c>
      <c r="R183" s="4">
        <v>6373.2134357160412</v>
      </c>
      <c r="S183" s="5">
        <f t="shared" si="9"/>
        <v>-1.9505625274455207E-2</v>
      </c>
      <c r="T183" s="4">
        <v>12891.346485855471</v>
      </c>
      <c r="U183" s="5">
        <f t="shared" si="10"/>
        <v>0.98328407474699553</v>
      </c>
      <c r="V183" s="4">
        <v>4172.96923828125</v>
      </c>
      <c r="W183" s="5">
        <f t="shared" si="11"/>
        <v>-0.3580047325721154</v>
      </c>
    </row>
    <row r="184" spans="1:23" x14ac:dyDescent="0.25">
      <c r="A184" t="s">
        <v>371</v>
      </c>
      <c r="B184">
        <v>2015</v>
      </c>
      <c r="C184" t="s">
        <v>20</v>
      </c>
      <c r="D184" t="s">
        <v>372</v>
      </c>
      <c r="E184">
        <v>137443</v>
      </c>
      <c r="F184" t="s">
        <v>66</v>
      </c>
      <c r="G184" t="s">
        <v>85</v>
      </c>
      <c r="H184" t="s">
        <v>24</v>
      </c>
      <c r="I184" t="s">
        <v>25</v>
      </c>
      <c r="J184" s="2">
        <v>45302</v>
      </c>
      <c r="K184" t="s">
        <v>25</v>
      </c>
      <c r="L184">
        <v>43612</v>
      </c>
      <c r="M184">
        <v>264</v>
      </c>
      <c r="N184">
        <v>314</v>
      </c>
      <c r="O184" s="4">
        <v>14200</v>
      </c>
      <c r="P184" s="4">
        <v>2900.472900390625</v>
      </c>
      <c r="Q184" s="5">
        <f t="shared" si="8"/>
        <v>-0.79574134504291372</v>
      </c>
      <c r="R184" s="4">
        <v>3395.677491927047</v>
      </c>
      <c r="S184" s="5">
        <f t="shared" si="9"/>
        <v>-0.7608677822586587</v>
      </c>
      <c r="T184" s="4">
        <v>4967.4136276875079</v>
      </c>
      <c r="U184" s="5">
        <f t="shared" si="10"/>
        <v>-0.6501821388952459</v>
      </c>
      <c r="V184" s="4">
        <v>2792.89794921875</v>
      </c>
      <c r="W184" s="5">
        <f t="shared" si="11"/>
        <v>-0.80331704582966545</v>
      </c>
    </row>
    <row r="185" spans="1:23" x14ac:dyDescent="0.25">
      <c r="A185" t="s">
        <v>373</v>
      </c>
      <c r="B185">
        <v>2016</v>
      </c>
      <c r="C185" t="s">
        <v>20</v>
      </c>
      <c r="D185" t="s">
        <v>374</v>
      </c>
      <c r="E185">
        <v>130011</v>
      </c>
      <c r="F185" t="s">
        <v>174</v>
      </c>
      <c r="G185" t="s">
        <v>38</v>
      </c>
      <c r="H185" t="s">
        <v>25</v>
      </c>
      <c r="I185" t="s">
        <v>24</v>
      </c>
      <c r="J185" s="2">
        <v>45722</v>
      </c>
      <c r="K185" t="s">
        <v>25</v>
      </c>
      <c r="L185">
        <v>43612</v>
      </c>
      <c r="M185">
        <v>264</v>
      </c>
      <c r="N185">
        <v>314</v>
      </c>
      <c r="O185" s="4">
        <v>11000</v>
      </c>
      <c r="P185" s="4">
        <v>7712.6376953125</v>
      </c>
      <c r="Q185" s="5">
        <f t="shared" si="8"/>
        <v>-0.29885111860795455</v>
      </c>
      <c r="R185" s="4">
        <v>10244.427339418829</v>
      </c>
      <c r="S185" s="5">
        <f t="shared" si="9"/>
        <v>-6.8688423689197364E-2</v>
      </c>
      <c r="T185" s="4">
        <v>9615.981980430648</v>
      </c>
      <c r="U185" s="5">
        <f t="shared" si="10"/>
        <v>-0.12581981996085023</v>
      </c>
      <c r="V185" s="4">
        <v>7028.75244140625</v>
      </c>
      <c r="W185" s="5">
        <f t="shared" si="11"/>
        <v>-0.36102250532670455</v>
      </c>
    </row>
    <row r="186" spans="1:23" x14ac:dyDescent="0.25">
      <c r="A186" t="s">
        <v>375</v>
      </c>
      <c r="B186">
        <v>2014</v>
      </c>
      <c r="C186" t="s">
        <v>94</v>
      </c>
      <c r="D186" t="s">
        <v>376</v>
      </c>
      <c r="E186">
        <v>92854</v>
      </c>
      <c r="F186" t="s">
        <v>102</v>
      </c>
      <c r="G186" t="s">
        <v>44</v>
      </c>
      <c r="H186" t="s">
        <v>25</v>
      </c>
      <c r="I186" t="s">
        <v>24</v>
      </c>
      <c r="J186" s="2">
        <v>45692</v>
      </c>
      <c r="K186" t="s">
        <v>25</v>
      </c>
      <c r="L186">
        <v>43612</v>
      </c>
      <c r="M186">
        <v>264</v>
      </c>
      <c r="N186">
        <v>314</v>
      </c>
      <c r="O186" s="4">
        <v>24903.896103896099</v>
      </c>
      <c r="P186" s="4">
        <v>12165.7880859375</v>
      </c>
      <c r="Q186" s="5">
        <f t="shared" si="8"/>
        <v>-0.51149057018294342</v>
      </c>
      <c r="R186" s="4">
        <v>16596.306292122979</v>
      </c>
      <c r="S186" s="5">
        <f t="shared" si="9"/>
        <v>-0.33358594884570836</v>
      </c>
      <c r="T186" s="4">
        <v>15303.064164563801</v>
      </c>
      <c r="U186" s="5">
        <f t="shared" si="10"/>
        <v>-0.38551525830652222</v>
      </c>
      <c r="V186" s="4">
        <v>11351.0400390625</v>
      </c>
      <c r="W186" s="5">
        <f t="shared" si="11"/>
        <v>-0.54420625625374808</v>
      </c>
    </row>
    <row r="187" spans="1:23" x14ac:dyDescent="0.25">
      <c r="A187" t="s">
        <v>377</v>
      </c>
      <c r="B187">
        <v>2016</v>
      </c>
      <c r="C187" t="s">
        <v>113</v>
      </c>
      <c r="D187" t="s">
        <v>114</v>
      </c>
      <c r="E187">
        <v>73757</v>
      </c>
      <c r="F187" t="s">
        <v>72</v>
      </c>
      <c r="G187" t="s">
        <v>38</v>
      </c>
      <c r="H187" t="s">
        <v>25</v>
      </c>
      <c r="I187" t="s">
        <v>24</v>
      </c>
      <c r="J187" s="2">
        <v>45692</v>
      </c>
      <c r="K187" t="s">
        <v>25</v>
      </c>
      <c r="L187">
        <v>43612</v>
      </c>
      <c r="M187">
        <v>264</v>
      </c>
      <c r="N187">
        <v>314</v>
      </c>
      <c r="O187" s="4">
        <v>5800</v>
      </c>
      <c r="P187" s="4">
        <v>11733.49609375</v>
      </c>
      <c r="Q187" s="5">
        <f t="shared" si="8"/>
        <v>1.023016567887931</v>
      </c>
      <c r="R187" s="4">
        <v>12583.70725892673</v>
      </c>
      <c r="S187" s="5">
        <f t="shared" si="9"/>
        <v>1.1696046998149536</v>
      </c>
      <c r="T187" s="4">
        <v>14006.944874080111</v>
      </c>
      <c r="U187" s="5">
        <f t="shared" si="10"/>
        <v>1.4149904955310535</v>
      </c>
      <c r="V187" s="4">
        <v>11642.8505859375</v>
      </c>
      <c r="W187" s="5">
        <f t="shared" si="11"/>
        <v>1.0073880320581896</v>
      </c>
    </row>
    <row r="188" spans="1:23" x14ac:dyDescent="0.25">
      <c r="A188" t="s">
        <v>378</v>
      </c>
      <c r="B188">
        <v>2010</v>
      </c>
      <c r="C188" t="s">
        <v>159</v>
      </c>
      <c r="D188" t="s">
        <v>379</v>
      </c>
      <c r="E188">
        <v>125485</v>
      </c>
      <c r="F188" t="s">
        <v>246</v>
      </c>
      <c r="G188" t="s">
        <v>23</v>
      </c>
      <c r="H188" t="s">
        <v>24</v>
      </c>
      <c r="I188" t="s">
        <v>25</v>
      </c>
      <c r="J188" s="2">
        <v>45720</v>
      </c>
      <c r="K188" t="s">
        <v>25</v>
      </c>
      <c r="L188">
        <v>43612</v>
      </c>
      <c r="M188">
        <v>264</v>
      </c>
      <c r="N188">
        <v>314</v>
      </c>
      <c r="O188" s="4">
        <v>3100</v>
      </c>
      <c r="P188" s="4">
        <v>2796.189697265625</v>
      </c>
      <c r="Q188" s="5">
        <f t="shared" si="8"/>
        <v>-9.8003323462701575E-2</v>
      </c>
      <c r="R188" s="4">
        <v>2298.6617915995848</v>
      </c>
      <c r="S188" s="5">
        <f t="shared" si="9"/>
        <v>-0.25849619625819842</v>
      </c>
      <c r="T188" s="4">
        <v>2194.2280194923819</v>
      </c>
      <c r="U188" s="5">
        <f t="shared" si="10"/>
        <v>-0.29218450984116717</v>
      </c>
      <c r="V188" s="4">
        <v>2713.941162109375</v>
      </c>
      <c r="W188" s="5">
        <f t="shared" si="11"/>
        <v>-0.12453510899697584</v>
      </c>
    </row>
    <row r="189" spans="1:23" x14ac:dyDescent="0.25">
      <c r="A189" t="s">
        <v>380</v>
      </c>
      <c r="B189">
        <v>2022</v>
      </c>
      <c r="C189" t="s">
        <v>46</v>
      </c>
      <c r="D189" t="s">
        <v>381</v>
      </c>
      <c r="E189">
        <v>48988</v>
      </c>
      <c r="F189" t="s">
        <v>382</v>
      </c>
      <c r="G189" t="s">
        <v>34</v>
      </c>
      <c r="H189" t="s">
        <v>25</v>
      </c>
      <c r="I189" t="s">
        <v>24</v>
      </c>
      <c r="J189" s="2">
        <v>45715</v>
      </c>
      <c r="K189" t="s">
        <v>25</v>
      </c>
      <c r="L189">
        <v>43612</v>
      </c>
      <c r="M189">
        <v>264</v>
      </c>
      <c r="N189">
        <v>314</v>
      </c>
      <c r="O189" s="4">
        <v>17100</v>
      </c>
      <c r="P189" s="4">
        <v>17257.314453125</v>
      </c>
      <c r="Q189" s="5">
        <f t="shared" si="8"/>
        <v>9.1996756213450492E-3</v>
      </c>
      <c r="R189" s="4">
        <v>17412.939680159539</v>
      </c>
      <c r="S189" s="5">
        <f t="shared" si="9"/>
        <v>1.8300566091201231E-2</v>
      </c>
      <c r="T189" s="4">
        <v>15990.784586758869</v>
      </c>
      <c r="U189" s="5">
        <f t="shared" si="10"/>
        <v>-6.4866398435153849E-2</v>
      </c>
      <c r="V189" s="4">
        <v>17335.052734375</v>
      </c>
      <c r="W189" s="5">
        <f t="shared" si="11"/>
        <v>1.3745773940058381E-2</v>
      </c>
    </row>
    <row r="190" spans="1:23" x14ac:dyDescent="0.25">
      <c r="A190" t="s">
        <v>383</v>
      </c>
      <c r="B190">
        <v>2016</v>
      </c>
      <c r="C190" t="s">
        <v>46</v>
      </c>
      <c r="D190" t="s">
        <v>124</v>
      </c>
      <c r="E190">
        <v>112121</v>
      </c>
      <c r="F190" t="s">
        <v>174</v>
      </c>
      <c r="G190" t="s">
        <v>44</v>
      </c>
      <c r="H190" t="s">
        <v>25</v>
      </c>
      <c r="I190" t="s">
        <v>24</v>
      </c>
      <c r="J190" s="2">
        <v>45370</v>
      </c>
      <c r="K190" t="s">
        <v>25</v>
      </c>
      <c r="L190">
        <v>43612</v>
      </c>
      <c r="M190">
        <v>264</v>
      </c>
      <c r="N190">
        <v>314</v>
      </c>
      <c r="O190" s="4">
        <v>41000</v>
      </c>
      <c r="P190" s="4">
        <v>8796.4501953125</v>
      </c>
      <c r="Q190" s="5">
        <f t="shared" si="8"/>
        <v>-0.7854524342606708</v>
      </c>
      <c r="R190" s="4">
        <v>11428.6056277384</v>
      </c>
      <c r="S190" s="5">
        <f t="shared" si="9"/>
        <v>-0.72125352127467313</v>
      </c>
      <c r="T190" s="4">
        <v>10847.257183607921</v>
      </c>
      <c r="U190" s="5">
        <f t="shared" si="10"/>
        <v>-0.73543275161931909</v>
      </c>
      <c r="V190" s="4">
        <v>7949.68603515625</v>
      </c>
      <c r="W190" s="5">
        <f t="shared" si="11"/>
        <v>-0.80610521865472562</v>
      </c>
    </row>
    <row r="191" spans="1:23" x14ac:dyDescent="0.25">
      <c r="A191" t="s">
        <v>384</v>
      </c>
      <c r="B191">
        <v>2016</v>
      </c>
      <c r="C191" t="s">
        <v>46</v>
      </c>
      <c r="D191" t="s">
        <v>234</v>
      </c>
      <c r="E191">
        <v>126161</v>
      </c>
      <c r="F191" t="s">
        <v>82</v>
      </c>
      <c r="G191" t="s">
        <v>30</v>
      </c>
      <c r="H191" t="s">
        <v>24</v>
      </c>
      <c r="I191" t="s">
        <v>25</v>
      </c>
      <c r="J191" s="2">
        <v>45594</v>
      </c>
      <c r="K191" t="s">
        <v>25</v>
      </c>
      <c r="L191">
        <v>43612</v>
      </c>
      <c r="M191">
        <v>264</v>
      </c>
      <c r="N191">
        <v>314</v>
      </c>
      <c r="O191" s="4">
        <v>2500</v>
      </c>
      <c r="P191" s="4">
        <v>3612.559814453125</v>
      </c>
      <c r="Q191" s="5">
        <f t="shared" si="8"/>
        <v>0.44502392578125005</v>
      </c>
      <c r="R191" s="4">
        <v>4162.1408361049416</v>
      </c>
      <c r="S191" s="5">
        <f t="shared" si="9"/>
        <v>0.66485633444197667</v>
      </c>
      <c r="T191" s="4">
        <v>2367.2369714741581</v>
      </c>
      <c r="U191" s="5">
        <f t="shared" si="10"/>
        <v>-5.310521141033675E-2</v>
      </c>
      <c r="V191" s="4">
        <v>3367.570068359375</v>
      </c>
      <c r="W191" s="5">
        <f t="shared" si="11"/>
        <v>0.34702802734375005</v>
      </c>
    </row>
    <row r="192" spans="1:23" x14ac:dyDescent="0.25">
      <c r="A192" t="s">
        <v>385</v>
      </c>
      <c r="B192">
        <v>2018</v>
      </c>
      <c r="C192" t="s">
        <v>46</v>
      </c>
      <c r="D192" t="s">
        <v>234</v>
      </c>
      <c r="E192">
        <v>92401</v>
      </c>
      <c r="F192" t="s">
        <v>106</v>
      </c>
      <c r="G192" t="s">
        <v>38</v>
      </c>
      <c r="H192" t="s">
        <v>25</v>
      </c>
      <c r="I192" t="s">
        <v>24</v>
      </c>
      <c r="J192" s="2">
        <v>45454</v>
      </c>
      <c r="K192" t="s">
        <v>25</v>
      </c>
      <c r="L192">
        <v>43612</v>
      </c>
      <c r="M192">
        <v>264</v>
      </c>
      <c r="N192">
        <v>314</v>
      </c>
      <c r="O192" s="4">
        <v>10000</v>
      </c>
      <c r="P192" s="4">
        <v>11979.0625</v>
      </c>
      <c r="Q192" s="5">
        <f t="shared" si="8"/>
        <v>0.19790624999999995</v>
      </c>
      <c r="R192" s="4">
        <v>11515.11779829937</v>
      </c>
      <c r="S192" s="5">
        <f t="shared" si="9"/>
        <v>0.15151177982993702</v>
      </c>
      <c r="T192" s="4">
        <v>6675.0426435178406</v>
      </c>
      <c r="U192" s="5">
        <f t="shared" si="10"/>
        <v>-0.332495735648216</v>
      </c>
      <c r="V192" s="4">
        <v>12158.181640625</v>
      </c>
      <c r="W192" s="5">
        <f t="shared" si="11"/>
        <v>0.2158181640625001</v>
      </c>
    </row>
    <row r="193" spans="1:23" x14ac:dyDescent="0.25">
      <c r="A193" t="s">
        <v>386</v>
      </c>
      <c r="B193">
        <v>2018</v>
      </c>
      <c r="C193" t="s">
        <v>46</v>
      </c>
      <c r="D193" t="s">
        <v>234</v>
      </c>
      <c r="E193">
        <v>89453</v>
      </c>
      <c r="F193" t="s">
        <v>77</v>
      </c>
      <c r="G193" t="s">
        <v>38</v>
      </c>
      <c r="H193" t="s">
        <v>25</v>
      </c>
      <c r="I193" t="s">
        <v>24</v>
      </c>
      <c r="J193" s="2">
        <v>45720</v>
      </c>
      <c r="K193" t="s">
        <v>25</v>
      </c>
      <c r="L193">
        <v>43612</v>
      </c>
      <c r="M193">
        <v>264</v>
      </c>
      <c r="N193">
        <v>314</v>
      </c>
      <c r="O193" s="4">
        <v>2200</v>
      </c>
      <c r="P193" s="4">
        <v>8206.4326171875</v>
      </c>
      <c r="Q193" s="5">
        <f t="shared" si="8"/>
        <v>2.7301966441761363</v>
      </c>
      <c r="R193" s="4">
        <v>11786.03726197005</v>
      </c>
      <c r="S193" s="5">
        <f t="shared" si="9"/>
        <v>4.3572896645318409</v>
      </c>
      <c r="T193" s="4">
        <v>6873.1851055125426</v>
      </c>
      <c r="U193" s="5">
        <f t="shared" si="10"/>
        <v>2.1241750479602466</v>
      </c>
      <c r="V193" s="4">
        <v>7995.4423828125</v>
      </c>
      <c r="W193" s="5">
        <f t="shared" si="11"/>
        <v>2.6342919921874999</v>
      </c>
    </row>
    <row r="194" spans="1:23" x14ac:dyDescent="0.25">
      <c r="A194" t="s">
        <v>387</v>
      </c>
      <c r="B194">
        <v>2017</v>
      </c>
      <c r="C194" t="s">
        <v>46</v>
      </c>
      <c r="D194" t="s">
        <v>234</v>
      </c>
      <c r="E194">
        <v>145115</v>
      </c>
      <c r="F194" t="s">
        <v>246</v>
      </c>
      <c r="G194" t="s">
        <v>34</v>
      </c>
      <c r="H194" t="s">
        <v>25</v>
      </c>
      <c r="I194" t="s">
        <v>24</v>
      </c>
      <c r="J194" s="2">
        <v>45384</v>
      </c>
      <c r="K194" t="s">
        <v>25</v>
      </c>
      <c r="L194">
        <v>43612</v>
      </c>
      <c r="M194">
        <v>264</v>
      </c>
      <c r="N194">
        <v>314</v>
      </c>
      <c r="O194" s="4">
        <v>7800</v>
      </c>
      <c r="P194" s="4">
        <v>4461.53271484375</v>
      </c>
      <c r="Q194" s="5">
        <f t="shared" si="8"/>
        <v>-0.42800862630208336</v>
      </c>
      <c r="R194" s="4">
        <v>4795.7490987205911</v>
      </c>
      <c r="S194" s="5">
        <f t="shared" si="9"/>
        <v>-0.38516037195889863</v>
      </c>
      <c r="T194" s="4">
        <v>2533.041620783853</v>
      </c>
      <c r="U194" s="5">
        <f t="shared" si="10"/>
        <v>-0.67525107425848041</v>
      </c>
      <c r="V194" s="4">
        <v>4486.13818359375</v>
      </c>
      <c r="W194" s="5">
        <f t="shared" si="11"/>
        <v>-0.42485407902644234</v>
      </c>
    </row>
    <row r="195" spans="1:23" x14ac:dyDescent="0.25">
      <c r="A195" t="s">
        <v>388</v>
      </c>
      <c r="B195">
        <v>2019</v>
      </c>
      <c r="C195" t="s">
        <v>46</v>
      </c>
      <c r="D195" t="s">
        <v>234</v>
      </c>
      <c r="E195">
        <v>114459</v>
      </c>
      <c r="F195" t="s">
        <v>174</v>
      </c>
      <c r="G195" t="s">
        <v>44</v>
      </c>
      <c r="H195" t="s">
        <v>25</v>
      </c>
      <c r="I195" t="s">
        <v>24</v>
      </c>
      <c r="J195" s="2">
        <v>45370</v>
      </c>
      <c r="K195" t="s">
        <v>25</v>
      </c>
      <c r="L195">
        <v>43612</v>
      </c>
      <c r="M195">
        <v>264</v>
      </c>
      <c r="N195">
        <v>314</v>
      </c>
      <c r="O195" s="4">
        <v>12800</v>
      </c>
      <c r="P195" s="4">
        <v>12059.3232421875</v>
      </c>
      <c r="Q195" s="5">
        <f t="shared" ref="Q195:Q258" si="12">(P195/$O195)-1</f>
        <v>-5.7865371704101554E-2</v>
      </c>
      <c r="R195" s="4">
        <v>15495.8060974207</v>
      </c>
      <c r="S195" s="5">
        <f t="shared" ref="S195:S258" si="13">(R195/$O195)-1</f>
        <v>0.2106098513609922</v>
      </c>
      <c r="T195" s="4">
        <v>7794.0131724821395</v>
      </c>
      <c r="U195" s="5">
        <f t="shared" ref="U195:U258" si="14">(T195/$O195)-1</f>
        <v>-0.39109272089983282</v>
      </c>
      <c r="V195" s="4">
        <v>11089.2138671875</v>
      </c>
      <c r="W195" s="5">
        <f t="shared" ref="W195:W258" si="15">(V195/$O195)-1</f>
        <v>-0.13365516662597654</v>
      </c>
    </row>
    <row r="196" spans="1:23" x14ac:dyDescent="0.25">
      <c r="A196" t="s">
        <v>389</v>
      </c>
      <c r="B196">
        <v>2013</v>
      </c>
      <c r="C196" t="s">
        <v>53</v>
      </c>
      <c r="D196" t="s">
        <v>390</v>
      </c>
      <c r="E196">
        <v>159234</v>
      </c>
      <c r="F196" t="s">
        <v>382</v>
      </c>
      <c r="G196" t="s">
        <v>34</v>
      </c>
      <c r="H196" t="s">
        <v>25</v>
      </c>
      <c r="I196" t="s">
        <v>24</v>
      </c>
      <c r="J196" s="2">
        <v>45622</v>
      </c>
      <c r="K196" t="s">
        <v>25</v>
      </c>
      <c r="L196">
        <v>43612</v>
      </c>
      <c r="M196">
        <v>264</v>
      </c>
      <c r="N196">
        <v>314</v>
      </c>
      <c r="O196" s="4">
        <v>2100</v>
      </c>
      <c r="P196" s="4">
        <v>2314.853515625</v>
      </c>
      <c r="Q196" s="5">
        <f t="shared" si="12"/>
        <v>0.10231119791666665</v>
      </c>
      <c r="R196" s="4">
        <v>2671.6802035562901</v>
      </c>
      <c r="S196" s="5">
        <f t="shared" si="13"/>
        <v>0.27222866836013804</v>
      </c>
      <c r="T196" s="4">
        <v>2507.296867822135</v>
      </c>
      <c r="U196" s="5">
        <f t="shared" si="14"/>
        <v>0.19395088943911198</v>
      </c>
      <c r="V196" s="4">
        <v>2252.294677734375</v>
      </c>
      <c r="W196" s="5">
        <f t="shared" si="15"/>
        <v>7.2521275111607109E-2</v>
      </c>
    </row>
    <row r="197" spans="1:23" x14ac:dyDescent="0.25">
      <c r="A197" t="s">
        <v>391</v>
      </c>
      <c r="B197">
        <v>2020</v>
      </c>
      <c r="C197" t="s">
        <v>53</v>
      </c>
      <c r="D197" t="s">
        <v>392</v>
      </c>
      <c r="E197">
        <v>73797</v>
      </c>
      <c r="F197" t="s">
        <v>29</v>
      </c>
      <c r="G197" t="s">
        <v>30</v>
      </c>
      <c r="H197" t="s">
        <v>24</v>
      </c>
      <c r="I197" t="s">
        <v>25</v>
      </c>
      <c r="J197" s="2">
        <v>45673</v>
      </c>
      <c r="K197" t="s">
        <v>25</v>
      </c>
      <c r="L197">
        <v>43612</v>
      </c>
      <c r="M197">
        <v>264</v>
      </c>
      <c r="N197">
        <v>314</v>
      </c>
      <c r="O197" s="4">
        <v>12500</v>
      </c>
      <c r="P197" s="4">
        <v>11048.78125</v>
      </c>
      <c r="Q197" s="5">
        <f t="shared" si="12"/>
        <v>-0.11609749999999996</v>
      </c>
      <c r="R197" s="4">
        <v>16972.92332137738</v>
      </c>
      <c r="S197" s="5">
        <f t="shared" si="13"/>
        <v>0.35783386571019049</v>
      </c>
      <c r="T197" s="4">
        <v>19699.02415969189</v>
      </c>
      <c r="U197" s="5">
        <f t="shared" si="14"/>
        <v>0.57592193277535109</v>
      </c>
      <c r="V197" s="4">
        <v>11368.0869140625</v>
      </c>
      <c r="W197" s="5">
        <f t="shared" si="15"/>
        <v>-9.0553046874999987E-2</v>
      </c>
    </row>
    <row r="198" spans="1:23" x14ac:dyDescent="0.25">
      <c r="A198" t="s">
        <v>393</v>
      </c>
      <c r="B198">
        <v>2016</v>
      </c>
      <c r="C198" t="s">
        <v>104</v>
      </c>
      <c r="D198" t="s">
        <v>126</v>
      </c>
      <c r="E198">
        <v>124633</v>
      </c>
      <c r="F198" t="s">
        <v>82</v>
      </c>
      <c r="G198" t="s">
        <v>30</v>
      </c>
      <c r="H198" t="s">
        <v>24</v>
      </c>
      <c r="I198" t="s">
        <v>25</v>
      </c>
      <c r="J198" s="2">
        <v>45594</v>
      </c>
      <c r="K198" t="s">
        <v>25</v>
      </c>
      <c r="L198">
        <v>43612</v>
      </c>
      <c r="M198">
        <v>264</v>
      </c>
      <c r="N198">
        <v>314</v>
      </c>
      <c r="O198" s="4">
        <v>4100</v>
      </c>
      <c r="P198" s="4">
        <v>5782.36474609375</v>
      </c>
      <c r="Q198" s="5">
        <f t="shared" si="12"/>
        <v>0.41033286490091458</v>
      </c>
      <c r="R198" s="4">
        <v>6585.3287267831029</v>
      </c>
      <c r="S198" s="5">
        <f t="shared" si="13"/>
        <v>0.60617773823978127</v>
      </c>
      <c r="T198" s="4">
        <v>5465.7574681026144</v>
      </c>
      <c r="U198" s="5">
        <f t="shared" si="14"/>
        <v>0.33311157758600363</v>
      </c>
      <c r="V198" s="4">
        <v>5747.74755859375</v>
      </c>
      <c r="W198" s="5">
        <f t="shared" si="15"/>
        <v>0.40188964843750008</v>
      </c>
    </row>
    <row r="199" spans="1:23" x14ac:dyDescent="0.25">
      <c r="A199" t="s">
        <v>394</v>
      </c>
      <c r="B199">
        <v>2017</v>
      </c>
      <c r="C199" t="s">
        <v>104</v>
      </c>
      <c r="D199" t="s">
        <v>126</v>
      </c>
      <c r="E199">
        <v>77896</v>
      </c>
      <c r="F199" t="s">
        <v>334</v>
      </c>
      <c r="G199" t="s">
        <v>23</v>
      </c>
      <c r="H199" t="s">
        <v>24</v>
      </c>
      <c r="I199" t="s">
        <v>25</v>
      </c>
      <c r="J199" s="2">
        <v>45664</v>
      </c>
      <c r="K199" t="s">
        <v>25</v>
      </c>
      <c r="L199">
        <v>43612</v>
      </c>
      <c r="M199">
        <v>264</v>
      </c>
      <c r="N199">
        <v>314</v>
      </c>
      <c r="O199" s="4">
        <v>15200</v>
      </c>
      <c r="P199" s="4">
        <v>5461.970703125</v>
      </c>
      <c r="Q199" s="5">
        <f t="shared" si="12"/>
        <v>-0.64065982216282902</v>
      </c>
      <c r="R199" s="4">
        <v>11843.272546008409</v>
      </c>
      <c r="S199" s="5">
        <f t="shared" si="13"/>
        <v>-0.2208373324994467</v>
      </c>
      <c r="T199" s="4">
        <v>10339.240485029541</v>
      </c>
      <c r="U199" s="5">
        <f t="shared" si="14"/>
        <v>-0.31978681019542499</v>
      </c>
      <c r="V199" s="4">
        <v>6188.55419921875</v>
      </c>
      <c r="W199" s="5">
        <f t="shared" si="15"/>
        <v>-0.59285827636718746</v>
      </c>
    </row>
    <row r="200" spans="1:23" x14ac:dyDescent="0.25">
      <c r="A200" t="s">
        <v>395</v>
      </c>
      <c r="B200">
        <v>2017</v>
      </c>
      <c r="C200" t="s">
        <v>104</v>
      </c>
      <c r="D200" t="s">
        <v>396</v>
      </c>
      <c r="E200">
        <v>115842</v>
      </c>
      <c r="F200" t="s">
        <v>334</v>
      </c>
      <c r="G200" t="s">
        <v>34</v>
      </c>
      <c r="H200" t="s">
        <v>25</v>
      </c>
      <c r="I200" t="s">
        <v>24</v>
      </c>
      <c r="J200" s="2">
        <v>45680</v>
      </c>
      <c r="K200" t="s">
        <v>25</v>
      </c>
      <c r="L200">
        <v>43612</v>
      </c>
      <c r="M200">
        <v>264</v>
      </c>
      <c r="N200">
        <v>314</v>
      </c>
      <c r="O200" s="4">
        <v>15200</v>
      </c>
      <c r="P200" s="4">
        <v>8175.712890625</v>
      </c>
      <c r="Q200" s="5">
        <f t="shared" si="12"/>
        <v>-0.46212415193256584</v>
      </c>
      <c r="R200" s="4">
        <v>9079.9954667480924</v>
      </c>
      <c r="S200" s="5">
        <f t="shared" si="13"/>
        <v>-0.4026318771876255</v>
      </c>
      <c r="T200" s="4">
        <v>11053.74547192616</v>
      </c>
      <c r="U200" s="5">
        <f t="shared" si="14"/>
        <v>-0.27277990316275258</v>
      </c>
      <c r="V200" s="4">
        <v>7932.07568359375</v>
      </c>
      <c r="W200" s="5">
        <f t="shared" si="15"/>
        <v>-0.47815291555304273</v>
      </c>
    </row>
    <row r="201" spans="1:23" x14ac:dyDescent="0.25">
      <c r="A201" t="s">
        <v>397</v>
      </c>
      <c r="B201">
        <v>2016</v>
      </c>
      <c r="C201" t="s">
        <v>369</v>
      </c>
      <c r="D201" t="s">
        <v>132</v>
      </c>
      <c r="E201">
        <v>134202</v>
      </c>
      <c r="F201" t="s">
        <v>219</v>
      </c>
      <c r="G201" t="s">
        <v>23</v>
      </c>
      <c r="H201" t="s">
        <v>24</v>
      </c>
      <c r="I201" t="s">
        <v>25</v>
      </c>
      <c r="J201" s="2">
        <v>45421</v>
      </c>
      <c r="K201" t="s">
        <v>25</v>
      </c>
      <c r="L201">
        <v>43612</v>
      </c>
      <c r="M201">
        <v>264</v>
      </c>
      <c r="N201">
        <v>314</v>
      </c>
      <c r="O201" s="4">
        <v>12500</v>
      </c>
      <c r="P201" s="4">
        <v>6014.49365234375</v>
      </c>
      <c r="Q201" s="5">
        <f t="shared" si="12"/>
        <v>-0.51884050781250002</v>
      </c>
      <c r="R201" s="4">
        <v>6364.4709490273999</v>
      </c>
      <c r="S201" s="5">
        <f t="shared" si="13"/>
        <v>-0.49084232407780803</v>
      </c>
      <c r="T201" s="4">
        <v>14289.88041941309</v>
      </c>
      <c r="U201" s="5">
        <f t="shared" si="14"/>
        <v>0.14319043355304717</v>
      </c>
      <c r="V201" s="4">
        <v>5845.16552734375</v>
      </c>
      <c r="W201" s="5">
        <f t="shared" si="15"/>
        <v>-0.5323867578125</v>
      </c>
    </row>
    <row r="202" spans="1:23" x14ac:dyDescent="0.25">
      <c r="A202" t="s">
        <v>398</v>
      </c>
      <c r="B202">
        <v>2017</v>
      </c>
      <c r="C202" t="s">
        <v>20</v>
      </c>
      <c r="D202" t="s">
        <v>134</v>
      </c>
      <c r="E202">
        <v>144401</v>
      </c>
      <c r="F202" t="s">
        <v>141</v>
      </c>
      <c r="G202" t="s">
        <v>30</v>
      </c>
      <c r="H202" t="s">
        <v>24</v>
      </c>
      <c r="I202" t="s">
        <v>25</v>
      </c>
      <c r="J202" s="2">
        <v>45449</v>
      </c>
      <c r="K202" t="s">
        <v>25</v>
      </c>
      <c r="L202">
        <v>43612</v>
      </c>
      <c r="M202">
        <v>264</v>
      </c>
      <c r="N202">
        <v>314</v>
      </c>
      <c r="O202" s="4">
        <v>6100</v>
      </c>
      <c r="P202" s="4">
        <v>6378.2978515625</v>
      </c>
      <c r="Q202" s="5">
        <f t="shared" si="12"/>
        <v>4.5622598616803289E-2</v>
      </c>
      <c r="R202" s="4">
        <v>6886.4727696162972</v>
      </c>
      <c r="S202" s="5">
        <f t="shared" si="13"/>
        <v>0.12892996223217978</v>
      </c>
      <c r="T202" s="4">
        <v>7148.992154884414</v>
      </c>
      <c r="U202" s="5">
        <f t="shared" si="14"/>
        <v>0.17196592703023184</v>
      </c>
      <c r="V202" s="4">
        <v>6139.76904296875</v>
      </c>
      <c r="W202" s="5">
        <f t="shared" si="15"/>
        <v>6.5195152407786505E-3</v>
      </c>
    </row>
    <row r="203" spans="1:23" x14ac:dyDescent="0.25">
      <c r="A203" t="s">
        <v>399</v>
      </c>
      <c r="B203">
        <v>2017</v>
      </c>
      <c r="C203" t="s">
        <v>20</v>
      </c>
      <c r="D203" t="s">
        <v>21</v>
      </c>
      <c r="E203">
        <v>48466</v>
      </c>
      <c r="F203" t="s">
        <v>82</v>
      </c>
      <c r="G203" t="s">
        <v>30</v>
      </c>
      <c r="H203" t="s">
        <v>24</v>
      </c>
      <c r="I203" t="s">
        <v>25</v>
      </c>
      <c r="J203" s="2">
        <v>45538</v>
      </c>
      <c r="K203" t="s">
        <v>25</v>
      </c>
      <c r="L203">
        <v>43612</v>
      </c>
      <c r="M203">
        <v>264</v>
      </c>
      <c r="N203">
        <v>314</v>
      </c>
      <c r="O203" s="4">
        <v>12200</v>
      </c>
      <c r="P203" s="4">
        <v>6961.86962890625</v>
      </c>
      <c r="Q203" s="5">
        <f t="shared" si="12"/>
        <v>-0.42935494845030742</v>
      </c>
      <c r="R203" s="4">
        <v>9808.3759784660288</v>
      </c>
      <c r="S203" s="5">
        <f t="shared" si="13"/>
        <v>-0.19603475586344021</v>
      </c>
      <c r="T203" s="4">
        <v>9298.4601639219436</v>
      </c>
      <c r="U203" s="5">
        <f t="shared" si="14"/>
        <v>-0.23783113410475876</v>
      </c>
      <c r="V203" s="4">
        <v>6535.45654296875</v>
      </c>
      <c r="W203" s="5">
        <f t="shared" si="15"/>
        <v>-0.4643068407402664</v>
      </c>
    </row>
    <row r="204" spans="1:23" x14ac:dyDescent="0.25">
      <c r="A204" t="s">
        <v>400</v>
      </c>
      <c r="B204">
        <v>2017</v>
      </c>
      <c r="C204" t="s">
        <v>20</v>
      </c>
      <c r="D204" t="s">
        <v>21</v>
      </c>
      <c r="E204">
        <v>86896</v>
      </c>
      <c r="F204" t="s">
        <v>334</v>
      </c>
      <c r="G204" t="s">
        <v>23</v>
      </c>
      <c r="H204" t="s">
        <v>24</v>
      </c>
      <c r="I204" t="s">
        <v>25</v>
      </c>
      <c r="J204" s="2">
        <v>45482</v>
      </c>
      <c r="K204" t="s">
        <v>25</v>
      </c>
      <c r="L204">
        <v>43612</v>
      </c>
      <c r="M204">
        <v>264</v>
      </c>
      <c r="N204">
        <v>314</v>
      </c>
      <c r="O204" s="4">
        <v>12200</v>
      </c>
      <c r="P204" s="4">
        <v>4870.12451171875</v>
      </c>
      <c r="Q204" s="5">
        <f t="shared" si="12"/>
        <v>-0.60080946625256149</v>
      </c>
      <c r="R204" s="4">
        <v>6860.5132911330838</v>
      </c>
      <c r="S204" s="5">
        <f t="shared" si="13"/>
        <v>-0.43766284498909147</v>
      </c>
      <c r="T204" s="4">
        <v>6744.1240344092348</v>
      </c>
      <c r="U204" s="5">
        <f t="shared" si="14"/>
        <v>-0.44720294799924309</v>
      </c>
      <c r="V204" s="4">
        <v>4307.841796875</v>
      </c>
      <c r="W204" s="5">
        <f t="shared" si="15"/>
        <v>-0.64689821337090159</v>
      </c>
    </row>
    <row r="205" spans="1:23" x14ac:dyDescent="0.25">
      <c r="A205" t="s">
        <v>401</v>
      </c>
      <c r="B205">
        <v>2018</v>
      </c>
      <c r="C205" t="s">
        <v>20</v>
      </c>
      <c r="D205" t="s">
        <v>134</v>
      </c>
      <c r="E205">
        <v>119679</v>
      </c>
      <c r="F205" t="s">
        <v>48</v>
      </c>
      <c r="G205" t="s">
        <v>38</v>
      </c>
      <c r="H205" t="s">
        <v>25</v>
      </c>
      <c r="I205" t="s">
        <v>24</v>
      </c>
      <c r="J205" s="2">
        <v>45729</v>
      </c>
      <c r="K205" t="s">
        <v>25</v>
      </c>
      <c r="L205">
        <v>43612</v>
      </c>
      <c r="M205">
        <v>264</v>
      </c>
      <c r="N205">
        <v>314</v>
      </c>
      <c r="O205" s="4">
        <v>10500</v>
      </c>
      <c r="P205" s="4">
        <v>6498.302734375</v>
      </c>
      <c r="Q205" s="5">
        <f t="shared" si="12"/>
        <v>-0.38111402529761906</v>
      </c>
      <c r="R205" s="4">
        <v>9763.1711103128564</v>
      </c>
      <c r="S205" s="5">
        <f t="shared" si="13"/>
        <v>-7.0174179970204142E-2</v>
      </c>
      <c r="T205" s="4">
        <v>9847.750881355003</v>
      </c>
      <c r="U205" s="5">
        <f t="shared" si="14"/>
        <v>-6.2118963680475869E-2</v>
      </c>
      <c r="V205" s="4">
        <v>5822.9580078125</v>
      </c>
      <c r="W205" s="5">
        <f t="shared" si="15"/>
        <v>-0.4454325706845238</v>
      </c>
    </row>
    <row r="206" spans="1:23" x14ac:dyDescent="0.25">
      <c r="A206" t="s">
        <v>402</v>
      </c>
      <c r="B206">
        <v>2020</v>
      </c>
      <c r="C206" t="s">
        <v>20</v>
      </c>
      <c r="D206" t="s">
        <v>134</v>
      </c>
      <c r="E206">
        <v>110574</v>
      </c>
      <c r="F206" t="s">
        <v>261</v>
      </c>
      <c r="G206" t="s">
        <v>30</v>
      </c>
      <c r="H206" t="s">
        <v>24</v>
      </c>
      <c r="I206" t="s">
        <v>25</v>
      </c>
      <c r="J206" s="2">
        <v>45337</v>
      </c>
      <c r="K206" t="s">
        <v>25</v>
      </c>
      <c r="L206">
        <v>43612</v>
      </c>
      <c r="M206">
        <v>264</v>
      </c>
      <c r="N206">
        <v>314</v>
      </c>
      <c r="O206" s="4">
        <v>19000</v>
      </c>
      <c r="P206" s="4">
        <v>7617.22216796875</v>
      </c>
      <c r="Q206" s="5">
        <f t="shared" si="12"/>
        <v>-0.59909357010690789</v>
      </c>
      <c r="R206" s="4">
        <v>8272.3969109237551</v>
      </c>
      <c r="S206" s="5">
        <f t="shared" si="13"/>
        <v>-0.56461068889874966</v>
      </c>
      <c r="T206" s="4">
        <v>9886.870845944517</v>
      </c>
      <c r="U206" s="5">
        <f t="shared" si="14"/>
        <v>-0.47963837652923591</v>
      </c>
      <c r="V206" s="4">
        <v>7649.84130859375</v>
      </c>
      <c r="W206" s="5">
        <f t="shared" si="15"/>
        <v>-0.59737677323190796</v>
      </c>
    </row>
    <row r="207" spans="1:23" x14ac:dyDescent="0.25">
      <c r="A207" t="s">
        <v>403</v>
      </c>
      <c r="B207">
        <v>2019</v>
      </c>
      <c r="C207" t="s">
        <v>20</v>
      </c>
      <c r="D207" t="s">
        <v>108</v>
      </c>
      <c r="E207">
        <v>133008</v>
      </c>
      <c r="F207" t="s">
        <v>37</v>
      </c>
      <c r="G207" t="s">
        <v>38</v>
      </c>
      <c r="H207" t="s">
        <v>25</v>
      </c>
      <c r="I207" t="s">
        <v>24</v>
      </c>
      <c r="J207" s="2">
        <v>45715</v>
      </c>
      <c r="K207" t="s">
        <v>25</v>
      </c>
      <c r="L207">
        <v>43612</v>
      </c>
      <c r="M207">
        <v>264</v>
      </c>
      <c r="N207">
        <v>314</v>
      </c>
      <c r="O207" s="4">
        <v>13400</v>
      </c>
      <c r="P207" s="4">
        <v>7079.998046875</v>
      </c>
      <c r="Q207" s="5">
        <f t="shared" si="12"/>
        <v>-0.47164193680037314</v>
      </c>
      <c r="R207" s="4">
        <v>10514.568309258009</v>
      </c>
      <c r="S207" s="5">
        <f t="shared" si="13"/>
        <v>-0.21533072318970081</v>
      </c>
      <c r="T207" s="4">
        <v>10490.41751054453</v>
      </c>
      <c r="U207" s="5">
        <f t="shared" si="14"/>
        <v>-0.21713302160115444</v>
      </c>
      <c r="V207" s="4">
        <v>7145.32470703125</v>
      </c>
      <c r="W207" s="5">
        <f t="shared" si="15"/>
        <v>-0.46676681290811572</v>
      </c>
    </row>
    <row r="208" spans="1:23" x14ac:dyDescent="0.25">
      <c r="A208" t="s">
        <v>404</v>
      </c>
      <c r="B208">
        <v>2017</v>
      </c>
      <c r="C208" t="s">
        <v>20</v>
      </c>
      <c r="D208" t="s">
        <v>108</v>
      </c>
      <c r="E208">
        <v>76060</v>
      </c>
      <c r="F208" t="s">
        <v>29</v>
      </c>
      <c r="G208" t="s">
        <v>38</v>
      </c>
      <c r="H208" t="s">
        <v>25</v>
      </c>
      <c r="I208" t="s">
        <v>24</v>
      </c>
      <c r="J208" s="2">
        <v>45729</v>
      </c>
      <c r="K208" t="s">
        <v>25</v>
      </c>
      <c r="L208">
        <v>43612</v>
      </c>
      <c r="M208">
        <v>264</v>
      </c>
      <c r="N208">
        <v>314</v>
      </c>
      <c r="O208" s="4">
        <v>11800</v>
      </c>
      <c r="P208" s="4">
        <v>8168.50341796875</v>
      </c>
      <c r="Q208" s="5">
        <f t="shared" si="12"/>
        <v>-0.30775394762976693</v>
      </c>
      <c r="R208" s="4">
        <v>11134.37017394641</v>
      </c>
      <c r="S208" s="5">
        <f t="shared" si="13"/>
        <v>-5.6409307292677124E-2</v>
      </c>
      <c r="T208" s="4">
        <v>12955.63950980534</v>
      </c>
      <c r="U208" s="5">
        <f t="shared" si="14"/>
        <v>9.7935551678418609E-2</v>
      </c>
      <c r="V208" s="4">
        <v>7384.59033203125</v>
      </c>
      <c r="W208" s="5">
        <f t="shared" si="15"/>
        <v>-0.3741872599973517</v>
      </c>
    </row>
    <row r="209" spans="1:23" x14ac:dyDescent="0.25">
      <c r="A209" t="s">
        <v>405</v>
      </c>
      <c r="B209">
        <v>2016</v>
      </c>
      <c r="C209" t="s">
        <v>159</v>
      </c>
      <c r="D209" t="s">
        <v>406</v>
      </c>
      <c r="E209">
        <v>76334</v>
      </c>
      <c r="F209" t="s">
        <v>63</v>
      </c>
      <c r="G209" t="s">
        <v>30</v>
      </c>
      <c r="H209" t="s">
        <v>24</v>
      </c>
      <c r="I209" t="s">
        <v>25</v>
      </c>
      <c r="J209" s="2">
        <v>45692</v>
      </c>
      <c r="K209" t="s">
        <v>25</v>
      </c>
      <c r="L209">
        <v>43612</v>
      </c>
      <c r="M209">
        <v>264</v>
      </c>
      <c r="N209">
        <v>314</v>
      </c>
      <c r="O209" s="4">
        <v>4200</v>
      </c>
      <c r="P209" s="4">
        <v>11567.84765625</v>
      </c>
      <c r="Q209" s="5">
        <f t="shared" si="12"/>
        <v>1.7542494419642858</v>
      </c>
      <c r="R209" s="4">
        <v>11355.22495730727</v>
      </c>
      <c r="S209" s="5">
        <f t="shared" si="13"/>
        <v>1.7036249898350642</v>
      </c>
      <c r="T209" s="4">
        <v>9277.6892880000487</v>
      </c>
      <c r="U209" s="5">
        <f t="shared" si="14"/>
        <v>1.2089736400000115</v>
      </c>
      <c r="V209" s="4">
        <v>11509.9228515625</v>
      </c>
      <c r="W209" s="5">
        <f t="shared" si="15"/>
        <v>1.7404578218005953</v>
      </c>
    </row>
    <row r="210" spans="1:23" x14ac:dyDescent="0.25">
      <c r="A210" t="s">
        <v>407</v>
      </c>
      <c r="B210">
        <v>2018</v>
      </c>
      <c r="C210" t="s">
        <v>32</v>
      </c>
      <c r="D210" t="s">
        <v>143</v>
      </c>
      <c r="E210">
        <v>115674</v>
      </c>
      <c r="F210" t="s">
        <v>334</v>
      </c>
      <c r="G210" t="s">
        <v>30</v>
      </c>
      <c r="H210" t="s">
        <v>24</v>
      </c>
      <c r="I210" t="s">
        <v>25</v>
      </c>
      <c r="J210" s="2">
        <v>45608</v>
      </c>
      <c r="K210" t="s">
        <v>25</v>
      </c>
      <c r="L210">
        <v>43612</v>
      </c>
      <c r="M210">
        <v>264</v>
      </c>
      <c r="N210">
        <v>314</v>
      </c>
      <c r="O210" s="4">
        <v>10100</v>
      </c>
      <c r="P210" s="4">
        <v>5675.9052734375</v>
      </c>
      <c r="Q210" s="5">
        <f t="shared" si="12"/>
        <v>-0.43802918084777231</v>
      </c>
      <c r="R210" s="4">
        <v>6674.265632251334</v>
      </c>
      <c r="S210" s="5">
        <f t="shared" si="13"/>
        <v>-0.33918162056917489</v>
      </c>
      <c r="T210" s="4">
        <v>7015.2470050390093</v>
      </c>
      <c r="U210" s="5">
        <f t="shared" si="14"/>
        <v>-0.30542108860999906</v>
      </c>
      <c r="V210" s="4">
        <v>5532.08740234375</v>
      </c>
      <c r="W210" s="5">
        <f t="shared" si="15"/>
        <v>-0.45226857402537124</v>
      </c>
    </row>
    <row r="211" spans="1:23" x14ac:dyDescent="0.25">
      <c r="A211" t="s">
        <v>408</v>
      </c>
      <c r="B211">
        <v>2018</v>
      </c>
      <c r="C211" t="s">
        <v>32</v>
      </c>
      <c r="D211" t="s">
        <v>143</v>
      </c>
      <c r="E211">
        <v>102891</v>
      </c>
      <c r="F211" t="s">
        <v>161</v>
      </c>
      <c r="G211" t="s">
        <v>44</v>
      </c>
      <c r="H211" t="s">
        <v>25</v>
      </c>
      <c r="I211" t="s">
        <v>24</v>
      </c>
      <c r="J211" s="2">
        <v>45664</v>
      </c>
      <c r="K211" t="s">
        <v>25</v>
      </c>
      <c r="L211">
        <v>43612</v>
      </c>
      <c r="M211">
        <v>264</v>
      </c>
      <c r="N211">
        <v>314</v>
      </c>
      <c r="O211" s="4">
        <v>10000</v>
      </c>
      <c r="P211" s="4">
        <v>11054.0419921875</v>
      </c>
      <c r="Q211" s="5">
        <f t="shared" si="12"/>
        <v>0.10540419921874999</v>
      </c>
      <c r="R211" s="4">
        <v>11761.073399706531</v>
      </c>
      <c r="S211" s="5">
        <f t="shared" si="13"/>
        <v>0.17610733997065298</v>
      </c>
      <c r="T211" s="4">
        <v>11782.602870796291</v>
      </c>
      <c r="U211" s="5">
        <f t="shared" si="14"/>
        <v>0.17826028707962904</v>
      </c>
      <c r="V211" s="4">
        <v>10873.9931640625</v>
      </c>
      <c r="W211" s="5">
        <f t="shared" si="15"/>
        <v>8.7399316406250094E-2</v>
      </c>
    </row>
    <row r="212" spans="1:23" x14ac:dyDescent="0.25">
      <c r="A212" t="s">
        <v>409</v>
      </c>
      <c r="B212">
        <v>2018</v>
      </c>
      <c r="C212" t="s">
        <v>46</v>
      </c>
      <c r="D212" t="s">
        <v>145</v>
      </c>
      <c r="E212">
        <v>101633</v>
      </c>
      <c r="F212" t="s">
        <v>102</v>
      </c>
      <c r="G212" t="s">
        <v>44</v>
      </c>
      <c r="H212" t="s">
        <v>25</v>
      </c>
      <c r="I212" t="s">
        <v>24</v>
      </c>
      <c r="J212" s="2">
        <v>45580</v>
      </c>
      <c r="K212" t="s">
        <v>25</v>
      </c>
      <c r="L212">
        <v>43612</v>
      </c>
      <c r="M212">
        <v>264</v>
      </c>
      <c r="N212">
        <v>314</v>
      </c>
      <c r="O212" s="4">
        <v>10500</v>
      </c>
      <c r="P212" s="4">
        <v>12005.8642578125</v>
      </c>
      <c r="Q212" s="5">
        <f t="shared" si="12"/>
        <v>0.14341564360119041</v>
      </c>
      <c r="R212" s="4">
        <v>12033.111815704269</v>
      </c>
      <c r="S212" s="5">
        <f t="shared" si="13"/>
        <v>0.14601064911469241</v>
      </c>
      <c r="T212" s="4">
        <v>7062.3296364521266</v>
      </c>
      <c r="U212" s="5">
        <f t="shared" si="14"/>
        <v>-0.32739717748074981</v>
      </c>
      <c r="V212" s="4">
        <v>12171.951171875</v>
      </c>
      <c r="W212" s="5">
        <f t="shared" si="15"/>
        <v>0.1592334449404762</v>
      </c>
    </row>
    <row r="213" spans="1:23" x14ac:dyDescent="0.25">
      <c r="A213" t="s">
        <v>410</v>
      </c>
      <c r="B213">
        <v>2019</v>
      </c>
      <c r="C213" t="s">
        <v>46</v>
      </c>
      <c r="D213" t="s">
        <v>145</v>
      </c>
      <c r="E213">
        <v>59097</v>
      </c>
      <c r="F213" t="s">
        <v>250</v>
      </c>
      <c r="G213" t="s">
        <v>38</v>
      </c>
      <c r="H213" t="s">
        <v>25</v>
      </c>
      <c r="I213" t="s">
        <v>24</v>
      </c>
      <c r="J213" s="2">
        <v>45664</v>
      </c>
      <c r="K213" t="s">
        <v>25</v>
      </c>
      <c r="L213">
        <v>43612</v>
      </c>
      <c r="M213">
        <v>264</v>
      </c>
      <c r="N213">
        <v>314</v>
      </c>
      <c r="O213" s="4">
        <v>5600</v>
      </c>
      <c r="P213" s="4">
        <v>17241.154296875</v>
      </c>
      <c r="Q213" s="5">
        <f t="shared" si="12"/>
        <v>2.078777553013393</v>
      </c>
      <c r="R213" s="4">
        <v>16691.386143706881</v>
      </c>
      <c r="S213" s="5">
        <f t="shared" si="13"/>
        <v>1.9806046685190859</v>
      </c>
      <c r="T213" s="4">
        <v>9630.9100392534092</v>
      </c>
      <c r="U213" s="5">
        <f t="shared" si="14"/>
        <v>0.71980536415239449</v>
      </c>
      <c r="V213" s="4">
        <v>17359.966796875</v>
      </c>
      <c r="W213" s="5">
        <f t="shared" si="15"/>
        <v>2.0999940708705358</v>
      </c>
    </row>
    <row r="214" spans="1:23" x14ac:dyDescent="0.25">
      <c r="A214" t="s">
        <v>411</v>
      </c>
      <c r="B214">
        <v>2017</v>
      </c>
      <c r="C214" t="s">
        <v>46</v>
      </c>
      <c r="D214" t="s">
        <v>145</v>
      </c>
      <c r="E214">
        <v>115238</v>
      </c>
      <c r="F214" t="s">
        <v>29</v>
      </c>
      <c r="G214" t="s">
        <v>34</v>
      </c>
      <c r="H214" t="s">
        <v>25</v>
      </c>
      <c r="I214" t="s">
        <v>24</v>
      </c>
      <c r="J214" s="2">
        <v>45314</v>
      </c>
      <c r="K214" t="s">
        <v>25</v>
      </c>
      <c r="L214">
        <v>43612</v>
      </c>
      <c r="M214">
        <v>264</v>
      </c>
      <c r="N214">
        <v>314</v>
      </c>
      <c r="O214" s="4">
        <v>2200</v>
      </c>
      <c r="P214" s="4">
        <v>5456.0556640625</v>
      </c>
      <c r="Q214" s="5">
        <f t="shared" si="12"/>
        <v>1.4800253018465908</v>
      </c>
      <c r="R214" s="4">
        <v>8267.9726463610114</v>
      </c>
      <c r="S214" s="5">
        <f t="shared" si="13"/>
        <v>2.7581693847095505</v>
      </c>
      <c r="T214" s="4">
        <v>4591.2829795853668</v>
      </c>
      <c r="U214" s="5">
        <f t="shared" si="14"/>
        <v>1.0869468089024394</v>
      </c>
      <c r="V214" s="4">
        <v>4909.361328125</v>
      </c>
      <c r="W214" s="5">
        <f t="shared" si="15"/>
        <v>1.2315278764204547</v>
      </c>
    </row>
    <row r="215" spans="1:23" x14ac:dyDescent="0.25">
      <c r="A215" t="s">
        <v>412</v>
      </c>
      <c r="B215">
        <v>2013</v>
      </c>
      <c r="C215" t="s">
        <v>46</v>
      </c>
      <c r="D215" t="s">
        <v>145</v>
      </c>
      <c r="E215">
        <v>102530</v>
      </c>
      <c r="F215" t="s">
        <v>79</v>
      </c>
      <c r="G215" t="s">
        <v>30</v>
      </c>
      <c r="H215" t="s">
        <v>24</v>
      </c>
      <c r="I215" t="s">
        <v>25</v>
      </c>
      <c r="J215" s="2">
        <v>45678</v>
      </c>
      <c r="K215" t="s">
        <v>25</v>
      </c>
      <c r="L215">
        <v>43612</v>
      </c>
      <c r="M215">
        <v>264</v>
      </c>
      <c r="N215">
        <v>314</v>
      </c>
      <c r="O215" s="4">
        <v>5100</v>
      </c>
      <c r="P215" s="4">
        <v>3851.869384765625</v>
      </c>
      <c r="Q215" s="5">
        <f t="shared" si="12"/>
        <v>-0.24473149318321075</v>
      </c>
      <c r="R215" s="4">
        <v>3865.8768600745721</v>
      </c>
      <c r="S215" s="5">
        <f t="shared" si="13"/>
        <v>-0.24198492939714278</v>
      </c>
      <c r="T215" s="4">
        <v>2535.4203000073348</v>
      </c>
      <c r="U215" s="5">
        <f t="shared" si="14"/>
        <v>-0.50285876470444413</v>
      </c>
      <c r="V215" s="4">
        <v>3759.075927734375</v>
      </c>
      <c r="W215" s="5">
        <f t="shared" si="15"/>
        <v>-0.26292628867953427</v>
      </c>
    </row>
    <row r="216" spans="1:23" x14ac:dyDescent="0.25">
      <c r="A216" t="s">
        <v>413</v>
      </c>
      <c r="B216">
        <v>2019</v>
      </c>
      <c r="C216" t="s">
        <v>46</v>
      </c>
      <c r="D216" t="s">
        <v>145</v>
      </c>
      <c r="E216">
        <v>61571</v>
      </c>
      <c r="F216" t="s">
        <v>43</v>
      </c>
      <c r="G216" t="s">
        <v>44</v>
      </c>
      <c r="H216" t="s">
        <v>25</v>
      </c>
      <c r="I216" t="s">
        <v>24</v>
      </c>
      <c r="J216" s="2">
        <v>45468</v>
      </c>
      <c r="K216" t="s">
        <v>25</v>
      </c>
      <c r="L216">
        <v>43612</v>
      </c>
      <c r="M216">
        <v>264</v>
      </c>
      <c r="N216">
        <v>314</v>
      </c>
      <c r="O216" s="4">
        <v>10200</v>
      </c>
      <c r="P216" s="4">
        <v>16928.423828125</v>
      </c>
      <c r="Q216" s="5">
        <f t="shared" si="12"/>
        <v>0.6596493949142157</v>
      </c>
      <c r="R216" s="4">
        <v>16992.192005996079</v>
      </c>
      <c r="S216" s="5">
        <f t="shared" si="13"/>
        <v>0.6659011770584391</v>
      </c>
      <c r="T216" s="4">
        <v>11409.24918506492</v>
      </c>
      <c r="U216" s="5">
        <f t="shared" si="14"/>
        <v>0.1185538416730314</v>
      </c>
      <c r="V216" s="4">
        <v>17167.212890625</v>
      </c>
      <c r="W216" s="5">
        <f t="shared" si="15"/>
        <v>0.68306008731617651</v>
      </c>
    </row>
    <row r="217" spans="1:23" x14ac:dyDescent="0.25">
      <c r="A217" t="s">
        <v>414</v>
      </c>
      <c r="B217">
        <v>2018</v>
      </c>
      <c r="C217" t="s">
        <v>53</v>
      </c>
      <c r="D217" t="s">
        <v>252</v>
      </c>
      <c r="E217">
        <v>91890</v>
      </c>
      <c r="F217" t="s">
        <v>43</v>
      </c>
      <c r="G217" t="s">
        <v>38</v>
      </c>
      <c r="H217" t="s">
        <v>25</v>
      </c>
      <c r="I217" t="s">
        <v>24</v>
      </c>
      <c r="J217" s="2">
        <v>45505</v>
      </c>
      <c r="K217" t="s">
        <v>25</v>
      </c>
      <c r="L217">
        <v>43612</v>
      </c>
      <c r="M217">
        <v>264</v>
      </c>
      <c r="N217">
        <v>314</v>
      </c>
      <c r="O217" s="4">
        <v>9400</v>
      </c>
      <c r="P217" s="4">
        <v>13224.640625</v>
      </c>
      <c r="Q217" s="5">
        <f t="shared" si="12"/>
        <v>0.40687666223404251</v>
      </c>
      <c r="R217" s="4">
        <v>13226.076234492401</v>
      </c>
      <c r="S217" s="5">
        <f t="shared" si="13"/>
        <v>0.40702938664812782</v>
      </c>
      <c r="T217" s="4">
        <v>16580.28922269334</v>
      </c>
      <c r="U217" s="5">
        <f t="shared" si="14"/>
        <v>0.76386055560567456</v>
      </c>
      <c r="V217" s="4">
        <v>13045.365234375</v>
      </c>
      <c r="W217" s="5">
        <f t="shared" si="15"/>
        <v>0.38780481216755325</v>
      </c>
    </row>
    <row r="218" spans="1:23" x14ac:dyDescent="0.25">
      <c r="A218" t="s">
        <v>415</v>
      </c>
      <c r="B218">
        <v>2016</v>
      </c>
      <c r="C218" t="s">
        <v>53</v>
      </c>
      <c r="D218" t="s">
        <v>148</v>
      </c>
      <c r="E218">
        <v>139960</v>
      </c>
      <c r="F218" t="s">
        <v>89</v>
      </c>
      <c r="G218" t="s">
        <v>30</v>
      </c>
      <c r="H218" t="s">
        <v>24</v>
      </c>
      <c r="I218" t="s">
        <v>25</v>
      </c>
      <c r="J218" s="2">
        <v>45666</v>
      </c>
      <c r="K218" t="s">
        <v>25</v>
      </c>
      <c r="L218">
        <v>43612</v>
      </c>
      <c r="M218">
        <v>264</v>
      </c>
      <c r="N218">
        <v>314</v>
      </c>
      <c r="O218" s="4">
        <v>700</v>
      </c>
      <c r="P218" s="4">
        <v>3770.90625</v>
      </c>
      <c r="Q218" s="5">
        <f t="shared" si="12"/>
        <v>4.3870089285714284</v>
      </c>
      <c r="R218" s="4">
        <v>4219.1809401900427</v>
      </c>
      <c r="S218" s="5">
        <f t="shared" si="13"/>
        <v>5.0274013431286324</v>
      </c>
      <c r="T218" s="4">
        <v>6232.921008577835</v>
      </c>
      <c r="U218" s="5">
        <f t="shared" si="14"/>
        <v>7.9041728693969073</v>
      </c>
      <c r="V218" s="4">
        <v>3578.20166015625</v>
      </c>
      <c r="W218" s="5">
        <f t="shared" si="15"/>
        <v>4.1117166573660713</v>
      </c>
    </row>
    <row r="219" spans="1:23" x14ac:dyDescent="0.25">
      <c r="A219" t="s">
        <v>416</v>
      </c>
      <c r="B219">
        <v>2017</v>
      </c>
      <c r="C219" t="s">
        <v>53</v>
      </c>
      <c r="D219" t="s">
        <v>148</v>
      </c>
      <c r="E219">
        <v>82311</v>
      </c>
      <c r="F219" t="s">
        <v>382</v>
      </c>
      <c r="G219" t="s">
        <v>30</v>
      </c>
      <c r="H219" t="s">
        <v>24</v>
      </c>
      <c r="I219" t="s">
        <v>25</v>
      </c>
      <c r="J219" s="2">
        <v>45533</v>
      </c>
      <c r="K219" t="s">
        <v>25</v>
      </c>
      <c r="L219">
        <v>43612</v>
      </c>
      <c r="M219">
        <v>264</v>
      </c>
      <c r="N219">
        <v>314</v>
      </c>
      <c r="O219" s="4">
        <v>9000</v>
      </c>
      <c r="P219" s="4">
        <v>6306.41357421875</v>
      </c>
      <c r="Q219" s="5">
        <f t="shared" si="12"/>
        <v>-0.29928738064236116</v>
      </c>
      <c r="R219" s="4">
        <v>7584.9692298505524</v>
      </c>
      <c r="S219" s="5">
        <f t="shared" si="13"/>
        <v>-0.15722564112771642</v>
      </c>
      <c r="T219" s="4">
        <v>12800.912272901091</v>
      </c>
      <c r="U219" s="5">
        <f t="shared" si="14"/>
        <v>0.42232358587789887</v>
      </c>
      <c r="V219" s="4">
        <v>5761.8798828125</v>
      </c>
      <c r="W219" s="5">
        <f t="shared" si="15"/>
        <v>-0.35979112413194447</v>
      </c>
    </row>
    <row r="220" spans="1:23" x14ac:dyDescent="0.25">
      <c r="A220" t="s">
        <v>417</v>
      </c>
      <c r="B220">
        <v>2018</v>
      </c>
      <c r="C220" t="s">
        <v>53</v>
      </c>
      <c r="D220" t="s">
        <v>148</v>
      </c>
      <c r="E220">
        <v>55157</v>
      </c>
      <c r="F220" t="s">
        <v>219</v>
      </c>
      <c r="G220" t="s">
        <v>38</v>
      </c>
      <c r="H220" t="s">
        <v>25</v>
      </c>
      <c r="I220" t="s">
        <v>24</v>
      </c>
      <c r="J220" s="2">
        <v>45386</v>
      </c>
      <c r="K220" t="s">
        <v>25</v>
      </c>
      <c r="L220">
        <v>43612</v>
      </c>
      <c r="M220">
        <v>264</v>
      </c>
      <c r="N220">
        <v>314</v>
      </c>
      <c r="O220" s="4">
        <v>10900</v>
      </c>
      <c r="P220" s="4">
        <v>16319.1923828125</v>
      </c>
      <c r="Q220" s="5">
        <f t="shared" si="12"/>
        <v>0.49717361310206432</v>
      </c>
      <c r="R220" s="4">
        <v>16118.4930368028</v>
      </c>
      <c r="S220" s="5">
        <f t="shared" si="13"/>
        <v>0.47876082906447714</v>
      </c>
      <c r="T220" s="4">
        <v>19111.117883944629</v>
      </c>
      <c r="U220" s="5">
        <f t="shared" si="14"/>
        <v>0.7533135673343696</v>
      </c>
      <c r="V220" s="4">
        <v>16284.3115234375</v>
      </c>
      <c r="W220" s="5">
        <f t="shared" si="15"/>
        <v>0.49397353426032109</v>
      </c>
    </row>
    <row r="221" spans="1:23" x14ac:dyDescent="0.25">
      <c r="A221" t="s">
        <v>418</v>
      </c>
      <c r="B221">
        <v>2018</v>
      </c>
      <c r="C221" t="s">
        <v>104</v>
      </c>
      <c r="D221" t="s">
        <v>419</v>
      </c>
      <c r="E221">
        <v>62994</v>
      </c>
      <c r="F221" t="s">
        <v>48</v>
      </c>
      <c r="G221" t="s">
        <v>38</v>
      </c>
      <c r="H221" t="s">
        <v>25</v>
      </c>
      <c r="I221" t="s">
        <v>24</v>
      </c>
      <c r="J221" s="2">
        <v>45575</v>
      </c>
      <c r="K221" t="s">
        <v>25</v>
      </c>
      <c r="L221">
        <v>43612</v>
      </c>
      <c r="M221">
        <v>264</v>
      </c>
      <c r="N221">
        <v>314</v>
      </c>
      <c r="O221" s="4">
        <v>11000</v>
      </c>
      <c r="P221" s="4">
        <v>18262.1328125</v>
      </c>
      <c r="Q221" s="5">
        <f t="shared" si="12"/>
        <v>0.66019389204545464</v>
      </c>
      <c r="R221" s="4">
        <v>19831.265712552271</v>
      </c>
      <c r="S221" s="5">
        <f t="shared" si="13"/>
        <v>0.80284233750475198</v>
      </c>
      <c r="T221" s="4">
        <v>19439.862894886061</v>
      </c>
      <c r="U221" s="5">
        <f t="shared" si="14"/>
        <v>0.76726026317146001</v>
      </c>
      <c r="V221" s="4">
        <v>17848.955078125</v>
      </c>
      <c r="W221" s="5">
        <f t="shared" si="15"/>
        <v>0.62263227982954539</v>
      </c>
    </row>
    <row r="222" spans="1:23" x14ac:dyDescent="0.25">
      <c r="A222" t="s">
        <v>420</v>
      </c>
      <c r="B222">
        <v>2017</v>
      </c>
      <c r="C222" t="s">
        <v>20</v>
      </c>
      <c r="D222" t="s">
        <v>421</v>
      </c>
      <c r="E222">
        <v>84615</v>
      </c>
      <c r="F222" t="s">
        <v>250</v>
      </c>
      <c r="G222" t="s">
        <v>44</v>
      </c>
      <c r="H222" t="s">
        <v>25</v>
      </c>
      <c r="I222" t="s">
        <v>24</v>
      </c>
      <c r="J222" s="2">
        <v>45580</v>
      </c>
      <c r="K222" t="s">
        <v>25</v>
      </c>
      <c r="L222">
        <v>43612</v>
      </c>
      <c r="M222">
        <v>264</v>
      </c>
      <c r="N222">
        <v>314</v>
      </c>
      <c r="O222" s="4">
        <v>3300</v>
      </c>
      <c r="P222" s="4">
        <v>8367.8037109375</v>
      </c>
      <c r="Q222" s="5">
        <f t="shared" si="12"/>
        <v>1.535698094223485</v>
      </c>
      <c r="R222" s="4">
        <v>10340.14674293481</v>
      </c>
      <c r="S222" s="5">
        <f t="shared" si="13"/>
        <v>2.1333778008893365</v>
      </c>
      <c r="T222" s="4">
        <v>6771.3584808753221</v>
      </c>
      <c r="U222" s="5">
        <f t="shared" si="14"/>
        <v>1.0519268123864611</v>
      </c>
      <c r="V222" s="4">
        <v>7719.73583984375</v>
      </c>
      <c r="W222" s="5">
        <f t="shared" si="15"/>
        <v>1.3393138908617424</v>
      </c>
    </row>
    <row r="223" spans="1:23" x14ac:dyDescent="0.25">
      <c r="A223" t="s">
        <v>422</v>
      </c>
      <c r="B223">
        <v>2015</v>
      </c>
      <c r="C223" t="s">
        <v>113</v>
      </c>
      <c r="D223" t="s">
        <v>423</v>
      </c>
      <c r="E223">
        <v>51232</v>
      </c>
      <c r="F223" t="s">
        <v>43</v>
      </c>
      <c r="G223" t="s">
        <v>44</v>
      </c>
      <c r="H223" t="s">
        <v>25</v>
      </c>
      <c r="I223" t="s">
        <v>24</v>
      </c>
      <c r="J223" s="2">
        <v>45398</v>
      </c>
      <c r="K223" t="s">
        <v>25</v>
      </c>
      <c r="L223">
        <v>43612</v>
      </c>
      <c r="M223">
        <v>264</v>
      </c>
      <c r="N223">
        <v>314</v>
      </c>
      <c r="O223" s="4">
        <v>6000</v>
      </c>
      <c r="P223" s="4">
        <v>13713.1845703125</v>
      </c>
      <c r="Q223" s="5">
        <f t="shared" si="12"/>
        <v>1.2855307617187499</v>
      </c>
      <c r="R223" s="4">
        <v>13905.675712834</v>
      </c>
      <c r="S223" s="5">
        <f t="shared" si="13"/>
        <v>1.3176126188056667</v>
      </c>
      <c r="T223" s="4">
        <v>12233.78135809537</v>
      </c>
      <c r="U223" s="5">
        <f t="shared" si="14"/>
        <v>1.0389635596825615</v>
      </c>
      <c r="V223" s="4">
        <v>13883.0390625</v>
      </c>
      <c r="W223" s="5">
        <f t="shared" si="15"/>
        <v>1.3138398437499998</v>
      </c>
    </row>
    <row r="224" spans="1:23" x14ac:dyDescent="0.25">
      <c r="A224" t="s">
        <v>424</v>
      </c>
      <c r="B224">
        <v>2019</v>
      </c>
      <c r="C224" t="s">
        <v>156</v>
      </c>
      <c r="D224" t="s">
        <v>157</v>
      </c>
      <c r="E224">
        <v>138660</v>
      </c>
      <c r="F224" t="s">
        <v>22</v>
      </c>
      <c r="G224" t="s">
        <v>23</v>
      </c>
      <c r="H224" t="s">
        <v>24</v>
      </c>
      <c r="I224" t="s">
        <v>25</v>
      </c>
      <c r="J224" s="2">
        <v>45666</v>
      </c>
      <c r="K224" t="s">
        <v>25</v>
      </c>
      <c r="L224">
        <v>43612</v>
      </c>
      <c r="M224">
        <v>264</v>
      </c>
      <c r="N224">
        <v>314</v>
      </c>
      <c r="O224" s="4">
        <v>10700</v>
      </c>
      <c r="P224" s="4">
        <v>3910.989013671875</v>
      </c>
      <c r="Q224" s="5">
        <f t="shared" si="12"/>
        <v>-0.63448700806804914</v>
      </c>
      <c r="R224" s="4">
        <v>3819.3852068172641</v>
      </c>
      <c r="S224" s="5">
        <f t="shared" si="13"/>
        <v>-0.64304811151240515</v>
      </c>
      <c r="T224" s="4">
        <v>4008.3304598839932</v>
      </c>
      <c r="U224" s="5">
        <f t="shared" si="14"/>
        <v>-0.62538967664635581</v>
      </c>
      <c r="V224" s="4">
        <v>3909.11474609375</v>
      </c>
      <c r="W224" s="5">
        <f t="shared" si="15"/>
        <v>-0.63466217326226637</v>
      </c>
    </row>
    <row r="225" spans="1:23" x14ac:dyDescent="0.25">
      <c r="A225" t="s">
        <v>425</v>
      </c>
      <c r="B225">
        <v>2019</v>
      </c>
      <c r="C225" t="s">
        <v>156</v>
      </c>
      <c r="D225" t="s">
        <v>157</v>
      </c>
      <c r="E225">
        <v>77315</v>
      </c>
      <c r="F225" t="s">
        <v>382</v>
      </c>
      <c r="G225" t="s">
        <v>34</v>
      </c>
      <c r="H225" t="s">
        <v>25</v>
      </c>
      <c r="I225" t="s">
        <v>24</v>
      </c>
      <c r="J225" s="2">
        <v>45715</v>
      </c>
      <c r="K225" t="s">
        <v>25</v>
      </c>
      <c r="L225">
        <v>43612</v>
      </c>
      <c r="M225">
        <v>264</v>
      </c>
      <c r="N225">
        <v>314</v>
      </c>
      <c r="O225" s="4">
        <v>10700</v>
      </c>
      <c r="P225" s="4">
        <v>6179.43359375</v>
      </c>
      <c r="Q225" s="5">
        <f t="shared" si="12"/>
        <v>-0.42248284170560746</v>
      </c>
      <c r="R225" s="4">
        <v>6160.7971612090887</v>
      </c>
      <c r="S225" s="5">
        <f t="shared" si="13"/>
        <v>-0.42422456437298239</v>
      </c>
      <c r="T225" s="4">
        <v>7058.7216521136061</v>
      </c>
      <c r="U225" s="5">
        <f t="shared" si="14"/>
        <v>-0.34030638765293397</v>
      </c>
      <c r="V225" s="4">
        <v>6124.21875</v>
      </c>
      <c r="W225" s="5">
        <f t="shared" si="15"/>
        <v>-0.42764310747663548</v>
      </c>
    </row>
    <row r="226" spans="1:23" x14ac:dyDescent="0.25">
      <c r="A226" t="s">
        <v>426</v>
      </c>
      <c r="B226">
        <v>2020</v>
      </c>
      <c r="C226" t="s">
        <v>156</v>
      </c>
      <c r="D226" t="s">
        <v>157</v>
      </c>
      <c r="E226">
        <v>42502</v>
      </c>
      <c r="F226" t="s">
        <v>174</v>
      </c>
      <c r="G226" t="s">
        <v>44</v>
      </c>
      <c r="H226" t="s">
        <v>25</v>
      </c>
      <c r="I226" t="s">
        <v>24</v>
      </c>
      <c r="J226" s="2">
        <v>45365</v>
      </c>
      <c r="K226" t="s">
        <v>25</v>
      </c>
      <c r="L226">
        <v>43612</v>
      </c>
      <c r="M226">
        <v>264</v>
      </c>
      <c r="N226">
        <v>314</v>
      </c>
      <c r="O226" s="4">
        <v>16200</v>
      </c>
      <c r="P226" s="4">
        <v>14585.2744140625</v>
      </c>
      <c r="Q226" s="5">
        <f t="shared" si="12"/>
        <v>-9.9674418885030813E-2</v>
      </c>
      <c r="R226" s="4">
        <v>17976.503493872431</v>
      </c>
      <c r="S226" s="5">
        <f t="shared" si="13"/>
        <v>0.1096607094982982</v>
      </c>
      <c r="T226" s="4">
        <v>15045.660226878241</v>
      </c>
      <c r="U226" s="5">
        <f t="shared" si="14"/>
        <v>-7.1255541550725887E-2</v>
      </c>
      <c r="V226" s="4">
        <v>14735.341796875</v>
      </c>
      <c r="W226" s="5">
        <f t="shared" si="15"/>
        <v>-9.041100019290127E-2</v>
      </c>
    </row>
    <row r="227" spans="1:23" x14ac:dyDescent="0.25">
      <c r="A227" t="s">
        <v>427</v>
      </c>
      <c r="B227">
        <v>2021</v>
      </c>
      <c r="C227" t="s">
        <v>156</v>
      </c>
      <c r="D227" t="s">
        <v>157</v>
      </c>
      <c r="E227">
        <v>46713</v>
      </c>
      <c r="F227" t="s">
        <v>151</v>
      </c>
      <c r="G227" t="s">
        <v>44</v>
      </c>
      <c r="H227" t="s">
        <v>25</v>
      </c>
      <c r="I227" t="s">
        <v>24</v>
      </c>
      <c r="J227" s="2">
        <v>45510</v>
      </c>
      <c r="K227" t="s">
        <v>25</v>
      </c>
      <c r="L227">
        <v>43612</v>
      </c>
      <c r="M227">
        <v>264</v>
      </c>
      <c r="N227">
        <v>314</v>
      </c>
      <c r="O227" s="4">
        <v>15500</v>
      </c>
      <c r="P227" s="4">
        <v>16527.5703125</v>
      </c>
      <c r="Q227" s="5">
        <f t="shared" si="12"/>
        <v>6.6294858870967754E-2</v>
      </c>
      <c r="R227" s="4">
        <v>17582.65021002631</v>
      </c>
      <c r="S227" s="5">
        <f t="shared" si="13"/>
        <v>0.13436452967911672</v>
      </c>
      <c r="T227" s="4">
        <v>16122.45286816398</v>
      </c>
      <c r="U227" s="5">
        <f t="shared" si="14"/>
        <v>4.0158249558966519E-2</v>
      </c>
      <c r="V227" s="4">
        <v>16417.888671875</v>
      </c>
      <c r="W227" s="5">
        <f t="shared" si="15"/>
        <v>5.9218623991935448E-2</v>
      </c>
    </row>
    <row r="228" spans="1:23" x14ac:dyDescent="0.25">
      <c r="A228" t="s">
        <v>428</v>
      </c>
      <c r="B228">
        <v>2017</v>
      </c>
      <c r="C228" t="s">
        <v>156</v>
      </c>
      <c r="D228" t="s">
        <v>157</v>
      </c>
      <c r="E228">
        <v>99476</v>
      </c>
      <c r="F228" t="s">
        <v>22</v>
      </c>
      <c r="G228" t="s">
        <v>23</v>
      </c>
      <c r="H228" t="s">
        <v>24</v>
      </c>
      <c r="I228" t="s">
        <v>25</v>
      </c>
      <c r="J228" s="2">
        <v>45512</v>
      </c>
      <c r="K228" t="s">
        <v>25</v>
      </c>
      <c r="L228">
        <v>43612</v>
      </c>
      <c r="M228">
        <v>264</v>
      </c>
      <c r="N228">
        <v>314</v>
      </c>
      <c r="O228" s="4">
        <v>11000</v>
      </c>
      <c r="P228" s="4">
        <v>3999.5888671875</v>
      </c>
      <c r="Q228" s="5">
        <f t="shared" si="12"/>
        <v>-0.63640101207386368</v>
      </c>
      <c r="R228" s="4">
        <v>3914.7496919527871</v>
      </c>
      <c r="S228" s="5">
        <f t="shared" si="13"/>
        <v>-0.64411366436792838</v>
      </c>
      <c r="T228" s="4">
        <v>4199.8107900957502</v>
      </c>
      <c r="U228" s="5">
        <f t="shared" si="14"/>
        <v>-0.61819901908220454</v>
      </c>
      <c r="V228" s="4">
        <v>4033.624267578125</v>
      </c>
      <c r="W228" s="5">
        <f t="shared" si="15"/>
        <v>-0.63330688476562502</v>
      </c>
    </row>
    <row r="229" spans="1:23" x14ac:dyDescent="0.25">
      <c r="A229" t="s">
        <v>429</v>
      </c>
      <c r="B229">
        <v>2018</v>
      </c>
      <c r="C229" t="s">
        <v>159</v>
      </c>
      <c r="D229" t="s">
        <v>260</v>
      </c>
      <c r="E229">
        <v>60433</v>
      </c>
      <c r="F229" t="s">
        <v>87</v>
      </c>
      <c r="G229" t="s">
        <v>38</v>
      </c>
      <c r="H229" t="s">
        <v>25</v>
      </c>
      <c r="I229" t="s">
        <v>24</v>
      </c>
      <c r="J229" s="2">
        <v>45300</v>
      </c>
      <c r="K229" t="s">
        <v>25</v>
      </c>
      <c r="L229">
        <v>43612</v>
      </c>
      <c r="M229">
        <v>264</v>
      </c>
      <c r="N229">
        <v>314</v>
      </c>
      <c r="O229" s="4">
        <v>6800</v>
      </c>
      <c r="P229" s="4">
        <v>15538.7109375</v>
      </c>
      <c r="Q229" s="5">
        <f t="shared" si="12"/>
        <v>1.285104549632353</v>
      </c>
      <c r="R229" s="4">
        <v>15574.933267251299</v>
      </c>
      <c r="S229" s="5">
        <f t="shared" si="13"/>
        <v>1.2904313628310735</v>
      </c>
      <c r="T229" s="4">
        <v>11912.19920761436</v>
      </c>
      <c r="U229" s="5">
        <f t="shared" si="14"/>
        <v>0.7517940011197588</v>
      </c>
      <c r="V229" s="4">
        <v>15517.1826171875</v>
      </c>
      <c r="W229" s="5">
        <f t="shared" si="15"/>
        <v>1.2819386201746323</v>
      </c>
    </row>
    <row r="230" spans="1:23" x14ac:dyDescent="0.25">
      <c r="A230" t="s">
        <v>430</v>
      </c>
      <c r="B230">
        <v>2020</v>
      </c>
      <c r="C230" t="s">
        <v>139</v>
      </c>
      <c r="D230" t="s">
        <v>431</v>
      </c>
      <c r="E230">
        <v>99151</v>
      </c>
      <c r="F230" t="s">
        <v>141</v>
      </c>
      <c r="G230" t="s">
        <v>38</v>
      </c>
      <c r="H230" t="s">
        <v>25</v>
      </c>
      <c r="I230" t="s">
        <v>24</v>
      </c>
      <c r="J230" s="2">
        <v>45594</v>
      </c>
      <c r="K230" t="s">
        <v>25</v>
      </c>
      <c r="L230">
        <v>43612</v>
      </c>
      <c r="M230">
        <v>264</v>
      </c>
      <c r="N230">
        <v>314</v>
      </c>
      <c r="O230" s="4">
        <v>10600</v>
      </c>
      <c r="P230" s="4">
        <v>15084.09765625</v>
      </c>
      <c r="Q230" s="5">
        <f t="shared" si="12"/>
        <v>0.42302808077830178</v>
      </c>
      <c r="R230" s="4">
        <v>15250.750328326631</v>
      </c>
      <c r="S230" s="5">
        <f t="shared" si="13"/>
        <v>0.4387500309742105</v>
      </c>
      <c r="T230" s="4">
        <v>13379.672641476411</v>
      </c>
      <c r="U230" s="5">
        <f t="shared" si="14"/>
        <v>0.26223326806381242</v>
      </c>
      <c r="V230" s="4">
        <v>15469.3017578125</v>
      </c>
      <c r="W230" s="5">
        <f t="shared" si="15"/>
        <v>0.45936809035966975</v>
      </c>
    </row>
    <row r="231" spans="1:23" x14ac:dyDescent="0.25">
      <c r="A231" t="s">
        <v>432</v>
      </c>
      <c r="B231">
        <v>2017</v>
      </c>
      <c r="C231" t="s">
        <v>185</v>
      </c>
      <c r="D231" t="s">
        <v>264</v>
      </c>
      <c r="E231">
        <v>55758</v>
      </c>
      <c r="F231" t="s">
        <v>115</v>
      </c>
      <c r="G231" t="s">
        <v>34</v>
      </c>
      <c r="H231" t="s">
        <v>25</v>
      </c>
      <c r="I231" t="s">
        <v>24</v>
      </c>
      <c r="J231" s="2">
        <v>45454</v>
      </c>
      <c r="K231" t="s">
        <v>25</v>
      </c>
      <c r="L231">
        <v>43612</v>
      </c>
      <c r="M231">
        <v>264</v>
      </c>
      <c r="N231">
        <v>314</v>
      </c>
      <c r="O231" s="4">
        <v>7500</v>
      </c>
      <c r="P231" s="4">
        <v>7602.943359375</v>
      </c>
      <c r="Q231" s="5">
        <f t="shared" si="12"/>
        <v>1.3725781250000013E-2</v>
      </c>
      <c r="R231" s="4">
        <v>7548.5403354223617</v>
      </c>
      <c r="S231" s="5">
        <f t="shared" si="13"/>
        <v>6.4720447229815736E-3</v>
      </c>
      <c r="T231" s="4">
        <v>6143.825677427697</v>
      </c>
      <c r="U231" s="5">
        <f t="shared" si="14"/>
        <v>-0.18082324300964037</v>
      </c>
      <c r="V231" s="4">
        <v>7685.9873046875</v>
      </c>
      <c r="W231" s="5">
        <f t="shared" si="15"/>
        <v>2.4798307291666655E-2</v>
      </c>
    </row>
    <row r="232" spans="1:23" x14ac:dyDescent="0.25">
      <c r="A232" t="s">
        <v>433</v>
      </c>
      <c r="B232">
        <v>2019</v>
      </c>
      <c r="C232" t="s">
        <v>185</v>
      </c>
      <c r="D232" t="s">
        <v>264</v>
      </c>
      <c r="E232">
        <v>123863</v>
      </c>
      <c r="F232" t="s">
        <v>55</v>
      </c>
      <c r="G232" t="s">
        <v>30</v>
      </c>
      <c r="H232" t="s">
        <v>24</v>
      </c>
      <c r="I232" t="s">
        <v>25</v>
      </c>
      <c r="J232" s="2">
        <v>45365</v>
      </c>
      <c r="K232" t="s">
        <v>25</v>
      </c>
      <c r="L232">
        <v>43612</v>
      </c>
      <c r="M232">
        <v>264</v>
      </c>
      <c r="N232">
        <v>314</v>
      </c>
      <c r="O232" s="4">
        <v>14000</v>
      </c>
      <c r="P232" s="4">
        <v>4547.51171875</v>
      </c>
      <c r="Q232" s="5">
        <f t="shared" si="12"/>
        <v>-0.67517773437500006</v>
      </c>
      <c r="R232" s="4">
        <v>4541.4117280650471</v>
      </c>
      <c r="S232" s="5">
        <f t="shared" si="13"/>
        <v>-0.67561344799535372</v>
      </c>
      <c r="T232" s="4">
        <v>3697.7425694238282</v>
      </c>
      <c r="U232" s="5">
        <f t="shared" si="14"/>
        <v>-0.73587553075544077</v>
      </c>
      <c r="V232" s="4">
        <v>4517.33984375</v>
      </c>
      <c r="W232" s="5">
        <f t="shared" si="15"/>
        <v>-0.67733286830357142</v>
      </c>
    </row>
    <row r="233" spans="1:23" x14ac:dyDescent="0.25">
      <c r="A233" t="s">
        <v>434</v>
      </c>
      <c r="B233">
        <v>2017</v>
      </c>
      <c r="C233" t="s">
        <v>185</v>
      </c>
      <c r="D233" t="s">
        <v>435</v>
      </c>
      <c r="E233">
        <v>95571</v>
      </c>
      <c r="F233" t="s">
        <v>22</v>
      </c>
      <c r="G233" t="s">
        <v>30</v>
      </c>
      <c r="H233" t="s">
        <v>24</v>
      </c>
      <c r="I233" t="s">
        <v>25</v>
      </c>
      <c r="J233" s="2">
        <v>45330</v>
      </c>
      <c r="K233" t="s">
        <v>25</v>
      </c>
      <c r="L233">
        <v>43612</v>
      </c>
      <c r="M233">
        <v>264</v>
      </c>
      <c r="N233">
        <v>314</v>
      </c>
      <c r="O233" s="4">
        <v>5200</v>
      </c>
      <c r="P233" s="4">
        <v>5287.40869140625</v>
      </c>
      <c r="Q233" s="5">
        <f t="shared" si="12"/>
        <v>1.6809363731971061E-2</v>
      </c>
      <c r="R233" s="4">
        <v>4803.4112484412863</v>
      </c>
      <c r="S233" s="5">
        <f t="shared" si="13"/>
        <v>-7.6267067607444949E-2</v>
      </c>
      <c r="T233" s="4">
        <v>3347.4367614915932</v>
      </c>
      <c r="U233" s="5">
        <f t="shared" si="14"/>
        <v>-0.35626216125161669</v>
      </c>
      <c r="V233" s="4">
        <v>5249.74267578125</v>
      </c>
      <c r="W233" s="5">
        <f t="shared" si="15"/>
        <v>9.5658991887019873E-3</v>
      </c>
    </row>
    <row r="234" spans="1:23" x14ac:dyDescent="0.25">
      <c r="A234" t="s">
        <v>436</v>
      </c>
      <c r="B234">
        <v>2019</v>
      </c>
      <c r="C234" t="s">
        <v>185</v>
      </c>
      <c r="D234" t="s">
        <v>437</v>
      </c>
      <c r="E234">
        <v>112273</v>
      </c>
      <c r="F234" t="s">
        <v>29</v>
      </c>
      <c r="G234" t="s">
        <v>38</v>
      </c>
      <c r="H234" t="s">
        <v>25</v>
      </c>
      <c r="I234" t="s">
        <v>24</v>
      </c>
      <c r="J234" s="2">
        <v>45678</v>
      </c>
      <c r="K234" t="s">
        <v>25</v>
      </c>
      <c r="L234">
        <v>43612</v>
      </c>
      <c r="M234">
        <v>264</v>
      </c>
      <c r="N234">
        <v>314</v>
      </c>
      <c r="O234" s="4">
        <v>6000</v>
      </c>
      <c r="P234" s="4">
        <v>5279.64453125</v>
      </c>
      <c r="Q234" s="5">
        <f t="shared" si="12"/>
        <v>-0.12005924479166663</v>
      </c>
      <c r="R234" s="4">
        <v>7976.4435521768701</v>
      </c>
      <c r="S234" s="5">
        <f t="shared" si="13"/>
        <v>0.32940725869614496</v>
      </c>
      <c r="T234" s="4">
        <v>5497.1084750593591</v>
      </c>
      <c r="U234" s="5">
        <f t="shared" si="14"/>
        <v>-8.3815254156773489E-2</v>
      </c>
      <c r="V234" s="4">
        <v>4755.78369140625</v>
      </c>
      <c r="W234" s="5">
        <f t="shared" si="15"/>
        <v>-0.20736938476562505</v>
      </c>
    </row>
    <row r="235" spans="1:23" x14ac:dyDescent="0.25">
      <c r="A235" t="s">
        <v>438</v>
      </c>
      <c r="B235">
        <v>2018</v>
      </c>
      <c r="C235" t="s">
        <v>185</v>
      </c>
      <c r="D235" t="s">
        <v>437</v>
      </c>
      <c r="E235">
        <v>130420</v>
      </c>
      <c r="F235" t="s">
        <v>22</v>
      </c>
      <c r="G235" t="s">
        <v>30</v>
      </c>
      <c r="H235" t="s">
        <v>24</v>
      </c>
      <c r="I235" t="s">
        <v>25</v>
      </c>
      <c r="J235" s="2">
        <v>45351</v>
      </c>
      <c r="K235" t="s">
        <v>25</v>
      </c>
      <c r="L235">
        <v>43612</v>
      </c>
      <c r="M235">
        <v>264</v>
      </c>
      <c r="N235">
        <v>314</v>
      </c>
      <c r="O235" s="4">
        <v>8000</v>
      </c>
      <c r="P235" s="4">
        <v>3634.98681640625</v>
      </c>
      <c r="Q235" s="5">
        <f t="shared" si="12"/>
        <v>-0.54562664794921867</v>
      </c>
      <c r="R235" s="4">
        <v>3730.2987797760079</v>
      </c>
      <c r="S235" s="5">
        <f t="shared" si="13"/>
        <v>-0.53371265252799893</v>
      </c>
      <c r="T235" s="4">
        <v>3116.530978116059</v>
      </c>
      <c r="U235" s="5">
        <f t="shared" si="14"/>
        <v>-0.6104336277354927</v>
      </c>
      <c r="V235" s="4">
        <v>3579.905517578125</v>
      </c>
      <c r="W235" s="5">
        <f t="shared" si="15"/>
        <v>-0.55251181030273444</v>
      </c>
    </row>
    <row r="236" spans="1:23" x14ac:dyDescent="0.25">
      <c r="A236" t="s">
        <v>439</v>
      </c>
      <c r="B236">
        <v>2017</v>
      </c>
      <c r="C236" t="s">
        <v>266</v>
      </c>
      <c r="D236" t="s">
        <v>440</v>
      </c>
      <c r="E236">
        <v>45469</v>
      </c>
      <c r="F236" t="s">
        <v>219</v>
      </c>
      <c r="G236" t="s">
        <v>30</v>
      </c>
      <c r="H236" t="s">
        <v>24</v>
      </c>
      <c r="I236" t="s">
        <v>25</v>
      </c>
      <c r="J236" s="2">
        <v>45594</v>
      </c>
      <c r="K236" t="s">
        <v>25</v>
      </c>
      <c r="L236">
        <v>43612</v>
      </c>
      <c r="M236">
        <v>264</v>
      </c>
      <c r="N236">
        <v>314</v>
      </c>
      <c r="O236" s="4">
        <v>15000</v>
      </c>
      <c r="P236" s="4">
        <v>13328.5517578125</v>
      </c>
      <c r="Q236" s="5">
        <f t="shared" si="12"/>
        <v>-0.11142988281249999</v>
      </c>
      <c r="R236" s="4">
        <v>14041.665143108239</v>
      </c>
      <c r="S236" s="5">
        <f t="shared" si="13"/>
        <v>-6.3888990459450734E-2</v>
      </c>
      <c r="T236" s="4">
        <v>11636.96774838596</v>
      </c>
      <c r="U236" s="5">
        <f t="shared" si="14"/>
        <v>-0.22420215010760269</v>
      </c>
      <c r="V236" s="4">
        <v>13482.845703125</v>
      </c>
      <c r="W236" s="5">
        <f t="shared" si="15"/>
        <v>-0.10114361979166664</v>
      </c>
    </row>
    <row r="237" spans="1:23" x14ac:dyDescent="0.25">
      <c r="A237" t="s">
        <v>441</v>
      </c>
      <c r="B237">
        <v>2015</v>
      </c>
      <c r="C237" t="s">
        <v>91</v>
      </c>
      <c r="D237" t="s">
        <v>275</v>
      </c>
      <c r="E237">
        <v>151130</v>
      </c>
      <c r="F237" t="s">
        <v>246</v>
      </c>
      <c r="G237" t="s">
        <v>34</v>
      </c>
      <c r="H237" t="s">
        <v>25</v>
      </c>
      <c r="I237" t="s">
        <v>24</v>
      </c>
      <c r="J237" s="2">
        <v>45412</v>
      </c>
      <c r="K237" t="s">
        <v>25</v>
      </c>
      <c r="L237">
        <v>43612</v>
      </c>
      <c r="M237">
        <v>264</v>
      </c>
      <c r="N237">
        <v>314</v>
      </c>
      <c r="O237" s="4">
        <v>7600</v>
      </c>
      <c r="P237" s="4">
        <v>2230.50439453125</v>
      </c>
      <c r="Q237" s="5">
        <f t="shared" si="12"/>
        <v>-0.70651257966694081</v>
      </c>
      <c r="R237" s="4">
        <v>3017.5673459452159</v>
      </c>
      <c r="S237" s="5">
        <f t="shared" si="13"/>
        <v>-0.60295166500720843</v>
      </c>
      <c r="T237" s="4">
        <v>4024.839467891381</v>
      </c>
      <c r="U237" s="5">
        <f t="shared" si="14"/>
        <v>-0.47041585948797615</v>
      </c>
      <c r="V237" s="4">
        <v>2143.72265625</v>
      </c>
      <c r="W237" s="5">
        <f t="shared" si="15"/>
        <v>-0.71793122944078946</v>
      </c>
    </row>
    <row r="238" spans="1:23" x14ac:dyDescent="0.25">
      <c r="A238" t="s">
        <v>442</v>
      </c>
      <c r="B238">
        <v>2018</v>
      </c>
      <c r="C238" t="s">
        <v>185</v>
      </c>
      <c r="D238" t="s">
        <v>186</v>
      </c>
      <c r="E238">
        <v>51236</v>
      </c>
      <c r="F238" t="s">
        <v>189</v>
      </c>
      <c r="G238" t="s">
        <v>34</v>
      </c>
      <c r="H238" t="s">
        <v>25</v>
      </c>
      <c r="I238" t="s">
        <v>24</v>
      </c>
      <c r="J238" s="2">
        <v>45370</v>
      </c>
      <c r="K238" t="s">
        <v>25</v>
      </c>
      <c r="L238">
        <v>43612</v>
      </c>
      <c r="M238">
        <v>264</v>
      </c>
      <c r="N238">
        <v>314</v>
      </c>
      <c r="O238" s="4">
        <v>15800</v>
      </c>
      <c r="P238" s="4">
        <v>14341.11328125</v>
      </c>
      <c r="Q238" s="5">
        <f t="shared" si="12"/>
        <v>-9.2334602452531667E-2</v>
      </c>
      <c r="R238" s="4">
        <v>15100.287295148841</v>
      </c>
      <c r="S238" s="5">
        <f t="shared" si="13"/>
        <v>-4.4285614231086012E-2</v>
      </c>
      <c r="T238" s="4">
        <v>15638.779014428541</v>
      </c>
      <c r="U238" s="5">
        <f t="shared" si="14"/>
        <v>-1.0203859846294905E-2</v>
      </c>
      <c r="V238" s="4">
        <v>14405.2080078125</v>
      </c>
      <c r="W238" s="5">
        <f t="shared" si="15"/>
        <v>-8.8277974189082231E-2</v>
      </c>
    </row>
    <row r="239" spans="1:23" x14ac:dyDescent="0.25">
      <c r="A239" t="s">
        <v>443</v>
      </c>
      <c r="B239">
        <v>2017</v>
      </c>
      <c r="C239" t="s">
        <v>185</v>
      </c>
      <c r="D239" t="s">
        <v>277</v>
      </c>
      <c r="E239">
        <v>76496</v>
      </c>
      <c r="F239" t="s">
        <v>63</v>
      </c>
      <c r="G239" t="s">
        <v>44</v>
      </c>
      <c r="H239" t="s">
        <v>25</v>
      </c>
      <c r="I239" t="s">
        <v>24</v>
      </c>
      <c r="J239" s="2">
        <v>45300</v>
      </c>
      <c r="K239" t="s">
        <v>25</v>
      </c>
      <c r="L239">
        <v>43612</v>
      </c>
      <c r="M239">
        <v>264</v>
      </c>
      <c r="N239">
        <v>314</v>
      </c>
      <c r="O239" s="4">
        <v>16250</v>
      </c>
      <c r="P239" s="4">
        <v>10787.3466796875</v>
      </c>
      <c r="Q239" s="5">
        <f t="shared" si="12"/>
        <v>-0.33616328124999995</v>
      </c>
      <c r="R239" s="4">
        <v>10070.097969132161</v>
      </c>
      <c r="S239" s="5">
        <f t="shared" si="13"/>
        <v>-0.38030166343802085</v>
      </c>
      <c r="T239" s="4">
        <v>9415.9237153593986</v>
      </c>
      <c r="U239" s="5">
        <f t="shared" si="14"/>
        <v>-0.4205585405932678</v>
      </c>
      <c r="V239" s="4">
        <v>10790.3349609375</v>
      </c>
      <c r="W239" s="5">
        <f t="shared" si="15"/>
        <v>-0.3359793870192308</v>
      </c>
    </row>
    <row r="240" spans="1:23" x14ac:dyDescent="0.25">
      <c r="A240" t="s">
        <v>444</v>
      </c>
      <c r="B240">
        <v>2019</v>
      </c>
      <c r="C240" t="s">
        <v>167</v>
      </c>
      <c r="D240" t="s">
        <v>168</v>
      </c>
      <c r="E240">
        <v>107913</v>
      </c>
      <c r="F240" t="s">
        <v>58</v>
      </c>
      <c r="G240" t="s">
        <v>30</v>
      </c>
      <c r="H240" t="s">
        <v>24</v>
      </c>
      <c r="I240" t="s">
        <v>25</v>
      </c>
      <c r="J240" s="2">
        <v>45344</v>
      </c>
      <c r="K240" t="s">
        <v>25</v>
      </c>
      <c r="L240">
        <v>43612</v>
      </c>
      <c r="M240">
        <v>264</v>
      </c>
      <c r="N240">
        <v>314</v>
      </c>
      <c r="O240" s="4">
        <v>13600</v>
      </c>
      <c r="P240" s="4">
        <v>5363.37158203125</v>
      </c>
      <c r="Q240" s="5">
        <f t="shared" si="12"/>
        <v>-0.60563444249770226</v>
      </c>
      <c r="R240" s="4">
        <v>5354.9142263578306</v>
      </c>
      <c r="S240" s="5">
        <f t="shared" si="13"/>
        <v>-0.60625630688545362</v>
      </c>
      <c r="T240" s="4">
        <v>4670.7289117322589</v>
      </c>
      <c r="U240" s="5">
        <f t="shared" si="14"/>
        <v>-0.65656405060792222</v>
      </c>
      <c r="V240" s="4">
        <v>5372.56787109375</v>
      </c>
      <c r="W240" s="5">
        <f t="shared" si="15"/>
        <v>-0.60495824477251836</v>
      </c>
    </row>
    <row r="241" spans="1:23" x14ac:dyDescent="0.25">
      <c r="A241" t="s">
        <v>445</v>
      </c>
      <c r="B241">
        <v>2019</v>
      </c>
      <c r="C241" t="s">
        <v>167</v>
      </c>
      <c r="D241" t="s">
        <v>168</v>
      </c>
      <c r="E241">
        <v>101533</v>
      </c>
      <c r="F241" t="s">
        <v>111</v>
      </c>
      <c r="G241" t="s">
        <v>34</v>
      </c>
      <c r="H241" t="s">
        <v>25</v>
      </c>
      <c r="I241" t="s">
        <v>24</v>
      </c>
      <c r="J241" s="2">
        <v>45561</v>
      </c>
      <c r="K241" t="s">
        <v>25</v>
      </c>
      <c r="L241">
        <v>43612</v>
      </c>
      <c r="M241">
        <v>264</v>
      </c>
      <c r="N241">
        <v>314</v>
      </c>
      <c r="O241" s="4">
        <v>10000</v>
      </c>
      <c r="P241" s="4">
        <v>5437.35107421875</v>
      </c>
      <c r="Q241" s="5">
        <f t="shared" si="12"/>
        <v>-0.45626489257812497</v>
      </c>
      <c r="R241" s="4">
        <v>5166.3107779135134</v>
      </c>
      <c r="S241" s="5">
        <f t="shared" si="13"/>
        <v>-0.48336892220864869</v>
      </c>
      <c r="T241" s="4">
        <v>3976.1457315695279</v>
      </c>
      <c r="U241" s="5">
        <f t="shared" si="14"/>
        <v>-0.60238542684304719</v>
      </c>
      <c r="V241" s="4">
        <v>5427.54833984375</v>
      </c>
      <c r="W241" s="5">
        <f t="shared" si="15"/>
        <v>-0.45724516601562504</v>
      </c>
    </row>
    <row r="242" spans="1:23" x14ac:dyDescent="0.25">
      <c r="A242" t="s">
        <v>446</v>
      </c>
      <c r="B242">
        <v>2013</v>
      </c>
      <c r="C242" t="s">
        <v>167</v>
      </c>
      <c r="D242" t="s">
        <v>168</v>
      </c>
      <c r="E242">
        <v>112245</v>
      </c>
      <c r="F242" t="s">
        <v>79</v>
      </c>
      <c r="G242" t="s">
        <v>38</v>
      </c>
      <c r="H242" t="s">
        <v>25</v>
      </c>
      <c r="I242" t="s">
        <v>24</v>
      </c>
      <c r="J242" s="2">
        <v>45421</v>
      </c>
      <c r="K242" t="s">
        <v>25</v>
      </c>
      <c r="L242">
        <v>43612</v>
      </c>
      <c r="M242">
        <v>264</v>
      </c>
      <c r="N242">
        <v>314</v>
      </c>
      <c r="O242" s="4">
        <v>2700</v>
      </c>
      <c r="P242" s="4">
        <v>2236.0400390625</v>
      </c>
      <c r="Q242" s="5">
        <f t="shared" si="12"/>
        <v>-0.17183702256944444</v>
      </c>
      <c r="R242" s="4">
        <v>2441.3174463328869</v>
      </c>
      <c r="S242" s="5">
        <f t="shared" si="13"/>
        <v>-9.5808353210041886E-2</v>
      </c>
      <c r="T242" s="4">
        <v>2302.9211996732279</v>
      </c>
      <c r="U242" s="5">
        <f t="shared" si="14"/>
        <v>-0.14706622234324895</v>
      </c>
      <c r="V242" s="4">
        <v>2202.282470703125</v>
      </c>
      <c r="W242" s="5">
        <f t="shared" si="15"/>
        <v>-0.18433982566550922</v>
      </c>
    </row>
    <row r="243" spans="1:23" x14ac:dyDescent="0.25">
      <c r="A243" t="s">
        <v>447</v>
      </c>
      <c r="B243">
        <v>2016</v>
      </c>
      <c r="C243" t="s">
        <v>167</v>
      </c>
      <c r="D243" t="s">
        <v>171</v>
      </c>
      <c r="E243">
        <v>133528</v>
      </c>
      <c r="F243" t="s">
        <v>382</v>
      </c>
      <c r="G243" t="s">
        <v>34</v>
      </c>
      <c r="H243" t="s">
        <v>25</v>
      </c>
      <c r="I243" t="s">
        <v>24</v>
      </c>
      <c r="J243" s="2">
        <v>45370</v>
      </c>
      <c r="K243" t="s">
        <v>25</v>
      </c>
      <c r="L243">
        <v>43612</v>
      </c>
      <c r="M243">
        <v>264</v>
      </c>
      <c r="N243">
        <v>314</v>
      </c>
      <c r="O243" s="4">
        <v>9700</v>
      </c>
      <c r="P243" s="4">
        <v>2352.854736328125</v>
      </c>
      <c r="Q243" s="5">
        <f t="shared" si="12"/>
        <v>-0.75743765604864688</v>
      </c>
      <c r="R243" s="4">
        <v>2395.3345923928568</v>
      </c>
      <c r="S243" s="5">
        <f t="shared" si="13"/>
        <v>-0.75305828944403541</v>
      </c>
      <c r="T243" s="4">
        <v>3001.8915033156891</v>
      </c>
      <c r="U243" s="5">
        <f t="shared" si="14"/>
        <v>-0.69052664914271245</v>
      </c>
      <c r="V243" s="4">
        <v>2269.796142578125</v>
      </c>
      <c r="W243" s="5">
        <f t="shared" si="15"/>
        <v>-0.76600039767235828</v>
      </c>
    </row>
    <row r="244" spans="1:23" x14ac:dyDescent="0.25">
      <c r="A244" t="s">
        <v>448</v>
      </c>
      <c r="B244">
        <v>2017</v>
      </c>
      <c r="C244" t="s">
        <v>167</v>
      </c>
      <c r="D244" t="s">
        <v>171</v>
      </c>
      <c r="E244">
        <v>44317</v>
      </c>
      <c r="F244" t="s">
        <v>43</v>
      </c>
      <c r="G244" t="s">
        <v>44</v>
      </c>
      <c r="H244" t="s">
        <v>25</v>
      </c>
      <c r="I244" t="s">
        <v>24</v>
      </c>
      <c r="J244" s="2">
        <v>45309</v>
      </c>
      <c r="K244" t="s">
        <v>25</v>
      </c>
      <c r="L244">
        <v>43612</v>
      </c>
      <c r="M244">
        <v>264</v>
      </c>
      <c r="N244">
        <v>314</v>
      </c>
      <c r="O244" s="4">
        <v>11000</v>
      </c>
      <c r="P244" s="4">
        <v>12129.1875</v>
      </c>
      <c r="Q244" s="5">
        <f t="shared" si="12"/>
        <v>0.10265340909090903</v>
      </c>
      <c r="R244" s="4">
        <v>12421.865460532979</v>
      </c>
      <c r="S244" s="5">
        <f t="shared" si="13"/>
        <v>0.12926049641208892</v>
      </c>
      <c r="T244" s="4">
        <v>11352.13128571939</v>
      </c>
      <c r="U244" s="5">
        <f t="shared" si="14"/>
        <v>3.2011935065399122E-2</v>
      </c>
      <c r="V244" s="4">
        <v>12391.28125</v>
      </c>
      <c r="W244" s="5">
        <f t="shared" si="15"/>
        <v>0.12648011363636358</v>
      </c>
    </row>
    <row r="245" spans="1:23" x14ac:dyDescent="0.25">
      <c r="A245" t="s">
        <v>449</v>
      </c>
      <c r="B245">
        <v>2013</v>
      </c>
      <c r="C245" t="s">
        <v>167</v>
      </c>
      <c r="D245" t="s">
        <v>171</v>
      </c>
      <c r="E245">
        <v>93236</v>
      </c>
      <c r="F245" t="s">
        <v>189</v>
      </c>
      <c r="G245" t="s">
        <v>44</v>
      </c>
      <c r="H245" t="s">
        <v>25</v>
      </c>
      <c r="I245" t="s">
        <v>24</v>
      </c>
      <c r="J245" s="2">
        <v>45393</v>
      </c>
      <c r="K245" t="s">
        <v>25</v>
      </c>
      <c r="L245">
        <v>43612</v>
      </c>
      <c r="M245">
        <v>264</v>
      </c>
      <c r="N245">
        <v>314</v>
      </c>
      <c r="O245" s="4">
        <v>6056.4425770308098</v>
      </c>
      <c r="P245" s="4">
        <v>5156.26123046875</v>
      </c>
      <c r="Q245" s="5">
        <f t="shared" si="12"/>
        <v>-0.14863202863938929</v>
      </c>
      <c r="R245" s="4">
        <v>7049.4220002878365</v>
      </c>
      <c r="S245" s="5">
        <f t="shared" si="13"/>
        <v>0.16395423726511038</v>
      </c>
      <c r="T245" s="4">
        <v>6717.5995695470056</v>
      </c>
      <c r="U245" s="5">
        <f t="shared" si="14"/>
        <v>0.10916589798500653</v>
      </c>
      <c r="V245" s="4">
        <v>4658.73779296875</v>
      </c>
      <c r="W245" s="5">
        <f t="shared" si="15"/>
        <v>-0.23077982929498675</v>
      </c>
    </row>
    <row r="246" spans="1:23" x14ac:dyDescent="0.25">
      <c r="A246" t="s">
        <v>450</v>
      </c>
      <c r="B246">
        <v>2008</v>
      </c>
      <c r="C246" t="s">
        <v>139</v>
      </c>
      <c r="D246" t="s">
        <v>451</v>
      </c>
      <c r="E246">
        <v>120407</v>
      </c>
      <c r="F246" t="s">
        <v>227</v>
      </c>
      <c r="G246" t="s">
        <v>23</v>
      </c>
      <c r="H246" t="s">
        <v>24</v>
      </c>
      <c r="I246" t="s">
        <v>25</v>
      </c>
      <c r="J246" s="2">
        <v>45575</v>
      </c>
      <c r="K246" t="s">
        <v>25</v>
      </c>
      <c r="L246">
        <v>43612</v>
      </c>
      <c r="M246">
        <v>264</v>
      </c>
      <c r="N246">
        <v>314</v>
      </c>
      <c r="O246" s="4">
        <v>12800</v>
      </c>
      <c r="P246" s="4">
        <v>3066.652587890625</v>
      </c>
      <c r="Q246" s="5">
        <f t="shared" si="12"/>
        <v>-0.76041776657104498</v>
      </c>
      <c r="R246" s="4">
        <v>2764.4558228541928</v>
      </c>
      <c r="S246" s="5">
        <f t="shared" si="13"/>
        <v>-0.78402688883951621</v>
      </c>
      <c r="T246" s="4">
        <v>3696.4651478342248</v>
      </c>
      <c r="U246" s="5">
        <f t="shared" si="14"/>
        <v>-0.71121366032545119</v>
      </c>
      <c r="V246" s="4">
        <v>3074.977294921875</v>
      </c>
      <c r="W246" s="5">
        <f t="shared" si="15"/>
        <v>-0.7597673988342285</v>
      </c>
    </row>
    <row r="247" spans="1:23" x14ac:dyDescent="0.25">
      <c r="A247" t="s">
        <v>452</v>
      </c>
      <c r="B247">
        <v>2017</v>
      </c>
      <c r="C247" t="s">
        <v>302</v>
      </c>
      <c r="D247" t="s">
        <v>453</v>
      </c>
      <c r="E247">
        <v>68171</v>
      </c>
      <c r="F247" t="s">
        <v>250</v>
      </c>
      <c r="G247" t="s">
        <v>38</v>
      </c>
      <c r="H247" t="s">
        <v>25</v>
      </c>
      <c r="I247" t="s">
        <v>24</v>
      </c>
      <c r="J247" s="2">
        <v>45370</v>
      </c>
      <c r="K247" t="s">
        <v>25</v>
      </c>
      <c r="L247">
        <v>43612</v>
      </c>
      <c r="M247">
        <v>264</v>
      </c>
      <c r="N247">
        <v>314</v>
      </c>
      <c r="O247" s="4">
        <v>13900</v>
      </c>
      <c r="P247" s="4">
        <v>14876.9072265625</v>
      </c>
      <c r="Q247" s="5">
        <f t="shared" si="12"/>
        <v>7.028109543615102E-2</v>
      </c>
      <c r="R247" s="4">
        <v>12551.73603474644</v>
      </c>
      <c r="S247" s="5">
        <f t="shared" si="13"/>
        <v>-9.6997407572198546E-2</v>
      </c>
      <c r="T247" s="4">
        <v>13693.31439501346</v>
      </c>
      <c r="U247" s="5">
        <f t="shared" si="14"/>
        <v>-1.486946798464317E-2</v>
      </c>
      <c r="V247" s="4">
        <v>15355.09375</v>
      </c>
      <c r="W247" s="5">
        <f t="shared" si="15"/>
        <v>0.10468300359712224</v>
      </c>
    </row>
    <row r="248" spans="1:23" x14ac:dyDescent="0.25">
      <c r="A248" t="s">
        <v>454</v>
      </c>
      <c r="B248">
        <v>2016</v>
      </c>
      <c r="C248" t="s">
        <v>156</v>
      </c>
      <c r="D248" t="s">
        <v>173</v>
      </c>
      <c r="E248">
        <v>103980</v>
      </c>
      <c r="F248" t="s">
        <v>55</v>
      </c>
      <c r="G248" t="s">
        <v>34</v>
      </c>
      <c r="H248" t="s">
        <v>25</v>
      </c>
      <c r="I248" t="s">
        <v>24</v>
      </c>
      <c r="J248" s="2">
        <v>45715</v>
      </c>
      <c r="K248" t="s">
        <v>25</v>
      </c>
      <c r="L248">
        <v>43612</v>
      </c>
      <c r="M248">
        <v>264</v>
      </c>
      <c r="N248">
        <v>314</v>
      </c>
      <c r="O248" s="4">
        <v>8000</v>
      </c>
      <c r="P248" s="4">
        <v>3359.816650390625</v>
      </c>
      <c r="Q248" s="5">
        <f t="shared" si="12"/>
        <v>-0.58002291870117184</v>
      </c>
      <c r="R248" s="4">
        <v>3456.4626491836598</v>
      </c>
      <c r="S248" s="5">
        <f t="shared" si="13"/>
        <v>-0.56794216885204252</v>
      </c>
      <c r="T248" s="4">
        <v>3348.6336724921471</v>
      </c>
      <c r="U248" s="5">
        <f t="shared" si="14"/>
        <v>-0.58142079093848165</v>
      </c>
      <c r="V248" s="4">
        <v>3286.4150390625</v>
      </c>
      <c r="W248" s="5">
        <f t="shared" si="15"/>
        <v>-0.58919812011718742</v>
      </c>
    </row>
    <row r="249" spans="1:23" x14ac:dyDescent="0.25">
      <c r="A249" t="s">
        <v>455</v>
      </c>
      <c r="B249">
        <v>2020</v>
      </c>
      <c r="C249" t="s">
        <v>156</v>
      </c>
      <c r="D249" t="s">
        <v>173</v>
      </c>
      <c r="E249">
        <v>60235</v>
      </c>
      <c r="F249" t="s">
        <v>161</v>
      </c>
      <c r="G249" t="s">
        <v>44</v>
      </c>
      <c r="H249" t="s">
        <v>25</v>
      </c>
      <c r="I249" t="s">
        <v>24</v>
      </c>
      <c r="J249" s="2">
        <v>45722</v>
      </c>
      <c r="K249" t="s">
        <v>25</v>
      </c>
      <c r="L249">
        <v>43612</v>
      </c>
      <c r="M249">
        <v>264</v>
      </c>
      <c r="N249">
        <v>314</v>
      </c>
      <c r="O249" s="4">
        <v>11200</v>
      </c>
      <c r="P249" s="4">
        <v>12145.2041015625</v>
      </c>
      <c r="Q249" s="5">
        <f t="shared" si="12"/>
        <v>8.4393223353794733E-2</v>
      </c>
      <c r="R249" s="4">
        <v>13642.556567963489</v>
      </c>
      <c r="S249" s="5">
        <f t="shared" si="13"/>
        <v>0.21808540785388297</v>
      </c>
      <c r="T249" s="4">
        <v>11663.47562664834</v>
      </c>
      <c r="U249" s="5">
        <f t="shared" si="14"/>
        <v>4.1381752379316072E-2</v>
      </c>
      <c r="V249" s="4">
        <v>12166.1494140625</v>
      </c>
      <c r="W249" s="5">
        <f t="shared" si="15"/>
        <v>8.6263340541294697E-2</v>
      </c>
    </row>
    <row r="250" spans="1:23" x14ac:dyDescent="0.25">
      <c r="A250" t="s">
        <v>456</v>
      </c>
      <c r="B250">
        <v>2016</v>
      </c>
      <c r="C250" t="s">
        <v>156</v>
      </c>
      <c r="D250" t="s">
        <v>173</v>
      </c>
      <c r="E250">
        <v>112794</v>
      </c>
      <c r="F250" t="s">
        <v>98</v>
      </c>
      <c r="G250" t="s">
        <v>30</v>
      </c>
      <c r="H250" t="s">
        <v>24</v>
      </c>
      <c r="I250" t="s">
        <v>25</v>
      </c>
      <c r="J250" s="2">
        <v>45330</v>
      </c>
      <c r="K250" t="s">
        <v>25</v>
      </c>
      <c r="L250">
        <v>43612</v>
      </c>
      <c r="M250">
        <v>264</v>
      </c>
      <c r="N250">
        <v>314</v>
      </c>
      <c r="O250" s="4">
        <v>6600</v>
      </c>
      <c r="P250" s="4">
        <v>4169.8994140625</v>
      </c>
      <c r="Q250" s="5">
        <f t="shared" si="12"/>
        <v>-0.36819705847537876</v>
      </c>
      <c r="R250" s="4">
        <v>6899.6939143968957</v>
      </c>
      <c r="S250" s="5">
        <f t="shared" si="13"/>
        <v>4.5408168848014574E-2</v>
      </c>
      <c r="T250" s="4">
        <v>5599.3482619245578</v>
      </c>
      <c r="U250" s="5">
        <f t="shared" si="14"/>
        <v>-0.15161389970840033</v>
      </c>
      <c r="V250" s="4">
        <v>3766.981201171875</v>
      </c>
      <c r="W250" s="5">
        <f t="shared" si="15"/>
        <v>-0.42924527254971589</v>
      </c>
    </row>
    <row r="251" spans="1:23" x14ac:dyDescent="0.25">
      <c r="A251" t="s">
        <v>457</v>
      </c>
      <c r="B251">
        <v>2014</v>
      </c>
      <c r="C251" t="s">
        <v>156</v>
      </c>
      <c r="D251" t="s">
        <v>458</v>
      </c>
      <c r="E251">
        <v>98806</v>
      </c>
      <c r="F251" t="s">
        <v>82</v>
      </c>
      <c r="G251" t="s">
        <v>23</v>
      </c>
      <c r="H251" t="s">
        <v>24</v>
      </c>
      <c r="I251" t="s">
        <v>25</v>
      </c>
      <c r="J251" s="2">
        <v>45384</v>
      </c>
      <c r="K251" t="s">
        <v>25</v>
      </c>
      <c r="L251">
        <v>43612</v>
      </c>
      <c r="M251">
        <v>264</v>
      </c>
      <c r="N251">
        <v>314</v>
      </c>
      <c r="O251" s="4">
        <v>3800</v>
      </c>
      <c r="P251" s="4">
        <v>2397.694580078125</v>
      </c>
      <c r="Q251" s="5">
        <f t="shared" si="12"/>
        <v>-0.3690277420847039</v>
      </c>
      <c r="R251" s="4">
        <v>2568.8076886183421</v>
      </c>
      <c r="S251" s="5">
        <f t="shared" si="13"/>
        <v>-0.32399797667938368</v>
      </c>
      <c r="T251" s="4">
        <v>2879.2745781534732</v>
      </c>
      <c r="U251" s="5">
        <f t="shared" si="14"/>
        <v>-0.24229616364382289</v>
      </c>
      <c r="V251" s="4">
        <v>2322.911376953125</v>
      </c>
      <c r="W251" s="5">
        <f t="shared" si="15"/>
        <v>-0.38870753238075662</v>
      </c>
    </row>
    <row r="252" spans="1:23" x14ac:dyDescent="0.25">
      <c r="A252" t="s">
        <v>459</v>
      </c>
      <c r="B252">
        <v>2017</v>
      </c>
      <c r="C252" t="s">
        <v>156</v>
      </c>
      <c r="D252" t="s">
        <v>458</v>
      </c>
      <c r="E252">
        <v>116358</v>
      </c>
      <c r="F252" t="s">
        <v>72</v>
      </c>
      <c r="G252" t="s">
        <v>44</v>
      </c>
      <c r="H252" t="s">
        <v>25</v>
      </c>
      <c r="I252" t="s">
        <v>24</v>
      </c>
      <c r="J252" s="2">
        <v>45370</v>
      </c>
      <c r="K252" t="s">
        <v>25</v>
      </c>
      <c r="L252">
        <v>43612</v>
      </c>
      <c r="M252">
        <v>264</v>
      </c>
      <c r="N252">
        <v>314</v>
      </c>
      <c r="O252" s="4">
        <v>8700</v>
      </c>
      <c r="P252" s="4">
        <v>4559.9853515625</v>
      </c>
      <c r="Q252" s="5">
        <f t="shared" si="12"/>
        <v>-0.47586375269396552</v>
      </c>
      <c r="R252" s="4">
        <v>6977.2567789765253</v>
      </c>
      <c r="S252" s="5">
        <f t="shared" si="13"/>
        <v>-0.19801646218660629</v>
      </c>
      <c r="T252" s="4">
        <v>6685.0751241244907</v>
      </c>
      <c r="U252" s="5">
        <f t="shared" si="14"/>
        <v>-0.23160056044546085</v>
      </c>
      <c r="V252" s="4">
        <v>4030.116455078125</v>
      </c>
      <c r="W252" s="5">
        <f t="shared" si="15"/>
        <v>-0.53676822355423859</v>
      </c>
    </row>
    <row r="253" spans="1:23" x14ac:dyDescent="0.25">
      <c r="A253" t="s">
        <v>460</v>
      </c>
      <c r="B253">
        <v>2015</v>
      </c>
      <c r="C253" t="s">
        <v>167</v>
      </c>
      <c r="D253" t="s">
        <v>180</v>
      </c>
      <c r="E253">
        <v>161429</v>
      </c>
      <c r="F253" t="s">
        <v>77</v>
      </c>
      <c r="G253" t="s">
        <v>30</v>
      </c>
      <c r="H253" t="s">
        <v>24</v>
      </c>
      <c r="I253" t="s">
        <v>25</v>
      </c>
      <c r="J253" s="2">
        <v>45351</v>
      </c>
      <c r="K253" t="s">
        <v>25</v>
      </c>
      <c r="L253">
        <v>43612</v>
      </c>
      <c r="M253">
        <v>264</v>
      </c>
      <c r="N253">
        <v>314</v>
      </c>
      <c r="O253" s="4">
        <v>3000</v>
      </c>
      <c r="P253" s="4">
        <v>1924.604248046875</v>
      </c>
      <c r="Q253" s="5">
        <f t="shared" si="12"/>
        <v>-0.35846525065104162</v>
      </c>
      <c r="R253" s="4">
        <v>2977.2251069155909</v>
      </c>
      <c r="S253" s="5">
        <f t="shared" si="13"/>
        <v>-7.5916310281363142E-3</v>
      </c>
      <c r="T253" s="4">
        <v>3669.214007003558</v>
      </c>
      <c r="U253" s="5">
        <f t="shared" si="14"/>
        <v>0.22307133566785264</v>
      </c>
      <c r="V253" s="4">
        <v>1800.270751953125</v>
      </c>
      <c r="W253" s="5">
        <f t="shared" si="15"/>
        <v>-0.39990974934895829</v>
      </c>
    </row>
    <row r="254" spans="1:23" x14ac:dyDescent="0.25">
      <c r="A254" t="s">
        <v>461</v>
      </c>
      <c r="B254">
        <v>2014</v>
      </c>
      <c r="C254" t="s">
        <v>167</v>
      </c>
      <c r="D254" t="s">
        <v>462</v>
      </c>
      <c r="E254">
        <v>125970</v>
      </c>
      <c r="F254" t="s">
        <v>22</v>
      </c>
      <c r="G254" t="s">
        <v>23</v>
      </c>
      <c r="H254" t="s">
        <v>24</v>
      </c>
      <c r="I254" t="s">
        <v>25</v>
      </c>
      <c r="J254" s="2">
        <v>45631</v>
      </c>
      <c r="K254" t="s">
        <v>25</v>
      </c>
      <c r="L254">
        <v>43612</v>
      </c>
      <c r="M254">
        <v>264</v>
      </c>
      <c r="N254">
        <v>314</v>
      </c>
      <c r="O254" s="4">
        <v>4100</v>
      </c>
      <c r="P254" s="4">
        <v>2357.668212890625</v>
      </c>
      <c r="Q254" s="5">
        <f t="shared" si="12"/>
        <v>-0.42495897246570125</v>
      </c>
      <c r="R254" s="4">
        <v>2405.6060389935701</v>
      </c>
      <c r="S254" s="5">
        <f t="shared" si="13"/>
        <v>-0.41326681975766588</v>
      </c>
      <c r="T254" s="4">
        <v>3196.8152018461528</v>
      </c>
      <c r="U254" s="5">
        <f t="shared" si="14"/>
        <v>-0.22028897515947488</v>
      </c>
      <c r="V254" s="4">
        <v>2330.412841796875</v>
      </c>
      <c r="W254" s="5">
        <f t="shared" si="15"/>
        <v>-0.43160662395198168</v>
      </c>
    </row>
    <row r="255" spans="1:23" x14ac:dyDescent="0.25">
      <c r="A255" t="s">
        <v>463</v>
      </c>
      <c r="B255">
        <v>2013</v>
      </c>
      <c r="C255" t="s">
        <v>139</v>
      </c>
      <c r="D255" t="s">
        <v>283</v>
      </c>
      <c r="E255">
        <v>74935</v>
      </c>
      <c r="F255" t="s">
        <v>37</v>
      </c>
      <c r="G255" t="s">
        <v>38</v>
      </c>
      <c r="H255" t="s">
        <v>25</v>
      </c>
      <c r="I255" t="s">
        <v>24</v>
      </c>
      <c r="J255" s="2">
        <v>45505</v>
      </c>
      <c r="K255" t="s">
        <v>25</v>
      </c>
      <c r="L255">
        <v>43612</v>
      </c>
      <c r="M255">
        <v>264</v>
      </c>
      <c r="N255">
        <v>314</v>
      </c>
      <c r="O255" s="4">
        <v>4500</v>
      </c>
      <c r="P255" s="4">
        <v>6618.23095703125</v>
      </c>
      <c r="Q255" s="5">
        <f t="shared" si="12"/>
        <v>0.47071799045138896</v>
      </c>
      <c r="R255" s="4">
        <v>7960.4719231905528</v>
      </c>
      <c r="S255" s="5">
        <f t="shared" si="13"/>
        <v>0.76899376070901182</v>
      </c>
      <c r="T255" s="4">
        <v>7856.2381520191066</v>
      </c>
      <c r="U255" s="5">
        <f t="shared" si="14"/>
        <v>0.74583070044869038</v>
      </c>
      <c r="V255" s="4">
        <v>6171.6455078125</v>
      </c>
      <c r="W255" s="5">
        <f t="shared" si="15"/>
        <v>0.37147677951388891</v>
      </c>
    </row>
    <row r="256" spans="1:23" x14ac:dyDescent="0.25">
      <c r="A256" t="s">
        <v>464</v>
      </c>
      <c r="B256">
        <v>2016</v>
      </c>
      <c r="C256" t="s">
        <v>465</v>
      </c>
      <c r="D256" t="s">
        <v>466</v>
      </c>
      <c r="E256">
        <v>150044</v>
      </c>
      <c r="F256" t="s">
        <v>82</v>
      </c>
      <c r="G256" t="s">
        <v>30</v>
      </c>
      <c r="H256" t="s">
        <v>24</v>
      </c>
      <c r="I256" t="s">
        <v>25</v>
      </c>
      <c r="J256" s="2">
        <v>45370</v>
      </c>
      <c r="K256" t="s">
        <v>25</v>
      </c>
      <c r="L256">
        <v>43612</v>
      </c>
      <c r="M256">
        <v>264</v>
      </c>
      <c r="N256">
        <v>314</v>
      </c>
      <c r="O256" s="4">
        <v>13700</v>
      </c>
      <c r="P256" s="4">
        <v>1630.345703125</v>
      </c>
      <c r="Q256" s="5">
        <f t="shared" si="12"/>
        <v>-0.88099666400547449</v>
      </c>
      <c r="R256" s="4">
        <v>957.5775053585694</v>
      </c>
      <c r="S256" s="5">
        <f t="shared" si="13"/>
        <v>-0.93010383172565181</v>
      </c>
      <c r="T256" s="4">
        <v>2933.964487516359</v>
      </c>
      <c r="U256" s="5">
        <f t="shared" si="14"/>
        <v>-0.78584200821048478</v>
      </c>
      <c r="V256" s="4">
        <v>1612.918701171875</v>
      </c>
      <c r="W256" s="5">
        <f t="shared" si="15"/>
        <v>-0.88226870794365875</v>
      </c>
    </row>
    <row r="257" spans="1:23" x14ac:dyDescent="0.25">
      <c r="A257" t="s">
        <v>467</v>
      </c>
      <c r="B257">
        <v>2012</v>
      </c>
      <c r="C257" t="s">
        <v>185</v>
      </c>
      <c r="D257" t="s">
        <v>186</v>
      </c>
      <c r="E257">
        <v>115447</v>
      </c>
      <c r="F257" t="s">
        <v>61</v>
      </c>
      <c r="G257" t="s">
        <v>23</v>
      </c>
      <c r="H257" t="s">
        <v>24</v>
      </c>
      <c r="I257" t="s">
        <v>25</v>
      </c>
      <c r="J257" s="2">
        <v>45706</v>
      </c>
      <c r="K257" t="s">
        <v>25</v>
      </c>
      <c r="L257">
        <v>43612</v>
      </c>
      <c r="M257">
        <v>264</v>
      </c>
      <c r="N257">
        <v>314</v>
      </c>
      <c r="O257" s="4">
        <v>2000</v>
      </c>
      <c r="P257" s="4">
        <v>1937.769165039062</v>
      </c>
      <c r="Q257" s="5">
        <f t="shared" si="12"/>
        <v>-3.1115417480468976E-2</v>
      </c>
      <c r="R257" s="4">
        <v>2120.5539041484922</v>
      </c>
      <c r="S257" s="5">
        <f t="shared" si="13"/>
        <v>6.0276952074246104E-2</v>
      </c>
      <c r="T257" s="4">
        <v>3223.7689512012239</v>
      </c>
      <c r="U257" s="5">
        <f t="shared" si="14"/>
        <v>0.61188447560061188</v>
      </c>
      <c r="V257" s="4">
        <v>1947.177490234375</v>
      </c>
      <c r="W257" s="5">
        <f t="shared" si="15"/>
        <v>-2.6411254882812485E-2</v>
      </c>
    </row>
    <row r="258" spans="1:23" x14ac:dyDescent="0.25">
      <c r="A258" t="s">
        <v>468</v>
      </c>
      <c r="B258">
        <v>2019</v>
      </c>
      <c r="C258" t="s">
        <v>91</v>
      </c>
      <c r="D258" t="s">
        <v>287</v>
      </c>
      <c r="E258">
        <v>104589</v>
      </c>
      <c r="F258" t="s">
        <v>43</v>
      </c>
      <c r="G258" t="s">
        <v>44</v>
      </c>
      <c r="H258" t="s">
        <v>25</v>
      </c>
      <c r="I258" t="s">
        <v>24</v>
      </c>
      <c r="J258" s="2">
        <v>45720</v>
      </c>
      <c r="K258" t="s">
        <v>25</v>
      </c>
      <c r="L258">
        <v>43612</v>
      </c>
      <c r="M258">
        <v>264</v>
      </c>
      <c r="N258">
        <v>314</v>
      </c>
      <c r="O258" s="4">
        <v>17600</v>
      </c>
      <c r="P258" s="4">
        <v>10748.83203125</v>
      </c>
      <c r="Q258" s="5">
        <f t="shared" si="12"/>
        <v>-0.38927090731534086</v>
      </c>
      <c r="R258" s="4">
        <v>12311.491678217661</v>
      </c>
      <c r="S258" s="5">
        <f t="shared" si="13"/>
        <v>-0.30048342737399658</v>
      </c>
      <c r="T258" s="4">
        <v>8874.5461213124781</v>
      </c>
      <c r="U258" s="5">
        <f t="shared" si="14"/>
        <v>-0.49576442492542738</v>
      </c>
      <c r="V258" s="4">
        <v>10580.3447265625</v>
      </c>
      <c r="W258" s="5">
        <f t="shared" si="15"/>
        <v>-0.39884404962713071</v>
      </c>
    </row>
    <row r="259" spans="1:23" x14ac:dyDescent="0.25">
      <c r="A259" t="s">
        <v>469</v>
      </c>
      <c r="B259">
        <v>2015</v>
      </c>
      <c r="C259" t="s">
        <v>91</v>
      </c>
      <c r="D259" t="s">
        <v>287</v>
      </c>
      <c r="E259">
        <v>113643</v>
      </c>
      <c r="F259" t="s">
        <v>334</v>
      </c>
      <c r="G259" t="s">
        <v>23</v>
      </c>
      <c r="H259" t="s">
        <v>24</v>
      </c>
      <c r="I259" t="s">
        <v>25</v>
      </c>
      <c r="J259" s="2">
        <v>45734</v>
      </c>
      <c r="K259" t="s">
        <v>25</v>
      </c>
      <c r="L259">
        <v>43612</v>
      </c>
      <c r="M259">
        <v>264</v>
      </c>
      <c r="N259">
        <v>314</v>
      </c>
      <c r="O259" s="4">
        <v>4000</v>
      </c>
      <c r="P259" s="4">
        <v>2694.84375</v>
      </c>
      <c r="Q259" s="5">
        <f t="shared" ref="Q259:Q322" si="16">(P259/$O259)-1</f>
        <v>-0.3262890625</v>
      </c>
      <c r="R259" s="4">
        <v>4167.8168233531142</v>
      </c>
      <c r="S259" s="5">
        <f t="shared" ref="S259:S322" si="17">(R259/$O259)-1</f>
        <v>4.1954205838278469E-2</v>
      </c>
      <c r="T259" s="4">
        <v>3214.258373882149</v>
      </c>
      <c r="U259" s="5">
        <f t="shared" ref="U259:U322" si="18">(T259/$O259)-1</f>
        <v>-0.19643540652946279</v>
      </c>
      <c r="V259" s="4">
        <v>2387.77587890625</v>
      </c>
      <c r="W259" s="5">
        <f t="shared" ref="W259:W322" si="19">(V259/$O259)-1</f>
        <v>-0.4030560302734375</v>
      </c>
    </row>
    <row r="260" spans="1:23" x14ac:dyDescent="0.25">
      <c r="A260" t="s">
        <v>470</v>
      </c>
      <c r="B260">
        <v>2019</v>
      </c>
      <c r="C260" t="s">
        <v>91</v>
      </c>
      <c r="D260" t="s">
        <v>287</v>
      </c>
      <c r="E260">
        <v>94490</v>
      </c>
      <c r="F260" t="s">
        <v>161</v>
      </c>
      <c r="G260" t="s">
        <v>44</v>
      </c>
      <c r="H260" t="s">
        <v>25</v>
      </c>
      <c r="I260" t="s">
        <v>24</v>
      </c>
      <c r="J260" s="2">
        <v>45692</v>
      </c>
      <c r="K260" t="s">
        <v>25</v>
      </c>
      <c r="L260">
        <v>43612</v>
      </c>
      <c r="M260">
        <v>264</v>
      </c>
      <c r="N260">
        <v>314</v>
      </c>
      <c r="O260" s="4">
        <v>14500</v>
      </c>
      <c r="P260" s="4">
        <v>11759.61328125</v>
      </c>
      <c r="Q260" s="5">
        <f t="shared" si="16"/>
        <v>-0.18899218750000002</v>
      </c>
      <c r="R260" s="4">
        <v>13168.82170754142</v>
      </c>
      <c r="S260" s="5">
        <f t="shared" si="17"/>
        <v>-9.1805399479902072E-2</v>
      </c>
      <c r="T260" s="4">
        <v>9830.618354354232</v>
      </c>
      <c r="U260" s="5">
        <f t="shared" si="18"/>
        <v>-0.3220263203893633</v>
      </c>
      <c r="V260" s="4">
        <v>11491.85546875</v>
      </c>
      <c r="W260" s="5">
        <f t="shared" si="19"/>
        <v>-0.20745824353448272</v>
      </c>
    </row>
    <row r="261" spans="1:23" x14ac:dyDescent="0.25">
      <c r="A261" t="s">
        <v>471</v>
      </c>
      <c r="B261">
        <v>2018</v>
      </c>
      <c r="C261" t="s">
        <v>20</v>
      </c>
      <c r="D261" t="s">
        <v>472</v>
      </c>
      <c r="E261">
        <v>75196</v>
      </c>
      <c r="F261" t="s">
        <v>79</v>
      </c>
      <c r="G261" t="s">
        <v>34</v>
      </c>
      <c r="H261" t="s">
        <v>25</v>
      </c>
      <c r="I261" t="s">
        <v>24</v>
      </c>
      <c r="J261" s="2">
        <v>45512</v>
      </c>
      <c r="K261" t="s">
        <v>25</v>
      </c>
      <c r="L261">
        <v>43612</v>
      </c>
      <c r="M261">
        <v>264</v>
      </c>
      <c r="N261">
        <v>314</v>
      </c>
      <c r="O261" s="4">
        <v>6400</v>
      </c>
      <c r="P261" s="4">
        <v>9107.6015625</v>
      </c>
      <c r="Q261" s="5">
        <f t="shared" si="16"/>
        <v>0.42306274414062495</v>
      </c>
      <c r="R261" s="4">
        <v>9004.9688041567406</v>
      </c>
      <c r="S261" s="5">
        <f t="shared" si="17"/>
        <v>0.40702637564949073</v>
      </c>
      <c r="T261" s="4">
        <v>11978.727365973489</v>
      </c>
      <c r="U261" s="5">
        <f t="shared" si="18"/>
        <v>0.87167615093335771</v>
      </c>
      <c r="V261" s="4">
        <v>9201.2861328125</v>
      </c>
      <c r="W261" s="5">
        <f t="shared" si="19"/>
        <v>0.4377009582519531</v>
      </c>
    </row>
    <row r="262" spans="1:23" x14ac:dyDescent="0.25">
      <c r="A262" t="s">
        <v>473</v>
      </c>
      <c r="B262">
        <v>2017</v>
      </c>
      <c r="C262" t="s">
        <v>167</v>
      </c>
      <c r="D262" t="s">
        <v>192</v>
      </c>
      <c r="E262">
        <v>103620</v>
      </c>
      <c r="F262" t="s">
        <v>382</v>
      </c>
      <c r="G262" t="s">
        <v>23</v>
      </c>
      <c r="H262" t="s">
        <v>24</v>
      </c>
      <c r="I262" t="s">
        <v>25</v>
      </c>
      <c r="J262" s="2">
        <v>45664</v>
      </c>
      <c r="K262" t="s">
        <v>25</v>
      </c>
      <c r="L262">
        <v>43612</v>
      </c>
      <c r="M262">
        <v>264</v>
      </c>
      <c r="N262">
        <v>314</v>
      </c>
      <c r="O262" s="4">
        <v>800</v>
      </c>
      <c r="P262" s="4">
        <v>3497.08935546875</v>
      </c>
      <c r="Q262" s="5">
        <f t="shared" si="16"/>
        <v>3.3713616943359375</v>
      </c>
      <c r="R262" s="4">
        <v>3619.8090431986052</v>
      </c>
      <c r="S262" s="5">
        <f t="shared" si="17"/>
        <v>3.5247613039982566</v>
      </c>
      <c r="T262" s="4">
        <v>2836.8653670966191</v>
      </c>
      <c r="U262" s="5">
        <f t="shared" si="18"/>
        <v>2.5460817088707741</v>
      </c>
      <c r="V262" s="4">
        <v>3436.798095703125</v>
      </c>
      <c r="W262" s="5">
        <f t="shared" si="19"/>
        <v>3.2959976196289063</v>
      </c>
    </row>
    <row r="263" spans="1:23" x14ac:dyDescent="0.25">
      <c r="A263" t="s">
        <v>474</v>
      </c>
      <c r="B263">
        <v>2015</v>
      </c>
      <c r="C263" t="s">
        <v>167</v>
      </c>
      <c r="D263" t="s">
        <v>192</v>
      </c>
      <c r="E263">
        <v>112014</v>
      </c>
      <c r="F263" t="s">
        <v>475</v>
      </c>
      <c r="G263" t="s">
        <v>30</v>
      </c>
      <c r="H263" t="s">
        <v>24</v>
      </c>
      <c r="I263" t="s">
        <v>25</v>
      </c>
      <c r="J263" s="2">
        <v>45729</v>
      </c>
      <c r="K263" t="s">
        <v>25</v>
      </c>
      <c r="L263">
        <v>43612</v>
      </c>
      <c r="M263">
        <v>264</v>
      </c>
      <c r="N263">
        <v>314</v>
      </c>
      <c r="O263" s="4">
        <v>4467.6470588235297</v>
      </c>
      <c r="P263" s="4">
        <v>4984.37890625</v>
      </c>
      <c r="Q263" s="5">
        <f t="shared" si="16"/>
        <v>0.11566084800855814</v>
      </c>
      <c r="R263" s="4">
        <v>4862.6408511222744</v>
      </c>
      <c r="S263" s="5">
        <f t="shared" si="17"/>
        <v>8.8412040409199033E-2</v>
      </c>
      <c r="T263" s="4">
        <v>3364.2487704216328</v>
      </c>
      <c r="U263" s="5">
        <f t="shared" si="18"/>
        <v>-0.24697525876013493</v>
      </c>
      <c r="V263" s="4">
        <v>4869.3037109375</v>
      </c>
      <c r="W263" s="5">
        <f t="shared" si="19"/>
        <v>8.9903398103192922E-2</v>
      </c>
    </row>
    <row r="264" spans="1:23" x14ac:dyDescent="0.25">
      <c r="A264" t="s">
        <v>476</v>
      </c>
      <c r="B264">
        <v>2013</v>
      </c>
      <c r="C264" t="s">
        <v>167</v>
      </c>
      <c r="D264" t="s">
        <v>192</v>
      </c>
      <c r="E264">
        <v>115805</v>
      </c>
      <c r="F264" t="s">
        <v>22</v>
      </c>
      <c r="G264" t="s">
        <v>30</v>
      </c>
      <c r="H264" t="s">
        <v>24</v>
      </c>
      <c r="I264" t="s">
        <v>25</v>
      </c>
      <c r="J264" s="2">
        <v>45412</v>
      </c>
      <c r="K264" t="s">
        <v>25</v>
      </c>
      <c r="L264">
        <v>43612</v>
      </c>
      <c r="M264">
        <v>264</v>
      </c>
      <c r="N264">
        <v>314</v>
      </c>
      <c r="O264" s="4">
        <v>2700</v>
      </c>
      <c r="P264" s="4">
        <v>2187.45703125</v>
      </c>
      <c r="Q264" s="5">
        <f t="shared" si="16"/>
        <v>-0.18983072916666666</v>
      </c>
      <c r="R264" s="4">
        <v>2362.8545426949422</v>
      </c>
      <c r="S264" s="5">
        <f t="shared" si="17"/>
        <v>-0.12486868789076211</v>
      </c>
      <c r="T264" s="4">
        <v>2155.4808535979369</v>
      </c>
      <c r="U264" s="5">
        <f t="shared" si="18"/>
        <v>-0.20167375792669007</v>
      </c>
      <c r="V264" s="4">
        <v>2141.39453125</v>
      </c>
      <c r="W264" s="5">
        <f t="shared" si="19"/>
        <v>-0.20689091435185181</v>
      </c>
    </row>
    <row r="265" spans="1:23" x14ac:dyDescent="0.25">
      <c r="A265" t="s">
        <v>477</v>
      </c>
      <c r="B265">
        <v>2015</v>
      </c>
      <c r="C265" t="s">
        <v>156</v>
      </c>
      <c r="D265" t="s">
        <v>173</v>
      </c>
      <c r="E265">
        <v>183928</v>
      </c>
      <c r="F265" t="s">
        <v>22</v>
      </c>
      <c r="G265" t="s">
        <v>23</v>
      </c>
      <c r="H265" t="s">
        <v>24</v>
      </c>
      <c r="I265" t="s">
        <v>25</v>
      </c>
      <c r="J265" s="2">
        <v>45722</v>
      </c>
      <c r="K265" t="s">
        <v>25</v>
      </c>
      <c r="L265">
        <v>43612</v>
      </c>
      <c r="M265">
        <v>264</v>
      </c>
      <c r="N265">
        <v>314</v>
      </c>
      <c r="O265" s="4">
        <v>8000</v>
      </c>
      <c r="P265" s="4">
        <v>1475.978881835938</v>
      </c>
      <c r="Q265" s="5">
        <f t="shared" si="16"/>
        <v>-0.81550263977050774</v>
      </c>
      <c r="R265" s="4">
        <v>1387.924251311737</v>
      </c>
      <c r="S265" s="5">
        <f t="shared" si="17"/>
        <v>-0.82650946858603291</v>
      </c>
      <c r="T265" s="4">
        <v>1720.550350043037</v>
      </c>
      <c r="U265" s="5">
        <f t="shared" si="18"/>
        <v>-0.78493120624462032</v>
      </c>
      <c r="V265" s="4">
        <v>1459.436401367188</v>
      </c>
      <c r="W265" s="5">
        <f t="shared" si="19"/>
        <v>-0.81757044982910154</v>
      </c>
    </row>
    <row r="266" spans="1:23" x14ac:dyDescent="0.25">
      <c r="A266" t="s">
        <v>478</v>
      </c>
      <c r="B266">
        <v>2020</v>
      </c>
      <c r="C266" t="s">
        <v>156</v>
      </c>
      <c r="D266" t="s">
        <v>196</v>
      </c>
      <c r="E266">
        <v>46183</v>
      </c>
      <c r="F266" t="s">
        <v>48</v>
      </c>
      <c r="G266" t="s">
        <v>44</v>
      </c>
      <c r="H266" t="s">
        <v>25</v>
      </c>
      <c r="I266" t="s">
        <v>24</v>
      </c>
      <c r="J266" s="2">
        <v>45659</v>
      </c>
      <c r="K266" t="s">
        <v>25</v>
      </c>
      <c r="L266">
        <v>43612</v>
      </c>
      <c r="M266">
        <v>264</v>
      </c>
      <c r="N266">
        <v>314</v>
      </c>
      <c r="O266" s="4">
        <v>10500</v>
      </c>
      <c r="P266" s="4">
        <v>9072.9775390625</v>
      </c>
      <c r="Q266" s="5">
        <f t="shared" si="16"/>
        <v>-0.13590690104166669</v>
      </c>
      <c r="R266" s="4">
        <v>16107.035394706319</v>
      </c>
      <c r="S266" s="5">
        <f t="shared" si="17"/>
        <v>0.53400337092441141</v>
      </c>
      <c r="T266" s="4">
        <v>12163.35585502012</v>
      </c>
      <c r="U266" s="5">
        <f t="shared" si="18"/>
        <v>0.15841484333524947</v>
      </c>
      <c r="V266" s="4">
        <v>7366.1865234375</v>
      </c>
      <c r="W266" s="5">
        <f t="shared" si="19"/>
        <v>-0.29845842633928577</v>
      </c>
    </row>
    <row r="267" spans="1:23" x14ac:dyDescent="0.25">
      <c r="A267" t="s">
        <v>479</v>
      </c>
      <c r="B267">
        <v>2020</v>
      </c>
      <c r="C267" t="s">
        <v>156</v>
      </c>
      <c r="D267" t="s">
        <v>196</v>
      </c>
      <c r="E267">
        <v>95468</v>
      </c>
      <c r="F267" t="s">
        <v>72</v>
      </c>
      <c r="G267" t="s">
        <v>34</v>
      </c>
      <c r="H267" t="s">
        <v>25</v>
      </c>
      <c r="I267" t="s">
        <v>24</v>
      </c>
      <c r="J267" s="2">
        <v>45666</v>
      </c>
      <c r="K267" t="s">
        <v>25</v>
      </c>
      <c r="L267">
        <v>43612</v>
      </c>
      <c r="M267">
        <v>264</v>
      </c>
      <c r="N267">
        <v>314</v>
      </c>
      <c r="O267" s="4">
        <v>11100</v>
      </c>
      <c r="P267" s="4">
        <v>9211.3955078125</v>
      </c>
      <c r="Q267" s="5">
        <f t="shared" si="16"/>
        <v>-0.17014454884572072</v>
      </c>
      <c r="R267" s="4">
        <v>11102.733113166651</v>
      </c>
      <c r="S267" s="5">
        <f t="shared" si="17"/>
        <v>2.4622641141003321E-4</v>
      </c>
      <c r="T267" s="4">
        <v>10254.46588869281</v>
      </c>
      <c r="U267" s="5">
        <f t="shared" si="18"/>
        <v>-7.6174244261908997E-2</v>
      </c>
      <c r="V267" s="4">
        <v>8447.1435546875</v>
      </c>
      <c r="W267" s="5">
        <f t="shared" si="19"/>
        <v>-0.23899607615427931</v>
      </c>
    </row>
    <row r="268" spans="1:23" x14ac:dyDescent="0.25">
      <c r="A268" t="s">
        <v>480</v>
      </c>
      <c r="B268">
        <v>2020</v>
      </c>
      <c r="C268" t="s">
        <v>156</v>
      </c>
      <c r="D268" t="s">
        <v>196</v>
      </c>
      <c r="E268">
        <v>110319</v>
      </c>
      <c r="F268" t="s">
        <v>48</v>
      </c>
      <c r="G268" t="s">
        <v>34</v>
      </c>
      <c r="H268" t="s">
        <v>25</v>
      </c>
      <c r="I268" t="s">
        <v>24</v>
      </c>
      <c r="J268" s="2">
        <v>45449</v>
      </c>
      <c r="K268" t="s">
        <v>25</v>
      </c>
      <c r="L268">
        <v>43612</v>
      </c>
      <c r="M268">
        <v>264</v>
      </c>
      <c r="N268">
        <v>314</v>
      </c>
      <c r="O268" s="4">
        <v>13800</v>
      </c>
      <c r="P268" s="4">
        <v>5657.95947265625</v>
      </c>
      <c r="Q268" s="5">
        <f t="shared" si="16"/>
        <v>-0.59000293676403981</v>
      </c>
      <c r="R268" s="4">
        <v>8849.78990147273</v>
      </c>
      <c r="S268" s="5">
        <f t="shared" si="17"/>
        <v>-0.35871087670487467</v>
      </c>
      <c r="T268" s="4">
        <v>7185.209594691667</v>
      </c>
      <c r="U268" s="5">
        <f t="shared" si="18"/>
        <v>-0.47933263806582127</v>
      </c>
      <c r="V268" s="4">
        <v>5386.93408203125</v>
      </c>
      <c r="W268" s="5">
        <f t="shared" si="19"/>
        <v>-0.60964245782382243</v>
      </c>
    </row>
    <row r="269" spans="1:23" x14ac:dyDescent="0.25">
      <c r="A269" t="s">
        <v>481</v>
      </c>
      <c r="B269">
        <v>2016</v>
      </c>
      <c r="C269" t="s">
        <v>156</v>
      </c>
      <c r="D269" t="s">
        <v>196</v>
      </c>
      <c r="E269">
        <v>108145</v>
      </c>
      <c r="F269" t="s">
        <v>29</v>
      </c>
      <c r="G269" t="s">
        <v>30</v>
      </c>
      <c r="H269" t="s">
        <v>24</v>
      </c>
      <c r="I269" t="s">
        <v>25</v>
      </c>
      <c r="J269" s="2">
        <v>45589</v>
      </c>
      <c r="K269" t="s">
        <v>25</v>
      </c>
      <c r="L269">
        <v>43612</v>
      </c>
      <c r="M269">
        <v>264</v>
      </c>
      <c r="N269">
        <v>314</v>
      </c>
      <c r="O269" s="4">
        <v>5900</v>
      </c>
      <c r="P269" s="4">
        <v>3142.467529296875</v>
      </c>
      <c r="Q269" s="5">
        <f t="shared" si="16"/>
        <v>-0.46737838486493644</v>
      </c>
      <c r="R269" s="4">
        <v>5526.8701976803814</v>
      </c>
      <c r="S269" s="5">
        <f t="shared" si="17"/>
        <v>-6.3242339376206602E-2</v>
      </c>
      <c r="T269" s="4">
        <v>4389.5457546123071</v>
      </c>
      <c r="U269" s="5">
        <f t="shared" si="18"/>
        <v>-0.25600919413350731</v>
      </c>
      <c r="V269" s="4">
        <v>2807.265380859375</v>
      </c>
      <c r="W269" s="5">
        <f t="shared" si="19"/>
        <v>-0.5241923083289195</v>
      </c>
    </row>
    <row r="270" spans="1:23" x14ac:dyDescent="0.25">
      <c r="A270" t="s">
        <v>482</v>
      </c>
      <c r="B270">
        <v>2013</v>
      </c>
      <c r="C270" t="s">
        <v>156</v>
      </c>
      <c r="D270" t="s">
        <v>483</v>
      </c>
      <c r="E270">
        <v>110149</v>
      </c>
      <c r="F270" t="s">
        <v>43</v>
      </c>
      <c r="G270" t="s">
        <v>44</v>
      </c>
      <c r="H270" t="s">
        <v>25</v>
      </c>
      <c r="I270" t="s">
        <v>24</v>
      </c>
      <c r="J270" s="2">
        <v>45538</v>
      </c>
      <c r="K270" t="s">
        <v>25</v>
      </c>
      <c r="L270">
        <v>43612</v>
      </c>
      <c r="M270">
        <v>264</v>
      </c>
      <c r="N270">
        <v>314</v>
      </c>
      <c r="O270" s="4">
        <v>10400</v>
      </c>
      <c r="P270" s="4">
        <v>4256.119140625</v>
      </c>
      <c r="Q270" s="5">
        <f t="shared" si="16"/>
        <v>-0.59075777493990378</v>
      </c>
      <c r="R270" s="4">
        <v>4358.5631423197519</v>
      </c>
      <c r="S270" s="5">
        <f t="shared" si="17"/>
        <v>-0.58090739016156223</v>
      </c>
      <c r="T270" s="4">
        <v>4884.0231541567618</v>
      </c>
      <c r="U270" s="5">
        <f t="shared" si="18"/>
        <v>-0.5303823890233883</v>
      </c>
      <c r="V270" s="4">
        <v>4188.8193359375</v>
      </c>
      <c r="W270" s="5">
        <f t="shared" si="19"/>
        <v>-0.59722891000600964</v>
      </c>
    </row>
    <row r="271" spans="1:23" x14ac:dyDescent="0.25">
      <c r="A271" t="s">
        <v>484</v>
      </c>
      <c r="B271">
        <v>2018</v>
      </c>
      <c r="C271" t="s">
        <v>53</v>
      </c>
      <c r="D271" t="s">
        <v>485</v>
      </c>
      <c r="E271">
        <v>78622</v>
      </c>
      <c r="F271" t="s">
        <v>61</v>
      </c>
      <c r="G271" t="s">
        <v>30</v>
      </c>
      <c r="H271" t="s">
        <v>24</v>
      </c>
      <c r="I271" t="s">
        <v>25</v>
      </c>
      <c r="J271" s="2">
        <v>45580</v>
      </c>
      <c r="K271" t="s">
        <v>25</v>
      </c>
      <c r="L271">
        <v>43612</v>
      </c>
      <c r="M271">
        <v>264</v>
      </c>
      <c r="N271">
        <v>314</v>
      </c>
      <c r="O271" s="4">
        <v>14100</v>
      </c>
      <c r="P271" s="4">
        <v>7728.5</v>
      </c>
      <c r="Q271" s="5">
        <f t="shared" si="16"/>
        <v>-0.45187943262411345</v>
      </c>
      <c r="R271" s="4">
        <v>8902.2533486731791</v>
      </c>
      <c r="S271" s="5">
        <f t="shared" si="17"/>
        <v>-0.36863451427849792</v>
      </c>
      <c r="T271" s="4">
        <v>8064.4544728821493</v>
      </c>
      <c r="U271" s="5">
        <f t="shared" si="18"/>
        <v>-0.42805287426367733</v>
      </c>
      <c r="V271" s="4">
        <v>7243.6484375</v>
      </c>
      <c r="W271" s="5">
        <f t="shared" si="19"/>
        <v>-0.48626606826241137</v>
      </c>
    </row>
    <row r="272" spans="1:23" x14ac:dyDescent="0.25">
      <c r="A272" t="s">
        <v>486</v>
      </c>
      <c r="B272">
        <v>2018</v>
      </c>
      <c r="C272" t="s">
        <v>487</v>
      </c>
      <c r="D272" t="s">
        <v>488</v>
      </c>
      <c r="E272">
        <v>74366</v>
      </c>
      <c r="F272" t="s">
        <v>77</v>
      </c>
      <c r="G272" t="s">
        <v>30</v>
      </c>
      <c r="H272" t="s">
        <v>24</v>
      </c>
      <c r="I272" t="s">
        <v>25</v>
      </c>
      <c r="J272" s="2">
        <v>45594</v>
      </c>
      <c r="K272" t="s">
        <v>25</v>
      </c>
      <c r="L272">
        <v>43612</v>
      </c>
      <c r="M272">
        <v>264</v>
      </c>
      <c r="N272">
        <v>314</v>
      </c>
      <c r="O272" s="4">
        <v>7000</v>
      </c>
      <c r="P272" s="4">
        <v>9399.6181640625</v>
      </c>
      <c r="Q272" s="5">
        <f t="shared" si="16"/>
        <v>0.34280259486607134</v>
      </c>
      <c r="R272" s="4">
        <v>13634.92876399313</v>
      </c>
      <c r="S272" s="5">
        <f t="shared" si="17"/>
        <v>0.94784696628473286</v>
      </c>
      <c r="T272" s="4">
        <v>9946.2636441967115</v>
      </c>
      <c r="U272" s="5">
        <f t="shared" si="18"/>
        <v>0.42089480631381604</v>
      </c>
      <c r="V272" s="4">
        <v>8866.3974609375</v>
      </c>
      <c r="W272" s="5">
        <f t="shared" si="19"/>
        <v>0.26662820870535708</v>
      </c>
    </row>
    <row r="273" spans="1:23" x14ac:dyDescent="0.25">
      <c r="A273" t="s">
        <v>489</v>
      </c>
      <c r="B273">
        <v>2013</v>
      </c>
      <c r="C273" t="s">
        <v>490</v>
      </c>
      <c r="D273" t="s">
        <v>491</v>
      </c>
      <c r="E273">
        <v>117120</v>
      </c>
      <c r="F273" t="s">
        <v>77</v>
      </c>
      <c r="G273" t="s">
        <v>30</v>
      </c>
      <c r="H273" t="s">
        <v>24</v>
      </c>
      <c r="I273" t="s">
        <v>25</v>
      </c>
      <c r="J273" s="2">
        <v>45568</v>
      </c>
      <c r="K273" t="s">
        <v>25</v>
      </c>
      <c r="L273">
        <v>43612</v>
      </c>
      <c r="M273">
        <v>264</v>
      </c>
      <c r="N273">
        <v>314</v>
      </c>
      <c r="O273" s="4">
        <v>5000</v>
      </c>
      <c r="P273" s="4">
        <v>3596.025634765625</v>
      </c>
      <c r="Q273" s="5">
        <f t="shared" si="16"/>
        <v>-0.280794873046875</v>
      </c>
      <c r="R273" s="4">
        <v>4883.6006812502046</v>
      </c>
      <c r="S273" s="5">
        <f t="shared" si="17"/>
        <v>-2.3279863749959051E-2</v>
      </c>
      <c r="T273" s="4">
        <v>14484.81250547444</v>
      </c>
      <c r="U273" s="5">
        <f t="shared" si="18"/>
        <v>1.8969625010948881</v>
      </c>
      <c r="V273" s="4">
        <v>3204.216552734375</v>
      </c>
      <c r="W273" s="5">
        <f t="shared" si="19"/>
        <v>-0.35915668945312496</v>
      </c>
    </row>
    <row r="274" spans="1:23" x14ac:dyDescent="0.25">
      <c r="A274" t="s">
        <v>492</v>
      </c>
      <c r="B274">
        <v>2015</v>
      </c>
      <c r="C274" t="s">
        <v>199</v>
      </c>
      <c r="D274" t="s">
        <v>493</v>
      </c>
      <c r="E274">
        <v>77532</v>
      </c>
      <c r="F274" t="s">
        <v>55</v>
      </c>
      <c r="G274" t="s">
        <v>23</v>
      </c>
      <c r="H274" t="s">
        <v>24</v>
      </c>
      <c r="I274" t="s">
        <v>25</v>
      </c>
      <c r="J274" s="2">
        <v>45636</v>
      </c>
      <c r="K274" t="s">
        <v>25</v>
      </c>
      <c r="L274">
        <v>43612</v>
      </c>
      <c r="M274">
        <v>264</v>
      </c>
      <c r="N274">
        <v>314</v>
      </c>
      <c r="O274" s="4">
        <v>3550</v>
      </c>
      <c r="P274" s="4">
        <v>5384.54345703125</v>
      </c>
      <c r="Q274" s="5">
        <f t="shared" si="16"/>
        <v>0.51677280479753529</v>
      </c>
      <c r="R274" s="4">
        <v>6064.2198006461867</v>
      </c>
      <c r="S274" s="5">
        <f t="shared" si="17"/>
        <v>0.70823092975948931</v>
      </c>
      <c r="T274" s="4">
        <v>7638.5347482028938</v>
      </c>
      <c r="U274" s="5">
        <f t="shared" si="18"/>
        <v>1.1516999290712375</v>
      </c>
      <c r="V274" s="4">
        <v>5197.5830078125</v>
      </c>
      <c r="W274" s="5">
        <f t="shared" si="19"/>
        <v>0.46410788952464799</v>
      </c>
    </row>
    <row r="275" spans="1:23" x14ac:dyDescent="0.25">
      <c r="A275" t="s">
        <v>494</v>
      </c>
      <c r="B275">
        <v>2015</v>
      </c>
      <c r="C275" t="s">
        <v>202</v>
      </c>
      <c r="D275" t="s">
        <v>495</v>
      </c>
      <c r="E275">
        <v>138718</v>
      </c>
      <c r="F275" t="s">
        <v>214</v>
      </c>
      <c r="G275" t="s">
        <v>38</v>
      </c>
      <c r="H275" t="s">
        <v>25</v>
      </c>
      <c r="I275" t="s">
        <v>24</v>
      </c>
      <c r="J275" s="2">
        <v>45356</v>
      </c>
      <c r="K275" t="s">
        <v>25</v>
      </c>
      <c r="L275">
        <v>43612</v>
      </c>
      <c r="M275">
        <v>264</v>
      </c>
      <c r="N275">
        <v>314</v>
      </c>
      <c r="O275" s="4">
        <v>7234.6153846153802</v>
      </c>
      <c r="P275" s="4">
        <v>5050.48291015625</v>
      </c>
      <c r="Q275" s="5">
        <f t="shared" si="16"/>
        <v>-0.30190028886729092</v>
      </c>
      <c r="R275" s="4">
        <v>7254.3868104345574</v>
      </c>
      <c r="S275" s="5">
        <f t="shared" si="17"/>
        <v>2.7328924577278979E-3</v>
      </c>
      <c r="T275" s="4">
        <v>5315.377903888826</v>
      </c>
      <c r="U275" s="5">
        <f t="shared" si="18"/>
        <v>-0.26528535087129423</v>
      </c>
      <c r="V275" s="4">
        <v>4508.13623046875</v>
      </c>
      <c r="W275" s="5">
        <f t="shared" si="19"/>
        <v>-0.37686580546418091</v>
      </c>
    </row>
    <row r="276" spans="1:23" x14ac:dyDescent="0.25">
      <c r="A276" t="s">
        <v>496</v>
      </c>
      <c r="B276">
        <v>2018</v>
      </c>
      <c r="C276" t="s">
        <v>32</v>
      </c>
      <c r="D276" t="s">
        <v>497</v>
      </c>
      <c r="E276">
        <v>49944</v>
      </c>
      <c r="F276" t="s">
        <v>87</v>
      </c>
      <c r="G276" t="s">
        <v>38</v>
      </c>
      <c r="H276" t="s">
        <v>25</v>
      </c>
      <c r="I276" t="s">
        <v>24</v>
      </c>
      <c r="J276" s="2">
        <v>45589</v>
      </c>
      <c r="K276" t="s">
        <v>25</v>
      </c>
      <c r="L276">
        <v>43612</v>
      </c>
      <c r="M276">
        <v>264</v>
      </c>
      <c r="N276">
        <v>314</v>
      </c>
      <c r="O276" s="4">
        <v>16900</v>
      </c>
      <c r="P276" s="4">
        <v>16765.158203125</v>
      </c>
      <c r="Q276" s="5">
        <f t="shared" si="16"/>
        <v>-7.9788045488166093E-3</v>
      </c>
      <c r="R276" s="4">
        <v>16823.207165067561</v>
      </c>
      <c r="S276" s="5">
        <f t="shared" si="17"/>
        <v>-4.5439547297301264E-3</v>
      </c>
      <c r="T276" s="4">
        <v>21271.938644388181</v>
      </c>
      <c r="U276" s="5">
        <f t="shared" si="18"/>
        <v>0.25869459434249586</v>
      </c>
      <c r="V276" s="4">
        <v>16700.095703125</v>
      </c>
      <c r="W276" s="5">
        <f t="shared" si="19"/>
        <v>-1.1828656619822464E-2</v>
      </c>
    </row>
    <row r="277" spans="1:23" x14ac:dyDescent="0.25">
      <c r="A277" t="s">
        <v>498</v>
      </c>
      <c r="B277">
        <v>2018</v>
      </c>
      <c r="C277" t="s">
        <v>53</v>
      </c>
      <c r="D277" t="s">
        <v>499</v>
      </c>
      <c r="E277">
        <v>120576</v>
      </c>
      <c r="F277" t="s">
        <v>214</v>
      </c>
      <c r="G277" t="s">
        <v>34</v>
      </c>
      <c r="H277" t="s">
        <v>25</v>
      </c>
      <c r="I277" t="s">
        <v>24</v>
      </c>
      <c r="J277" s="2">
        <v>45680</v>
      </c>
      <c r="K277" t="s">
        <v>25</v>
      </c>
      <c r="L277">
        <v>43617</v>
      </c>
      <c r="M277">
        <v>264</v>
      </c>
      <c r="N277">
        <v>314</v>
      </c>
      <c r="O277" s="4">
        <v>22600</v>
      </c>
      <c r="P277" s="4">
        <v>9470.9716796875</v>
      </c>
      <c r="Q277" s="5">
        <f t="shared" si="16"/>
        <v>-0.58093045665099563</v>
      </c>
      <c r="R277" s="4">
        <v>11388.103840698221</v>
      </c>
      <c r="S277" s="5">
        <f t="shared" si="17"/>
        <v>-0.4961015999691053</v>
      </c>
      <c r="T277" s="4">
        <v>12966.36058064678</v>
      </c>
      <c r="U277" s="5">
        <f t="shared" si="18"/>
        <v>-0.42626723094483276</v>
      </c>
      <c r="V277" s="4">
        <v>8782.2353515625</v>
      </c>
      <c r="W277" s="5">
        <f t="shared" si="19"/>
        <v>-0.61140551541758847</v>
      </c>
    </row>
    <row r="278" spans="1:23" x14ac:dyDescent="0.25">
      <c r="A278" t="s">
        <v>500</v>
      </c>
      <c r="B278">
        <v>2018</v>
      </c>
      <c r="C278" t="s">
        <v>20</v>
      </c>
      <c r="D278" t="s">
        <v>81</v>
      </c>
      <c r="E278">
        <v>122706</v>
      </c>
      <c r="F278" t="s">
        <v>246</v>
      </c>
      <c r="G278" t="s">
        <v>38</v>
      </c>
      <c r="H278" t="s">
        <v>25</v>
      </c>
      <c r="I278" t="s">
        <v>24</v>
      </c>
      <c r="J278" s="2">
        <v>45561</v>
      </c>
      <c r="K278" t="s">
        <v>25</v>
      </c>
      <c r="L278">
        <v>43617</v>
      </c>
      <c r="M278">
        <v>264</v>
      </c>
      <c r="N278">
        <v>314</v>
      </c>
      <c r="O278" s="4">
        <v>13200</v>
      </c>
      <c r="P278" s="4">
        <v>5340.1357421875</v>
      </c>
      <c r="Q278" s="5">
        <f t="shared" si="16"/>
        <v>-0.59544426195549249</v>
      </c>
      <c r="R278" s="4">
        <v>5900.8444248019541</v>
      </c>
      <c r="S278" s="5">
        <f t="shared" si="17"/>
        <v>-0.55296633145439744</v>
      </c>
      <c r="T278" s="4">
        <v>3950.4187916659812</v>
      </c>
      <c r="U278" s="5">
        <f t="shared" si="18"/>
        <v>-0.70072584911621361</v>
      </c>
      <c r="V278" s="4">
        <v>5236.423828125</v>
      </c>
      <c r="W278" s="5">
        <f t="shared" si="19"/>
        <v>-0.60330122514204543</v>
      </c>
    </row>
    <row r="279" spans="1:23" x14ac:dyDescent="0.25">
      <c r="A279" t="s">
        <v>501</v>
      </c>
      <c r="B279">
        <v>2019</v>
      </c>
      <c r="C279" t="s">
        <v>369</v>
      </c>
      <c r="D279" t="s">
        <v>132</v>
      </c>
      <c r="E279">
        <v>144238</v>
      </c>
      <c r="F279" t="s">
        <v>29</v>
      </c>
      <c r="G279" t="s">
        <v>38</v>
      </c>
      <c r="H279" t="s">
        <v>25</v>
      </c>
      <c r="I279" t="s">
        <v>24</v>
      </c>
      <c r="J279" s="2">
        <v>45575</v>
      </c>
      <c r="K279" t="s">
        <v>25</v>
      </c>
      <c r="L279">
        <v>43617</v>
      </c>
      <c r="M279">
        <v>264</v>
      </c>
      <c r="N279">
        <v>314</v>
      </c>
      <c r="O279" s="4">
        <v>19900</v>
      </c>
      <c r="P279" s="4">
        <v>7372.01513671875</v>
      </c>
      <c r="Q279" s="5">
        <f t="shared" si="16"/>
        <v>-0.62954697805433413</v>
      </c>
      <c r="R279" s="4">
        <v>10215.98544820805</v>
      </c>
      <c r="S279" s="5">
        <f t="shared" si="17"/>
        <v>-0.4866338970749724</v>
      </c>
      <c r="T279" s="4">
        <v>13758.25151721695</v>
      </c>
      <c r="U279" s="5">
        <f t="shared" si="18"/>
        <v>-0.30863057702427388</v>
      </c>
      <c r="V279" s="4">
        <v>9733.3486328125</v>
      </c>
      <c r="W279" s="5">
        <f t="shared" si="19"/>
        <v>-0.51088700337625625</v>
      </c>
    </row>
    <row r="280" spans="1:23" x14ac:dyDescent="0.25">
      <c r="A280" t="s">
        <v>502</v>
      </c>
      <c r="B280">
        <v>2020</v>
      </c>
      <c r="C280" t="s">
        <v>156</v>
      </c>
      <c r="D280" t="s">
        <v>157</v>
      </c>
      <c r="E280">
        <v>56095</v>
      </c>
      <c r="F280" t="s">
        <v>382</v>
      </c>
      <c r="G280" t="s">
        <v>44</v>
      </c>
      <c r="H280" t="s">
        <v>25</v>
      </c>
      <c r="I280" t="s">
        <v>24</v>
      </c>
      <c r="J280" s="2">
        <v>45631</v>
      </c>
      <c r="K280" t="s">
        <v>25</v>
      </c>
      <c r="L280">
        <v>43617</v>
      </c>
      <c r="M280">
        <v>264</v>
      </c>
      <c r="N280">
        <v>314</v>
      </c>
      <c r="O280" s="4">
        <v>11900</v>
      </c>
      <c r="P280" s="4">
        <v>8703.4873046875</v>
      </c>
      <c r="Q280" s="5">
        <f t="shared" si="16"/>
        <v>-0.26861451221113442</v>
      </c>
      <c r="R280" s="4">
        <v>8550.010910172341</v>
      </c>
      <c r="S280" s="5">
        <f t="shared" si="17"/>
        <v>-0.28151168822081163</v>
      </c>
      <c r="T280" s="4">
        <v>9356.6784557984101</v>
      </c>
      <c r="U280" s="5">
        <f t="shared" si="18"/>
        <v>-0.21372449951273864</v>
      </c>
      <c r="V280" s="4">
        <v>8808.11328125</v>
      </c>
      <c r="W280" s="5">
        <f t="shared" si="19"/>
        <v>-0.25982241334033618</v>
      </c>
    </row>
    <row r="281" spans="1:23" x14ac:dyDescent="0.25">
      <c r="A281" t="s">
        <v>503</v>
      </c>
      <c r="B281">
        <v>2019</v>
      </c>
      <c r="C281" t="s">
        <v>167</v>
      </c>
      <c r="D281" t="s">
        <v>168</v>
      </c>
      <c r="E281">
        <v>43718</v>
      </c>
      <c r="F281" t="s">
        <v>161</v>
      </c>
      <c r="G281" t="s">
        <v>44</v>
      </c>
      <c r="H281" t="s">
        <v>25</v>
      </c>
      <c r="I281" t="s">
        <v>24</v>
      </c>
      <c r="J281" s="2">
        <v>45505</v>
      </c>
      <c r="K281" t="s">
        <v>25</v>
      </c>
      <c r="L281">
        <v>43617</v>
      </c>
      <c r="M281">
        <v>264</v>
      </c>
      <c r="N281">
        <v>314</v>
      </c>
      <c r="O281" s="4">
        <v>11000</v>
      </c>
      <c r="P281" s="4">
        <v>14793.470703125</v>
      </c>
      <c r="Q281" s="5">
        <f t="shared" si="16"/>
        <v>0.34486097301136365</v>
      </c>
      <c r="R281" s="4">
        <v>14691.53717905136</v>
      </c>
      <c r="S281" s="5">
        <f t="shared" si="17"/>
        <v>0.33559428900466903</v>
      </c>
      <c r="T281" s="4">
        <v>12523.17922485015</v>
      </c>
      <c r="U281" s="5">
        <f t="shared" si="18"/>
        <v>0.1384708386227409</v>
      </c>
      <c r="V281" s="4">
        <v>14986.6953125</v>
      </c>
      <c r="W281" s="5">
        <f t="shared" si="19"/>
        <v>0.36242684659090907</v>
      </c>
    </row>
    <row r="282" spans="1:23" x14ac:dyDescent="0.25">
      <c r="A282" t="s">
        <v>504</v>
      </c>
      <c r="B282">
        <v>2020</v>
      </c>
      <c r="C282" t="s">
        <v>167</v>
      </c>
      <c r="D282" t="s">
        <v>168</v>
      </c>
      <c r="E282">
        <v>82878</v>
      </c>
      <c r="F282" t="s">
        <v>37</v>
      </c>
      <c r="G282" t="s">
        <v>38</v>
      </c>
      <c r="H282" t="s">
        <v>25</v>
      </c>
      <c r="I282" t="s">
        <v>24</v>
      </c>
      <c r="J282" s="2">
        <v>45372</v>
      </c>
      <c r="K282" t="s">
        <v>25</v>
      </c>
      <c r="L282">
        <v>43617</v>
      </c>
      <c r="M282">
        <v>264</v>
      </c>
      <c r="N282">
        <v>314</v>
      </c>
      <c r="O282" s="4">
        <v>15400</v>
      </c>
      <c r="P282" s="4">
        <v>7305.6064453125</v>
      </c>
      <c r="Q282" s="5">
        <f t="shared" si="16"/>
        <v>-0.52560997108360397</v>
      </c>
      <c r="R282" s="4">
        <v>11540.415055151339</v>
      </c>
      <c r="S282" s="5">
        <f t="shared" si="17"/>
        <v>-0.2506223990161468</v>
      </c>
      <c r="T282" s="4">
        <v>7929.8435053004432</v>
      </c>
      <c r="U282" s="5">
        <f t="shared" si="18"/>
        <v>-0.48507509705841279</v>
      </c>
      <c r="V282" s="4">
        <v>8913.6142578125</v>
      </c>
      <c r="W282" s="5">
        <f t="shared" si="19"/>
        <v>-0.42119387936282471</v>
      </c>
    </row>
    <row r="283" spans="1:23" x14ac:dyDescent="0.25">
      <c r="A283" t="s">
        <v>505</v>
      </c>
      <c r="B283">
        <v>2019</v>
      </c>
      <c r="C283" t="s">
        <v>185</v>
      </c>
      <c r="D283" t="s">
        <v>506</v>
      </c>
      <c r="E283">
        <v>95840</v>
      </c>
      <c r="F283" t="s">
        <v>55</v>
      </c>
      <c r="G283" t="s">
        <v>38</v>
      </c>
      <c r="H283" t="s">
        <v>24</v>
      </c>
      <c r="I283" t="s">
        <v>24</v>
      </c>
      <c r="J283" s="2">
        <v>45400</v>
      </c>
      <c r="K283" t="s">
        <v>25</v>
      </c>
      <c r="L283">
        <v>43617</v>
      </c>
      <c r="M283">
        <v>264</v>
      </c>
      <c r="N283">
        <v>314</v>
      </c>
      <c r="O283" s="4">
        <v>5300</v>
      </c>
      <c r="P283" s="4">
        <v>5733.72705078125</v>
      </c>
      <c r="Q283" s="5">
        <f t="shared" si="16"/>
        <v>8.183529260023592E-2</v>
      </c>
      <c r="R283" s="4">
        <v>5871.2381812818776</v>
      </c>
      <c r="S283" s="5">
        <f t="shared" si="17"/>
        <v>0.10778078892110887</v>
      </c>
      <c r="T283" s="4">
        <v>9093.3777592713359</v>
      </c>
      <c r="U283" s="5">
        <f t="shared" si="18"/>
        <v>0.71573165269270489</v>
      </c>
      <c r="V283" s="4">
        <v>5838.05322265625</v>
      </c>
      <c r="W283" s="5">
        <f t="shared" si="19"/>
        <v>0.10151947597287725</v>
      </c>
    </row>
    <row r="284" spans="1:23" x14ac:dyDescent="0.25">
      <c r="A284" t="s">
        <v>507</v>
      </c>
      <c r="B284">
        <v>2020</v>
      </c>
      <c r="C284" t="s">
        <v>156</v>
      </c>
      <c r="D284" t="s">
        <v>196</v>
      </c>
      <c r="E284">
        <v>51404</v>
      </c>
      <c r="F284" t="s">
        <v>43</v>
      </c>
      <c r="G284" t="s">
        <v>44</v>
      </c>
      <c r="H284" t="s">
        <v>24</v>
      </c>
      <c r="I284" t="s">
        <v>24</v>
      </c>
      <c r="J284" s="2">
        <v>45428</v>
      </c>
      <c r="K284" t="s">
        <v>25</v>
      </c>
      <c r="L284">
        <v>43617</v>
      </c>
      <c r="M284">
        <v>264</v>
      </c>
      <c r="N284">
        <v>314</v>
      </c>
      <c r="O284" s="4">
        <v>11400</v>
      </c>
      <c r="P284" s="4">
        <v>13684.3681640625</v>
      </c>
      <c r="Q284" s="5">
        <f t="shared" si="16"/>
        <v>0.20038317228618419</v>
      </c>
      <c r="R284" s="4">
        <v>14465.12336900736</v>
      </c>
      <c r="S284" s="5">
        <f t="shared" si="17"/>
        <v>0.26887047096555783</v>
      </c>
      <c r="T284" s="4">
        <v>14106.175855480151</v>
      </c>
      <c r="U284" s="5">
        <f t="shared" si="18"/>
        <v>0.23738384697194315</v>
      </c>
      <c r="V284" s="4">
        <v>13766.40234375</v>
      </c>
      <c r="W284" s="5">
        <f t="shared" si="19"/>
        <v>0.20757915296052643</v>
      </c>
    </row>
    <row r="285" spans="1:23" x14ac:dyDescent="0.25">
      <c r="A285" t="s">
        <v>508</v>
      </c>
      <c r="B285">
        <v>2018</v>
      </c>
      <c r="C285" t="s">
        <v>185</v>
      </c>
      <c r="D285" t="s">
        <v>509</v>
      </c>
      <c r="E285">
        <v>142824</v>
      </c>
      <c r="F285" t="s">
        <v>61</v>
      </c>
      <c r="G285" t="s">
        <v>30</v>
      </c>
      <c r="H285" t="s">
        <v>24</v>
      </c>
      <c r="I285" t="s">
        <v>25</v>
      </c>
      <c r="J285" s="2">
        <v>45680</v>
      </c>
      <c r="K285" t="s">
        <v>25</v>
      </c>
      <c r="L285">
        <v>43617</v>
      </c>
      <c r="M285">
        <v>264</v>
      </c>
      <c r="N285">
        <v>314</v>
      </c>
      <c r="O285" s="4">
        <v>12100</v>
      </c>
      <c r="P285" s="4">
        <v>3254.385986328125</v>
      </c>
      <c r="Q285" s="5">
        <f t="shared" si="16"/>
        <v>-0.73104248046874998</v>
      </c>
      <c r="R285" s="4">
        <v>3399.928449932198</v>
      </c>
      <c r="S285" s="5">
        <f t="shared" si="17"/>
        <v>-0.71901417769155396</v>
      </c>
      <c r="T285" s="4">
        <v>4830.924711259162</v>
      </c>
      <c r="U285" s="5">
        <f t="shared" si="18"/>
        <v>-0.60075002386287912</v>
      </c>
      <c r="V285" s="4">
        <v>3203.70068359375</v>
      </c>
      <c r="W285" s="5">
        <f t="shared" si="19"/>
        <v>-0.73523134846332638</v>
      </c>
    </row>
    <row r="286" spans="1:23" x14ac:dyDescent="0.25">
      <c r="A286" t="s">
        <v>510</v>
      </c>
      <c r="B286">
        <v>2014</v>
      </c>
      <c r="C286" t="s">
        <v>32</v>
      </c>
      <c r="D286" t="s">
        <v>322</v>
      </c>
      <c r="E286">
        <v>128271</v>
      </c>
      <c r="F286" t="s">
        <v>29</v>
      </c>
      <c r="G286" t="s">
        <v>30</v>
      </c>
      <c r="H286" t="s">
        <v>24</v>
      </c>
      <c r="I286" t="s">
        <v>25</v>
      </c>
      <c r="J286" s="2">
        <v>45370</v>
      </c>
      <c r="K286" t="s">
        <v>25</v>
      </c>
      <c r="L286">
        <v>43725</v>
      </c>
      <c r="M286">
        <v>222</v>
      </c>
      <c r="N286">
        <v>272</v>
      </c>
      <c r="O286" s="4">
        <v>5700</v>
      </c>
      <c r="P286" s="4">
        <v>3637.805419921875</v>
      </c>
      <c r="Q286" s="5">
        <f t="shared" si="16"/>
        <v>-0.36178852282072371</v>
      </c>
      <c r="R286" s="4">
        <v>4892.3342114789557</v>
      </c>
      <c r="S286" s="5">
        <f t="shared" si="17"/>
        <v>-0.14169575237211307</v>
      </c>
      <c r="T286" s="4">
        <v>4238.3611098205811</v>
      </c>
      <c r="U286" s="5">
        <f t="shared" si="18"/>
        <v>-0.25642787547007351</v>
      </c>
      <c r="V286" s="4">
        <v>3267.585205078125</v>
      </c>
      <c r="W286" s="5">
        <f t="shared" si="19"/>
        <v>-0.42673943770559208</v>
      </c>
    </row>
    <row r="287" spans="1:23" x14ac:dyDescent="0.25">
      <c r="A287" t="s">
        <v>511</v>
      </c>
      <c r="B287">
        <v>2015</v>
      </c>
      <c r="C287" t="s">
        <v>266</v>
      </c>
      <c r="D287" t="s">
        <v>512</v>
      </c>
      <c r="E287">
        <v>86149</v>
      </c>
      <c r="F287" t="s">
        <v>61</v>
      </c>
      <c r="G287" t="s">
        <v>34</v>
      </c>
      <c r="H287" t="s">
        <v>25</v>
      </c>
      <c r="I287" t="s">
        <v>24</v>
      </c>
      <c r="J287" s="2">
        <v>45407</v>
      </c>
      <c r="K287" t="s">
        <v>25</v>
      </c>
      <c r="L287">
        <v>43725</v>
      </c>
      <c r="M287">
        <v>222</v>
      </c>
      <c r="N287">
        <v>272</v>
      </c>
      <c r="O287" s="4">
        <v>4400</v>
      </c>
      <c r="P287" s="4">
        <v>3077.62890625</v>
      </c>
      <c r="Q287" s="5">
        <f t="shared" si="16"/>
        <v>-0.30053888494318182</v>
      </c>
      <c r="R287" s="4">
        <v>4537.1204281485943</v>
      </c>
      <c r="S287" s="5">
        <f t="shared" si="17"/>
        <v>3.1163733670135141E-2</v>
      </c>
      <c r="T287" s="4">
        <v>6647.3801317655316</v>
      </c>
      <c r="U287" s="5">
        <f t="shared" si="18"/>
        <v>0.51076821176489351</v>
      </c>
      <c r="V287" s="4">
        <v>2763.0634765625</v>
      </c>
      <c r="W287" s="5">
        <f t="shared" si="19"/>
        <v>-0.37203102805397725</v>
      </c>
    </row>
    <row r="288" spans="1:23" x14ac:dyDescent="0.25">
      <c r="A288" t="s">
        <v>513</v>
      </c>
      <c r="B288">
        <v>2015</v>
      </c>
      <c r="C288" t="s">
        <v>185</v>
      </c>
      <c r="D288" t="s">
        <v>514</v>
      </c>
      <c r="E288">
        <v>80934</v>
      </c>
      <c r="F288" t="s">
        <v>37</v>
      </c>
      <c r="G288" t="s">
        <v>30</v>
      </c>
      <c r="H288" t="s">
        <v>24</v>
      </c>
      <c r="I288" t="s">
        <v>25</v>
      </c>
      <c r="J288" s="2">
        <v>45706</v>
      </c>
      <c r="K288" t="s">
        <v>25</v>
      </c>
      <c r="L288">
        <v>43725</v>
      </c>
      <c r="M288">
        <v>222</v>
      </c>
      <c r="N288">
        <v>272</v>
      </c>
      <c r="O288" s="4">
        <v>4200</v>
      </c>
      <c r="P288" s="4">
        <v>5035.2177734375</v>
      </c>
      <c r="Q288" s="5">
        <f t="shared" si="16"/>
        <v>0.19886137462797615</v>
      </c>
      <c r="R288" s="4">
        <v>7180.0940824093486</v>
      </c>
      <c r="S288" s="5">
        <f t="shared" si="17"/>
        <v>0.70954621009746388</v>
      </c>
      <c r="T288" s="4">
        <v>4566.6203927548804</v>
      </c>
      <c r="U288" s="5">
        <f t="shared" si="18"/>
        <v>8.7290569703542875E-2</v>
      </c>
      <c r="V288" s="4">
        <v>4404.6767578125</v>
      </c>
      <c r="W288" s="5">
        <f t="shared" si="19"/>
        <v>4.8732561383928674E-2</v>
      </c>
    </row>
    <row r="289" spans="1:23" x14ac:dyDescent="0.25">
      <c r="A289" t="s">
        <v>515</v>
      </c>
      <c r="B289">
        <v>2015</v>
      </c>
      <c r="C289" t="s">
        <v>156</v>
      </c>
      <c r="D289" t="s">
        <v>173</v>
      </c>
      <c r="E289">
        <v>127276</v>
      </c>
      <c r="F289" t="s">
        <v>66</v>
      </c>
      <c r="G289" t="s">
        <v>23</v>
      </c>
      <c r="H289" t="s">
        <v>24</v>
      </c>
      <c r="I289" t="s">
        <v>25</v>
      </c>
      <c r="J289" s="2">
        <v>45407</v>
      </c>
      <c r="K289" t="s">
        <v>25</v>
      </c>
      <c r="L289">
        <v>43725</v>
      </c>
      <c r="M289">
        <v>222</v>
      </c>
      <c r="N289">
        <v>272</v>
      </c>
      <c r="O289" s="4">
        <v>2100</v>
      </c>
      <c r="P289" s="4">
        <v>1673.394897460938</v>
      </c>
      <c r="Q289" s="5">
        <f t="shared" si="16"/>
        <v>-0.20314528692336287</v>
      </c>
      <c r="R289" s="4">
        <v>1786.8654782055439</v>
      </c>
      <c r="S289" s="5">
        <f t="shared" si="17"/>
        <v>-0.14911167704497907</v>
      </c>
      <c r="T289" s="4">
        <v>2155.0130983373019</v>
      </c>
      <c r="U289" s="5">
        <f t="shared" si="18"/>
        <v>2.6196713493953361E-2</v>
      </c>
      <c r="V289" s="4">
        <v>1612.918701171875</v>
      </c>
      <c r="W289" s="5">
        <f t="shared" si="19"/>
        <v>-0.23194347563244044</v>
      </c>
    </row>
    <row r="290" spans="1:23" x14ac:dyDescent="0.25">
      <c r="A290" t="s">
        <v>516</v>
      </c>
      <c r="B290">
        <v>2014</v>
      </c>
      <c r="C290" t="s">
        <v>104</v>
      </c>
      <c r="D290" t="s">
        <v>105</v>
      </c>
      <c r="E290">
        <v>107053</v>
      </c>
      <c r="F290" t="s">
        <v>141</v>
      </c>
      <c r="G290" t="s">
        <v>34</v>
      </c>
      <c r="H290" t="s">
        <v>25</v>
      </c>
      <c r="I290" t="s">
        <v>24</v>
      </c>
      <c r="J290" s="2">
        <v>45664</v>
      </c>
      <c r="K290" t="s">
        <v>25</v>
      </c>
      <c r="L290">
        <v>43777</v>
      </c>
      <c r="M290">
        <v>90</v>
      </c>
      <c r="N290">
        <v>120</v>
      </c>
      <c r="O290" s="4">
        <v>5400</v>
      </c>
      <c r="P290" s="4">
        <v>8031.6572265625</v>
      </c>
      <c r="Q290" s="5">
        <f t="shared" si="16"/>
        <v>0.48734393084490746</v>
      </c>
      <c r="R290" s="4">
        <v>8779.5893718080388</v>
      </c>
      <c r="S290" s="5">
        <f t="shared" si="17"/>
        <v>0.62584988366815542</v>
      </c>
      <c r="T290" s="4">
        <v>6850.317201633763</v>
      </c>
      <c r="U290" s="5">
        <f t="shared" si="18"/>
        <v>0.26857725956180789</v>
      </c>
      <c r="V290" s="4">
        <v>7749.33251953125</v>
      </c>
      <c r="W290" s="5">
        <f t="shared" si="19"/>
        <v>0.43506157769097231</v>
      </c>
    </row>
    <row r="291" spans="1:23" x14ac:dyDescent="0.25">
      <c r="A291" t="s">
        <v>517</v>
      </c>
      <c r="B291">
        <v>2017</v>
      </c>
      <c r="C291" t="s">
        <v>156</v>
      </c>
      <c r="D291" t="s">
        <v>178</v>
      </c>
      <c r="E291">
        <v>40980</v>
      </c>
      <c r="F291" t="s">
        <v>66</v>
      </c>
      <c r="G291" t="s">
        <v>23</v>
      </c>
      <c r="H291" t="s">
        <v>24</v>
      </c>
      <c r="I291" t="s">
        <v>25</v>
      </c>
      <c r="J291" s="2">
        <v>45708</v>
      </c>
      <c r="K291" t="s">
        <v>25</v>
      </c>
      <c r="L291">
        <v>43777</v>
      </c>
      <c r="M291">
        <v>90</v>
      </c>
      <c r="N291">
        <v>120</v>
      </c>
      <c r="O291" s="4">
        <v>10000</v>
      </c>
      <c r="P291" s="4">
        <v>6699.8623046875</v>
      </c>
      <c r="Q291" s="5">
        <f t="shared" si="16"/>
        <v>-0.33001376953124995</v>
      </c>
      <c r="R291" s="4">
        <v>7723.2681282929598</v>
      </c>
      <c r="S291" s="5">
        <f t="shared" si="17"/>
        <v>-0.22767318717070406</v>
      </c>
      <c r="T291" s="4">
        <v>9155.1989112024912</v>
      </c>
      <c r="U291" s="5">
        <f t="shared" si="18"/>
        <v>-8.4480108879750881E-2</v>
      </c>
      <c r="V291" s="4">
        <v>6385.93603515625</v>
      </c>
      <c r="W291" s="5">
        <f t="shared" si="19"/>
        <v>-0.361406396484375</v>
      </c>
    </row>
    <row r="292" spans="1:23" x14ac:dyDescent="0.25">
      <c r="A292" t="s">
        <v>518</v>
      </c>
      <c r="B292">
        <v>2010</v>
      </c>
      <c r="C292" t="s">
        <v>519</v>
      </c>
      <c r="D292" t="s">
        <v>520</v>
      </c>
      <c r="E292">
        <v>126711</v>
      </c>
      <c r="F292" t="s">
        <v>151</v>
      </c>
      <c r="G292" t="s">
        <v>30</v>
      </c>
      <c r="H292" t="s">
        <v>24</v>
      </c>
      <c r="I292" t="s">
        <v>25</v>
      </c>
      <c r="J292" s="2">
        <v>45706</v>
      </c>
      <c r="K292" t="s">
        <v>25</v>
      </c>
      <c r="L292">
        <v>43777</v>
      </c>
      <c r="M292">
        <v>90</v>
      </c>
      <c r="N292">
        <v>120</v>
      </c>
      <c r="O292" s="4">
        <v>2700</v>
      </c>
      <c r="P292" s="4">
        <v>3773.814453125</v>
      </c>
      <c r="Q292" s="5">
        <f t="shared" si="16"/>
        <v>0.39770905671296286</v>
      </c>
      <c r="R292" s="4">
        <v>4124.3943646467487</v>
      </c>
      <c r="S292" s="5">
        <f t="shared" si="17"/>
        <v>0.5275534683876848</v>
      </c>
      <c r="T292" s="4">
        <v>3891.7831398674189</v>
      </c>
      <c r="U292" s="5">
        <f t="shared" si="18"/>
        <v>0.44140116291385878</v>
      </c>
      <c r="V292" s="4">
        <v>3578.20166015625</v>
      </c>
      <c r="W292" s="5">
        <f t="shared" si="19"/>
        <v>0.32525987413194435</v>
      </c>
    </row>
    <row r="293" spans="1:23" x14ac:dyDescent="0.25">
      <c r="A293" t="s">
        <v>521</v>
      </c>
      <c r="B293">
        <v>2012</v>
      </c>
      <c r="C293" t="s">
        <v>32</v>
      </c>
      <c r="D293" t="s">
        <v>36</v>
      </c>
      <c r="E293">
        <v>141957</v>
      </c>
      <c r="F293" t="s">
        <v>22</v>
      </c>
      <c r="G293" t="s">
        <v>30</v>
      </c>
      <c r="H293" t="s">
        <v>24</v>
      </c>
      <c r="I293" t="s">
        <v>25</v>
      </c>
      <c r="J293" s="2">
        <v>45491</v>
      </c>
      <c r="K293" t="s">
        <v>25</v>
      </c>
      <c r="L293">
        <v>43935</v>
      </c>
      <c r="M293">
        <v>222</v>
      </c>
      <c r="N293">
        <v>272</v>
      </c>
      <c r="O293" s="4">
        <v>2400</v>
      </c>
      <c r="P293" s="4">
        <v>2809.973388671875</v>
      </c>
      <c r="Q293" s="5">
        <f t="shared" si="16"/>
        <v>0.17082224527994794</v>
      </c>
      <c r="R293" s="4">
        <v>2601.0423555356278</v>
      </c>
      <c r="S293" s="5">
        <f t="shared" si="17"/>
        <v>8.376764813984483E-2</v>
      </c>
      <c r="T293" s="4">
        <v>3965.1498115649888</v>
      </c>
      <c r="U293" s="5">
        <f t="shared" si="18"/>
        <v>0.65214575481874526</v>
      </c>
      <c r="V293" s="4">
        <v>2788.082275390625</v>
      </c>
      <c r="W293" s="5">
        <f t="shared" si="19"/>
        <v>0.16170094807942714</v>
      </c>
    </row>
    <row r="294" spans="1:23" x14ac:dyDescent="0.25">
      <c r="A294" t="s">
        <v>522</v>
      </c>
      <c r="B294">
        <v>2014</v>
      </c>
      <c r="C294" t="s">
        <v>32</v>
      </c>
      <c r="D294" t="s">
        <v>36</v>
      </c>
      <c r="E294">
        <v>110361</v>
      </c>
      <c r="F294" t="s">
        <v>43</v>
      </c>
      <c r="G294" t="s">
        <v>30</v>
      </c>
      <c r="H294" t="s">
        <v>24</v>
      </c>
      <c r="I294" t="s">
        <v>25</v>
      </c>
      <c r="J294" s="2">
        <v>45449</v>
      </c>
      <c r="K294" t="s">
        <v>25</v>
      </c>
      <c r="L294">
        <v>43935</v>
      </c>
      <c r="M294">
        <v>222</v>
      </c>
      <c r="N294">
        <v>272</v>
      </c>
      <c r="O294" s="4">
        <v>6000</v>
      </c>
      <c r="P294" s="4">
        <v>7462.26123046875</v>
      </c>
      <c r="Q294" s="5">
        <f t="shared" si="16"/>
        <v>0.24371020507812502</v>
      </c>
      <c r="R294" s="4">
        <v>7337.5375369121066</v>
      </c>
      <c r="S294" s="5">
        <f t="shared" si="17"/>
        <v>0.22292292281868442</v>
      </c>
      <c r="T294" s="4">
        <v>10077.693241102041</v>
      </c>
      <c r="U294" s="5">
        <f t="shared" si="18"/>
        <v>0.67961554018367343</v>
      </c>
      <c r="V294" s="4">
        <v>7435.8046875</v>
      </c>
      <c r="W294" s="5">
        <f t="shared" si="19"/>
        <v>0.23930078125000009</v>
      </c>
    </row>
    <row r="295" spans="1:23" x14ac:dyDescent="0.25">
      <c r="A295" t="s">
        <v>523</v>
      </c>
      <c r="B295">
        <v>2017</v>
      </c>
      <c r="C295" t="s">
        <v>32</v>
      </c>
      <c r="D295" t="s">
        <v>524</v>
      </c>
      <c r="E295">
        <v>89170</v>
      </c>
      <c r="F295" t="s">
        <v>29</v>
      </c>
      <c r="G295" t="s">
        <v>34</v>
      </c>
      <c r="H295" t="s">
        <v>25</v>
      </c>
      <c r="I295" t="s">
        <v>24</v>
      </c>
      <c r="J295" s="2">
        <v>45722</v>
      </c>
      <c r="K295" t="s">
        <v>25</v>
      </c>
      <c r="L295">
        <v>43935</v>
      </c>
      <c r="M295">
        <v>222</v>
      </c>
      <c r="N295">
        <v>272</v>
      </c>
      <c r="O295" s="4">
        <v>4000</v>
      </c>
      <c r="P295" s="4">
        <v>7286.9189453125</v>
      </c>
      <c r="Q295" s="5">
        <f t="shared" si="16"/>
        <v>0.82172973632812507</v>
      </c>
      <c r="R295" s="4">
        <v>10191.71338172831</v>
      </c>
      <c r="S295" s="5">
        <f t="shared" si="17"/>
        <v>1.5479283454320774</v>
      </c>
      <c r="T295" s="4">
        <v>12749.526613708371</v>
      </c>
      <c r="U295" s="5">
        <f t="shared" si="18"/>
        <v>2.1873816534270927</v>
      </c>
      <c r="V295" s="4">
        <v>6995.0673828125</v>
      </c>
      <c r="W295" s="5">
        <f t="shared" si="19"/>
        <v>0.74876684570312491</v>
      </c>
    </row>
    <row r="296" spans="1:23" x14ac:dyDescent="0.25">
      <c r="A296" t="s">
        <v>525</v>
      </c>
      <c r="B296">
        <v>2015</v>
      </c>
      <c r="C296" t="s">
        <v>32</v>
      </c>
      <c r="D296" t="s">
        <v>320</v>
      </c>
      <c r="E296">
        <v>119115</v>
      </c>
      <c r="F296" t="s">
        <v>89</v>
      </c>
      <c r="G296" t="s">
        <v>34</v>
      </c>
      <c r="H296" t="s">
        <v>25</v>
      </c>
      <c r="I296" t="s">
        <v>24</v>
      </c>
      <c r="J296" s="2">
        <v>45449</v>
      </c>
      <c r="K296" t="s">
        <v>25</v>
      </c>
      <c r="L296">
        <v>43935</v>
      </c>
      <c r="M296">
        <v>222</v>
      </c>
      <c r="N296">
        <v>272</v>
      </c>
      <c r="O296" s="4">
        <v>3100</v>
      </c>
      <c r="P296" s="4">
        <v>4468.05712890625</v>
      </c>
      <c r="Q296" s="5">
        <f t="shared" si="16"/>
        <v>0.44130875126008062</v>
      </c>
      <c r="R296" s="4">
        <v>4662.2699202742333</v>
      </c>
      <c r="S296" s="5">
        <f t="shared" si="17"/>
        <v>0.50395803879813972</v>
      </c>
      <c r="T296" s="4">
        <v>7833.0059805277424</v>
      </c>
      <c r="U296" s="5">
        <f t="shared" si="18"/>
        <v>1.5267761227508845</v>
      </c>
      <c r="V296" s="4">
        <v>4492.99072265625</v>
      </c>
      <c r="W296" s="5">
        <f t="shared" si="19"/>
        <v>0.44935184601814515</v>
      </c>
    </row>
    <row r="297" spans="1:23" x14ac:dyDescent="0.25">
      <c r="A297" t="s">
        <v>526</v>
      </c>
      <c r="B297">
        <v>2013</v>
      </c>
      <c r="C297" t="s">
        <v>46</v>
      </c>
      <c r="D297" t="s">
        <v>47</v>
      </c>
      <c r="E297">
        <v>121281</v>
      </c>
      <c r="F297" t="s">
        <v>61</v>
      </c>
      <c r="G297" t="s">
        <v>30</v>
      </c>
      <c r="H297" t="s">
        <v>24</v>
      </c>
      <c r="I297" t="s">
        <v>25</v>
      </c>
      <c r="J297" s="2">
        <v>45664</v>
      </c>
      <c r="K297" t="s">
        <v>25</v>
      </c>
      <c r="L297">
        <v>43935</v>
      </c>
      <c r="M297">
        <v>222</v>
      </c>
      <c r="N297">
        <v>272</v>
      </c>
      <c r="O297" s="4">
        <v>7500</v>
      </c>
      <c r="P297" s="4">
        <v>3061.566162109375</v>
      </c>
      <c r="Q297" s="5">
        <f t="shared" si="16"/>
        <v>-0.59179117838541662</v>
      </c>
      <c r="R297" s="4">
        <v>3518.0685902578698</v>
      </c>
      <c r="S297" s="5">
        <f t="shared" si="17"/>
        <v>-0.53092418796561736</v>
      </c>
      <c r="T297" s="4">
        <v>5403.102939085622</v>
      </c>
      <c r="U297" s="5">
        <f t="shared" si="18"/>
        <v>-0.27958627478858378</v>
      </c>
      <c r="V297" s="4">
        <v>2893.640380859375</v>
      </c>
      <c r="W297" s="5">
        <f t="shared" si="19"/>
        <v>-0.61418128255208337</v>
      </c>
    </row>
    <row r="298" spans="1:23" x14ac:dyDescent="0.25">
      <c r="A298" t="s">
        <v>527</v>
      </c>
      <c r="B298">
        <v>2019</v>
      </c>
      <c r="C298" t="s">
        <v>32</v>
      </c>
      <c r="D298" t="s">
        <v>118</v>
      </c>
      <c r="E298">
        <v>75399</v>
      </c>
      <c r="F298" t="s">
        <v>151</v>
      </c>
      <c r="G298" t="s">
        <v>44</v>
      </c>
      <c r="H298" t="s">
        <v>25</v>
      </c>
      <c r="I298" t="s">
        <v>24</v>
      </c>
      <c r="J298" s="2">
        <v>45734</v>
      </c>
      <c r="K298" t="s">
        <v>25</v>
      </c>
      <c r="L298">
        <v>43935</v>
      </c>
      <c r="M298">
        <v>222</v>
      </c>
      <c r="N298">
        <v>272</v>
      </c>
      <c r="O298" s="4">
        <v>42000</v>
      </c>
      <c r="P298" s="4">
        <v>16057.8974609375</v>
      </c>
      <c r="Q298" s="5">
        <f t="shared" si="16"/>
        <v>-0.61766910807291664</v>
      </c>
      <c r="R298" s="4">
        <v>15770.76601293059</v>
      </c>
      <c r="S298" s="5">
        <f t="shared" si="17"/>
        <v>-0.62450557112070026</v>
      </c>
      <c r="T298" s="4">
        <v>22769.888668951451</v>
      </c>
      <c r="U298" s="5">
        <f t="shared" si="18"/>
        <v>-0.45785979359639406</v>
      </c>
      <c r="V298" s="4">
        <v>16272.3369140625</v>
      </c>
      <c r="W298" s="5">
        <f t="shared" si="19"/>
        <v>-0.61256340680803567</v>
      </c>
    </row>
    <row r="299" spans="1:23" x14ac:dyDescent="0.25">
      <c r="A299" t="s">
        <v>528</v>
      </c>
      <c r="B299">
        <v>2014</v>
      </c>
      <c r="C299" t="s">
        <v>53</v>
      </c>
      <c r="D299" t="s">
        <v>57</v>
      </c>
      <c r="E299">
        <v>102250</v>
      </c>
      <c r="F299" t="s">
        <v>82</v>
      </c>
      <c r="G299" t="s">
        <v>30</v>
      </c>
      <c r="H299" t="s">
        <v>24</v>
      </c>
      <c r="I299" t="s">
        <v>25</v>
      </c>
      <c r="J299" s="2">
        <v>45384</v>
      </c>
      <c r="K299" t="s">
        <v>25</v>
      </c>
      <c r="L299">
        <v>43935</v>
      </c>
      <c r="M299">
        <v>222</v>
      </c>
      <c r="N299">
        <v>272</v>
      </c>
      <c r="O299" s="4">
        <v>4100</v>
      </c>
      <c r="P299" s="4">
        <v>3869.963134765625</v>
      </c>
      <c r="Q299" s="5">
        <f t="shared" si="16"/>
        <v>-5.6106552496189011E-2</v>
      </c>
      <c r="R299" s="4">
        <v>3885.128562928046</v>
      </c>
      <c r="S299" s="5">
        <f t="shared" si="17"/>
        <v>-5.240766757852533E-2</v>
      </c>
      <c r="T299" s="4">
        <v>1643.066920659001</v>
      </c>
      <c r="U299" s="5">
        <f t="shared" si="18"/>
        <v>-0.59925197057097535</v>
      </c>
      <c r="V299" s="4">
        <v>3759.075927734375</v>
      </c>
      <c r="W299" s="5">
        <f t="shared" si="19"/>
        <v>-8.315221274771345E-2</v>
      </c>
    </row>
    <row r="300" spans="1:23" x14ac:dyDescent="0.25">
      <c r="A300" t="s">
        <v>529</v>
      </c>
      <c r="B300">
        <v>2019</v>
      </c>
      <c r="C300" t="s">
        <v>53</v>
      </c>
      <c r="D300" t="s">
        <v>65</v>
      </c>
      <c r="E300">
        <v>68151</v>
      </c>
      <c r="F300" t="s">
        <v>161</v>
      </c>
      <c r="G300" t="s">
        <v>44</v>
      </c>
      <c r="H300" t="s">
        <v>25</v>
      </c>
      <c r="I300" t="s">
        <v>24</v>
      </c>
      <c r="J300" s="2">
        <v>45512</v>
      </c>
      <c r="K300" t="s">
        <v>25</v>
      </c>
      <c r="L300">
        <v>43935</v>
      </c>
      <c r="M300">
        <v>222</v>
      </c>
      <c r="N300">
        <v>272</v>
      </c>
      <c r="O300" s="4">
        <v>17100</v>
      </c>
      <c r="P300" s="4">
        <v>16789.23828125</v>
      </c>
      <c r="Q300" s="5">
        <f t="shared" si="16"/>
        <v>-1.8173199926900585E-2</v>
      </c>
      <c r="R300" s="4">
        <v>16435.364659319988</v>
      </c>
      <c r="S300" s="5">
        <f t="shared" si="17"/>
        <v>-3.8867563782456815E-2</v>
      </c>
      <c r="T300" s="4">
        <v>20968.043162759172</v>
      </c>
      <c r="U300" s="5">
        <f t="shared" si="18"/>
        <v>0.22620135454732004</v>
      </c>
      <c r="V300" s="4">
        <v>16686.109375</v>
      </c>
      <c r="W300" s="5">
        <f t="shared" si="19"/>
        <v>-2.4204130116959099E-2</v>
      </c>
    </row>
    <row r="301" spans="1:23" x14ac:dyDescent="0.25">
      <c r="A301" t="s">
        <v>530</v>
      </c>
      <c r="B301">
        <v>2017</v>
      </c>
      <c r="C301" t="s">
        <v>53</v>
      </c>
      <c r="D301" t="s">
        <v>65</v>
      </c>
      <c r="E301">
        <v>106815</v>
      </c>
      <c r="F301" t="s">
        <v>254</v>
      </c>
      <c r="G301" t="s">
        <v>30</v>
      </c>
      <c r="H301" t="s">
        <v>24</v>
      </c>
      <c r="I301" t="s">
        <v>25</v>
      </c>
      <c r="J301" s="2">
        <v>45456</v>
      </c>
      <c r="K301" t="s">
        <v>25</v>
      </c>
      <c r="L301">
        <v>43935</v>
      </c>
      <c r="M301">
        <v>222</v>
      </c>
      <c r="N301">
        <v>272</v>
      </c>
      <c r="O301" s="4">
        <v>10400</v>
      </c>
      <c r="P301" s="4">
        <v>8466.501953125</v>
      </c>
      <c r="Q301" s="5">
        <f t="shared" si="16"/>
        <v>-0.18591327373798072</v>
      </c>
      <c r="R301" s="4">
        <v>8734.8271564997049</v>
      </c>
      <c r="S301" s="5">
        <f t="shared" si="17"/>
        <v>-0.16011277341348995</v>
      </c>
      <c r="T301" s="4">
        <v>11916.92047973314</v>
      </c>
      <c r="U301" s="5">
        <f t="shared" si="18"/>
        <v>0.14585773843587879</v>
      </c>
      <c r="V301" s="4">
        <v>8444.8779296875</v>
      </c>
      <c r="W301" s="5">
        <f t="shared" si="19"/>
        <v>-0.18799250676081736</v>
      </c>
    </row>
    <row r="302" spans="1:23" x14ac:dyDescent="0.25">
      <c r="A302" t="s">
        <v>531</v>
      </c>
      <c r="B302">
        <v>2016</v>
      </c>
      <c r="C302" t="s">
        <v>53</v>
      </c>
      <c r="D302" t="s">
        <v>69</v>
      </c>
      <c r="E302">
        <v>136149</v>
      </c>
      <c r="F302" t="s">
        <v>22</v>
      </c>
      <c r="G302" t="s">
        <v>23</v>
      </c>
      <c r="H302" t="s">
        <v>24</v>
      </c>
      <c r="I302" t="s">
        <v>25</v>
      </c>
      <c r="J302" s="2">
        <v>45295</v>
      </c>
      <c r="K302" t="s">
        <v>25</v>
      </c>
      <c r="L302">
        <v>43935</v>
      </c>
      <c r="M302">
        <v>222</v>
      </c>
      <c r="N302">
        <v>272</v>
      </c>
      <c r="O302" s="4">
        <v>10300</v>
      </c>
      <c r="P302" s="4">
        <v>3872.19140625</v>
      </c>
      <c r="Q302" s="5">
        <f t="shared" si="16"/>
        <v>-0.62405908677184474</v>
      </c>
      <c r="R302" s="4">
        <v>4331.5581037976563</v>
      </c>
      <c r="S302" s="5">
        <f t="shared" si="17"/>
        <v>-0.5794603782720722</v>
      </c>
      <c r="T302" s="4">
        <v>6536.6240782265149</v>
      </c>
      <c r="U302" s="5">
        <f t="shared" si="18"/>
        <v>-0.3653763030848044</v>
      </c>
      <c r="V302" s="4">
        <v>3665.2587890625</v>
      </c>
      <c r="W302" s="5">
        <f t="shared" si="19"/>
        <v>-0.64414963212985432</v>
      </c>
    </row>
    <row r="303" spans="1:23" x14ac:dyDescent="0.25">
      <c r="A303" t="s">
        <v>532</v>
      </c>
      <c r="B303">
        <v>2017</v>
      </c>
      <c r="C303" t="s">
        <v>20</v>
      </c>
      <c r="D303" t="s">
        <v>236</v>
      </c>
      <c r="E303">
        <v>47125</v>
      </c>
      <c r="F303" t="s">
        <v>135</v>
      </c>
      <c r="G303" t="s">
        <v>44</v>
      </c>
      <c r="H303" t="s">
        <v>25</v>
      </c>
      <c r="I303" t="s">
        <v>24</v>
      </c>
      <c r="J303" s="2">
        <v>45300</v>
      </c>
      <c r="K303" t="s">
        <v>25</v>
      </c>
      <c r="L303">
        <v>43935</v>
      </c>
      <c r="M303">
        <v>222</v>
      </c>
      <c r="N303">
        <v>272</v>
      </c>
      <c r="O303" s="4">
        <v>15800</v>
      </c>
      <c r="P303" s="4">
        <v>16797.9375</v>
      </c>
      <c r="Q303" s="5">
        <f t="shared" si="16"/>
        <v>6.3160601265822791E-2</v>
      </c>
      <c r="R303" s="4">
        <v>17916.513615529981</v>
      </c>
      <c r="S303" s="5">
        <f t="shared" si="17"/>
        <v>0.13395655794493555</v>
      </c>
      <c r="T303" s="4">
        <v>22691.060565432479</v>
      </c>
      <c r="U303" s="5">
        <f t="shared" si="18"/>
        <v>0.43614307376154926</v>
      </c>
      <c r="V303" s="4">
        <v>16558.685546875</v>
      </c>
      <c r="W303" s="5">
        <f t="shared" si="19"/>
        <v>4.8018072587025395E-2</v>
      </c>
    </row>
    <row r="304" spans="1:23" x14ac:dyDescent="0.25">
      <c r="A304" t="s">
        <v>533</v>
      </c>
      <c r="B304">
        <v>2018</v>
      </c>
      <c r="C304" t="s">
        <v>20</v>
      </c>
      <c r="D304" t="s">
        <v>81</v>
      </c>
      <c r="E304">
        <v>71628</v>
      </c>
      <c r="F304" t="s">
        <v>29</v>
      </c>
      <c r="G304" t="s">
        <v>38</v>
      </c>
      <c r="H304" t="s">
        <v>25</v>
      </c>
      <c r="I304" t="s">
        <v>24</v>
      </c>
      <c r="J304" s="2">
        <v>45594</v>
      </c>
      <c r="K304" t="s">
        <v>25</v>
      </c>
      <c r="L304">
        <v>43935</v>
      </c>
      <c r="M304">
        <v>222</v>
      </c>
      <c r="N304">
        <v>272</v>
      </c>
      <c r="O304" s="4">
        <v>13200</v>
      </c>
      <c r="P304" s="4">
        <v>7969.2578125</v>
      </c>
      <c r="Q304" s="5">
        <f t="shared" si="16"/>
        <v>-0.39626834753787876</v>
      </c>
      <c r="R304" s="4">
        <v>12885.88906254223</v>
      </c>
      <c r="S304" s="5">
        <f t="shared" si="17"/>
        <v>-2.3796283140740115E-2</v>
      </c>
      <c r="T304" s="4">
        <v>8526.5707545029345</v>
      </c>
      <c r="U304" s="5">
        <f t="shared" si="18"/>
        <v>-0.35404767011341409</v>
      </c>
      <c r="V304" s="4">
        <v>6838.0322265625</v>
      </c>
      <c r="W304" s="5">
        <f t="shared" si="19"/>
        <v>-0.48196725556344699</v>
      </c>
    </row>
    <row r="305" spans="1:23" x14ac:dyDescent="0.25">
      <c r="A305" t="s">
        <v>534</v>
      </c>
      <c r="B305">
        <v>2021</v>
      </c>
      <c r="C305" t="s">
        <v>20</v>
      </c>
      <c r="D305" t="s">
        <v>81</v>
      </c>
      <c r="E305">
        <v>67081</v>
      </c>
      <c r="F305" t="s">
        <v>89</v>
      </c>
      <c r="G305" t="s">
        <v>38</v>
      </c>
      <c r="H305" t="s">
        <v>25</v>
      </c>
      <c r="I305" t="s">
        <v>24</v>
      </c>
      <c r="J305" s="2">
        <v>45554</v>
      </c>
      <c r="K305" t="s">
        <v>25</v>
      </c>
      <c r="L305">
        <v>43935</v>
      </c>
      <c r="M305">
        <v>222</v>
      </c>
      <c r="N305">
        <v>272</v>
      </c>
      <c r="O305" s="4">
        <v>15400</v>
      </c>
      <c r="P305" s="4">
        <v>12043.3076171875</v>
      </c>
      <c r="Q305" s="5">
        <f t="shared" si="16"/>
        <v>-0.21796703784496751</v>
      </c>
      <c r="R305" s="4">
        <v>13230.87545449037</v>
      </c>
      <c r="S305" s="5">
        <f t="shared" si="17"/>
        <v>-0.14085224321491108</v>
      </c>
      <c r="T305" s="4">
        <v>9848.3146858240725</v>
      </c>
      <c r="U305" s="5">
        <f t="shared" si="18"/>
        <v>-0.36049904637506025</v>
      </c>
      <c r="V305" s="4">
        <v>12041.763671875</v>
      </c>
      <c r="W305" s="5">
        <f t="shared" si="19"/>
        <v>-0.21806729403409086</v>
      </c>
    </row>
    <row r="306" spans="1:23" x14ac:dyDescent="0.25">
      <c r="A306" t="s">
        <v>535</v>
      </c>
      <c r="B306">
        <v>2018</v>
      </c>
      <c r="C306" t="s">
        <v>185</v>
      </c>
      <c r="D306" t="s">
        <v>536</v>
      </c>
      <c r="E306">
        <v>87768</v>
      </c>
      <c r="F306" t="s">
        <v>63</v>
      </c>
      <c r="G306" t="s">
        <v>34</v>
      </c>
      <c r="H306" t="s">
        <v>25</v>
      </c>
      <c r="I306" t="s">
        <v>24</v>
      </c>
      <c r="J306" s="2">
        <v>45722</v>
      </c>
      <c r="K306" t="s">
        <v>25</v>
      </c>
      <c r="L306">
        <v>43935</v>
      </c>
      <c r="M306">
        <v>222</v>
      </c>
      <c r="N306">
        <v>272</v>
      </c>
      <c r="O306" s="4">
        <v>9200</v>
      </c>
      <c r="P306" s="4">
        <v>11290.5859375</v>
      </c>
      <c r="Q306" s="5">
        <f t="shared" si="16"/>
        <v>0.22723760190217401</v>
      </c>
      <c r="R306" s="4">
        <v>10176.113540164029</v>
      </c>
      <c r="S306" s="5">
        <f t="shared" si="17"/>
        <v>0.10609929784391614</v>
      </c>
      <c r="T306" s="4">
        <v>11639.84948776929</v>
      </c>
      <c r="U306" s="5">
        <f t="shared" si="18"/>
        <v>0.26520103127927075</v>
      </c>
      <c r="V306" s="4">
        <v>11206.8515625</v>
      </c>
      <c r="W306" s="5">
        <f t="shared" si="19"/>
        <v>0.21813603940217385</v>
      </c>
    </row>
    <row r="307" spans="1:23" x14ac:dyDescent="0.25">
      <c r="A307" t="s">
        <v>537</v>
      </c>
      <c r="B307">
        <v>2011</v>
      </c>
      <c r="C307" t="s">
        <v>20</v>
      </c>
      <c r="D307" t="s">
        <v>108</v>
      </c>
      <c r="E307">
        <v>165613</v>
      </c>
      <c r="F307" t="s">
        <v>55</v>
      </c>
      <c r="G307" t="s">
        <v>23</v>
      </c>
      <c r="H307" t="s">
        <v>24</v>
      </c>
      <c r="I307" t="s">
        <v>25</v>
      </c>
      <c r="J307" s="2">
        <v>45568</v>
      </c>
      <c r="K307" t="s">
        <v>25</v>
      </c>
      <c r="L307">
        <v>43935</v>
      </c>
      <c r="M307">
        <v>222</v>
      </c>
      <c r="N307">
        <v>272</v>
      </c>
      <c r="O307" s="4">
        <v>1000</v>
      </c>
      <c r="P307" s="4">
        <v>2035.51416015625</v>
      </c>
      <c r="Q307" s="5">
        <f t="shared" si="16"/>
        <v>1.0355141601562501</v>
      </c>
      <c r="R307" s="4">
        <v>2021.590245405318</v>
      </c>
      <c r="S307" s="5">
        <f t="shared" si="17"/>
        <v>1.0215902454053181</v>
      </c>
      <c r="T307" s="4">
        <v>2889.291128458724</v>
      </c>
      <c r="U307" s="5">
        <f t="shared" si="18"/>
        <v>1.8892911284587242</v>
      </c>
      <c r="V307" s="4">
        <v>1983.92919921875</v>
      </c>
      <c r="W307" s="5">
        <f t="shared" si="19"/>
        <v>0.98392919921874999</v>
      </c>
    </row>
    <row r="308" spans="1:23" x14ac:dyDescent="0.25">
      <c r="A308" t="s">
        <v>538</v>
      </c>
      <c r="B308">
        <v>2014</v>
      </c>
      <c r="C308" t="s">
        <v>53</v>
      </c>
      <c r="D308" t="s">
        <v>392</v>
      </c>
      <c r="E308">
        <v>157369</v>
      </c>
      <c r="F308" t="s">
        <v>98</v>
      </c>
      <c r="G308" t="s">
        <v>30</v>
      </c>
      <c r="H308" t="s">
        <v>24</v>
      </c>
      <c r="I308" t="s">
        <v>25</v>
      </c>
      <c r="J308" s="2">
        <v>45596</v>
      </c>
      <c r="K308" t="s">
        <v>25</v>
      </c>
      <c r="L308">
        <v>43935</v>
      </c>
      <c r="M308">
        <v>222</v>
      </c>
      <c r="N308">
        <v>272</v>
      </c>
      <c r="O308" s="4">
        <v>2300</v>
      </c>
      <c r="P308" s="4">
        <v>3781.193115234375</v>
      </c>
      <c r="Q308" s="5">
        <f t="shared" si="16"/>
        <v>0.64399700662364134</v>
      </c>
      <c r="R308" s="4">
        <v>5625.2111794676221</v>
      </c>
      <c r="S308" s="5">
        <f t="shared" si="17"/>
        <v>1.4457439910728791</v>
      </c>
      <c r="T308" s="4">
        <v>6687.8030090705961</v>
      </c>
      <c r="U308" s="5">
        <f t="shared" si="18"/>
        <v>1.9077404387263459</v>
      </c>
      <c r="V308" s="4">
        <v>3255.882080078125</v>
      </c>
      <c r="W308" s="5">
        <f t="shared" si="19"/>
        <v>0.41560090438179342</v>
      </c>
    </row>
    <row r="309" spans="1:23" x14ac:dyDescent="0.25">
      <c r="A309" t="s">
        <v>539</v>
      </c>
      <c r="B309">
        <v>2012</v>
      </c>
      <c r="C309" t="s">
        <v>20</v>
      </c>
      <c r="D309" t="s">
        <v>236</v>
      </c>
      <c r="E309">
        <v>110585</v>
      </c>
      <c r="F309" t="s">
        <v>79</v>
      </c>
      <c r="G309" t="s">
        <v>30</v>
      </c>
      <c r="H309" t="s">
        <v>24</v>
      </c>
      <c r="I309" t="s">
        <v>25</v>
      </c>
      <c r="J309" s="2">
        <v>45454</v>
      </c>
      <c r="K309" t="s">
        <v>25</v>
      </c>
      <c r="L309">
        <v>43935</v>
      </c>
      <c r="M309">
        <v>222</v>
      </c>
      <c r="N309">
        <v>272</v>
      </c>
      <c r="O309" s="4">
        <v>10000</v>
      </c>
      <c r="P309" s="4">
        <v>3457.830810546875</v>
      </c>
      <c r="Q309" s="5">
        <f t="shared" si="16"/>
        <v>-0.65421691894531242</v>
      </c>
      <c r="R309" s="4">
        <v>3258.9743482191861</v>
      </c>
      <c r="S309" s="5">
        <f t="shared" si="17"/>
        <v>-0.67410256517808143</v>
      </c>
      <c r="T309" s="4">
        <v>5516.9161813692153</v>
      </c>
      <c r="U309" s="5">
        <f t="shared" si="18"/>
        <v>-0.44830838186307842</v>
      </c>
      <c r="V309" s="4">
        <v>3425.341552734375</v>
      </c>
      <c r="W309" s="5">
        <f t="shared" si="19"/>
        <v>-0.65746584472656244</v>
      </c>
    </row>
    <row r="310" spans="1:23" x14ac:dyDescent="0.25">
      <c r="A310" t="s">
        <v>540</v>
      </c>
      <c r="B310">
        <v>2016</v>
      </c>
      <c r="C310" t="s">
        <v>94</v>
      </c>
      <c r="D310" t="s">
        <v>153</v>
      </c>
      <c r="E310">
        <v>127608</v>
      </c>
      <c r="F310" t="s">
        <v>82</v>
      </c>
      <c r="G310" t="s">
        <v>30</v>
      </c>
      <c r="H310" t="s">
        <v>24</v>
      </c>
      <c r="I310" t="s">
        <v>25</v>
      </c>
      <c r="J310" s="2">
        <v>45482</v>
      </c>
      <c r="K310" t="s">
        <v>25</v>
      </c>
      <c r="L310">
        <v>43935</v>
      </c>
      <c r="M310">
        <v>222</v>
      </c>
      <c r="N310">
        <v>272</v>
      </c>
      <c r="O310" s="4">
        <v>14700</v>
      </c>
      <c r="P310" s="4">
        <v>3747.316650390625</v>
      </c>
      <c r="Q310" s="5">
        <f t="shared" si="16"/>
        <v>-0.74508049997342685</v>
      </c>
      <c r="R310" s="4">
        <v>4285.1949462834818</v>
      </c>
      <c r="S310" s="5">
        <f t="shared" si="17"/>
        <v>-0.70849013970860675</v>
      </c>
      <c r="T310" s="4">
        <v>3933.3534608789541</v>
      </c>
      <c r="U310" s="5">
        <f t="shared" si="18"/>
        <v>-0.73242493463408476</v>
      </c>
      <c r="V310" s="4">
        <v>3578.20166015625</v>
      </c>
      <c r="W310" s="5">
        <f t="shared" si="19"/>
        <v>-0.75658492107780617</v>
      </c>
    </row>
    <row r="311" spans="1:23" x14ac:dyDescent="0.25">
      <c r="A311" t="s">
        <v>541</v>
      </c>
      <c r="B311">
        <v>2019</v>
      </c>
      <c r="C311" t="s">
        <v>156</v>
      </c>
      <c r="D311" t="s">
        <v>157</v>
      </c>
      <c r="E311">
        <v>101593</v>
      </c>
      <c r="F311" t="s">
        <v>82</v>
      </c>
      <c r="G311" t="s">
        <v>23</v>
      </c>
      <c r="H311" t="s">
        <v>24</v>
      </c>
      <c r="I311" t="s">
        <v>25</v>
      </c>
      <c r="J311" s="2">
        <v>45734</v>
      </c>
      <c r="K311" t="s">
        <v>25</v>
      </c>
      <c r="L311">
        <v>43935</v>
      </c>
      <c r="M311">
        <v>222</v>
      </c>
      <c r="N311">
        <v>272</v>
      </c>
      <c r="O311" s="4">
        <v>4700</v>
      </c>
      <c r="P311" s="4">
        <v>4257.64404296875</v>
      </c>
      <c r="Q311" s="5">
        <f t="shared" si="16"/>
        <v>-9.4118288730053234E-2</v>
      </c>
      <c r="R311" s="4">
        <v>4404.7675447955071</v>
      </c>
      <c r="S311" s="5">
        <f t="shared" si="17"/>
        <v>-6.281541600095597E-2</v>
      </c>
      <c r="T311" s="4">
        <v>4709.4777274778826</v>
      </c>
      <c r="U311" s="5">
        <f t="shared" si="18"/>
        <v>2.0165377612515467E-3</v>
      </c>
      <c r="V311" s="4">
        <v>4207.12060546875</v>
      </c>
      <c r="W311" s="5">
        <f t="shared" si="19"/>
        <v>-0.10486795628324463</v>
      </c>
    </row>
    <row r="312" spans="1:23" x14ac:dyDescent="0.25">
      <c r="A312" t="s">
        <v>542</v>
      </c>
      <c r="B312">
        <v>2020</v>
      </c>
      <c r="C312" t="s">
        <v>113</v>
      </c>
      <c r="D312" t="s">
        <v>543</v>
      </c>
      <c r="E312">
        <v>85366</v>
      </c>
      <c r="F312" t="s">
        <v>214</v>
      </c>
      <c r="G312" t="s">
        <v>38</v>
      </c>
      <c r="H312" t="s">
        <v>25</v>
      </c>
      <c r="I312" t="s">
        <v>24</v>
      </c>
      <c r="J312" s="2">
        <v>45622</v>
      </c>
      <c r="K312" t="s">
        <v>25</v>
      </c>
      <c r="L312">
        <v>43935</v>
      </c>
      <c r="M312">
        <v>222</v>
      </c>
      <c r="N312">
        <v>272</v>
      </c>
      <c r="O312" s="4">
        <v>28500</v>
      </c>
      <c r="P312" s="4">
        <v>15089.986328125</v>
      </c>
      <c r="Q312" s="5">
        <f t="shared" si="16"/>
        <v>-0.47052679550438592</v>
      </c>
      <c r="R312" s="4">
        <v>15854.40113441207</v>
      </c>
      <c r="S312" s="5">
        <f t="shared" si="17"/>
        <v>-0.44370522335396245</v>
      </c>
      <c r="T312" s="4">
        <v>19756.215991771562</v>
      </c>
      <c r="U312" s="5">
        <f t="shared" si="18"/>
        <v>-0.30679943888520833</v>
      </c>
      <c r="V312" s="4">
        <v>15418.1123046875</v>
      </c>
      <c r="W312" s="5">
        <f t="shared" si="19"/>
        <v>-0.45901360334429819</v>
      </c>
    </row>
    <row r="313" spans="1:23" x14ac:dyDescent="0.25">
      <c r="A313" t="s">
        <v>544</v>
      </c>
      <c r="B313">
        <v>2014</v>
      </c>
      <c r="C313" t="s">
        <v>185</v>
      </c>
      <c r="D313" t="s">
        <v>186</v>
      </c>
      <c r="E313">
        <v>83232</v>
      </c>
      <c r="F313" t="s">
        <v>151</v>
      </c>
      <c r="G313" t="s">
        <v>44</v>
      </c>
      <c r="H313" t="s">
        <v>25</v>
      </c>
      <c r="I313" t="s">
        <v>24</v>
      </c>
      <c r="J313" s="2">
        <v>45300</v>
      </c>
      <c r="K313" t="s">
        <v>25</v>
      </c>
      <c r="L313">
        <v>43935</v>
      </c>
      <c r="M313">
        <v>222</v>
      </c>
      <c r="N313">
        <v>272</v>
      </c>
      <c r="O313" s="4">
        <v>7200</v>
      </c>
      <c r="P313" s="4">
        <v>7162.95751953125</v>
      </c>
      <c r="Q313" s="5">
        <f t="shared" si="16"/>
        <v>-5.1447889539930625E-3</v>
      </c>
      <c r="R313" s="4">
        <v>6950.6828105856112</v>
      </c>
      <c r="S313" s="5">
        <f t="shared" si="17"/>
        <v>-3.4627387418665112E-2</v>
      </c>
      <c r="T313" s="4">
        <v>7541.1729037495006</v>
      </c>
      <c r="U313" s="5">
        <f t="shared" si="18"/>
        <v>4.7385125520764015E-2</v>
      </c>
      <c r="V313" s="4">
        <v>7214.93505859375</v>
      </c>
      <c r="W313" s="5">
        <f t="shared" si="19"/>
        <v>2.0743136935763573E-3</v>
      </c>
    </row>
    <row r="314" spans="1:23" x14ac:dyDescent="0.25">
      <c r="A314" t="s">
        <v>545</v>
      </c>
      <c r="B314">
        <v>2020</v>
      </c>
      <c r="C314" t="s">
        <v>167</v>
      </c>
      <c r="D314" t="s">
        <v>168</v>
      </c>
      <c r="E314">
        <v>76353</v>
      </c>
      <c r="F314" t="s">
        <v>89</v>
      </c>
      <c r="G314" t="s">
        <v>38</v>
      </c>
      <c r="H314" t="s">
        <v>25</v>
      </c>
      <c r="I314" t="s">
        <v>24</v>
      </c>
      <c r="J314" s="2">
        <v>45603</v>
      </c>
      <c r="K314" t="s">
        <v>25</v>
      </c>
      <c r="L314">
        <v>43935</v>
      </c>
      <c r="M314">
        <v>222</v>
      </c>
      <c r="N314">
        <v>272</v>
      </c>
      <c r="O314" s="4">
        <v>9200</v>
      </c>
      <c r="P314" s="4">
        <v>7836.056640625</v>
      </c>
      <c r="Q314" s="5">
        <f t="shared" si="16"/>
        <v>-0.14825471297554349</v>
      </c>
      <c r="R314" s="4">
        <v>7402.5037008999207</v>
      </c>
      <c r="S314" s="5">
        <f t="shared" si="17"/>
        <v>-0.19538003251087821</v>
      </c>
      <c r="T314" s="4">
        <v>6867.6228482290971</v>
      </c>
      <c r="U314" s="5">
        <f t="shared" si="18"/>
        <v>-0.25351925562727207</v>
      </c>
      <c r="V314" s="4">
        <v>7789.275390625</v>
      </c>
      <c r="W314" s="5">
        <f t="shared" si="19"/>
        <v>-0.15333963145380436</v>
      </c>
    </row>
    <row r="315" spans="1:23" x14ac:dyDescent="0.25">
      <c r="A315" t="s">
        <v>546</v>
      </c>
      <c r="B315">
        <v>2018</v>
      </c>
      <c r="C315" t="s">
        <v>156</v>
      </c>
      <c r="D315" t="s">
        <v>458</v>
      </c>
      <c r="E315">
        <v>175311</v>
      </c>
      <c r="F315" t="s">
        <v>72</v>
      </c>
      <c r="G315" t="s">
        <v>30</v>
      </c>
      <c r="H315" t="s">
        <v>24</v>
      </c>
      <c r="I315" t="s">
        <v>25</v>
      </c>
      <c r="J315" s="2">
        <v>45608</v>
      </c>
      <c r="K315" t="s">
        <v>25</v>
      </c>
      <c r="L315">
        <v>43935</v>
      </c>
      <c r="M315">
        <v>222</v>
      </c>
      <c r="N315">
        <v>272</v>
      </c>
      <c r="O315" s="4">
        <v>9900</v>
      </c>
      <c r="P315" s="4">
        <v>3250.34375</v>
      </c>
      <c r="Q315" s="5">
        <f t="shared" si="16"/>
        <v>-0.67168244949494949</v>
      </c>
      <c r="R315" s="4">
        <v>5632.4581265237393</v>
      </c>
      <c r="S315" s="5">
        <f t="shared" si="17"/>
        <v>-0.4310648357046728</v>
      </c>
      <c r="T315" s="4">
        <v>4285.6545345427494</v>
      </c>
      <c r="U315" s="5">
        <f t="shared" si="18"/>
        <v>-0.56710560257143938</v>
      </c>
      <c r="V315" s="4">
        <v>2935.101806640625</v>
      </c>
      <c r="W315" s="5">
        <f t="shared" si="19"/>
        <v>-0.70352507003630049</v>
      </c>
    </row>
    <row r="316" spans="1:23" x14ac:dyDescent="0.25">
      <c r="A316" t="s">
        <v>547</v>
      </c>
      <c r="B316">
        <v>2014</v>
      </c>
      <c r="C316" t="s">
        <v>167</v>
      </c>
      <c r="D316" t="s">
        <v>180</v>
      </c>
      <c r="E316">
        <v>126887</v>
      </c>
      <c r="F316" t="s">
        <v>22</v>
      </c>
      <c r="G316" t="s">
        <v>30</v>
      </c>
      <c r="H316" t="s">
        <v>24</v>
      </c>
      <c r="I316" t="s">
        <v>25</v>
      </c>
      <c r="J316" s="2">
        <v>45484</v>
      </c>
      <c r="K316" t="s">
        <v>25</v>
      </c>
      <c r="L316">
        <v>43935</v>
      </c>
      <c r="M316">
        <v>222</v>
      </c>
      <c r="N316">
        <v>272</v>
      </c>
      <c r="O316" s="4">
        <v>11000</v>
      </c>
      <c r="P316" s="4">
        <v>2357.668212890625</v>
      </c>
      <c r="Q316" s="5">
        <f t="shared" si="16"/>
        <v>-0.7856665261008523</v>
      </c>
      <c r="R316" s="4">
        <v>2400.5642905109489</v>
      </c>
      <c r="S316" s="5">
        <f t="shared" si="17"/>
        <v>-0.78176688268082284</v>
      </c>
      <c r="T316" s="4">
        <v>3196.8152018461528</v>
      </c>
      <c r="U316" s="5">
        <f t="shared" si="18"/>
        <v>-0.70938043619580426</v>
      </c>
      <c r="V316" s="4">
        <v>2330.412841796875</v>
      </c>
      <c r="W316" s="5">
        <f t="shared" si="19"/>
        <v>-0.78814428710937501</v>
      </c>
    </row>
    <row r="317" spans="1:23" x14ac:dyDescent="0.25">
      <c r="A317" t="s">
        <v>548</v>
      </c>
      <c r="B317">
        <v>2015</v>
      </c>
      <c r="C317" t="s">
        <v>139</v>
      </c>
      <c r="D317" t="s">
        <v>283</v>
      </c>
      <c r="E317">
        <v>124690</v>
      </c>
      <c r="F317" t="s">
        <v>102</v>
      </c>
      <c r="G317" t="s">
        <v>38</v>
      </c>
      <c r="H317" t="s">
        <v>25</v>
      </c>
      <c r="I317" t="s">
        <v>24</v>
      </c>
      <c r="J317" s="2">
        <v>45323</v>
      </c>
      <c r="K317" t="s">
        <v>25</v>
      </c>
      <c r="L317">
        <v>43935</v>
      </c>
      <c r="M317">
        <v>222</v>
      </c>
      <c r="N317">
        <v>272</v>
      </c>
      <c r="O317" s="4">
        <v>8600</v>
      </c>
      <c r="P317" s="4">
        <v>10013.494140625</v>
      </c>
      <c r="Q317" s="5">
        <f t="shared" si="16"/>
        <v>0.16435978379360461</v>
      </c>
      <c r="R317" s="4">
        <v>9158.3821624970078</v>
      </c>
      <c r="S317" s="5">
        <f t="shared" si="17"/>
        <v>6.4928158429884641E-2</v>
      </c>
      <c r="T317" s="4">
        <v>8046.2344782889613</v>
      </c>
      <c r="U317" s="5">
        <f t="shared" si="18"/>
        <v>-6.4391339733841702E-2</v>
      </c>
      <c r="V317" s="4">
        <v>9889.7080078125</v>
      </c>
      <c r="W317" s="5">
        <f t="shared" si="19"/>
        <v>0.14996604742005815</v>
      </c>
    </row>
    <row r="318" spans="1:23" x14ac:dyDescent="0.25">
      <c r="A318" t="s">
        <v>549</v>
      </c>
      <c r="B318">
        <v>2012</v>
      </c>
      <c r="C318" t="s">
        <v>185</v>
      </c>
      <c r="D318" t="s">
        <v>509</v>
      </c>
      <c r="E318">
        <v>140148</v>
      </c>
      <c r="F318" t="s">
        <v>141</v>
      </c>
      <c r="G318" t="s">
        <v>30</v>
      </c>
      <c r="H318" t="s">
        <v>24</v>
      </c>
      <c r="I318" t="s">
        <v>25</v>
      </c>
      <c r="J318" s="2">
        <v>45309</v>
      </c>
      <c r="K318" t="s">
        <v>25</v>
      </c>
      <c r="L318">
        <v>43935</v>
      </c>
      <c r="M318">
        <v>222</v>
      </c>
      <c r="N318">
        <v>272</v>
      </c>
      <c r="O318" s="4">
        <v>1800</v>
      </c>
      <c r="P318" s="4">
        <v>2373.5869140625</v>
      </c>
      <c r="Q318" s="5">
        <f t="shared" si="16"/>
        <v>0.31865939670138888</v>
      </c>
      <c r="R318" s="4">
        <v>2208.773016076595</v>
      </c>
      <c r="S318" s="5">
        <f t="shared" si="17"/>
        <v>0.22709612004255275</v>
      </c>
      <c r="T318" s="4">
        <v>3217.7469579724748</v>
      </c>
      <c r="U318" s="5">
        <f t="shared" si="18"/>
        <v>0.78763719887359707</v>
      </c>
      <c r="V318" s="4">
        <v>2330.412841796875</v>
      </c>
      <c r="W318" s="5">
        <f t="shared" si="19"/>
        <v>0.2946738009982639</v>
      </c>
    </row>
    <row r="319" spans="1:23" x14ac:dyDescent="0.25">
      <c r="A319" t="s">
        <v>550</v>
      </c>
      <c r="B319">
        <v>2014</v>
      </c>
      <c r="C319" t="s">
        <v>551</v>
      </c>
      <c r="D319" t="s">
        <v>552</v>
      </c>
      <c r="E319">
        <v>105473</v>
      </c>
      <c r="F319" t="s">
        <v>82</v>
      </c>
      <c r="G319" t="s">
        <v>34</v>
      </c>
      <c r="H319" t="s">
        <v>25</v>
      </c>
      <c r="I319" t="s">
        <v>24</v>
      </c>
      <c r="J319" s="2">
        <v>45594</v>
      </c>
      <c r="K319" t="s">
        <v>25</v>
      </c>
      <c r="L319">
        <v>43935</v>
      </c>
      <c r="M319">
        <v>222</v>
      </c>
      <c r="N319">
        <v>272</v>
      </c>
      <c r="O319" s="4">
        <v>2733.3333333333298</v>
      </c>
      <c r="P319" s="4">
        <v>3852.59912109375</v>
      </c>
      <c r="Q319" s="5">
        <f t="shared" si="16"/>
        <v>0.40948748332698348</v>
      </c>
      <c r="R319" s="4">
        <v>3850.55002138383</v>
      </c>
      <c r="S319" s="5">
        <f t="shared" si="17"/>
        <v>0.40873781270140297</v>
      </c>
      <c r="T319" s="4">
        <v>3827.3689115599109</v>
      </c>
      <c r="U319" s="5">
        <f t="shared" si="18"/>
        <v>0.40025691886338377</v>
      </c>
      <c r="V319" s="4">
        <v>3759.075927734375</v>
      </c>
      <c r="W319" s="5">
        <f t="shared" si="19"/>
        <v>0.37527168087843155</v>
      </c>
    </row>
    <row r="320" spans="1:23" x14ac:dyDescent="0.25">
      <c r="A320" t="s">
        <v>553</v>
      </c>
      <c r="B320">
        <v>2018</v>
      </c>
      <c r="C320" t="s">
        <v>20</v>
      </c>
      <c r="D320" t="s">
        <v>421</v>
      </c>
      <c r="E320">
        <v>145866</v>
      </c>
      <c r="F320" t="s">
        <v>79</v>
      </c>
      <c r="G320" t="s">
        <v>30</v>
      </c>
      <c r="H320" t="s">
        <v>24</v>
      </c>
      <c r="I320" t="s">
        <v>25</v>
      </c>
      <c r="J320" s="2">
        <v>45622</v>
      </c>
      <c r="K320" t="s">
        <v>25</v>
      </c>
      <c r="L320">
        <v>43935</v>
      </c>
      <c r="M320">
        <v>222</v>
      </c>
      <c r="N320">
        <v>272</v>
      </c>
      <c r="O320" s="4">
        <v>3900</v>
      </c>
      <c r="P320" s="4">
        <v>3481.880859375</v>
      </c>
      <c r="Q320" s="5">
        <f t="shared" si="16"/>
        <v>-0.1072100360576923</v>
      </c>
      <c r="R320" s="4">
        <v>5785.5018846147004</v>
      </c>
      <c r="S320" s="5">
        <f t="shared" si="17"/>
        <v>0.48346202169607699</v>
      </c>
      <c r="T320" s="4">
        <v>3186.9470331609932</v>
      </c>
      <c r="U320" s="5">
        <f t="shared" si="18"/>
        <v>-0.18283409406128381</v>
      </c>
      <c r="V320" s="4">
        <v>3024.988037109375</v>
      </c>
      <c r="W320" s="5">
        <f t="shared" si="19"/>
        <v>-0.22436204176682695</v>
      </c>
    </row>
    <row r="321" spans="1:23" x14ac:dyDescent="0.25">
      <c r="A321" t="s">
        <v>554</v>
      </c>
      <c r="B321">
        <v>2016</v>
      </c>
      <c r="C321" t="s">
        <v>167</v>
      </c>
      <c r="D321" t="s">
        <v>555</v>
      </c>
      <c r="E321">
        <v>92480</v>
      </c>
      <c r="F321" t="s">
        <v>37</v>
      </c>
      <c r="G321" t="s">
        <v>38</v>
      </c>
      <c r="H321" t="s">
        <v>25</v>
      </c>
      <c r="I321" t="s">
        <v>24</v>
      </c>
      <c r="J321" s="2">
        <v>45356</v>
      </c>
      <c r="K321" t="s">
        <v>25</v>
      </c>
      <c r="L321">
        <v>43935</v>
      </c>
      <c r="M321">
        <v>222</v>
      </c>
      <c r="N321">
        <v>272</v>
      </c>
      <c r="O321" s="4">
        <v>2200</v>
      </c>
      <c r="P321" s="4">
        <v>4577.44775390625</v>
      </c>
      <c r="Q321" s="5">
        <f t="shared" si="16"/>
        <v>1.0806580699573862</v>
      </c>
      <c r="R321" s="4">
        <v>6377.2104709634013</v>
      </c>
      <c r="S321" s="5">
        <f t="shared" si="17"/>
        <v>1.8987320322560914</v>
      </c>
      <c r="T321" s="4">
        <v>4858.7026452023929</v>
      </c>
      <c r="U321" s="5">
        <f t="shared" si="18"/>
        <v>1.2085012023647241</v>
      </c>
      <c r="V321" s="4">
        <v>4068.48486328125</v>
      </c>
      <c r="W321" s="5">
        <f t="shared" si="19"/>
        <v>0.84931130149147727</v>
      </c>
    </row>
    <row r="322" spans="1:23" x14ac:dyDescent="0.25">
      <c r="A322" t="s">
        <v>556</v>
      </c>
      <c r="B322">
        <v>2013</v>
      </c>
      <c r="C322" t="s">
        <v>167</v>
      </c>
      <c r="D322" t="s">
        <v>168</v>
      </c>
      <c r="E322">
        <v>114887</v>
      </c>
      <c r="F322" t="s">
        <v>111</v>
      </c>
      <c r="G322" t="s">
        <v>34</v>
      </c>
      <c r="H322" t="s">
        <v>25</v>
      </c>
      <c r="I322" t="s">
        <v>24</v>
      </c>
      <c r="J322" s="2">
        <v>45678</v>
      </c>
      <c r="K322" t="s">
        <v>25</v>
      </c>
      <c r="L322">
        <v>43935</v>
      </c>
      <c r="M322">
        <v>222</v>
      </c>
      <c r="N322">
        <v>272</v>
      </c>
      <c r="O322" s="4">
        <v>3200</v>
      </c>
      <c r="P322" s="4">
        <v>1959.217041015625</v>
      </c>
      <c r="Q322" s="5">
        <f t="shared" si="16"/>
        <v>-0.3877446746826172</v>
      </c>
      <c r="R322" s="4">
        <v>2188.3615262168901</v>
      </c>
      <c r="S322" s="5">
        <f t="shared" si="17"/>
        <v>-0.3161370230572218</v>
      </c>
      <c r="T322" s="4">
        <v>1943.198816128704</v>
      </c>
      <c r="U322" s="5">
        <f t="shared" si="18"/>
        <v>-0.39275036995977997</v>
      </c>
      <c r="V322" s="4">
        <v>1947.177490234375</v>
      </c>
      <c r="W322" s="5">
        <f t="shared" si="19"/>
        <v>-0.39150703430175782</v>
      </c>
    </row>
    <row r="323" spans="1:23" x14ac:dyDescent="0.25">
      <c r="A323" t="s">
        <v>557</v>
      </c>
      <c r="B323">
        <v>2020</v>
      </c>
      <c r="C323" t="s">
        <v>558</v>
      </c>
      <c r="D323" t="s">
        <v>559</v>
      </c>
      <c r="E323">
        <v>39723</v>
      </c>
      <c r="F323" t="s">
        <v>151</v>
      </c>
      <c r="G323" t="s">
        <v>44</v>
      </c>
      <c r="H323" t="s">
        <v>25</v>
      </c>
      <c r="I323" t="s">
        <v>24</v>
      </c>
      <c r="J323" s="2">
        <v>45636</v>
      </c>
      <c r="K323" t="s">
        <v>25</v>
      </c>
      <c r="L323">
        <v>43935</v>
      </c>
      <c r="M323">
        <v>222</v>
      </c>
      <c r="N323">
        <v>272</v>
      </c>
      <c r="O323" s="4">
        <v>21776.470588235301</v>
      </c>
      <c r="P323" s="4">
        <v>49307.48828125</v>
      </c>
      <c r="Q323" s="5">
        <f t="shared" ref="Q323:Q386" si="20">(P323/$O323)-1</f>
        <v>1.2642552695333595</v>
      </c>
      <c r="R323" s="4">
        <v>36504.952194956</v>
      </c>
      <c r="S323" s="5">
        <f t="shared" ref="S323:S386" si="21">(R323/$O323)-1</f>
        <v>0.67634842602445122</v>
      </c>
      <c r="T323" s="4">
        <v>36673.006790338717</v>
      </c>
      <c r="U323" s="5">
        <f t="shared" ref="U323:U386" si="22">(T323/$O323)-1</f>
        <v>0.68406568189021599</v>
      </c>
      <c r="V323" s="4">
        <v>43450.18359375</v>
      </c>
      <c r="W323" s="5">
        <f t="shared" ref="W323:W386" si="23">(V323/$O323)-1</f>
        <v>0.9952812563310367</v>
      </c>
    </row>
    <row r="324" spans="1:23" x14ac:dyDescent="0.25">
      <c r="A324" t="s">
        <v>560</v>
      </c>
      <c r="B324">
        <v>2013</v>
      </c>
      <c r="C324" t="s">
        <v>266</v>
      </c>
      <c r="D324" t="s">
        <v>561</v>
      </c>
      <c r="E324">
        <v>94096</v>
      </c>
      <c r="F324" t="s">
        <v>98</v>
      </c>
      <c r="G324" t="s">
        <v>30</v>
      </c>
      <c r="H324" t="s">
        <v>24</v>
      </c>
      <c r="I324" t="s">
        <v>25</v>
      </c>
      <c r="J324" s="2">
        <v>45664</v>
      </c>
      <c r="K324" t="s">
        <v>25</v>
      </c>
      <c r="L324">
        <v>43935</v>
      </c>
      <c r="M324">
        <v>222</v>
      </c>
      <c r="N324">
        <v>272</v>
      </c>
      <c r="O324" s="4">
        <v>5900</v>
      </c>
      <c r="P324" s="4">
        <v>4409.11572265625</v>
      </c>
      <c r="Q324" s="5">
        <f t="shared" si="20"/>
        <v>-0.25269225039724574</v>
      </c>
      <c r="R324" s="4">
        <v>5727.101045323443</v>
      </c>
      <c r="S324" s="5">
        <f t="shared" si="21"/>
        <v>-2.9304907572297756E-2</v>
      </c>
      <c r="T324" s="4">
        <v>6541.1879498161661</v>
      </c>
      <c r="U324" s="5">
        <f t="shared" si="22"/>
        <v>0.10867592369765533</v>
      </c>
      <c r="V324" s="4">
        <v>4015.4521484375</v>
      </c>
      <c r="W324" s="5">
        <f t="shared" si="23"/>
        <v>-0.31941489009533897</v>
      </c>
    </row>
    <row r="325" spans="1:23" x14ac:dyDescent="0.25">
      <c r="A325" t="s">
        <v>562</v>
      </c>
      <c r="B325">
        <v>2015</v>
      </c>
      <c r="C325" t="s">
        <v>32</v>
      </c>
      <c r="D325" t="s">
        <v>563</v>
      </c>
      <c r="E325">
        <v>137702</v>
      </c>
      <c r="F325" t="s">
        <v>48</v>
      </c>
      <c r="G325" t="s">
        <v>30</v>
      </c>
      <c r="H325" t="s">
        <v>24</v>
      </c>
      <c r="I325" t="s">
        <v>25</v>
      </c>
      <c r="J325" s="2">
        <v>45622</v>
      </c>
      <c r="K325" t="s">
        <v>25</v>
      </c>
      <c r="L325">
        <v>43935</v>
      </c>
      <c r="M325">
        <v>222</v>
      </c>
      <c r="N325">
        <v>272</v>
      </c>
      <c r="O325" s="4">
        <v>10200</v>
      </c>
      <c r="P325" s="4">
        <v>3372.42529296875</v>
      </c>
      <c r="Q325" s="5">
        <f t="shared" si="20"/>
        <v>-0.66937006931678922</v>
      </c>
      <c r="R325" s="4">
        <v>5595.1889423394641</v>
      </c>
      <c r="S325" s="5">
        <f t="shared" si="21"/>
        <v>-0.45145206447652309</v>
      </c>
      <c r="T325" s="4">
        <v>4924.1814029594516</v>
      </c>
      <c r="U325" s="5">
        <f t="shared" si="22"/>
        <v>-0.51723711735691658</v>
      </c>
      <c r="V325" s="4">
        <v>3022.568359375</v>
      </c>
      <c r="W325" s="5">
        <f t="shared" si="23"/>
        <v>-0.70366976868872544</v>
      </c>
    </row>
    <row r="326" spans="1:23" x14ac:dyDescent="0.25">
      <c r="A326" t="s">
        <v>564</v>
      </c>
      <c r="B326">
        <v>2017</v>
      </c>
      <c r="C326" t="s">
        <v>32</v>
      </c>
      <c r="D326" t="s">
        <v>322</v>
      </c>
      <c r="E326">
        <v>162171</v>
      </c>
      <c r="F326" t="s">
        <v>334</v>
      </c>
      <c r="G326" t="s">
        <v>30</v>
      </c>
      <c r="H326" t="s">
        <v>24</v>
      </c>
      <c r="I326" t="s">
        <v>25</v>
      </c>
      <c r="J326" s="2">
        <v>45580</v>
      </c>
      <c r="K326" t="s">
        <v>25</v>
      </c>
      <c r="L326">
        <v>43950</v>
      </c>
      <c r="M326">
        <v>264</v>
      </c>
      <c r="N326">
        <v>314</v>
      </c>
      <c r="O326" s="4">
        <v>12400</v>
      </c>
      <c r="P326" s="4">
        <v>3601.74365234375</v>
      </c>
      <c r="Q326" s="5">
        <f t="shared" si="20"/>
        <v>-0.70953680223034277</v>
      </c>
      <c r="R326" s="4">
        <v>4391.1546041755464</v>
      </c>
      <c r="S326" s="5">
        <f t="shared" si="21"/>
        <v>-0.64587462869552037</v>
      </c>
      <c r="T326" s="4">
        <v>3827.767268847922</v>
      </c>
      <c r="U326" s="5">
        <f t="shared" si="22"/>
        <v>-0.69130909122194173</v>
      </c>
      <c r="V326" s="4">
        <v>3378.046630859375</v>
      </c>
      <c r="W326" s="5">
        <f t="shared" si="23"/>
        <v>-0.72757688460811498</v>
      </c>
    </row>
    <row r="327" spans="1:23" x14ac:dyDescent="0.25">
      <c r="A327" t="s">
        <v>565</v>
      </c>
      <c r="B327">
        <v>2016</v>
      </c>
      <c r="C327" t="s">
        <v>32</v>
      </c>
      <c r="D327" t="s">
        <v>40</v>
      </c>
      <c r="E327">
        <v>66775</v>
      </c>
      <c r="F327" t="s">
        <v>254</v>
      </c>
      <c r="G327" t="s">
        <v>23</v>
      </c>
      <c r="H327" t="s">
        <v>24</v>
      </c>
      <c r="I327" t="s">
        <v>25</v>
      </c>
      <c r="J327" s="2">
        <v>45449</v>
      </c>
      <c r="K327" t="s">
        <v>25</v>
      </c>
      <c r="L327">
        <v>43950</v>
      </c>
      <c r="M327">
        <v>264</v>
      </c>
      <c r="N327">
        <v>314</v>
      </c>
      <c r="O327" s="4">
        <v>8600</v>
      </c>
      <c r="P327" s="4">
        <v>12038.607421875</v>
      </c>
      <c r="Q327" s="5">
        <f t="shared" si="20"/>
        <v>0.39983807231104662</v>
      </c>
      <c r="R327" s="4">
        <v>11132.33855289663</v>
      </c>
      <c r="S327" s="5">
        <f t="shared" si="21"/>
        <v>0.29445797126705009</v>
      </c>
      <c r="T327" s="4">
        <v>14997.57166040351</v>
      </c>
      <c r="U327" s="5">
        <f t="shared" si="22"/>
        <v>0.74390368144226859</v>
      </c>
      <c r="V327" s="4">
        <v>12158.181640625</v>
      </c>
      <c r="W327" s="5">
        <f t="shared" si="23"/>
        <v>0.41374205123546504</v>
      </c>
    </row>
    <row r="328" spans="1:23" x14ac:dyDescent="0.25">
      <c r="A328" t="s">
        <v>566</v>
      </c>
      <c r="B328">
        <v>2019</v>
      </c>
      <c r="C328" t="s">
        <v>32</v>
      </c>
      <c r="D328" t="s">
        <v>322</v>
      </c>
      <c r="E328">
        <v>39638</v>
      </c>
      <c r="F328" t="s">
        <v>43</v>
      </c>
      <c r="G328" t="s">
        <v>44</v>
      </c>
      <c r="H328" t="s">
        <v>25</v>
      </c>
      <c r="I328" t="s">
        <v>24</v>
      </c>
      <c r="J328" s="2">
        <v>45412</v>
      </c>
      <c r="K328" t="s">
        <v>25</v>
      </c>
      <c r="L328">
        <v>43950</v>
      </c>
      <c r="M328">
        <v>264</v>
      </c>
      <c r="N328">
        <v>314</v>
      </c>
      <c r="O328" s="4">
        <v>19600</v>
      </c>
      <c r="P328" s="4">
        <v>20253.94140625</v>
      </c>
      <c r="Q328" s="5">
        <f t="shared" si="20"/>
        <v>3.3364357461734606E-2</v>
      </c>
      <c r="R328" s="4">
        <v>19557.175678975349</v>
      </c>
      <c r="S328" s="5">
        <f t="shared" si="21"/>
        <v>-2.1849143379923941E-3</v>
      </c>
      <c r="T328" s="4">
        <v>17689.931624812329</v>
      </c>
      <c r="U328" s="5">
        <f t="shared" si="22"/>
        <v>-9.7452468121819957E-2</v>
      </c>
      <c r="V328" s="4">
        <v>20492.2734375</v>
      </c>
      <c r="W328" s="5">
        <f t="shared" si="23"/>
        <v>4.5524154974489806E-2</v>
      </c>
    </row>
    <row r="329" spans="1:23" x14ac:dyDescent="0.25">
      <c r="A329" t="s">
        <v>567</v>
      </c>
      <c r="B329">
        <v>2019</v>
      </c>
      <c r="C329" t="s">
        <v>53</v>
      </c>
      <c r="D329" t="s">
        <v>568</v>
      </c>
      <c r="E329">
        <v>31170</v>
      </c>
      <c r="F329" t="s">
        <v>161</v>
      </c>
      <c r="G329" t="s">
        <v>44</v>
      </c>
      <c r="H329" t="s">
        <v>25</v>
      </c>
      <c r="I329" t="s">
        <v>24</v>
      </c>
      <c r="J329" s="2">
        <v>45314</v>
      </c>
      <c r="K329" t="s">
        <v>25</v>
      </c>
      <c r="L329">
        <v>43950</v>
      </c>
      <c r="M329">
        <v>264</v>
      </c>
      <c r="N329">
        <v>314</v>
      </c>
      <c r="O329" s="4">
        <v>34250</v>
      </c>
      <c r="P329" s="4">
        <v>24684.1015625</v>
      </c>
      <c r="Q329" s="5">
        <f t="shared" si="20"/>
        <v>-0.27929630474452549</v>
      </c>
      <c r="R329" s="4">
        <v>20987.56916400569</v>
      </c>
      <c r="S329" s="5">
        <f t="shared" si="21"/>
        <v>-0.3872242579852353</v>
      </c>
      <c r="T329" s="4">
        <v>29734.41216761935</v>
      </c>
      <c r="U329" s="5">
        <f t="shared" si="22"/>
        <v>-0.13184198050746421</v>
      </c>
      <c r="V329" s="4">
        <v>24701.625</v>
      </c>
      <c r="W329" s="5">
        <f t="shared" si="23"/>
        <v>-0.2787846715328467</v>
      </c>
    </row>
    <row r="330" spans="1:23" x14ac:dyDescent="0.25">
      <c r="A330" t="s">
        <v>569</v>
      </c>
      <c r="B330">
        <v>2018</v>
      </c>
      <c r="C330" t="s">
        <v>53</v>
      </c>
      <c r="D330" t="s">
        <v>60</v>
      </c>
      <c r="E330">
        <v>98070</v>
      </c>
      <c r="F330" t="s">
        <v>246</v>
      </c>
      <c r="G330" t="s">
        <v>34</v>
      </c>
      <c r="H330" t="s">
        <v>25</v>
      </c>
      <c r="I330" t="s">
        <v>24</v>
      </c>
      <c r="J330" s="2">
        <v>45524</v>
      </c>
      <c r="K330" t="s">
        <v>25</v>
      </c>
      <c r="L330">
        <v>43950</v>
      </c>
      <c r="M330">
        <v>264</v>
      </c>
      <c r="N330">
        <v>314</v>
      </c>
      <c r="O330" s="4">
        <v>7500</v>
      </c>
      <c r="P330" s="4">
        <v>6499.05029296875</v>
      </c>
      <c r="Q330" s="5">
        <f t="shared" si="20"/>
        <v>-0.13345996093750001</v>
      </c>
      <c r="R330" s="4">
        <v>7101.3905237120516</v>
      </c>
      <c r="S330" s="5">
        <f t="shared" si="21"/>
        <v>-5.3147930171726476E-2</v>
      </c>
      <c r="T330" s="4">
        <v>6579.9129734941916</v>
      </c>
      <c r="U330" s="5">
        <f t="shared" si="22"/>
        <v>-0.12267827020077449</v>
      </c>
      <c r="V330" s="4">
        <v>6237.2021484375</v>
      </c>
      <c r="W330" s="5">
        <f t="shared" si="23"/>
        <v>-0.16837304687499999</v>
      </c>
    </row>
    <row r="331" spans="1:23" x14ac:dyDescent="0.25">
      <c r="A331" t="s">
        <v>570</v>
      </c>
      <c r="B331">
        <v>2016</v>
      </c>
      <c r="C331" t="s">
        <v>53</v>
      </c>
      <c r="D331" t="s">
        <v>65</v>
      </c>
      <c r="E331">
        <v>107159</v>
      </c>
      <c r="F331" t="s">
        <v>382</v>
      </c>
      <c r="G331" t="s">
        <v>30</v>
      </c>
      <c r="H331" t="s">
        <v>24</v>
      </c>
      <c r="I331" t="s">
        <v>25</v>
      </c>
      <c r="J331" s="2">
        <v>45386</v>
      </c>
      <c r="K331" t="s">
        <v>25</v>
      </c>
      <c r="L331">
        <v>43950</v>
      </c>
      <c r="M331">
        <v>264</v>
      </c>
      <c r="N331">
        <v>314</v>
      </c>
      <c r="O331" s="4">
        <v>10200</v>
      </c>
      <c r="P331" s="4">
        <v>4214.7744140625</v>
      </c>
      <c r="Q331" s="5">
        <f t="shared" si="20"/>
        <v>-0.5867868221507353</v>
      </c>
      <c r="R331" s="4">
        <v>5404.6254776053102</v>
      </c>
      <c r="S331" s="5">
        <f t="shared" si="21"/>
        <v>-0.47013475709751862</v>
      </c>
      <c r="T331" s="4">
        <v>9275.82110451259</v>
      </c>
      <c r="U331" s="5">
        <f t="shared" si="22"/>
        <v>-9.0605774067393119E-2</v>
      </c>
      <c r="V331" s="4">
        <v>3776.532958984375</v>
      </c>
      <c r="W331" s="5">
        <f t="shared" si="23"/>
        <v>-0.62975167068780635</v>
      </c>
    </row>
    <row r="332" spans="1:23" x14ac:dyDescent="0.25">
      <c r="A332" t="s">
        <v>571</v>
      </c>
      <c r="B332">
        <v>2013</v>
      </c>
      <c r="C332" t="s">
        <v>53</v>
      </c>
      <c r="D332" t="s">
        <v>65</v>
      </c>
      <c r="E332">
        <v>149711</v>
      </c>
      <c r="F332" t="s">
        <v>63</v>
      </c>
      <c r="G332" t="s">
        <v>23</v>
      </c>
      <c r="H332" t="s">
        <v>24</v>
      </c>
      <c r="I332" t="s">
        <v>25</v>
      </c>
      <c r="J332" s="2">
        <v>45561</v>
      </c>
      <c r="K332" t="s">
        <v>25</v>
      </c>
      <c r="L332">
        <v>43950</v>
      </c>
      <c r="M332">
        <v>264</v>
      </c>
      <c r="N332">
        <v>314</v>
      </c>
      <c r="O332" s="4">
        <v>8500</v>
      </c>
      <c r="P332" s="4">
        <v>4323.4736328125</v>
      </c>
      <c r="Q332" s="5">
        <f t="shared" si="20"/>
        <v>-0.49135604319852944</v>
      </c>
      <c r="R332" s="4">
        <v>4961.3914643603684</v>
      </c>
      <c r="S332" s="5">
        <f t="shared" si="21"/>
        <v>-0.41630688654583903</v>
      </c>
      <c r="T332" s="4">
        <v>6126.9816086718893</v>
      </c>
      <c r="U332" s="5">
        <f t="shared" si="22"/>
        <v>-0.27917863427389533</v>
      </c>
      <c r="V332" s="4">
        <v>4016.2978515625</v>
      </c>
      <c r="W332" s="5">
        <f t="shared" si="23"/>
        <v>-0.52749437040441172</v>
      </c>
    </row>
    <row r="333" spans="1:23" x14ac:dyDescent="0.25">
      <c r="A333" t="s">
        <v>572</v>
      </c>
      <c r="B333">
        <v>2014</v>
      </c>
      <c r="C333" t="s">
        <v>53</v>
      </c>
      <c r="D333" t="s">
        <v>69</v>
      </c>
      <c r="E333">
        <v>133169</v>
      </c>
      <c r="F333" t="s">
        <v>37</v>
      </c>
      <c r="G333" t="s">
        <v>30</v>
      </c>
      <c r="H333" t="s">
        <v>24</v>
      </c>
      <c r="I333" t="s">
        <v>25</v>
      </c>
      <c r="J333" s="2">
        <v>45295</v>
      </c>
      <c r="K333" t="s">
        <v>25</v>
      </c>
      <c r="L333">
        <v>43950</v>
      </c>
      <c r="M333">
        <v>264</v>
      </c>
      <c r="N333">
        <v>314</v>
      </c>
      <c r="O333" s="4">
        <v>5100</v>
      </c>
      <c r="P333" s="4">
        <v>3445.06201171875</v>
      </c>
      <c r="Q333" s="5">
        <f t="shared" si="20"/>
        <v>-0.32449764476102938</v>
      </c>
      <c r="R333" s="4">
        <v>4815.2000718401187</v>
      </c>
      <c r="S333" s="5">
        <f t="shared" si="21"/>
        <v>-5.5843123168604181E-2</v>
      </c>
      <c r="T333" s="4">
        <v>6636.8060472397892</v>
      </c>
      <c r="U333" s="5">
        <f t="shared" si="22"/>
        <v>0.30133451906662523</v>
      </c>
      <c r="V333" s="4">
        <v>3101.234375</v>
      </c>
      <c r="W333" s="5">
        <f t="shared" si="23"/>
        <v>-0.3919148284313726</v>
      </c>
    </row>
    <row r="334" spans="1:23" x14ac:dyDescent="0.25">
      <c r="A334" t="s">
        <v>573</v>
      </c>
      <c r="B334">
        <v>2015</v>
      </c>
      <c r="C334" t="s">
        <v>20</v>
      </c>
      <c r="D334" t="s">
        <v>74</v>
      </c>
      <c r="E334">
        <v>99363</v>
      </c>
      <c r="F334" t="s">
        <v>37</v>
      </c>
      <c r="G334" t="s">
        <v>38</v>
      </c>
      <c r="H334" t="s">
        <v>25</v>
      </c>
      <c r="I334" t="s">
        <v>24</v>
      </c>
      <c r="J334" s="2">
        <v>45426</v>
      </c>
      <c r="K334" t="s">
        <v>25</v>
      </c>
      <c r="L334">
        <v>43950</v>
      </c>
      <c r="M334">
        <v>264</v>
      </c>
      <c r="N334">
        <v>314</v>
      </c>
      <c r="O334" s="4">
        <v>5400</v>
      </c>
      <c r="P334" s="4">
        <v>5259.09521484375</v>
      </c>
      <c r="Q334" s="5">
        <f t="shared" si="20"/>
        <v>-2.6093478732638897E-2</v>
      </c>
      <c r="R334" s="4">
        <v>7604.1129006011324</v>
      </c>
      <c r="S334" s="5">
        <f t="shared" si="21"/>
        <v>0.40816905566687645</v>
      </c>
      <c r="T334" s="4">
        <v>3577.6304498592299</v>
      </c>
      <c r="U334" s="5">
        <f t="shared" si="22"/>
        <v>-0.33747584261866115</v>
      </c>
      <c r="V334" s="4">
        <v>4741.91357421875</v>
      </c>
      <c r="W334" s="5">
        <f t="shared" si="23"/>
        <v>-0.1218678566261574</v>
      </c>
    </row>
    <row r="335" spans="1:23" x14ac:dyDescent="0.25">
      <c r="A335" t="s">
        <v>574</v>
      </c>
      <c r="B335">
        <v>2014</v>
      </c>
      <c r="C335" t="s">
        <v>20</v>
      </c>
      <c r="D335" t="s">
        <v>74</v>
      </c>
      <c r="E335">
        <v>123520</v>
      </c>
      <c r="F335" t="s">
        <v>246</v>
      </c>
      <c r="G335" t="s">
        <v>30</v>
      </c>
      <c r="H335" t="s">
        <v>24</v>
      </c>
      <c r="I335" t="s">
        <v>25</v>
      </c>
      <c r="J335" s="2">
        <v>45538</v>
      </c>
      <c r="K335" t="s">
        <v>25</v>
      </c>
      <c r="L335">
        <v>43950</v>
      </c>
      <c r="M335">
        <v>264</v>
      </c>
      <c r="N335">
        <v>314</v>
      </c>
      <c r="O335" s="4">
        <v>2500</v>
      </c>
      <c r="P335" s="4">
        <v>3586.414306640625</v>
      </c>
      <c r="Q335" s="5">
        <f t="shared" si="20"/>
        <v>0.43456572265625004</v>
      </c>
      <c r="R335" s="4">
        <v>3739.7290158981059</v>
      </c>
      <c r="S335" s="5">
        <f t="shared" si="21"/>
        <v>0.49589160635924245</v>
      </c>
      <c r="T335" s="4">
        <v>1671.767617432628</v>
      </c>
      <c r="U335" s="5">
        <f t="shared" si="22"/>
        <v>-0.33129295302694883</v>
      </c>
      <c r="V335" s="4">
        <v>3512.891357421875</v>
      </c>
      <c r="W335" s="5">
        <f t="shared" si="23"/>
        <v>0.40515654296875003</v>
      </c>
    </row>
    <row r="336" spans="1:23" x14ac:dyDescent="0.25">
      <c r="A336" t="s">
        <v>575</v>
      </c>
      <c r="B336">
        <v>2015</v>
      </c>
      <c r="C336" t="s">
        <v>113</v>
      </c>
      <c r="D336" t="s">
        <v>576</v>
      </c>
      <c r="E336">
        <v>105737</v>
      </c>
      <c r="F336" t="s">
        <v>72</v>
      </c>
      <c r="G336" t="s">
        <v>30</v>
      </c>
      <c r="H336" t="s">
        <v>24</v>
      </c>
      <c r="I336" t="s">
        <v>25</v>
      </c>
      <c r="J336" s="2">
        <v>45421</v>
      </c>
      <c r="K336" t="s">
        <v>25</v>
      </c>
      <c r="L336">
        <v>43950</v>
      </c>
      <c r="M336">
        <v>264</v>
      </c>
      <c r="N336">
        <v>314</v>
      </c>
      <c r="O336" s="4">
        <v>12500</v>
      </c>
      <c r="P336" s="4">
        <v>7655.044921875</v>
      </c>
      <c r="Q336" s="5">
        <f t="shared" si="20"/>
        <v>-0.38759640625000003</v>
      </c>
      <c r="R336" s="4">
        <v>9265.1236198771003</v>
      </c>
      <c r="S336" s="5">
        <f t="shared" si="21"/>
        <v>-0.25879011040983202</v>
      </c>
      <c r="T336" s="4">
        <v>8611.6665972118117</v>
      </c>
      <c r="U336" s="5">
        <f t="shared" si="22"/>
        <v>-0.31106667222305506</v>
      </c>
      <c r="V336" s="4">
        <v>7243.8359375</v>
      </c>
      <c r="W336" s="5">
        <f t="shared" si="23"/>
        <v>-0.42049312500000002</v>
      </c>
    </row>
    <row r="337" spans="1:23" x14ac:dyDescent="0.25">
      <c r="A337" t="s">
        <v>577</v>
      </c>
      <c r="B337">
        <v>2019</v>
      </c>
      <c r="C337" t="s">
        <v>46</v>
      </c>
      <c r="D337" t="s">
        <v>234</v>
      </c>
      <c r="E337">
        <v>99870</v>
      </c>
      <c r="F337" t="s">
        <v>254</v>
      </c>
      <c r="G337" t="s">
        <v>38</v>
      </c>
      <c r="H337" t="s">
        <v>25</v>
      </c>
      <c r="I337" t="s">
        <v>24</v>
      </c>
      <c r="J337" s="2">
        <v>45454</v>
      </c>
      <c r="K337" t="s">
        <v>25</v>
      </c>
      <c r="L337">
        <v>43950</v>
      </c>
      <c r="M337">
        <v>264</v>
      </c>
      <c r="N337">
        <v>314</v>
      </c>
      <c r="O337" s="4">
        <v>12800</v>
      </c>
      <c r="P337" s="4">
        <v>12127.625</v>
      </c>
      <c r="Q337" s="5">
        <f t="shared" si="20"/>
        <v>-5.2529296874999964E-2</v>
      </c>
      <c r="R337" s="4">
        <v>12723.947333159</v>
      </c>
      <c r="S337" s="5">
        <f t="shared" si="21"/>
        <v>-5.9416145969531931E-3</v>
      </c>
      <c r="T337" s="4">
        <v>6540.2457333419406</v>
      </c>
      <c r="U337" s="5">
        <f t="shared" si="22"/>
        <v>-0.48904330208266089</v>
      </c>
      <c r="V337" s="4">
        <v>12391.28125</v>
      </c>
      <c r="W337" s="5">
        <f t="shared" si="23"/>
        <v>-3.1931152343749991E-2</v>
      </c>
    </row>
    <row r="338" spans="1:23" x14ac:dyDescent="0.25">
      <c r="A338" t="s">
        <v>578</v>
      </c>
      <c r="B338">
        <v>2011</v>
      </c>
      <c r="C338" t="s">
        <v>53</v>
      </c>
      <c r="D338" t="s">
        <v>579</v>
      </c>
      <c r="E338">
        <v>139030</v>
      </c>
      <c r="F338" t="s">
        <v>72</v>
      </c>
      <c r="G338" t="s">
        <v>38</v>
      </c>
      <c r="H338" t="s">
        <v>25</v>
      </c>
      <c r="I338" t="s">
        <v>24</v>
      </c>
      <c r="J338" s="2">
        <v>45589</v>
      </c>
      <c r="K338" t="s">
        <v>25</v>
      </c>
      <c r="L338">
        <v>43950</v>
      </c>
      <c r="M338">
        <v>264</v>
      </c>
      <c r="N338">
        <v>314</v>
      </c>
      <c r="O338" s="4">
        <v>9100</v>
      </c>
      <c r="P338" s="4">
        <v>3478.54931640625</v>
      </c>
      <c r="Q338" s="5">
        <f t="shared" si="20"/>
        <v>-0.61774183336195054</v>
      </c>
      <c r="R338" s="4">
        <v>4758.0443306616662</v>
      </c>
      <c r="S338" s="5">
        <f t="shared" si="21"/>
        <v>-0.47713798564157517</v>
      </c>
      <c r="T338" s="4">
        <v>5840.6404604823774</v>
      </c>
      <c r="U338" s="5">
        <f t="shared" si="22"/>
        <v>-0.35817137796896947</v>
      </c>
      <c r="V338" s="4">
        <v>3101.234375</v>
      </c>
      <c r="W338" s="5">
        <f t="shared" si="23"/>
        <v>-0.65920501373626372</v>
      </c>
    </row>
    <row r="339" spans="1:23" x14ac:dyDescent="0.25">
      <c r="A339" t="s">
        <v>580</v>
      </c>
      <c r="B339">
        <v>2014</v>
      </c>
      <c r="C339" t="s">
        <v>53</v>
      </c>
      <c r="D339" t="s">
        <v>390</v>
      </c>
      <c r="E339">
        <v>123805</v>
      </c>
      <c r="F339" t="s">
        <v>250</v>
      </c>
      <c r="G339" t="s">
        <v>34</v>
      </c>
      <c r="H339" t="s">
        <v>25</v>
      </c>
      <c r="I339" t="s">
        <v>24</v>
      </c>
      <c r="J339" s="2">
        <v>45314</v>
      </c>
      <c r="K339" t="s">
        <v>25</v>
      </c>
      <c r="L339">
        <v>43950</v>
      </c>
      <c r="M339">
        <v>264</v>
      </c>
      <c r="N339">
        <v>314</v>
      </c>
      <c r="O339" s="4">
        <v>5400</v>
      </c>
      <c r="P339" s="4">
        <v>4815.03369140625</v>
      </c>
      <c r="Q339" s="5">
        <f t="shared" si="20"/>
        <v>-0.10832709418402775</v>
      </c>
      <c r="R339" s="4">
        <v>5188.3783444293986</v>
      </c>
      <c r="S339" s="5">
        <f t="shared" si="21"/>
        <v>-3.9189195476037275E-2</v>
      </c>
      <c r="T339" s="4">
        <v>4619.5689836856454</v>
      </c>
      <c r="U339" s="5">
        <f t="shared" si="22"/>
        <v>-0.14452426228043602</v>
      </c>
      <c r="V339" s="4">
        <v>4666.51513671875</v>
      </c>
      <c r="W339" s="5">
        <f t="shared" si="23"/>
        <v>-0.13583053023726854</v>
      </c>
    </row>
    <row r="340" spans="1:23" x14ac:dyDescent="0.25">
      <c r="A340" t="s">
        <v>581</v>
      </c>
      <c r="B340">
        <v>2020</v>
      </c>
      <c r="C340" t="s">
        <v>53</v>
      </c>
      <c r="D340" t="s">
        <v>582</v>
      </c>
      <c r="E340">
        <v>71652</v>
      </c>
      <c r="F340" t="s">
        <v>174</v>
      </c>
      <c r="G340" t="s">
        <v>44</v>
      </c>
      <c r="H340" t="s">
        <v>25</v>
      </c>
      <c r="I340" t="s">
        <v>24</v>
      </c>
      <c r="J340" s="2">
        <v>45622</v>
      </c>
      <c r="K340" t="s">
        <v>25</v>
      </c>
      <c r="L340">
        <v>43950</v>
      </c>
      <c r="M340">
        <v>264</v>
      </c>
      <c r="N340">
        <v>314</v>
      </c>
      <c r="O340" s="4">
        <v>11500</v>
      </c>
      <c r="P340" s="4">
        <v>16596.6171875</v>
      </c>
      <c r="Q340" s="5">
        <f t="shared" si="20"/>
        <v>0.44318410326086966</v>
      </c>
      <c r="R340" s="4">
        <v>19881.451996130148</v>
      </c>
      <c r="S340" s="5">
        <f t="shared" si="21"/>
        <v>0.7288219127069695</v>
      </c>
      <c r="T340" s="4">
        <v>18533.970891272442</v>
      </c>
      <c r="U340" s="5">
        <f t="shared" si="22"/>
        <v>0.61164964271934275</v>
      </c>
      <c r="V340" s="4">
        <v>15866.6806640625</v>
      </c>
      <c r="W340" s="5">
        <f t="shared" si="23"/>
        <v>0.37971136209239131</v>
      </c>
    </row>
    <row r="341" spans="1:23" x14ac:dyDescent="0.25">
      <c r="A341" t="s">
        <v>583</v>
      </c>
      <c r="B341">
        <v>2010</v>
      </c>
      <c r="C341" t="s">
        <v>20</v>
      </c>
      <c r="D341" t="s">
        <v>236</v>
      </c>
      <c r="E341">
        <v>67929</v>
      </c>
      <c r="F341" t="s">
        <v>29</v>
      </c>
      <c r="G341" t="s">
        <v>38</v>
      </c>
      <c r="H341" t="s">
        <v>25</v>
      </c>
      <c r="I341" t="s">
        <v>24</v>
      </c>
      <c r="J341" s="2">
        <v>45300</v>
      </c>
      <c r="K341" t="s">
        <v>25</v>
      </c>
      <c r="L341">
        <v>43950</v>
      </c>
      <c r="M341">
        <v>264</v>
      </c>
      <c r="N341">
        <v>314</v>
      </c>
      <c r="O341" s="4">
        <v>16776.190476190499</v>
      </c>
      <c r="P341" s="4">
        <v>5870.0224609375</v>
      </c>
      <c r="Q341" s="5">
        <f t="shared" si="20"/>
        <v>-0.650098008289278</v>
      </c>
      <c r="R341" s="4">
        <v>5966.9089247864467</v>
      </c>
      <c r="S341" s="5">
        <f t="shared" si="21"/>
        <v>-0.64432277201102695</v>
      </c>
      <c r="T341" s="4">
        <v>8067.6320175924657</v>
      </c>
      <c r="U341" s="5">
        <f t="shared" si="22"/>
        <v>-0.51910226406630278</v>
      </c>
      <c r="V341" s="4">
        <v>5845.49658203125</v>
      </c>
      <c r="W341" s="5">
        <f t="shared" si="23"/>
        <v>-0.65155995395215416</v>
      </c>
    </row>
    <row r="342" spans="1:23" x14ac:dyDescent="0.25">
      <c r="A342" t="s">
        <v>584</v>
      </c>
      <c r="B342">
        <v>2013</v>
      </c>
      <c r="C342" t="s">
        <v>20</v>
      </c>
      <c r="D342" t="s">
        <v>21</v>
      </c>
      <c r="E342">
        <v>82534</v>
      </c>
      <c r="F342" t="s">
        <v>106</v>
      </c>
      <c r="G342" t="s">
        <v>23</v>
      </c>
      <c r="H342" t="s">
        <v>24</v>
      </c>
      <c r="I342" t="s">
        <v>25</v>
      </c>
      <c r="J342" s="2">
        <v>45426</v>
      </c>
      <c r="K342" t="s">
        <v>25</v>
      </c>
      <c r="L342">
        <v>43950</v>
      </c>
      <c r="M342">
        <v>264</v>
      </c>
      <c r="N342">
        <v>314</v>
      </c>
      <c r="O342" s="4">
        <v>2200</v>
      </c>
      <c r="P342" s="4">
        <v>5493.40185546875</v>
      </c>
      <c r="Q342" s="5">
        <f t="shared" si="20"/>
        <v>1.4970008433948863</v>
      </c>
      <c r="R342" s="4">
        <v>6258.0129799220276</v>
      </c>
      <c r="S342" s="5">
        <f t="shared" si="21"/>
        <v>1.8445513545100125</v>
      </c>
      <c r="T342" s="4">
        <v>5957.6864122447059</v>
      </c>
      <c r="U342" s="5">
        <f t="shared" si="22"/>
        <v>1.708039278293048</v>
      </c>
      <c r="V342" s="4">
        <v>5266.28759765625</v>
      </c>
      <c r="W342" s="5">
        <f t="shared" si="23"/>
        <v>1.3937670898437502</v>
      </c>
    </row>
    <row r="343" spans="1:23" x14ac:dyDescent="0.25">
      <c r="A343" t="s">
        <v>585</v>
      </c>
      <c r="B343">
        <v>2013</v>
      </c>
      <c r="C343" t="s">
        <v>20</v>
      </c>
      <c r="D343" t="s">
        <v>134</v>
      </c>
      <c r="E343">
        <v>104784</v>
      </c>
      <c r="F343" t="s">
        <v>22</v>
      </c>
      <c r="G343" t="s">
        <v>23</v>
      </c>
      <c r="H343" t="s">
        <v>24</v>
      </c>
      <c r="I343" t="s">
        <v>25</v>
      </c>
      <c r="J343" s="2">
        <v>45386</v>
      </c>
      <c r="K343" t="s">
        <v>25</v>
      </c>
      <c r="L343">
        <v>43950</v>
      </c>
      <c r="M343">
        <v>264</v>
      </c>
      <c r="N343">
        <v>314</v>
      </c>
      <c r="O343" s="4">
        <v>8300</v>
      </c>
      <c r="P343" s="4">
        <v>3694.60888671875</v>
      </c>
      <c r="Q343" s="5">
        <f t="shared" si="20"/>
        <v>-0.55486639919051206</v>
      </c>
      <c r="R343" s="4">
        <v>3753.570700954016</v>
      </c>
      <c r="S343" s="5">
        <f t="shared" si="21"/>
        <v>-0.54776256615011854</v>
      </c>
      <c r="T343" s="4">
        <v>6031.5369726782483</v>
      </c>
      <c r="U343" s="5">
        <f t="shared" si="22"/>
        <v>-0.27330879847250023</v>
      </c>
      <c r="V343" s="4">
        <v>3661.492919921875</v>
      </c>
      <c r="W343" s="5">
        <f t="shared" si="23"/>
        <v>-0.55885627470820776</v>
      </c>
    </row>
    <row r="344" spans="1:23" x14ac:dyDescent="0.25">
      <c r="A344" t="s">
        <v>586</v>
      </c>
      <c r="B344">
        <v>2013</v>
      </c>
      <c r="C344" t="s">
        <v>20</v>
      </c>
      <c r="D344" t="s">
        <v>134</v>
      </c>
      <c r="E344">
        <v>143649</v>
      </c>
      <c r="F344" t="s">
        <v>22</v>
      </c>
      <c r="G344" t="s">
        <v>23</v>
      </c>
      <c r="H344" t="s">
        <v>24</v>
      </c>
      <c r="I344" t="s">
        <v>25</v>
      </c>
      <c r="J344" s="2">
        <v>45680</v>
      </c>
      <c r="K344" t="s">
        <v>25</v>
      </c>
      <c r="L344">
        <v>43950</v>
      </c>
      <c r="M344">
        <v>264</v>
      </c>
      <c r="N344">
        <v>314</v>
      </c>
      <c r="O344" s="4">
        <v>3000</v>
      </c>
      <c r="P344" s="4">
        <v>2631.397216796875</v>
      </c>
      <c r="Q344" s="5">
        <f t="shared" si="20"/>
        <v>-0.12286759440104167</v>
      </c>
      <c r="R344" s="4">
        <v>2810.7978708493119</v>
      </c>
      <c r="S344" s="5">
        <f t="shared" si="21"/>
        <v>-6.3067376383562634E-2</v>
      </c>
      <c r="T344" s="4">
        <v>3652.091276910573</v>
      </c>
      <c r="U344" s="5">
        <f t="shared" si="22"/>
        <v>0.21736375897019111</v>
      </c>
      <c r="V344" s="4">
        <v>2569.691650390625</v>
      </c>
      <c r="W344" s="5">
        <f t="shared" si="23"/>
        <v>-0.14343611653645838</v>
      </c>
    </row>
    <row r="345" spans="1:23" x14ac:dyDescent="0.25">
      <c r="A345" t="s">
        <v>587</v>
      </c>
      <c r="B345">
        <v>2013</v>
      </c>
      <c r="C345" t="s">
        <v>20</v>
      </c>
      <c r="D345" t="s">
        <v>21</v>
      </c>
      <c r="E345">
        <v>122574</v>
      </c>
      <c r="F345" t="s">
        <v>334</v>
      </c>
      <c r="G345" t="s">
        <v>23</v>
      </c>
      <c r="H345" t="s">
        <v>24</v>
      </c>
      <c r="I345" t="s">
        <v>25</v>
      </c>
      <c r="J345" s="2">
        <v>45342</v>
      </c>
      <c r="K345" t="s">
        <v>25</v>
      </c>
      <c r="L345">
        <v>43950</v>
      </c>
      <c r="M345">
        <v>264</v>
      </c>
      <c r="N345">
        <v>314</v>
      </c>
      <c r="O345" s="4">
        <v>2600</v>
      </c>
      <c r="P345" s="4">
        <v>2001.195068359375</v>
      </c>
      <c r="Q345" s="5">
        <f t="shared" si="20"/>
        <v>-0.23030958909254806</v>
      </c>
      <c r="R345" s="4">
        <v>3139.4856897941199</v>
      </c>
      <c r="S345" s="5">
        <f t="shared" si="21"/>
        <v>0.20749449607466142</v>
      </c>
      <c r="T345" s="4">
        <v>2997.6177209189541</v>
      </c>
      <c r="U345" s="5">
        <f t="shared" si="22"/>
        <v>0.15292989266113621</v>
      </c>
      <c r="V345" s="4">
        <v>1903.561401367188</v>
      </c>
      <c r="W345" s="5">
        <f t="shared" si="23"/>
        <v>-0.26786099947415853</v>
      </c>
    </row>
    <row r="346" spans="1:23" x14ac:dyDescent="0.25">
      <c r="A346" t="s">
        <v>588</v>
      </c>
      <c r="B346">
        <v>2018</v>
      </c>
      <c r="C346" t="s">
        <v>139</v>
      </c>
      <c r="D346" t="s">
        <v>283</v>
      </c>
      <c r="E346">
        <v>62751</v>
      </c>
      <c r="F346" t="s">
        <v>250</v>
      </c>
      <c r="G346" t="s">
        <v>38</v>
      </c>
      <c r="H346" t="s">
        <v>25</v>
      </c>
      <c r="I346" t="s">
        <v>24</v>
      </c>
      <c r="J346" s="2">
        <v>45608</v>
      </c>
      <c r="K346" t="s">
        <v>25</v>
      </c>
      <c r="L346">
        <v>43950</v>
      </c>
      <c r="M346">
        <v>264</v>
      </c>
      <c r="N346">
        <v>314</v>
      </c>
      <c r="O346" s="4">
        <v>14750</v>
      </c>
      <c r="P346" s="4">
        <v>14861.2353515625</v>
      </c>
      <c r="Q346" s="5">
        <f t="shared" si="20"/>
        <v>7.5413797669492411E-3</v>
      </c>
      <c r="R346" s="4">
        <v>15993.765585842981</v>
      </c>
      <c r="S346" s="5">
        <f t="shared" si="21"/>
        <v>8.4323090565625813E-2</v>
      </c>
      <c r="T346" s="4">
        <v>12725.68289935328</v>
      </c>
      <c r="U346" s="5">
        <f t="shared" si="22"/>
        <v>-0.13724183733198103</v>
      </c>
      <c r="V346" s="4">
        <v>14720.8837890625</v>
      </c>
      <c r="W346" s="5">
        <f t="shared" si="23"/>
        <v>-1.9739804025423746E-3</v>
      </c>
    </row>
    <row r="347" spans="1:23" x14ac:dyDescent="0.25">
      <c r="A347" t="s">
        <v>589</v>
      </c>
      <c r="B347">
        <v>2017</v>
      </c>
      <c r="C347" t="s">
        <v>53</v>
      </c>
      <c r="D347" t="s">
        <v>590</v>
      </c>
      <c r="E347">
        <v>152410</v>
      </c>
      <c r="F347" t="s">
        <v>82</v>
      </c>
      <c r="G347" t="s">
        <v>30</v>
      </c>
      <c r="H347" t="s">
        <v>24</v>
      </c>
      <c r="I347" t="s">
        <v>25</v>
      </c>
      <c r="J347" s="2">
        <v>45594</v>
      </c>
      <c r="K347" t="s">
        <v>25</v>
      </c>
      <c r="L347">
        <v>43950</v>
      </c>
      <c r="M347">
        <v>264</v>
      </c>
      <c r="N347">
        <v>314</v>
      </c>
      <c r="O347" s="4">
        <v>8800</v>
      </c>
      <c r="P347" s="4">
        <v>3618.984619140625</v>
      </c>
      <c r="Q347" s="5">
        <f t="shared" si="20"/>
        <v>-0.58875174782492889</v>
      </c>
      <c r="R347" s="4">
        <v>4179.4996288219772</v>
      </c>
      <c r="S347" s="5">
        <f t="shared" si="21"/>
        <v>-0.52505686036113897</v>
      </c>
      <c r="T347" s="4">
        <v>1788.7065363123891</v>
      </c>
      <c r="U347" s="5">
        <f t="shared" si="22"/>
        <v>-0.79673789360086489</v>
      </c>
      <c r="V347" s="4">
        <v>3434.584228515625</v>
      </c>
      <c r="W347" s="5">
        <f t="shared" si="23"/>
        <v>-0.60970633766867899</v>
      </c>
    </row>
    <row r="348" spans="1:23" x14ac:dyDescent="0.25">
      <c r="A348" t="s">
        <v>591</v>
      </c>
      <c r="B348">
        <v>2018</v>
      </c>
      <c r="C348" t="s">
        <v>53</v>
      </c>
      <c r="D348" t="s">
        <v>148</v>
      </c>
      <c r="E348">
        <v>71348</v>
      </c>
      <c r="F348" t="s">
        <v>72</v>
      </c>
      <c r="G348" t="s">
        <v>30</v>
      </c>
      <c r="H348" t="s">
        <v>24</v>
      </c>
      <c r="I348" t="s">
        <v>25</v>
      </c>
      <c r="J348" s="2">
        <v>45330</v>
      </c>
      <c r="K348" t="s">
        <v>25</v>
      </c>
      <c r="L348">
        <v>43950</v>
      </c>
      <c r="M348">
        <v>264</v>
      </c>
      <c r="N348">
        <v>314</v>
      </c>
      <c r="O348" s="4">
        <v>12800</v>
      </c>
      <c r="P348" s="4">
        <v>14369.7509765625</v>
      </c>
      <c r="Q348" s="5">
        <f t="shared" si="20"/>
        <v>0.12263679504394531</v>
      </c>
      <c r="R348" s="4">
        <v>14698.6879750184</v>
      </c>
      <c r="S348" s="5">
        <f t="shared" si="21"/>
        <v>0.14833499804831241</v>
      </c>
      <c r="T348" s="4">
        <v>18652.361817668781</v>
      </c>
      <c r="U348" s="5">
        <f t="shared" si="22"/>
        <v>0.45721576700537359</v>
      </c>
      <c r="V348" s="4">
        <v>14506.486328125</v>
      </c>
      <c r="W348" s="5">
        <f t="shared" si="23"/>
        <v>0.13331924438476572</v>
      </c>
    </row>
    <row r="349" spans="1:23" x14ac:dyDescent="0.25">
      <c r="A349" t="s">
        <v>592</v>
      </c>
      <c r="B349">
        <v>2017</v>
      </c>
      <c r="C349" t="s">
        <v>53</v>
      </c>
      <c r="D349" t="s">
        <v>148</v>
      </c>
      <c r="E349">
        <v>177147</v>
      </c>
      <c r="F349" t="s">
        <v>77</v>
      </c>
      <c r="G349" t="s">
        <v>30</v>
      </c>
      <c r="H349" t="s">
        <v>24</v>
      </c>
      <c r="I349" t="s">
        <v>25</v>
      </c>
      <c r="J349" s="2">
        <v>45666</v>
      </c>
      <c r="K349" t="s">
        <v>25</v>
      </c>
      <c r="L349">
        <v>43950</v>
      </c>
      <c r="M349">
        <v>264</v>
      </c>
      <c r="N349">
        <v>314</v>
      </c>
      <c r="O349" s="4">
        <v>9500</v>
      </c>
      <c r="P349" s="4">
        <v>4251.78564453125</v>
      </c>
      <c r="Q349" s="5">
        <f t="shared" si="20"/>
        <v>-0.55244361636513162</v>
      </c>
      <c r="R349" s="4">
        <v>6309.0639717283166</v>
      </c>
      <c r="S349" s="5">
        <f t="shared" si="21"/>
        <v>-0.33588800297596666</v>
      </c>
      <c r="T349" s="4">
        <v>7480.5728656180581</v>
      </c>
      <c r="U349" s="5">
        <f t="shared" si="22"/>
        <v>-0.21257127730336234</v>
      </c>
      <c r="V349" s="4">
        <v>3734.724609375</v>
      </c>
      <c r="W349" s="5">
        <f t="shared" si="23"/>
        <v>-0.60687109374999992</v>
      </c>
    </row>
    <row r="350" spans="1:23" x14ac:dyDescent="0.25">
      <c r="A350" t="s">
        <v>593</v>
      </c>
      <c r="B350">
        <v>2017</v>
      </c>
      <c r="C350" t="s">
        <v>185</v>
      </c>
      <c r="D350" t="s">
        <v>264</v>
      </c>
      <c r="E350">
        <v>104056</v>
      </c>
      <c r="F350" t="s">
        <v>261</v>
      </c>
      <c r="G350" t="s">
        <v>30</v>
      </c>
      <c r="H350" t="s">
        <v>24</v>
      </c>
      <c r="I350" t="s">
        <v>25</v>
      </c>
      <c r="J350" s="2">
        <v>45344</v>
      </c>
      <c r="K350" t="s">
        <v>25</v>
      </c>
      <c r="L350">
        <v>43950</v>
      </c>
      <c r="M350">
        <v>264</v>
      </c>
      <c r="N350">
        <v>314</v>
      </c>
      <c r="O350" s="4">
        <v>9300</v>
      </c>
      <c r="P350" s="4">
        <v>3958.0126953125</v>
      </c>
      <c r="Q350" s="5">
        <f t="shared" si="20"/>
        <v>-0.57440723706317209</v>
      </c>
      <c r="R350" s="4">
        <v>3529.1401039955231</v>
      </c>
      <c r="S350" s="5">
        <f t="shared" si="21"/>
        <v>-0.62052256946284701</v>
      </c>
      <c r="T350" s="4">
        <v>3040.7532387780138</v>
      </c>
      <c r="U350" s="5">
        <f t="shared" si="22"/>
        <v>-0.6730372861529017</v>
      </c>
      <c r="V350" s="4">
        <v>4033.624267578125</v>
      </c>
      <c r="W350" s="5">
        <f t="shared" si="23"/>
        <v>-0.56627696047547049</v>
      </c>
    </row>
    <row r="351" spans="1:23" x14ac:dyDescent="0.25">
      <c r="A351" t="s">
        <v>594</v>
      </c>
      <c r="B351">
        <v>2019</v>
      </c>
      <c r="C351" t="s">
        <v>185</v>
      </c>
      <c r="D351" t="s">
        <v>437</v>
      </c>
      <c r="E351">
        <v>108195</v>
      </c>
      <c r="F351" t="s">
        <v>79</v>
      </c>
      <c r="G351" t="s">
        <v>30</v>
      </c>
      <c r="H351" t="s">
        <v>24</v>
      </c>
      <c r="I351" t="s">
        <v>25</v>
      </c>
      <c r="J351" s="2">
        <v>45407</v>
      </c>
      <c r="K351" t="s">
        <v>25</v>
      </c>
      <c r="L351">
        <v>43950</v>
      </c>
      <c r="M351">
        <v>264</v>
      </c>
      <c r="N351">
        <v>314</v>
      </c>
      <c r="O351" s="4">
        <v>6100</v>
      </c>
      <c r="P351" s="4">
        <v>5379.27392578125</v>
      </c>
      <c r="Q351" s="5">
        <f t="shared" si="20"/>
        <v>-0.11815181544569675</v>
      </c>
      <c r="R351" s="4">
        <v>5135.8235005899533</v>
      </c>
      <c r="S351" s="5">
        <f t="shared" si="21"/>
        <v>-0.15806172121476181</v>
      </c>
      <c r="T351" s="4">
        <v>4424.4107866884005</v>
      </c>
      <c r="U351" s="5">
        <f t="shared" si="22"/>
        <v>-0.27468675628059003</v>
      </c>
      <c r="V351" s="4">
        <v>5372.56787109375</v>
      </c>
      <c r="W351" s="5">
        <f t="shared" si="23"/>
        <v>-0.11925116867315577</v>
      </c>
    </row>
    <row r="352" spans="1:23" x14ac:dyDescent="0.25">
      <c r="A352" t="s">
        <v>595</v>
      </c>
      <c r="B352">
        <v>2014</v>
      </c>
      <c r="C352" t="s">
        <v>266</v>
      </c>
      <c r="D352" t="s">
        <v>596</v>
      </c>
      <c r="E352">
        <v>112929</v>
      </c>
      <c r="F352" t="s">
        <v>254</v>
      </c>
      <c r="G352" t="s">
        <v>38</v>
      </c>
      <c r="H352" t="s">
        <v>25</v>
      </c>
      <c r="I352" t="s">
        <v>24</v>
      </c>
      <c r="J352" s="2">
        <v>45440</v>
      </c>
      <c r="K352" t="s">
        <v>25</v>
      </c>
      <c r="L352">
        <v>43950</v>
      </c>
      <c r="M352">
        <v>264</v>
      </c>
      <c r="N352">
        <v>314</v>
      </c>
      <c r="O352" s="4">
        <v>11510.593220339</v>
      </c>
      <c r="P352" s="4">
        <v>3923.778564453125</v>
      </c>
      <c r="Q352" s="5">
        <f t="shared" si="20"/>
        <v>-0.65911586923948606</v>
      </c>
      <c r="R352" s="4">
        <v>4160.1550758566827</v>
      </c>
      <c r="S352" s="5">
        <f t="shared" si="21"/>
        <v>-0.63858030631246987</v>
      </c>
      <c r="T352" s="4">
        <v>4821.7250530715046</v>
      </c>
      <c r="U352" s="5">
        <f t="shared" si="22"/>
        <v>-0.5811054251703025</v>
      </c>
      <c r="V352" s="4">
        <v>3849.700439453125</v>
      </c>
      <c r="W352" s="5">
        <f t="shared" si="23"/>
        <v>-0.66555151713199479</v>
      </c>
    </row>
    <row r="353" spans="1:23" x14ac:dyDescent="0.25">
      <c r="A353" t="s">
        <v>597</v>
      </c>
      <c r="B353">
        <v>2019</v>
      </c>
      <c r="C353" t="s">
        <v>182</v>
      </c>
      <c r="D353" t="s">
        <v>598</v>
      </c>
      <c r="E353">
        <v>45551</v>
      </c>
      <c r="F353" t="s">
        <v>254</v>
      </c>
      <c r="G353" t="s">
        <v>38</v>
      </c>
      <c r="H353" t="s">
        <v>25</v>
      </c>
      <c r="I353" t="s">
        <v>24</v>
      </c>
      <c r="J353" s="2">
        <v>45664</v>
      </c>
      <c r="K353" t="s">
        <v>25</v>
      </c>
      <c r="L353">
        <v>43950</v>
      </c>
      <c r="M353">
        <v>264</v>
      </c>
      <c r="N353">
        <v>314</v>
      </c>
      <c r="O353" s="4">
        <v>15900</v>
      </c>
      <c r="P353" s="4">
        <v>19524.998046875</v>
      </c>
      <c r="Q353" s="5">
        <f t="shared" si="20"/>
        <v>0.22798729854559752</v>
      </c>
      <c r="R353" s="4">
        <v>19269.85834290503</v>
      </c>
      <c r="S353" s="5">
        <f t="shared" si="21"/>
        <v>0.21194077628333519</v>
      </c>
      <c r="T353" s="4">
        <v>19314.388003955999</v>
      </c>
      <c r="U353" s="5">
        <f t="shared" si="22"/>
        <v>0.21474138389660369</v>
      </c>
      <c r="V353" s="4">
        <v>19516.072265625</v>
      </c>
      <c r="W353" s="5">
        <f t="shared" si="23"/>
        <v>0.22742592865566036</v>
      </c>
    </row>
    <row r="354" spans="1:23" x14ac:dyDescent="0.25">
      <c r="A354" t="s">
        <v>599</v>
      </c>
      <c r="B354">
        <v>2020</v>
      </c>
      <c r="C354" t="s">
        <v>167</v>
      </c>
      <c r="D354" t="s">
        <v>600</v>
      </c>
      <c r="E354">
        <v>87973</v>
      </c>
      <c r="F354" t="s">
        <v>174</v>
      </c>
      <c r="G354" t="s">
        <v>30</v>
      </c>
      <c r="H354" t="s">
        <v>24</v>
      </c>
      <c r="I354" t="s">
        <v>25</v>
      </c>
      <c r="J354" s="2">
        <v>45720</v>
      </c>
      <c r="K354" t="s">
        <v>25</v>
      </c>
      <c r="L354">
        <v>43950</v>
      </c>
      <c r="M354">
        <v>264</v>
      </c>
      <c r="N354">
        <v>314</v>
      </c>
      <c r="O354" s="4">
        <v>14800</v>
      </c>
      <c r="P354" s="4">
        <v>10734.8857421875</v>
      </c>
      <c r="Q354" s="5">
        <f t="shared" si="20"/>
        <v>-0.27466988228462841</v>
      </c>
      <c r="R354" s="4">
        <v>13731.812974393029</v>
      </c>
      <c r="S354" s="5">
        <f t="shared" si="21"/>
        <v>-7.2174799027498016E-2</v>
      </c>
      <c r="T354" s="4">
        <v>13308.154920915769</v>
      </c>
      <c r="U354" s="5">
        <f t="shared" si="22"/>
        <v>-0.10080034318136699</v>
      </c>
      <c r="V354" s="4">
        <v>10358.1962890625</v>
      </c>
      <c r="W354" s="5">
        <f t="shared" si="23"/>
        <v>-0.30012187236064192</v>
      </c>
    </row>
    <row r="355" spans="1:23" x14ac:dyDescent="0.25">
      <c r="A355" t="s">
        <v>601</v>
      </c>
      <c r="B355">
        <v>2019</v>
      </c>
      <c r="C355" t="s">
        <v>167</v>
      </c>
      <c r="D355" t="s">
        <v>168</v>
      </c>
      <c r="E355">
        <v>77684</v>
      </c>
      <c r="F355" t="s">
        <v>43</v>
      </c>
      <c r="G355" t="s">
        <v>44</v>
      </c>
      <c r="H355" t="s">
        <v>25</v>
      </c>
      <c r="I355" t="s">
        <v>24</v>
      </c>
      <c r="J355" s="2">
        <v>45421</v>
      </c>
      <c r="K355" t="s">
        <v>25</v>
      </c>
      <c r="L355">
        <v>43950</v>
      </c>
      <c r="M355">
        <v>264</v>
      </c>
      <c r="N355">
        <v>314</v>
      </c>
      <c r="O355" s="4">
        <v>15400</v>
      </c>
      <c r="P355" s="4">
        <v>11413.0712890625</v>
      </c>
      <c r="Q355" s="5">
        <f t="shared" si="20"/>
        <v>-0.25889147473620133</v>
      </c>
      <c r="R355" s="4">
        <v>11569.72031114811</v>
      </c>
      <c r="S355" s="5">
        <f t="shared" si="21"/>
        <v>-0.24871946031505776</v>
      </c>
      <c r="T355" s="4">
        <v>9899.8938363289581</v>
      </c>
      <c r="U355" s="5">
        <f t="shared" si="22"/>
        <v>-0.35714975088773004</v>
      </c>
      <c r="V355" s="4">
        <v>11338.146484375</v>
      </c>
      <c r="W355" s="5">
        <f t="shared" si="23"/>
        <v>-0.26375672179383114</v>
      </c>
    </row>
    <row r="356" spans="1:23" x14ac:dyDescent="0.25">
      <c r="A356" t="s">
        <v>602</v>
      </c>
      <c r="B356">
        <v>2014</v>
      </c>
      <c r="C356" t="s">
        <v>156</v>
      </c>
      <c r="D356" t="s">
        <v>173</v>
      </c>
      <c r="E356">
        <v>150642</v>
      </c>
      <c r="F356" t="s">
        <v>61</v>
      </c>
      <c r="G356" t="s">
        <v>30</v>
      </c>
      <c r="H356" t="s">
        <v>24</v>
      </c>
      <c r="I356" t="s">
        <v>25</v>
      </c>
      <c r="J356" s="2">
        <v>45566</v>
      </c>
      <c r="K356" t="s">
        <v>25</v>
      </c>
      <c r="L356">
        <v>43950</v>
      </c>
      <c r="M356">
        <v>264</v>
      </c>
      <c r="N356">
        <v>314</v>
      </c>
      <c r="O356" s="4">
        <v>2300</v>
      </c>
      <c r="P356" s="4">
        <v>1304.80322265625</v>
      </c>
      <c r="Q356" s="5">
        <f t="shared" si="20"/>
        <v>-0.4326942510190217</v>
      </c>
      <c r="R356" s="4">
        <v>1491.135720640797</v>
      </c>
      <c r="S356" s="5">
        <f t="shared" si="21"/>
        <v>-0.35168012146052308</v>
      </c>
      <c r="T356" s="4">
        <v>1814.80058907183</v>
      </c>
      <c r="U356" s="5">
        <f t="shared" si="22"/>
        <v>-0.21095626562094349</v>
      </c>
      <c r="V356" s="4">
        <v>1337.383178710938</v>
      </c>
      <c r="W356" s="5">
        <f t="shared" si="23"/>
        <v>-0.4185290527343748</v>
      </c>
    </row>
    <row r="357" spans="1:23" x14ac:dyDescent="0.25">
      <c r="A357" t="s">
        <v>603</v>
      </c>
      <c r="B357">
        <v>2012</v>
      </c>
      <c r="C357" t="s">
        <v>139</v>
      </c>
      <c r="D357" t="s">
        <v>283</v>
      </c>
      <c r="E357">
        <v>87113</v>
      </c>
      <c r="F357" t="s">
        <v>246</v>
      </c>
      <c r="G357" t="s">
        <v>38</v>
      </c>
      <c r="H357" t="s">
        <v>25</v>
      </c>
      <c r="I357" t="s">
        <v>24</v>
      </c>
      <c r="J357" s="2">
        <v>45687</v>
      </c>
      <c r="K357" t="s">
        <v>25</v>
      </c>
      <c r="L357">
        <v>43950</v>
      </c>
      <c r="M357">
        <v>264</v>
      </c>
      <c r="N357">
        <v>314</v>
      </c>
      <c r="O357" s="4">
        <v>7500</v>
      </c>
      <c r="P357" s="4">
        <v>4997.0859375</v>
      </c>
      <c r="Q357" s="5">
        <f t="shared" si="20"/>
        <v>-0.33372187499999995</v>
      </c>
      <c r="R357" s="4">
        <v>5142.3695944641986</v>
      </c>
      <c r="S357" s="5">
        <f t="shared" si="21"/>
        <v>-0.31435072073810688</v>
      </c>
      <c r="T357" s="4">
        <v>5333.706708800516</v>
      </c>
      <c r="U357" s="5">
        <f t="shared" si="22"/>
        <v>-0.28883910549326453</v>
      </c>
      <c r="V357" s="4">
        <v>4951.97607421875</v>
      </c>
      <c r="W357" s="5">
        <f t="shared" si="23"/>
        <v>-0.33973652343750005</v>
      </c>
    </row>
    <row r="358" spans="1:23" x14ac:dyDescent="0.25">
      <c r="A358" t="s">
        <v>604</v>
      </c>
      <c r="B358">
        <v>2021</v>
      </c>
      <c r="C358" t="s">
        <v>605</v>
      </c>
      <c r="D358" t="s">
        <v>606</v>
      </c>
      <c r="E358">
        <v>37826</v>
      </c>
      <c r="F358" t="s">
        <v>189</v>
      </c>
      <c r="G358" t="s">
        <v>34</v>
      </c>
      <c r="H358" t="s">
        <v>25</v>
      </c>
      <c r="I358" t="s">
        <v>24</v>
      </c>
      <c r="J358" s="2">
        <v>45566</v>
      </c>
      <c r="K358" t="s">
        <v>25</v>
      </c>
      <c r="L358">
        <v>43950</v>
      </c>
      <c r="M358">
        <v>264</v>
      </c>
      <c r="N358">
        <v>314</v>
      </c>
      <c r="O358" s="4">
        <v>25840</v>
      </c>
      <c r="P358" s="4">
        <v>24366.28125</v>
      </c>
      <c r="Q358" s="5">
        <f t="shared" si="20"/>
        <v>-5.7032459365325083E-2</v>
      </c>
      <c r="R358" s="4">
        <v>26143.07259291306</v>
      </c>
      <c r="S358" s="5">
        <f t="shared" si="21"/>
        <v>1.1728815515211322E-2</v>
      </c>
      <c r="T358" s="4">
        <v>29973.178430411928</v>
      </c>
      <c r="U358" s="5">
        <f t="shared" si="22"/>
        <v>0.15995272563513652</v>
      </c>
      <c r="V358" s="4">
        <v>23962.736328125</v>
      </c>
      <c r="W358" s="5">
        <f t="shared" si="23"/>
        <v>-7.2649522905379293E-2</v>
      </c>
    </row>
    <row r="359" spans="1:23" x14ac:dyDescent="0.25">
      <c r="A359" t="s">
        <v>607</v>
      </c>
      <c r="B359">
        <v>2014</v>
      </c>
      <c r="C359" t="s">
        <v>182</v>
      </c>
      <c r="D359" t="s">
        <v>608</v>
      </c>
      <c r="E359">
        <v>96631</v>
      </c>
      <c r="F359" t="s">
        <v>82</v>
      </c>
      <c r="G359" t="s">
        <v>30</v>
      </c>
      <c r="H359" t="s">
        <v>24</v>
      </c>
      <c r="I359" t="s">
        <v>25</v>
      </c>
      <c r="J359" s="2">
        <v>45365</v>
      </c>
      <c r="K359" t="s">
        <v>25</v>
      </c>
      <c r="L359">
        <v>43950</v>
      </c>
      <c r="M359">
        <v>264</v>
      </c>
      <c r="N359">
        <v>314</v>
      </c>
      <c r="O359" s="4">
        <v>11800</v>
      </c>
      <c r="P359" s="4">
        <v>3839.1240234375</v>
      </c>
      <c r="Q359" s="5">
        <f t="shared" si="20"/>
        <v>-0.67465050648834746</v>
      </c>
      <c r="R359" s="4">
        <v>4357.7574768913773</v>
      </c>
      <c r="S359" s="5">
        <f t="shared" si="21"/>
        <v>-0.63069851890751039</v>
      </c>
      <c r="T359" s="4">
        <v>3842.7481502822152</v>
      </c>
      <c r="U359" s="5">
        <f t="shared" si="22"/>
        <v>-0.67434337709472758</v>
      </c>
      <c r="V359" s="4">
        <v>3665.2587890625</v>
      </c>
      <c r="W359" s="5">
        <f t="shared" si="23"/>
        <v>-0.68938484838453395</v>
      </c>
    </row>
    <row r="360" spans="1:23" x14ac:dyDescent="0.25">
      <c r="A360" t="s">
        <v>609</v>
      </c>
      <c r="B360">
        <v>2013</v>
      </c>
      <c r="C360" t="s">
        <v>182</v>
      </c>
      <c r="D360" t="s">
        <v>610</v>
      </c>
      <c r="E360">
        <v>122642</v>
      </c>
      <c r="F360" t="s">
        <v>58</v>
      </c>
      <c r="G360" t="s">
        <v>30</v>
      </c>
      <c r="H360" t="s">
        <v>24</v>
      </c>
      <c r="I360" t="s">
        <v>25</v>
      </c>
      <c r="J360" s="2">
        <v>45706</v>
      </c>
      <c r="K360" t="s">
        <v>25</v>
      </c>
      <c r="L360">
        <v>43950</v>
      </c>
      <c r="M360">
        <v>264</v>
      </c>
      <c r="N360">
        <v>314</v>
      </c>
      <c r="O360" s="4">
        <v>9500</v>
      </c>
      <c r="P360" s="4">
        <v>2909.490234375</v>
      </c>
      <c r="Q360" s="5">
        <f t="shared" si="20"/>
        <v>-0.69373787006578946</v>
      </c>
      <c r="R360" s="4">
        <v>3303.823970510462</v>
      </c>
      <c r="S360" s="5">
        <f t="shared" si="21"/>
        <v>-0.65222905573574086</v>
      </c>
      <c r="T360" s="4">
        <v>3671.1764722270059</v>
      </c>
      <c r="U360" s="5">
        <f t="shared" si="22"/>
        <v>-0.61356037134452568</v>
      </c>
      <c r="V360" s="4">
        <v>2792.89794921875</v>
      </c>
      <c r="W360" s="5">
        <f t="shared" si="23"/>
        <v>-0.70601074218749993</v>
      </c>
    </row>
    <row r="361" spans="1:23" x14ac:dyDescent="0.25">
      <c r="A361" t="s">
        <v>611</v>
      </c>
      <c r="B361">
        <v>2013</v>
      </c>
      <c r="C361" t="s">
        <v>167</v>
      </c>
      <c r="D361" t="s">
        <v>555</v>
      </c>
      <c r="E361">
        <v>102660</v>
      </c>
      <c r="F361" t="s">
        <v>102</v>
      </c>
      <c r="G361" t="s">
        <v>44</v>
      </c>
      <c r="H361" t="s">
        <v>25</v>
      </c>
      <c r="I361" t="s">
        <v>24</v>
      </c>
      <c r="J361" s="2">
        <v>45538</v>
      </c>
      <c r="K361" t="s">
        <v>25</v>
      </c>
      <c r="L361">
        <v>43950</v>
      </c>
      <c r="M361">
        <v>264</v>
      </c>
      <c r="N361">
        <v>314</v>
      </c>
      <c r="O361" s="4">
        <v>1700</v>
      </c>
      <c r="P361" s="4">
        <v>5026.55126953125</v>
      </c>
      <c r="Q361" s="5">
        <f t="shared" si="20"/>
        <v>1.9567948644301469</v>
      </c>
      <c r="R361" s="4">
        <v>4558.5240792978584</v>
      </c>
      <c r="S361" s="5">
        <f t="shared" si="21"/>
        <v>1.681484752528152</v>
      </c>
      <c r="T361" s="4">
        <v>3973.6826496633898</v>
      </c>
      <c r="U361" s="5">
        <f t="shared" si="22"/>
        <v>1.3374603821549353</v>
      </c>
      <c r="V361" s="4">
        <v>4994.7734375</v>
      </c>
      <c r="W361" s="5">
        <f t="shared" si="23"/>
        <v>1.9381020220588234</v>
      </c>
    </row>
    <row r="362" spans="1:23" x14ac:dyDescent="0.25">
      <c r="A362" t="s">
        <v>612</v>
      </c>
      <c r="B362">
        <v>2013</v>
      </c>
      <c r="C362" t="s">
        <v>167</v>
      </c>
      <c r="D362" t="s">
        <v>168</v>
      </c>
      <c r="E362">
        <v>151906</v>
      </c>
      <c r="F362" t="s">
        <v>22</v>
      </c>
      <c r="G362" t="s">
        <v>30</v>
      </c>
      <c r="H362" t="s">
        <v>24</v>
      </c>
      <c r="I362" t="s">
        <v>25</v>
      </c>
      <c r="J362" s="2">
        <v>45400</v>
      </c>
      <c r="K362" t="s">
        <v>25</v>
      </c>
      <c r="L362">
        <v>43950</v>
      </c>
      <c r="M362">
        <v>264</v>
      </c>
      <c r="N362">
        <v>314</v>
      </c>
      <c r="O362" s="4">
        <v>5800</v>
      </c>
      <c r="P362" s="4">
        <v>1448.828735351562</v>
      </c>
      <c r="Q362" s="5">
        <f t="shared" si="20"/>
        <v>-0.75020194218076519</v>
      </c>
      <c r="R362" s="4">
        <v>1379.791210191466</v>
      </c>
      <c r="S362" s="5">
        <f t="shared" si="21"/>
        <v>-0.76210496376009207</v>
      </c>
      <c r="T362" s="4">
        <v>1603.969205582323</v>
      </c>
      <c r="U362" s="5">
        <f t="shared" si="22"/>
        <v>-0.72345358524442704</v>
      </c>
      <c r="V362" s="4">
        <v>1459.436401367188</v>
      </c>
      <c r="W362" s="5">
        <f t="shared" si="23"/>
        <v>-0.74837303424703649</v>
      </c>
    </row>
    <row r="363" spans="1:23" x14ac:dyDescent="0.25">
      <c r="A363" t="s">
        <v>613</v>
      </c>
      <c r="B363">
        <v>2016</v>
      </c>
      <c r="C363" t="s">
        <v>167</v>
      </c>
      <c r="D363" t="s">
        <v>192</v>
      </c>
      <c r="E363">
        <v>101779</v>
      </c>
      <c r="F363" t="s">
        <v>63</v>
      </c>
      <c r="G363" t="s">
        <v>30</v>
      </c>
      <c r="H363" t="s">
        <v>24</v>
      </c>
      <c r="I363" t="s">
        <v>25</v>
      </c>
      <c r="J363" s="2">
        <v>45617</v>
      </c>
      <c r="K363" t="s">
        <v>25</v>
      </c>
      <c r="L363">
        <v>43950</v>
      </c>
      <c r="M363">
        <v>264</v>
      </c>
      <c r="N363">
        <v>314</v>
      </c>
      <c r="O363" s="4">
        <v>2500</v>
      </c>
      <c r="P363" s="4">
        <v>7183.91796875</v>
      </c>
      <c r="Q363" s="5">
        <f t="shared" si="20"/>
        <v>1.8735671875</v>
      </c>
      <c r="R363" s="4">
        <v>6734.6415692072023</v>
      </c>
      <c r="S363" s="5">
        <f t="shared" si="21"/>
        <v>1.693856627682881</v>
      </c>
      <c r="T363" s="4">
        <v>4699.620200904079</v>
      </c>
      <c r="U363" s="5">
        <f t="shared" si="22"/>
        <v>0.87984808036163153</v>
      </c>
      <c r="V363" s="4">
        <v>7231.67578125</v>
      </c>
      <c r="W363" s="5">
        <f t="shared" si="23"/>
        <v>1.8926703125</v>
      </c>
    </row>
    <row r="364" spans="1:23" x14ac:dyDescent="0.25">
      <c r="A364" t="s">
        <v>614</v>
      </c>
      <c r="B364">
        <v>2016</v>
      </c>
      <c r="C364" t="s">
        <v>156</v>
      </c>
      <c r="D364" t="s">
        <v>615</v>
      </c>
      <c r="E364">
        <v>126097</v>
      </c>
      <c r="F364" t="s">
        <v>261</v>
      </c>
      <c r="G364" t="s">
        <v>30</v>
      </c>
      <c r="H364" t="s">
        <v>24</v>
      </c>
      <c r="I364" t="s">
        <v>25</v>
      </c>
      <c r="J364" s="2">
        <v>45538</v>
      </c>
      <c r="K364" t="s">
        <v>25</v>
      </c>
      <c r="L364">
        <v>43950</v>
      </c>
      <c r="M364">
        <v>264</v>
      </c>
      <c r="N364">
        <v>314</v>
      </c>
      <c r="O364" s="4">
        <v>1800</v>
      </c>
      <c r="P364" s="4">
        <v>2300.07568359375</v>
      </c>
      <c r="Q364" s="5">
        <f t="shared" si="20"/>
        <v>0.27781982421874996</v>
      </c>
      <c r="R364" s="4">
        <v>2219.6080974536649</v>
      </c>
      <c r="S364" s="5">
        <f t="shared" si="21"/>
        <v>0.23311560969648037</v>
      </c>
      <c r="T364" s="4">
        <v>2880.9641014945878</v>
      </c>
      <c r="U364" s="5">
        <f t="shared" si="22"/>
        <v>0.60053561194143756</v>
      </c>
      <c r="V364" s="4">
        <v>2240.406982421875</v>
      </c>
      <c r="W364" s="5">
        <f t="shared" si="23"/>
        <v>0.24467054578993053</v>
      </c>
    </row>
    <row r="365" spans="1:23" x14ac:dyDescent="0.25">
      <c r="A365" t="s">
        <v>616</v>
      </c>
      <c r="B365">
        <v>2013</v>
      </c>
      <c r="C365" t="s">
        <v>156</v>
      </c>
      <c r="D365" t="s">
        <v>615</v>
      </c>
      <c r="E365">
        <v>86224</v>
      </c>
      <c r="F365" t="s">
        <v>219</v>
      </c>
      <c r="G365" t="s">
        <v>30</v>
      </c>
      <c r="H365" t="s">
        <v>24</v>
      </c>
      <c r="I365" t="s">
        <v>25</v>
      </c>
      <c r="J365" s="2">
        <v>45566</v>
      </c>
      <c r="K365" t="s">
        <v>25</v>
      </c>
      <c r="L365">
        <v>43950</v>
      </c>
      <c r="M365">
        <v>264</v>
      </c>
      <c r="N365">
        <v>314</v>
      </c>
      <c r="O365" s="4">
        <v>1100</v>
      </c>
      <c r="P365" s="4">
        <v>4814.453125</v>
      </c>
      <c r="Q365" s="5">
        <f t="shared" si="20"/>
        <v>3.3767755681818183</v>
      </c>
      <c r="R365" s="4">
        <v>3915.047560622826</v>
      </c>
      <c r="S365" s="5">
        <f t="shared" si="21"/>
        <v>2.5591341460207508</v>
      </c>
      <c r="T365" s="4">
        <v>4427.3109758950604</v>
      </c>
      <c r="U365" s="5">
        <f t="shared" si="22"/>
        <v>3.0248281599046001</v>
      </c>
      <c r="V365" s="4">
        <v>4768.3359375</v>
      </c>
      <c r="W365" s="5">
        <f t="shared" si="23"/>
        <v>3.3348508522727274</v>
      </c>
    </row>
    <row r="366" spans="1:23" x14ac:dyDescent="0.25">
      <c r="A366" t="s">
        <v>617</v>
      </c>
      <c r="B366">
        <v>2016</v>
      </c>
      <c r="C366" t="s">
        <v>156</v>
      </c>
      <c r="D366" t="s">
        <v>196</v>
      </c>
      <c r="E366">
        <v>87431</v>
      </c>
      <c r="F366" t="s">
        <v>115</v>
      </c>
      <c r="G366" t="s">
        <v>34</v>
      </c>
      <c r="H366" t="s">
        <v>25</v>
      </c>
      <c r="I366" t="s">
        <v>24</v>
      </c>
      <c r="J366" s="2">
        <v>45426</v>
      </c>
      <c r="K366" t="s">
        <v>25</v>
      </c>
      <c r="L366">
        <v>43950</v>
      </c>
      <c r="M366">
        <v>264</v>
      </c>
      <c r="N366">
        <v>314</v>
      </c>
      <c r="O366" s="4">
        <v>4100</v>
      </c>
      <c r="P366" s="4">
        <v>3716.66845703125</v>
      </c>
      <c r="Q366" s="5">
        <f t="shared" si="20"/>
        <v>-9.3495498285060985E-2</v>
      </c>
      <c r="R366" s="4">
        <v>4213.6364632810883</v>
      </c>
      <c r="S366" s="5">
        <f t="shared" si="21"/>
        <v>2.7716210556363086E-2</v>
      </c>
      <c r="T366" s="4">
        <v>4265.4961559020376</v>
      </c>
      <c r="U366" s="5">
        <f t="shared" si="22"/>
        <v>4.0364916073667656E-2</v>
      </c>
      <c r="V366" s="4">
        <v>3516.171630859375</v>
      </c>
      <c r="W366" s="5">
        <f t="shared" si="23"/>
        <v>-0.14239716320503049</v>
      </c>
    </row>
    <row r="367" spans="1:23" x14ac:dyDescent="0.25">
      <c r="A367" t="s">
        <v>618</v>
      </c>
      <c r="B367">
        <v>2017</v>
      </c>
      <c r="C367" t="s">
        <v>156</v>
      </c>
      <c r="D367" t="s">
        <v>196</v>
      </c>
      <c r="E367">
        <v>121558</v>
      </c>
      <c r="F367" t="s">
        <v>48</v>
      </c>
      <c r="G367" t="s">
        <v>38</v>
      </c>
      <c r="H367" t="s">
        <v>25</v>
      </c>
      <c r="I367" t="s">
        <v>24</v>
      </c>
      <c r="J367" s="2">
        <v>45386</v>
      </c>
      <c r="K367" t="s">
        <v>25</v>
      </c>
      <c r="L367">
        <v>43950</v>
      </c>
      <c r="M367">
        <v>264</v>
      </c>
      <c r="N367">
        <v>314</v>
      </c>
      <c r="O367" s="4">
        <v>8000</v>
      </c>
      <c r="P367" s="4">
        <v>3138.899169921875</v>
      </c>
      <c r="Q367" s="5">
        <f t="shared" si="20"/>
        <v>-0.60763760375976561</v>
      </c>
      <c r="R367" s="4">
        <v>4793.8444651069121</v>
      </c>
      <c r="S367" s="5">
        <f t="shared" si="21"/>
        <v>-0.40076944186163599</v>
      </c>
      <c r="T367" s="4">
        <v>4419.8040556643518</v>
      </c>
      <c r="U367" s="5">
        <f t="shared" si="22"/>
        <v>-0.44752449304195607</v>
      </c>
      <c r="V367" s="4">
        <v>2796.208984375</v>
      </c>
      <c r="W367" s="5">
        <f t="shared" si="23"/>
        <v>-0.65047387695312497</v>
      </c>
    </row>
    <row r="368" spans="1:23" x14ac:dyDescent="0.25">
      <c r="A368" t="s">
        <v>619</v>
      </c>
      <c r="B368">
        <v>2015</v>
      </c>
      <c r="C368" t="s">
        <v>156</v>
      </c>
      <c r="D368" t="s">
        <v>196</v>
      </c>
      <c r="E368">
        <v>97029</v>
      </c>
      <c r="F368" t="s">
        <v>72</v>
      </c>
      <c r="G368" t="s">
        <v>34</v>
      </c>
      <c r="H368" t="s">
        <v>25</v>
      </c>
      <c r="I368" t="s">
        <v>24</v>
      </c>
      <c r="J368" s="2">
        <v>45645</v>
      </c>
      <c r="K368" t="s">
        <v>25</v>
      </c>
      <c r="L368">
        <v>43950</v>
      </c>
      <c r="M368">
        <v>264</v>
      </c>
      <c r="N368">
        <v>314</v>
      </c>
      <c r="O368" s="4">
        <v>5900</v>
      </c>
      <c r="P368" s="4">
        <v>4950.095703125</v>
      </c>
      <c r="Q368" s="5">
        <f t="shared" si="20"/>
        <v>-0.16100072828389833</v>
      </c>
      <c r="R368" s="4">
        <v>6846.460691623919</v>
      </c>
      <c r="S368" s="5">
        <f t="shared" si="21"/>
        <v>0.16041706637693554</v>
      </c>
      <c r="T368" s="4">
        <v>6084.0081415478353</v>
      </c>
      <c r="U368" s="5">
        <f t="shared" si="22"/>
        <v>3.1187820601328076E-2</v>
      </c>
      <c r="V368" s="4">
        <v>4433.42431640625</v>
      </c>
      <c r="W368" s="5">
        <f t="shared" si="23"/>
        <v>-0.24857214976165254</v>
      </c>
    </row>
    <row r="369" spans="1:23" x14ac:dyDescent="0.25">
      <c r="A369" t="s">
        <v>620</v>
      </c>
      <c r="B369">
        <v>2016</v>
      </c>
      <c r="C369" t="s">
        <v>297</v>
      </c>
      <c r="D369" t="s">
        <v>298</v>
      </c>
      <c r="E369">
        <v>54355</v>
      </c>
      <c r="F369" t="s">
        <v>621</v>
      </c>
      <c r="G369" t="s">
        <v>44</v>
      </c>
      <c r="H369" t="s">
        <v>25</v>
      </c>
      <c r="I369" t="s">
        <v>24</v>
      </c>
      <c r="J369" s="2">
        <v>45706</v>
      </c>
      <c r="K369" t="s">
        <v>25</v>
      </c>
      <c r="L369">
        <v>43950</v>
      </c>
      <c r="M369">
        <v>264</v>
      </c>
      <c r="N369">
        <v>314</v>
      </c>
      <c r="O369" s="4">
        <v>8058.3333333333303</v>
      </c>
      <c r="P369" s="4">
        <v>14526.9970703125</v>
      </c>
      <c r="Q369" s="5">
        <f t="shared" si="20"/>
        <v>0.802729729511376</v>
      </c>
      <c r="R369" s="4">
        <v>16301.101467986769</v>
      </c>
      <c r="S369" s="5">
        <f t="shared" si="21"/>
        <v>1.0228874624182143</v>
      </c>
      <c r="T369" s="4">
        <v>10851.706813411951</v>
      </c>
      <c r="U369" s="5">
        <f t="shared" si="22"/>
        <v>0.34664407198493752</v>
      </c>
      <c r="V369" s="4">
        <v>14076.7568359375</v>
      </c>
      <c r="W369" s="5">
        <f t="shared" si="23"/>
        <v>0.74685710476990752</v>
      </c>
    </row>
    <row r="370" spans="1:23" x14ac:dyDescent="0.25">
      <c r="A370" t="s">
        <v>622</v>
      </c>
      <c r="B370">
        <v>2014</v>
      </c>
      <c r="C370" t="s">
        <v>302</v>
      </c>
      <c r="D370" t="s">
        <v>623</v>
      </c>
      <c r="E370">
        <v>131765</v>
      </c>
      <c r="F370" t="s">
        <v>48</v>
      </c>
      <c r="G370" t="s">
        <v>30</v>
      </c>
      <c r="H370" t="s">
        <v>24</v>
      </c>
      <c r="I370" t="s">
        <v>25</v>
      </c>
      <c r="J370" s="2">
        <v>45664</v>
      </c>
      <c r="K370" t="s">
        <v>25</v>
      </c>
      <c r="L370">
        <v>43950</v>
      </c>
      <c r="M370">
        <v>264</v>
      </c>
      <c r="N370">
        <v>314</v>
      </c>
      <c r="O370" s="4">
        <v>7700</v>
      </c>
      <c r="P370" s="4">
        <v>3445.06201171875</v>
      </c>
      <c r="Q370" s="5">
        <f t="shared" si="20"/>
        <v>-0.55258934912743507</v>
      </c>
      <c r="R370" s="4">
        <v>4678.9796104647121</v>
      </c>
      <c r="S370" s="5">
        <f t="shared" si="21"/>
        <v>-0.3923403103292582</v>
      </c>
      <c r="T370" s="4">
        <v>6618.7699897694192</v>
      </c>
      <c r="U370" s="5">
        <f t="shared" si="22"/>
        <v>-0.14041948184812736</v>
      </c>
      <c r="V370" s="4">
        <v>3108.0869140625</v>
      </c>
      <c r="W370" s="5">
        <f t="shared" si="23"/>
        <v>-0.59635234882305199</v>
      </c>
    </row>
    <row r="371" spans="1:23" x14ac:dyDescent="0.25">
      <c r="A371" t="s">
        <v>624</v>
      </c>
      <c r="B371">
        <v>2013</v>
      </c>
      <c r="C371" t="s">
        <v>199</v>
      </c>
      <c r="D371" t="s">
        <v>200</v>
      </c>
      <c r="E371">
        <v>121206</v>
      </c>
      <c r="F371" t="s">
        <v>82</v>
      </c>
      <c r="G371" t="s">
        <v>30</v>
      </c>
      <c r="H371" t="s">
        <v>24</v>
      </c>
      <c r="I371" t="s">
        <v>25</v>
      </c>
      <c r="J371" s="2">
        <v>45314</v>
      </c>
      <c r="K371" t="s">
        <v>25</v>
      </c>
      <c r="L371">
        <v>43950</v>
      </c>
      <c r="M371">
        <v>264</v>
      </c>
      <c r="N371">
        <v>314</v>
      </c>
      <c r="O371" s="4">
        <v>3200</v>
      </c>
      <c r="P371" s="4">
        <v>2164.92529296875</v>
      </c>
      <c r="Q371" s="5">
        <f t="shared" si="20"/>
        <v>-0.32346084594726565</v>
      </c>
      <c r="R371" s="4">
        <v>2389.5761013930419</v>
      </c>
      <c r="S371" s="5">
        <f t="shared" si="21"/>
        <v>-0.25325746831467444</v>
      </c>
      <c r="T371" s="4">
        <v>3044.3902196305548</v>
      </c>
      <c r="U371" s="5">
        <f t="shared" si="22"/>
        <v>-4.8628056365451644E-2</v>
      </c>
      <c r="V371" s="4">
        <v>2141.39453125</v>
      </c>
      <c r="W371" s="5">
        <f t="shared" si="23"/>
        <v>-0.33081420898437497</v>
      </c>
    </row>
    <row r="372" spans="1:23" x14ac:dyDescent="0.25">
      <c r="A372" t="s">
        <v>625</v>
      </c>
      <c r="B372">
        <v>2019</v>
      </c>
      <c r="C372" t="s">
        <v>32</v>
      </c>
      <c r="D372" t="s">
        <v>322</v>
      </c>
      <c r="E372">
        <v>69683</v>
      </c>
      <c r="F372" t="s">
        <v>102</v>
      </c>
      <c r="G372" t="s">
        <v>44</v>
      </c>
      <c r="H372" t="s">
        <v>25</v>
      </c>
      <c r="I372" t="s">
        <v>24</v>
      </c>
      <c r="J372" s="2">
        <v>45664</v>
      </c>
      <c r="K372" t="s">
        <v>25</v>
      </c>
      <c r="L372">
        <v>43952</v>
      </c>
      <c r="M372">
        <v>222</v>
      </c>
      <c r="N372">
        <v>272</v>
      </c>
      <c r="O372" s="4">
        <v>16200</v>
      </c>
      <c r="P372" s="4">
        <v>16589.416015625</v>
      </c>
      <c r="Q372" s="5">
        <f t="shared" si="20"/>
        <v>2.4038025655864104E-2</v>
      </c>
      <c r="R372" s="4">
        <v>16236.472271655341</v>
      </c>
      <c r="S372" s="5">
        <f t="shared" si="21"/>
        <v>2.2513747935395401E-3</v>
      </c>
      <c r="T372" s="4">
        <v>14700.821079358349</v>
      </c>
      <c r="U372" s="5">
        <f t="shared" si="22"/>
        <v>-9.2541908681583407E-2</v>
      </c>
      <c r="V372" s="4">
        <v>16451.119140625</v>
      </c>
      <c r="W372" s="5">
        <f t="shared" si="23"/>
        <v>1.5501181520061635E-2</v>
      </c>
    </row>
    <row r="373" spans="1:23" x14ac:dyDescent="0.25">
      <c r="A373" t="s">
        <v>626</v>
      </c>
      <c r="B373">
        <v>2014</v>
      </c>
      <c r="C373" t="s">
        <v>20</v>
      </c>
      <c r="D373" t="s">
        <v>21</v>
      </c>
      <c r="E373">
        <v>125254</v>
      </c>
      <c r="F373" t="s">
        <v>22</v>
      </c>
      <c r="G373" t="s">
        <v>23</v>
      </c>
      <c r="H373" t="s">
        <v>24</v>
      </c>
      <c r="I373" t="s">
        <v>25</v>
      </c>
      <c r="J373" s="2">
        <v>45734</v>
      </c>
      <c r="K373" t="s">
        <v>25</v>
      </c>
      <c r="L373">
        <v>43952</v>
      </c>
      <c r="M373">
        <v>222</v>
      </c>
      <c r="N373">
        <v>272</v>
      </c>
      <c r="O373" s="4">
        <v>8000</v>
      </c>
      <c r="P373" s="4">
        <v>2584.595458984375</v>
      </c>
      <c r="Q373" s="5">
        <f t="shared" si="20"/>
        <v>-0.67692556762695311</v>
      </c>
      <c r="R373" s="4">
        <v>3456.7687093535742</v>
      </c>
      <c r="S373" s="5">
        <f t="shared" si="21"/>
        <v>-0.5679039113308032</v>
      </c>
      <c r="T373" s="4">
        <v>3102.3873477744091</v>
      </c>
      <c r="U373" s="5">
        <f t="shared" si="22"/>
        <v>-0.61220158152819892</v>
      </c>
      <c r="V373" s="4">
        <v>2412.272705078125</v>
      </c>
      <c r="W373" s="5">
        <f t="shared" si="23"/>
        <v>-0.69846591186523432</v>
      </c>
    </row>
    <row r="374" spans="1:23" x14ac:dyDescent="0.25">
      <c r="A374" t="s">
        <v>627</v>
      </c>
      <c r="B374">
        <v>2016</v>
      </c>
      <c r="C374" t="s">
        <v>53</v>
      </c>
      <c r="D374" t="s">
        <v>57</v>
      </c>
      <c r="E374">
        <v>110751</v>
      </c>
      <c r="F374" t="s">
        <v>98</v>
      </c>
      <c r="G374" t="s">
        <v>30</v>
      </c>
      <c r="H374" t="s">
        <v>24</v>
      </c>
      <c r="I374" t="s">
        <v>25</v>
      </c>
      <c r="J374" s="2">
        <v>45720</v>
      </c>
      <c r="K374" t="s">
        <v>25</v>
      </c>
      <c r="L374">
        <v>43977</v>
      </c>
      <c r="M374">
        <v>179</v>
      </c>
      <c r="N374">
        <v>229</v>
      </c>
      <c r="O374" s="4">
        <v>7100</v>
      </c>
      <c r="P374" s="4">
        <v>7166.2216796875</v>
      </c>
      <c r="Q374" s="5">
        <f t="shared" si="20"/>
        <v>9.3269971390845807E-3</v>
      </c>
      <c r="R374" s="4">
        <v>9329.2210114309746</v>
      </c>
      <c r="S374" s="5">
        <f t="shared" si="21"/>
        <v>0.31397479034239084</v>
      </c>
      <c r="T374" s="4">
        <v>5953.8489611285531</v>
      </c>
      <c r="U374" s="5">
        <f t="shared" si="22"/>
        <v>-0.16142972378471088</v>
      </c>
      <c r="V374" s="4">
        <v>6605.8857421875</v>
      </c>
      <c r="W374" s="5">
        <f t="shared" si="23"/>
        <v>-6.9593557438380249E-2</v>
      </c>
    </row>
    <row r="375" spans="1:23" x14ac:dyDescent="0.25">
      <c r="A375" t="s">
        <v>628</v>
      </c>
      <c r="B375">
        <v>2023</v>
      </c>
      <c r="C375" t="s">
        <v>20</v>
      </c>
      <c r="D375" t="s">
        <v>110</v>
      </c>
      <c r="E375">
        <v>46411</v>
      </c>
      <c r="F375" t="s">
        <v>151</v>
      </c>
      <c r="G375" t="s">
        <v>44</v>
      </c>
      <c r="H375" t="s">
        <v>25</v>
      </c>
      <c r="I375" t="s">
        <v>24</v>
      </c>
      <c r="J375" s="2">
        <v>45720</v>
      </c>
      <c r="K375" t="s">
        <v>25</v>
      </c>
      <c r="L375">
        <v>43977</v>
      </c>
      <c r="M375">
        <v>179</v>
      </c>
      <c r="N375">
        <v>229</v>
      </c>
      <c r="O375" s="4">
        <v>27700</v>
      </c>
      <c r="P375" s="4">
        <v>26427.548828125</v>
      </c>
      <c r="Q375" s="5">
        <f t="shared" si="20"/>
        <v>-4.5936865410649785E-2</v>
      </c>
      <c r="R375" s="4">
        <v>24915.799017166941</v>
      </c>
      <c r="S375" s="5">
        <f t="shared" si="21"/>
        <v>-0.10051267086039928</v>
      </c>
      <c r="T375" s="4">
        <v>30114.184870942241</v>
      </c>
      <c r="U375" s="5">
        <f t="shared" si="22"/>
        <v>8.7154688481669407E-2</v>
      </c>
      <c r="V375" s="4">
        <v>26829.287109375</v>
      </c>
      <c r="W375" s="5">
        <f t="shared" si="23"/>
        <v>-3.1433678361913353E-2</v>
      </c>
    </row>
    <row r="376" spans="1:23" x14ac:dyDescent="0.25">
      <c r="A376" t="s">
        <v>629</v>
      </c>
      <c r="B376">
        <v>2017</v>
      </c>
      <c r="C376" t="s">
        <v>20</v>
      </c>
      <c r="D376" t="s">
        <v>134</v>
      </c>
      <c r="E376">
        <v>166031</v>
      </c>
      <c r="F376" t="s">
        <v>29</v>
      </c>
      <c r="G376" t="s">
        <v>30</v>
      </c>
      <c r="H376" t="s">
        <v>24</v>
      </c>
      <c r="I376" t="s">
        <v>25</v>
      </c>
      <c r="J376" s="2">
        <v>45736</v>
      </c>
      <c r="K376" t="s">
        <v>25</v>
      </c>
      <c r="L376">
        <v>43977</v>
      </c>
      <c r="M376">
        <v>179</v>
      </c>
      <c r="N376">
        <v>229</v>
      </c>
      <c r="O376" s="4">
        <v>10000</v>
      </c>
      <c r="P376" s="4">
        <v>3986.297119140625</v>
      </c>
      <c r="Q376" s="5">
        <f t="shared" si="20"/>
        <v>-0.60137028808593751</v>
      </c>
      <c r="R376" s="4">
        <v>6308.3745222328189</v>
      </c>
      <c r="S376" s="5">
        <f t="shared" si="21"/>
        <v>-0.36916254777671809</v>
      </c>
      <c r="T376" s="4">
        <v>6881.7278152735398</v>
      </c>
      <c r="U376" s="5">
        <f t="shared" si="22"/>
        <v>-0.31182721847264605</v>
      </c>
      <c r="V376" s="4">
        <v>3565.922119140625</v>
      </c>
      <c r="W376" s="5">
        <f t="shared" si="23"/>
        <v>-0.64340778808593746</v>
      </c>
    </row>
    <row r="377" spans="1:23" x14ac:dyDescent="0.25">
      <c r="A377" t="s">
        <v>630</v>
      </c>
      <c r="B377">
        <v>2013</v>
      </c>
      <c r="C377" t="s">
        <v>248</v>
      </c>
      <c r="D377">
        <v>500</v>
      </c>
      <c r="E377">
        <v>89118</v>
      </c>
      <c r="F377" t="s">
        <v>254</v>
      </c>
      <c r="G377" t="s">
        <v>23</v>
      </c>
      <c r="H377" t="s">
        <v>24</v>
      </c>
      <c r="I377" t="s">
        <v>25</v>
      </c>
      <c r="J377" s="2">
        <v>45720</v>
      </c>
      <c r="K377" t="s">
        <v>25</v>
      </c>
      <c r="L377">
        <v>43977</v>
      </c>
      <c r="M377">
        <v>179</v>
      </c>
      <c r="N377">
        <v>229</v>
      </c>
      <c r="O377" s="4">
        <v>2975</v>
      </c>
      <c r="P377" s="4">
        <v>4345.43896484375</v>
      </c>
      <c r="Q377" s="5">
        <f t="shared" si="20"/>
        <v>0.46065175288865556</v>
      </c>
      <c r="R377" s="4">
        <v>5446.1064799862997</v>
      </c>
      <c r="S377" s="5">
        <f t="shared" si="21"/>
        <v>0.83062402688615111</v>
      </c>
      <c r="T377" s="4">
        <v>3080.711265235087</v>
      </c>
      <c r="U377" s="5">
        <f t="shared" si="22"/>
        <v>3.5533198398348675E-2</v>
      </c>
      <c r="V377" s="4">
        <v>3928.650634765625</v>
      </c>
      <c r="W377" s="5">
        <f t="shared" si="23"/>
        <v>0.32055483521533623</v>
      </c>
    </row>
    <row r="378" spans="1:23" x14ac:dyDescent="0.25">
      <c r="A378" t="s">
        <v>631</v>
      </c>
      <c r="B378">
        <v>2015</v>
      </c>
      <c r="C378" t="s">
        <v>490</v>
      </c>
      <c r="D378" t="s">
        <v>632</v>
      </c>
      <c r="E378">
        <v>86848</v>
      </c>
      <c r="F378" t="s">
        <v>48</v>
      </c>
      <c r="G378" t="s">
        <v>34</v>
      </c>
      <c r="H378" t="s">
        <v>25</v>
      </c>
      <c r="I378" t="s">
        <v>24</v>
      </c>
      <c r="J378" s="2">
        <v>45603</v>
      </c>
      <c r="K378" t="s">
        <v>25</v>
      </c>
      <c r="L378">
        <v>44017</v>
      </c>
      <c r="M378">
        <v>222</v>
      </c>
      <c r="N378">
        <v>272</v>
      </c>
      <c r="O378" s="4">
        <v>4400</v>
      </c>
      <c r="P378" s="4">
        <v>6381.80029296875</v>
      </c>
      <c r="Q378" s="5">
        <f t="shared" si="20"/>
        <v>0.45040915749289767</v>
      </c>
      <c r="R378" s="4">
        <v>8318.6886982666438</v>
      </c>
      <c r="S378" s="5">
        <f t="shared" si="21"/>
        <v>0.89061106778787358</v>
      </c>
      <c r="T378" s="4">
        <v>19678.522201678072</v>
      </c>
      <c r="U378" s="5">
        <f t="shared" si="22"/>
        <v>3.472391409472289</v>
      </c>
      <c r="V378" s="4">
        <v>5598.201171875</v>
      </c>
      <c r="W378" s="5">
        <f t="shared" si="23"/>
        <v>0.27231844815340911</v>
      </c>
    </row>
    <row r="379" spans="1:23" x14ac:dyDescent="0.25">
      <c r="A379" t="s">
        <v>633</v>
      </c>
      <c r="B379">
        <v>2016</v>
      </c>
      <c r="C379" t="s">
        <v>120</v>
      </c>
      <c r="D379">
        <v>200</v>
      </c>
      <c r="E379">
        <v>64127</v>
      </c>
      <c r="F379" t="s">
        <v>79</v>
      </c>
      <c r="G379" t="s">
        <v>34</v>
      </c>
      <c r="H379" t="s">
        <v>25</v>
      </c>
      <c r="I379" t="s">
        <v>24</v>
      </c>
      <c r="J379" s="2">
        <v>45538</v>
      </c>
      <c r="K379" t="s">
        <v>25</v>
      </c>
      <c r="L379">
        <v>44028</v>
      </c>
      <c r="M379">
        <v>235</v>
      </c>
      <c r="N379">
        <v>285</v>
      </c>
      <c r="O379" s="4">
        <v>11000</v>
      </c>
      <c r="P379" s="4">
        <v>8298.4814453125</v>
      </c>
      <c r="Q379" s="5">
        <f t="shared" si="20"/>
        <v>-0.24559259588068183</v>
      </c>
      <c r="R379" s="4">
        <v>7374.7445011627233</v>
      </c>
      <c r="S379" s="5">
        <f t="shared" si="21"/>
        <v>-0.32956868171247966</v>
      </c>
      <c r="T379" s="4">
        <v>4797.7725792850642</v>
      </c>
      <c r="U379" s="5">
        <f t="shared" si="22"/>
        <v>-0.56383885642863052</v>
      </c>
      <c r="V379" s="4">
        <v>8297.869140625</v>
      </c>
      <c r="W379" s="5">
        <f t="shared" si="23"/>
        <v>-0.24564825994318185</v>
      </c>
    </row>
    <row r="380" spans="1:23" x14ac:dyDescent="0.25">
      <c r="A380" t="s">
        <v>634</v>
      </c>
      <c r="B380">
        <v>2014</v>
      </c>
      <c r="C380" t="s">
        <v>32</v>
      </c>
      <c r="D380" t="s">
        <v>210</v>
      </c>
      <c r="E380">
        <v>0</v>
      </c>
      <c r="H380" t="s">
        <v>24</v>
      </c>
      <c r="I380" t="s">
        <v>24</v>
      </c>
      <c r="J380" s="2">
        <v>45713</v>
      </c>
      <c r="K380" t="s">
        <v>25</v>
      </c>
      <c r="L380">
        <v>44028</v>
      </c>
      <c r="M380">
        <v>235</v>
      </c>
      <c r="N380">
        <v>285</v>
      </c>
      <c r="O380" s="4">
        <v>11768.0811808118</v>
      </c>
      <c r="P380" s="4">
        <v>10978.244140625</v>
      </c>
      <c r="Q380" s="5">
        <f t="shared" si="20"/>
        <v>-6.7116892554637708E-2</v>
      </c>
      <c r="R380" s="4">
        <v>12481.617880054129</v>
      </c>
      <c r="S380" s="5">
        <f t="shared" si="21"/>
        <v>6.0633223741332731E-2</v>
      </c>
      <c r="T380" s="4">
        <v>8678.541862985463</v>
      </c>
      <c r="U380" s="5">
        <f t="shared" si="22"/>
        <v>-0.26253552047753725</v>
      </c>
      <c r="V380" s="4">
        <v>10574.740234375</v>
      </c>
      <c r="W380" s="5">
        <f t="shared" si="23"/>
        <v>-0.10140488734752928</v>
      </c>
    </row>
    <row r="381" spans="1:23" x14ac:dyDescent="0.25">
      <c r="A381" t="s">
        <v>635</v>
      </c>
      <c r="B381">
        <v>2017</v>
      </c>
      <c r="C381" t="s">
        <v>32</v>
      </c>
      <c r="D381" t="s">
        <v>212</v>
      </c>
      <c r="E381">
        <v>92498</v>
      </c>
      <c r="F381" t="s">
        <v>135</v>
      </c>
      <c r="G381" t="s">
        <v>44</v>
      </c>
      <c r="H381" t="s">
        <v>25</v>
      </c>
      <c r="I381" t="s">
        <v>24</v>
      </c>
      <c r="J381" s="2">
        <v>45498</v>
      </c>
      <c r="K381" t="s">
        <v>25</v>
      </c>
      <c r="L381">
        <v>44028</v>
      </c>
      <c r="M381">
        <v>235</v>
      </c>
      <c r="N381">
        <v>285</v>
      </c>
      <c r="O381" s="4">
        <v>15200</v>
      </c>
      <c r="P381" s="4">
        <v>11596.2236328125</v>
      </c>
      <c r="Q381" s="5">
        <f t="shared" si="20"/>
        <v>-0.23709055047286187</v>
      </c>
      <c r="R381" s="4">
        <v>13703.65330170798</v>
      </c>
      <c r="S381" s="5">
        <f t="shared" si="21"/>
        <v>-9.844386172973818E-2</v>
      </c>
      <c r="T381" s="4">
        <v>17631.137037550259</v>
      </c>
      <c r="U381" s="5">
        <f t="shared" si="22"/>
        <v>0.15994322615462231</v>
      </c>
      <c r="V381" s="4">
        <v>11362.8203125</v>
      </c>
      <c r="W381" s="5">
        <f t="shared" si="23"/>
        <v>-0.25244603207236838</v>
      </c>
    </row>
    <row r="382" spans="1:23" x14ac:dyDescent="0.25">
      <c r="A382" t="s">
        <v>636</v>
      </c>
      <c r="B382">
        <v>2016</v>
      </c>
      <c r="C382" t="s">
        <v>32</v>
      </c>
      <c r="D382" t="s">
        <v>212</v>
      </c>
      <c r="E382">
        <v>108620</v>
      </c>
      <c r="F382" t="s">
        <v>151</v>
      </c>
      <c r="G382" t="s">
        <v>44</v>
      </c>
      <c r="H382" t="s">
        <v>25</v>
      </c>
      <c r="I382" t="s">
        <v>24</v>
      </c>
      <c r="J382" s="2">
        <v>45715</v>
      </c>
      <c r="K382" t="s">
        <v>25</v>
      </c>
      <c r="L382">
        <v>44028</v>
      </c>
      <c r="M382">
        <v>235</v>
      </c>
      <c r="N382">
        <v>285</v>
      </c>
      <c r="O382" s="4">
        <v>11100</v>
      </c>
      <c r="P382" s="4">
        <v>8845.0185546875</v>
      </c>
      <c r="Q382" s="5">
        <f t="shared" si="20"/>
        <v>-0.20315148155968465</v>
      </c>
      <c r="R382" s="4">
        <v>9396.1872954296487</v>
      </c>
      <c r="S382" s="5">
        <f t="shared" si="21"/>
        <v>-0.15349664005138297</v>
      </c>
      <c r="T382" s="4">
        <v>12333.088374718791</v>
      </c>
      <c r="U382" s="5">
        <f t="shared" si="22"/>
        <v>0.11108904276745868</v>
      </c>
      <c r="V382" s="4">
        <v>8972.91015625</v>
      </c>
      <c r="W382" s="5">
        <f t="shared" si="23"/>
        <v>-0.19162971565315312</v>
      </c>
    </row>
    <row r="383" spans="1:23" x14ac:dyDescent="0.25">
      <c r="A383" t="s">
        <v>637</v>
      </c>
      <c r="B383">
        <v>2016</v>
      </c>
      <c r="C383" t="s">
        <v>46</v>
      </c>
      <c r="D383" t="s">
        <v>47</v>
      </c>
      <c r="E383">
        <v>104140</v>
      </c>
      <c r="F383" t="s">
        <v>29</v>
      </c>
      <c r="G383" t="s">
        <v>38</v>
      </c>
      <c r="H383" t="s">
        <v>25</v>
      </c>
      <c r="I383" t="s">
        <v>24</v>
      </c>
      <c r="J383" s="2">
        <v>45342</v>
      </c>
      <c r="K383" t="s">
        <v>25</v>
      </c>
      <c r="L383">
        <v>44028</v>
      </c>
      <c r="M383">
        <v>235</v>
      </c>
      <c r="N383">
        <v>285</v>
      </c>
      <c r="O383" s="4">
        <v>16200</v>
      </c>
      <c r="P383" s="4">
        <v>5161.447265625</v>
      </c>
      <c r="Q383" s="5">
        <f t="shared" si="20"/>
        <v>-0.68139214409722215</v>
      </c>
      <c r="R383" s="4">
        <v>7627.3018699820259</v>
      </c>
      <c r="S383" s="5">
        <f t="shared" si="21"/>
        <v>-0.52917889691468978</v>
      </c>
      <c r="T383" s="4">
        <v>8731.2844674711232</v>
      </c>
      <c r="U383" s="5">
        <f t="shared" si="22"/>
        <v>-0.46103182299560963</v>
      </c>
      <c r="V383" s="4">
        <v>4601.00634765625</v>
      </c>
      <c r="W383" s="5">
        <f t="shared" si="23"/>
        <v>-0.71598726249035494</v>
      </c>
    </row>
    <row r="384" spans="1:23" x14ac:dyDescent="0.25">
      <c r="A384" t="s">
        <v>638</v>
      </c>
      <c r="B384">
        <v>2014</v>
      </c>
      <c r="C384" t="s">
        <v>53</v>
      </c>
      <c r="D384" t="s">
        <v>639</v>
      </c>
      <c r="E384">
        <v>126458</v>
      </c>
      <c r="F384" t="s">
        <v>246</v>
      </c>
      <c r="G384" t="s">
        <v>30</v>
      </c>
      <c r="H384" t="s">
        <v>24</v>
      </c>
      <c r="I384" t="s">
        <v>25</v>
      </c>
      <c r="J384" s="2">
        <v>45701</v>
      </c>
      <c r="K384" t="s">
        <v>25</v>
      </c>
      <c r="L384">
        <v>44028</v>
      </c>
      <c r="M384">
        <v>235</v>
      </c>
      <c r="N384">
        <v>285</v>
      </c>
      <c r="O384" s="4">
        <v>4300</v>
      </c>
      <c r="P384" s="4">
        <v>3706.728515625</v>
      </c>
      <c r="Q384" s="5">
        <f t="shared" si="20"/>
        <v>-0.13797011264534886</v>
      </c>
      <c r="R384" s="4">
        <v>3787.6758765787399</v>
      </c>
      <c r="S384" s="5">
        <f t="shared" si="21"/>
        <v>-0.11914514498168838</v>
      </c>
      <c r="T384" s="4">
        <v>5611.4399005284877</v>
      </c>
      <c r="U384" s="5">
        <f t="shared" si="22"/>
        <v>0.30498602337871805</v>
      </c>
      <c r="V384" s="4">
        <v>3661.492919921875</v>
      </c>
      <c r="W384" s="5">
        <f t="shared" si="23"/>
        <v>-0.14849001862281974</v>
      </c>
    </row>
    <row r="385" spans="1:23" x14ac:dyDescent="0.25">
      <c r="A385" t="s">
        <v>640</v>
      </c>
      <c r="B385">
        <v>2019</v>
      </c>
      <c r="C385" t="s">
        <v>53</v>
      </c>
      <c r="D385" t="s">
        <v>65</v>
      </c>
      <c r="E385">
        <v>88720</v>
      </c>
      <c r="F385" t="s">
        <v>151</v>
      </c>
      <c r="G385" t="s">
        <v>34</v>
      </c>
      <c r="H385" t="s">
        <v>25</v>
      </c>
      <c r="I385" t="s">
        <v>24</v>
      </c>
      <c r="J385" s="2">
        <v>45645</v>
      </c>
      <c r="K385" t="s">
        <v>25</v>
      </c>
      <c r="L385">
        <v>44028</v>
      </c>
      <c r="M385">
        <v>235</v>
      </c>
      <c r="N385">
        <v>285</v>
      </c>
      <c r="O385" s="4">
        <v>12000</v>
      </c>
      <c r="P385" s="4">
        <v>14424.162109375</v>
      </c>
      <c r="Q385" s="5">
        <f t="shared" si="20"/>
        <v>0.20201350911458338</v>
      </c>
      <c r="R385" s="4">
        <v>15000.65438751263</v>
      </c>
      <c r="S385" s="5">
        <f t="shared" si="21"/>
        <v>0.25005453229271923</v>
      </c>
      <c r="T385" s="4">
        <v>19205.46879835222</v>
      </c>
      <c r="U385" s="5">
        <f t="shared" si="22"/>
        <v>0.6004557331960183</v>
      </c>
      <c r="V385" s="4">
        <v>14535.9248046875</v>
      </c>
      <c r="W385" s="5">
        <f t="shared" si="23"/>
        <v>0.21132706705729176</v>
      </c>
    </row>
    <row r="386" spans="1:23" x14ac:dyDescent="0.25">
      <c r="A386" t="s">
        <v>641</v>
      </c>
      <c r="B386">
        <v>2017</v>
      </c>
      <c r="C386" t="s">
        <v>20</v>
      </c>
      <c r="D386" t="s">
        <v>74</v>
      </c>
      <c r="E386">
        <v>88851</v>
      </c>
      <c r="F386" t="s">
        <v>61</v>
      </c>
      <c r="G386" t="s">
        <v>23</v>
      </c>
      <c r="H386" t="s">
        <v>24</v>
      </c>
      <c r="I386" t="s">
        <v>25</v>
      </c>
      <c r="J386" s="2">
        <v>45398</v>
      </c>
      <c r="K386" t="s">
        <v>25</v>
      </c>
      <c r="L386">
        <v>44028</v>
      </c>
      <c r="M386">
        <v>235</v>
      </c>
      <c r="N386">
        <v>285</v>
      </c>
      <c r="O386" s="4">
        <v>11900</v>
      </c>
      <c r="P386" s="4">
        <v>5758.62646484375</v>
      </c>
      <c r="Q386" s="5">
        <f t="shared" si="20"/>
        <v>-0.5160818096769958</v>
      </c>
      <c r="R386" s="4">
        <v>7057.245512677875</v>
      </c>
      <c r="S386" s="5">
        <f t="shared" si="21"/>
        <v>-0.40695415859849793</v>
      </c>
      <c r="T386" s="4">
        <v>3626.8213854269561</v>
      </c>
      <c r="U386" s="5">
        <f t="shared" si="22"/>
        <v>-0.69522509366160035</v>
      </c>
      <c r="V386" s="4">
        <v>5617.42041015625</v>
      </c>
      <c r="W386" s="5">
        <f t="shared" si="23"/>
        <v>-0.52794786469275212</v>
      </c>
    </row>
    <row r="387" spans="1:23" x14ac:dyDescent="0.25">
      <c r="A387" t="s">
        <v>642</v>
      </c>
      <c r="B387">
        <v>2017</v>
      </c>
      <c r="C387" t="s">
        <v>20</v>
      </c>
      <c r="D387" t="s">
        <v>74</v>
      </c>
      <c r="E387">
        <v>60460</v>
      </c>
      <c r="F387" t="s">
        <v>87</v>
      </c>
      <c r="G387" t="s">
        <v>38</v>
      </c>
      <c r="H387" t="s">
        <v>25</v>
      </c>
      <c r="I387" t="s">
        <v>24</v>
      </c>
      <c r="J387" s="2">
        <v>45300</v>
      </c>
      <c r="K387" t="s">
        <v>25</v>
      </c>
      <c r="L387">
        <v>44028</v>
      </c>
      <c r="M387">
        <v>235</v>
      </c>
      <c r="N387">
        <v>285</v>
      </c>
      <c r="O387" s="4">
        <v>13400</v>
      </c>
      <c r="P387" s="4">
        <v>13612.0810546875</v>
      </c>
      <c r="Q387" s="5">
        <f t="shared" ref="Q387:Q450" si="24">(P387/$O387)-1</f>
        <v>1.5826944379664143E-2</v>
      </c>
      <c r="R387" s="4">
        <v>14143.71548577783</v>
      </c>
      <c r="S387" s="5">
        <f t="shared" ref="S387:S450" si="25">(R387/$O387)-1</f>
        <v>5.5501155655061973E-2</v>
      </c>
      <c r="T387" s="4">
        <v>8496.4415306654391</v>
      </c>
      <c r="U387" s="5">
        <f t="shared" ref="U387:U450" si="26">(T387/$O387)-1</f>
        <v>-0.36593719920407175</v>
      </c>
      <c r="V387" s="4">
        <v>13826.376953125</v>
      </c>
      <c r="W387" s="5">
        <f t="shared" ref="W387:W450" si="27">(V387/$O387)-1</f>
        <v>3.1819175606343286E-2</v>
      </c>
    </row>
    <row r="388" spans="1:23" x14ac:dyDescent="0.25">
      <c r="A388" t="s">
        <v>643</v>
      </c>
      <c r="B388">
        <v>2021</v>
      </c>
      <c r="C388" t="s">
        <v>20</v>
      </c>
      <c r="D388" t="s">
        <v>97</v>
      </c>
      <c r="E388">
        <v>83974</v>
      </c>
      <c r="F388" t="s">
        <v>72</v>
      </c>
      <c r="G388" t="s">
        <v>44</v>
      </c>
      <c r="H388" t="s">
        <v>25</v>
      </c>
      <c r="I388" t="s">
        <v>24</v>
      </c>
      <c r="J388" s="2">
        <v>45608</v>
      </c>
      <c r="K388" t="s">
        <v>25</v>
      </c>
      <c r="L388">
        <v>44028</v>
      </c>
      <c r="M388">
        <v>235</v>
      </c>
      <c r="N388">
        <v>285</v>
      </c>
      <c r="O388" s="4">
        <v>30000</v>
      </c>
      <c r="P388" s="4">
        <v>22920.3203125</v>
      </c>
      <c r="Q388" s="5">
        <f t="shared" si="24"/>
        <v>-0.23598932291666663</v>
      </c>
      <c r="R388" s="4">
        <v>18867.315991949141</v>
      </c>
      <c r="S388" s="5">
        <f t="shared" si="25"/>
        <v>-0.37108946693502864</v>
      </c>
      <c r="T388" s="4">
        <v>24135.8304944872</v>
      </c>
      <c r="U388" s="5">
        <f t="shared" si="26"/>
        <v>-0.19547231685042665</v>
      </c>
      <c r="V388" s="4">
        <v>23762.591796875</v>
      </c>
      <c r="W388" s="5">
        <f t="shared" si="27"/>
        <v>-0.20791360677083337</v>
      </c>
    </row>
    <row r="389" spans="1:23" x14ac:dyDescent="0.25">
      <c r="A389" t="s">
        <v>644</v>
      </c>
      <c r="B389">
        <v>2021</v>
      </c>
      <c r="C389" t="s">
        <v>53</v>
      </c>
      <c r="D389" t="s">
        <v>582</v>
      </c>
      <c r="E389">
        <v>48386</v>
      </c>
      <c r="F389" t="s">
        <v>189</v>
      </c>
      <c r="G389" t="s">
        <v>44</v>
      </c>
      <c r="H389" t="s">
        <v>25</v>
      </c>
      <c r="I389" t="s">
        <v>24</v>
      </c>
      <c r="J389" s="2">
        <v>45720</v>
      </c>
      <c r="K389" t="s">
        <v>25</v>
      </c>
      <c r="L389">
        <v>44028</v>
      </c>
      <c r="M389">
        <v>235</v>
      </c>
      <c r="N389">
        <v>285</v>
      </c>
      <c r="O389" s="4">
        <v>12500</v>
      </c>
      <c r="P389" s="4">
        <v>22539.91015625</v>
      </c>
      <c r="Q389" s="5">
        <f t="shared" si="24"/>
        <v>0.80319281250000008</v>
      </c>
      <c r="R389" s="4">
        <v>25369.717299913511</v>
      </c>
      <c r="S389" s="5">
        <f t="shared" si="25"/>
        <v>1.0295773839930811</v>
      </c>
      <c r="T389" s="4">
        <v>26203.697765139499</v>
      </c>
      <c r="U389" s="5">
        <f t="shared" si="26"/>
        <v>1.09629582121116</v>
      </c>
      <c r="V389" s="4">
        <v>21062.07421875</v>
      </c>
      <c r="W389" s="5">
        <f t="shared" si="27"/>
        <v>0.6849659374999999</v>
      </c>
    </row>
    <row r="390" spans="1:23" x14ac:dyDescent="0.25">
      <c r="A390" t="s">
        <v>645</v>
      </c>
      <c r="B390">
        <v>2017</v>
      </c>
      <c r="C390" t="s">
        <v>20</v>
      </c>
      <c r="D390" t="s">
        <v>128</v>
      </c>
      <c r="E390">
        <v>112556</v>
      </c>
      <c r="F390" t="s">
        <v>77</v>
      </c>
      <c r="G390" t="s">
        <v>38</v>
      </c>
      <c r="H390" t="s">
        <v>25</v>
      </c>
      <c r="I390" t="s">
        <v>24</v>
      </c>
      <c r="J390" s="2">
        <v>45454</v>
      </c>
      <c r="K390" t="s">
        <v>25</v>
      </c>
      <c r="L390">
        <v>44028</v>
      </c>
      <c r="M390">
        <v>235</v>
      </c>
      <c r="N390">
        <v>285</v>
      </c>
      <c r="O390" s="4">
        <v>15500</v>
      </c>
      <c r="P390" s="4">
        <v>5320.89697265625</v>
      </c>
      <c r="Q390" s="5">
        <f t="shared" si="24"/>
        <v>-0.65671632434475802</v>
      </c>
      <c r="R390" s="4">
        <v>8468.2739853197127</v>
      </c>
      <c r="S390" s="5">
        <f t="shared" si="25"/>
        <v>-0.45365974288259914</v>
      </c>
      <c r="T390" s="4">
        <v>4911.6697831205674</v>
      </c>
      <c r="U390" s="5">
        <f t="shared" si="26"/>
        <v>-0.68311807850835049</v>
      </c>
      <c r="V390" s="4">
        <v>4857.91259765625</v>
      </c>
      <c r="W390" s="5">
        <f t="shared" si="27"/>
        <v>-0.68658628402217747</v>
      </c>
    </row>
    <row r="391" spans="1:23" x14ac:dyDescent="0.25">
      <c r="A391" t="s">
        <v>646</v>
      </c>
      <c r="B391">
        <v>2013</v>
      </c>
      <c r="C391" t="s">
        <v>94</v>
      </c>
      <c r="D391" t="s">
        <v>647</v>
      </c>
      <c r="E391">
        <v>82828</v>
      </c>
      <c r="F391" t="s">
        <v>102</v>
      </c>
      <c r="G391" t="s">
        <v>44</v>
      </c>
      <c r="H391" t="s">
        <v>25</v>
      </c>
      <c r="I391" t="s">
        <v>24</v>
      </c>
      <c r="J391" s="2">
        <v>45328</v>
      </c>
      <c r="K391" t="s">
        <v>25</v>
      </c>
      <c r="L391">
        <v>44028</v>
      </c>
      <c r="M391">
        <v>235</v>
      </c>
      <c r="N391">
        <v>285</v>
      </c>
      <c r="O391" s="4">
        <v>3400</v>
      </c>
      <c r="P391" s="4">
        <v>7835.9658203125</v>
      </c>
      <c r="Q391" s="5">
        <f t="shared" si="24"/>
        <v>1.3046958295036766</v>
      </c>
      <c r="R391" s="4">
        <v>8021.3077284531764</v>
      </c>
      <c r="S391" s="5">
        <f t="shared" si="25"/>
        <v>1.3592081554274049</v>
      </c>
      <c r="T391" s="4">
        <v>8047.5725880257287</v>
      </c>
      <c r="U391" s="5">
        <f t="shared" si="26"/>
        <v>1.3669331141252141</v>
      </c>
      <c r="V391" s="4">
        <v>7800.67724609375</v>
      </c>
      <c r="W391" s="5">
        <f t="shared" si="27"/>
        <v>1.2943168370863969</v>
      </c>
    </row>
    <row r="392" spans="1:23" x14ac:dyDescent="0.25">
      <c r="A392" t="s">
        <v>648</v>
      </c>
      <c r="B392">
        <v>2015</v>
      </c>
      <c r="C392" t="s">
        <v>20</v>
      </c>
      <c r="D392" t="s">
        <v>21</v>
      </c>
      <c r="E392">
        <v>87736</v>
      </c>
      <c r="F392" t="s">
        <v>649</v>
      </c>
      <c r="G392" t="s">
        <v>23</v>
      </c>
      <c r="H392" t="s">
        <v>24</v>
      </c>
      <c r="I392" t="s">
        <v>25</v>
      </c>
      <c r="J392" s="2">
        <v>45608</v>
      </c>
      <c r="K392" t="s">
        <v>25</v>
      </c>
      <c r="L392">
        <v>44028</v>
      </c>
      <c r="M392">
        <v>235</v>
      </c>
      <c r="N392">
        <v>285</v>
      </c>
      <c r="O392" s="4">
        <v>4400</v>
      </c>
      <c r="P392" s="4">
        <v>3765.1201171875</v>
      </c>
      <c r="Q392" s="5">
        <f t="shared" si="24"/>
        <v>-0.14429088245738642</v>
      </c>
      <c r="R392" s="4">
        <v>5219.9811814088034</v>
      </c>
      <c r="S392" s="5">
        <f t="shared" si="25"/>
        <v>0.18635935941109172</v>
      </c>
      <c r="T392" s="4">
        <v>5421.2563429322436</v>
      </c>
      <c r="U392" s="5">
        <f t="shared" si="26"/>
        <v>0.23210371430278265</v>
      </c>
      <c r="V392" s="4">
        <v>3311.061767578125</v>
      </c>
      <c r="W392" s="5">
        <f t="shared" si="27"/>
        <v>-0.24748596191406247</v>
      </c>
    </row>
    <row r="393" spans="1:23" x14ac:dyDescent="0.25">
      <c r="A393" t="s">
        <v>650</v>
      </c>
      <c r="B393">
        <v>2019</v>
      </c>
      <c r="C393" t="s">
        <v>20</v>
      </c>
      <c r="D393" t="s">
        <v>134</v>
      </c>
      <c r="E393">
        <v>98267</v>
      </c>
      <c r="F393" t="s">
        <v>106</v>
      </c>
      <c r="G393" t="s">
        <v>38</v>
      </c>
      <c r="H393" t="s">
        <v>25</v>
      </c>
      <c r="I393" t="s">
        <v>24</v>
      </c>
      <c r="J393" s="2">
        <v>45400</v>
      </c>
      <c r="K393" t="s">
        <v>25</v>
      </c>
      <c r="L393">
        <v>44028</v>
      </c>
      <c r="M393">
        <v>235</v>
      </c>
      <c r="N393">
        <v>285</v>
      </c>
      <c r="O393" s="4">
        <v>16200</v>
      </c>
      <c r="P393" s="4">
        <v>12414.673828125</v>
      </c>
      <c r="Q393" s="5">
        <f t="shared" si="24"/>
        <v>-0.23366210937499998</v>
      </c>
      <c r="R393" s="4">
        <v>12916.352705557079</v>
      </c>
      <c r="S393" s="5">
        <f t="shared" si="25"/>
        <v>-0.20269427743474822</v>
      </c>
      <c r="T393" s="4">
        <v>12793.570667631149</v>
      </c>
      <c r="U393" s="5">
        <f t="shared" si="26"/>
        <v>-0.21027341557832413</v>
      </c>
      <c r="V393" s="4">
        <v>12581.2236328125</v>
      </c>
      <c r="W393" s="5">
        <f t="shared" si="27"/>
        <v>-0.22338125723379632</v>
      </c>
    </row>
    <row r="394" spans="1:23" x14ac:dyDescent="0.25">
      <c r="A394" t="s">
        <v>651</v>
      </c>
      <c r="B394">
        <v>2018</v>
      </c>
      <c r="C394" t="s">
        <v>20</v>
      </c>
      <c r="D394" t="s">
        <v>108</v>
      </c>
      <c r="E394">
        <v>84428</v>
      </c>
      <c r="F394" t="s">
        <v>174</v>
      </c>
      <c r="G394" t="s">
        <v>44</v>
      </c>
      <c r="H394" t="s">
        <v>25</v>
      </c>
      <c r="I394" t="s">
        <v>24</v>
      </c>
      <c r="J394" s="2">
        <v>45421</v>
      </c>
      <c r="K394" t="s">
        <v>25</v>
      </c>
      <c r="L394">
        <v>44028</v>
      </c>
      <c r="M394">
        <v>235</v>
      </c>
      <c r="N394">
        <v>285</v>
      </c>
      <c r="O394" s="4">
        <v>14500</v>
      </c>
      <c r="P394" s="4">
        <v>13627.3935546875</v>
      </c>
      <c r="Q394" s="5">
        <f t="shared" si="24"/>
        <v>-6.0179754849137956E-2</v>
      </c>
      <c r="R394" s="4">
        <v>15821.201329166101</v>
      </c>
      <c r="S394" s="5">
        <f t="shared" si="25"/>
        <v>9.1117333045938054E-2</v>
      </c>
      <c r="T394" s="4">
        <v>16383.093962902571</v>
      </c>
      <c r="U394" s="5">
        <f t="shared" si="26"/>
        <v>0.12986854916569457</v>
      </c>
      <c r="V394" s="4">
        <v>12913.822265625</v>
      </c>
      <c r="W394" s="5">
        <f t="shared" si="27"/>
        <v>-0.10939156788793103</v>
      </c>
    </row>
    <row r="395" spans="1:23" x14ac:dyDescent="0.25">
      <c r="A395" t="s">
        <v>652</v>
      </c>
      <c r="B395">
        <v>2015</v>
      </c>
      <c r="C395" t="s">
        <v>20</v>
      </c>
      <c r="D395" t="s">
        <v>108</v>
      </c>
      <c r="E395">
        <v>131254</v>
      </c>
      <c r="F395" t="s">
        <v>55</v>
      </c>
      <c r="G395" t="s">
        <v>34</v>
      </c>
      <c r="H395" t="s">
        <v>25</v>
      </c>
      <c r="I395" t="s">
        <v>24</v>
      </c>
      <c r="J395" s="2">
        <v>45505</v>
      </c>
      <c r="K395" t="s">
        <v>25</v>
      </c>
      <c r="L395">
        <v>44028</v>
      </c>
      <c r="M395">
        <v>235</v>
      </c>
      <c r="N395">
        <v>285</v>
      </c>
      <c r="O395" s="4">
        <v>2700</v>
      </c>
      <c r="P395" s="4">
        <v>3640.95849609375</v>
      </c>
      <c r="Q395" s="5">
        <f t="shared" si="24"/>
        <v>0.34850314670138882</v>
      </c>
      <c r="R395" s="4">
        <v>4059.6417424689162</v>
      </c>
      <c r="S395" s="5">
        <f t="shared" si="25"/>
        <v>0.50357101572922813</v>
      </c>
      <c r="T395" s="4">
        <v>5757.207029040821</v>
      </c>
      <c r="U395" s="5">
        <f t="shared" si="26"/>
        <v>1.1322988996447485</v>
      </c>
      <c r="V395" s="4">
        <v>3434.584228515625</v>
      </c>
      <c r="W395" s="5">
        <f t="shared" si="27"/>
        <v>0.27206823278356485</v>
      </c>
    </row>
    <row r="396" spans="1:23" x14ac:dyDescent="0.25">
      <c r="A396" t="s">
        <v>653</v>
      </c>
      <c r="B396">
        <v>2015</v>
      </c>
      <c r="C396" t="s">
        <v>20</v>
      </c>
      <c r="D396" t="s">
        <v>108</v>
      </c>
      <c r="E396">
        <v>115219</v>
      </c>
      <c r="F396" t="s">
        <v>55</v>
      </c>
      <c r="G396" t="s">
        <v>30</v>
      </c>
      <c r="H396" t="s">
        <v>24</v>
      </c>
      <c r="I396" t="s">
        <v>25</v>
      </c>
      <c r="J396" s="2">
        <v>45687</v>
      </c>
      <c r="K396" t="s">
        <v>25</v>
      </c>
      <c r="L396">
        <v>44028</v>
      </c>
      <c r="M396">
        <v>235</v>
      </c>
      <c r="N396">
        <v>285</v>
      </c>
      <c r="O396" s="4">
        <v>10600</v>
      </c>
      <c r="P396" s="4">
        <v>4223.46533203125</v>
      </c>
      <c r="Q396" s="5">
        <f t="shared" si="24"/>
        <v>-0.60155987433667457</v>
      </c>
      <c r="R396" s="4">
        <v>4704.0315596733408</v>
      </c>
      <c r="S396" s="5">
        <f t="shared" si="25"/>
        <v>-0.55622343776666594</v>
      </c>
      <c r="T396" s="4">
        <v>7125.91217962057</v>
      </c>
      <c r="U396" s="5">
        <f t="shared" si="26"/>
        <v>-0.32774413399805946</v>
      </c>
      <c r="V396" s="4">
        <v>4060.41748046875</v>
      </c>
      <c r="W396" s="5">
        <f t="shared" si="27"/>
        <v>-0.61694174712558958</v>
      </c>
    </row>
    <row r="397" spans="1:23" x14ac:dyDescent="0.25">
      <c r="A397" t="s">
        <v>654</v>
      </c>
      <c r="B397">
        <v>2015</v>
      </c>
      <c r="C397" t="s">
        <v>20</v>
      </c>
      <c r="D397" t="s">
        <v>108</v>
      </c>
      <c r="E397">
        <v>112398</v>
      </c>
      <c r="F397" t="s">
        <v>63</v>
      </c>
      <c r="G397" t="s">
        <v>44</v>
      </c>
      <c r="H397" t="s">
        <v>25</v>
      </c>
      <c r="I397" t="s">
        <v>24</v>
      </c>
      <c r="J397" s="2">
        <v>45512</v>
      </c>
      <c r="K397" t="s">
        <v>25</v>
      </c>
      <c r="L397">
        <v>44028</v>
      </c>
      <c r="M397">
        <v>235</v>
      </c>
      <c r="N397">
        <v>285</v>
      </c>
      <c r="O397" s="4">
        <v>2700</v>
      </c>
      <c r="P397" s="4">
        <v>7773.94921875</v>
      </c>
      <c r="Q397" s="5">
        <f t="shared" si="24"/>
        <v>1.8792404513888887</v>
      </c>
      <c r="R397" s="4">
        <v>8495.7726475998297</v>
      </c>
      <c r="S397" s="5">
        <f t="shared" si="25"/>
        <v>2.146582462074011</v>
      </c>
      <c r="T397" s="4">
        <v>10512.657754284821</v>
      </c>
      <c r="U397" s="5">
        <f t="shared" si="26"/>
        <v>2.8935769460314149</v>
      </c>
      <c r="V397" s="4">
        <v>7734.48779296875</v>
      </c>
      <c r="W397" s="5">
        <f t="shared" si="27"/>
        <v>1.8646251085069445</v>
      </c>
    </row>
    <row r="398" spans="1:23" x14ac:dyDescent="0.25">
      <c r="A398" t="s">
        <v>655</v>
      </c>
      <c r="B398">
        <v>2018</v>
      </c>
      <c r="C398" t="s">
        <v>32</v>
      </c>
      <c r="D398" t="s">
        <v>143</v>
      </c>
      <c r="E398">
        <v>76528</v>
      </c>
      <c r="F398" t="s">
        <v>29</v>
      </c>
      <c r="G398" t="s">
        <v>34</v>
      </c>
      <c r="H398" t="s">
        <v>25</v>
      </c>
      <c r="I398" t="s">
        <v>24</v>
      </c>
      <c r="J398" s="2">
        <v>45342</v>
      </c>
      <c r="K398" t="s">
        <v>25</v>
      </c>
      <c r="L398">
        <v>44028</v>
      </c>
      <c r="M398">
        <v>235</v>
      </c>
      <c r="N398">
        <v>285</v>
      </c>
      <c r="O398" s="4">
        <v>14600</v>
      </c>
      <c r="P398" s="4">
        <v>8943.7919921875</v>
      </c>
      <c r="Q398" s="5">
        <f t="shared" si="24"/>
        <v>-0.38741150738441776</v>
      </c>
      <c r="R398" s="4">
        <v>12638.875279851591</v>
      </c>
      <c r="S398" s="5">
        <f t="shared" si="25"/>
        <v>-0.13432361096906908</v>
      </c>
      <c r="T398" s="4">
        <v>11054.753337890939</v>
      </c>
      <c r="U398" s="5">
        <f t="shared" si="26"/>
        <v>-0.24282511384308636</v>
      </c>
      <c r="V398" s="4">
        <v>8291.478515625</v>
      </c>
      <c r="W398" s="5">
        <f t="shared" si="27"/>
        <v>-0.43209051262842468</v>
      </c>
    </row>
    <row r="399" spans="1:23" x14ac:dyDescent="0.25">
      <c r="A399" t="s">
        <v>656</v>
      </c>
      <c r="B399">
        <v>2021</v>
      </c>
      <c r="C399" t="s">
        <v>32</v>
      </c>
      <c r="D399" t="s">
        <v>143</v>
      </c>
      <c r="E399">
        <v>24597</v>
      </c>
      <c r="F399" t="s">
        <v>189</v>
      </c>
      <c r="G399" t="s">
        <v>44</v>
      </c>
      <c r="H399" t="s">
        <v>25</v>
      </c>
      <c r="I399" t="s">
        <v>24</v>
      </c>
      <c r="J399" s="2">
        <v>45734</v>
      </c>
      <c r="K399" t="s">
        <v>25</v>
      </c>
      <c r="L399">
        <v>44028</v>
      </c>
      <c r="M399">
        <v>235</v>
      </c>
      <c r="N399">
        <v>285</v>
      </c>
      <c r="O399" s="4">
        <v>19400</v>
      </c>
      <c r="P399" s="4">
        <v>21488.40234375</v>
      </c>
      <c r="Q399" s="5">
        <f t="shared" si="24"/>
        <v>0.1076496053479381</v>
      </c>
      <c r="R399" s="4">
        <v>26602.536373703169</v>
      </c>
      <c r="S399" s="5">
        <f t="shared" si="25"/>
        <v>0.37126476153109111</v>
      </c>
      <c r="T399" s="4">
        <v>26917.716492486899</v>
      </c>
      <c r="U399" s="5">
        <f t="shared" si="26"/>
        <v>0.38751115940654124</v>
      </c>
      <c r="V399" s="4">
        <v>19431.44921875</v>
      </c>
      <c r="W399" s="5">
        <f t="shared" si="27"/>
        <v>1.6210937500000799E-3</v>
      </c>
    </row>
    <row r="400" spans="1:23" x14ac:dyDescent="0.25">
      <c r="A400" t="s">
        <v>657</v>
      </c>
      <c r="B400">
        <v>2021</v>
      </c>
      <c r="C400" t="s">
        <v>32</v>
      </c>
      <c r="D400" t="s">
        <v>658</v>
      </c>
      <c r="E400">
        <v>67278</v>
      </c>
      <c r="F400" t="s">
        <v>174</v>
      </c>
      <c r="G400" t="s">
        <v>44</v>
      </c>
      <c r="H400" t="s">
        <v>25</v>
      </c>
      <c r="I400" t="s">
        <v>24</v>
      </c>
      <c r="J400" s="2">
        <v>45295</v>
      </c>
      <c r="K400" t="s">
        <v>25</v>
      </c>
      <c r="L400">
        <v>44028</v>
      </c>
      <c r="M400">
        <v>235</v>
      </c>
      <c r="N400">
        <v>285</v>
      </c>
      <c r="O400" s="4">
        <v>19700</v>
      </c>
      <c r="P400" s="4">
        <v>20905.474609375</v>
      </c>
      <c r="Q400" s="5">
        <f t="shared" si="24"/>
        <v>6.1191604536801947E-2</v>
      </c>
      <c r="R400" s="4">
        <v>23020.092167609611</v>
      </c>
      <c r="S400" s="5">
        <f t="shared" si="25"/>
        <v>0.16853259734058934</v>
      </c>
      <c r="T400" s="4">
        <v>25114.559764028501</v>
      </c>
      <c r="U400" s="5">
        <f t="shared" si="26"/>
        <v>0.2748507494430712</v>
      </c>
      <c r="V400" s="4">
        <v>20315.2890625</v>
      </c>
      <c r="W400" s="5">
        <f t="shared" si="27"/>
        <v>3.1232947335025463E-2</v>
      </c>
    </row>
    <row r="401" spans="1:23" x14ac:dyDescent="0.25">
      <c r="A401" t="s">
        <v>659</v>
      </c>
      <c r="B401">
        <v>2014</v>
      </c>
      <c r="C401" t="s">
        <v>53</v>
      </c>
      <c r="D401" t="s">
        <v>148</v>
      </c>
      <c r="E401">
        <v>147055</v>
      </c>
      <c r="F401" t="s">
        <v>660</v>
      </c>
      <c r="G401" t="s">
        <v>30</v>
      </c>
      <c r="H401" t="s">
        <v>24</v>
      </c>
      <c r="I401" t="s">
        <v>25</v>
      </c>
      <c r="J401" s="2">
        <v>45554</v>
      </c>
      <c r="K401" t="s">
        <v>25</v>
      </c>
      <c r="L401">
        <v>44028</v>
      </c>
      <c r="M401">
        <v>235</v>
      </c>
      <c r="N401">
        <v>285</v>
      </c>
      <c r="O401" s="4">
        <v>5841.3765822784799</v>
      </c>
      <c r="P401" s="4">
        <v>3952.025634765625</v>
      </c>
      <c r="Q401" s="5">
        <f t="shared" si="24"/>
        <v>-0.32344275718239979</v>
      </c>
      <c r="R401" s="4">
        <v>4464.4992516008106</v>
      </c>
      <c r="S401" s="5">
        <f t="shared" si="25"/>
        <v>-0.2357111052991907</v>
      </c>
      <c r="T401" s="4">
        <v>5670.3245630447764</v>
      </c>
      <c r="U401" s="5">
        <f t="shared" si="26"/>
        <v>-2.9282826885813185E-2</v>
      </c>
      <c r="V401" s="4">
        <v>3976.6298828125</v>
      </c>
      <c r="W401" s="5">
        <f t="shared" si="27"/>
        <v>-0.3192306938613122</v>
      </c>
    </row>
    <row r="402" spans="1:23" x14ac:dyDescent="0.25">
      <c r="A402" t="s">
        <v>661</v>
      </c>
      <c r="B402">
        <v>2019</v>
      </c>
      <c r="C402" t="s">
        <v>20</v>
      </c>
      <c r="D402" t="s">
        <v>134</v>
      </c>
      <c r="E402">
        <v>117282</v>
      </c>
      <c r="F402" t="s">
        <v>106</v>
      </c>
      <c r="G402" t="s">
        <v>38</v>
      </c>
      <c r="H402" t="s">
        <v>25</v>
      </c>
      <c r="I402" t="s">
        <v>24</v>
      </c>
      <c r="J402" s="2">
        <v>45666</v>
      </c>
      <c r="K402" t="s">
        <v>25</v>
      </c>
      <c r="L402">
        <v>44028</v>
      </c>
      <c r="M402">
        <v>235</v>
      </c>
      <c r="N402">
        <v>285</v>
      </c>
      <c r="O402" s="4">
        <v>10000</v>
      </c>
      <c r="P402" s="4">
        <v>11119.47265625</v>
      </c>
      <c r="Q402" s="5">
        <f t="shared" si="24"/>
        <v>0.11194726562500001</v>
      </c>
      <c r="R402" s="4">
        <v>11505.636327813711</v>
      </c>
      <c r="S402" s="5">
        <f t="shared" si="25"/>
        <v>0.15056363278137108</v>
      </c>
      <c r="T402" s="4">
        <v>11258.67232313253</v>
      </c>
      <c r="U402" s="5">
        <f t="shared" si="26"/>
        <v>0.12586723231325303</v>
      </c>
      <c r="V402" s="4">
        <v>11264.9345703125</v>
      </c>
      <c r="W402" s="5">
        <f t="shared" si="27"/>
        <v>0.12649345703124992</v>
      </c>
    </row>
    <row r="403" spans="1:23" x14ac:dyDescent="0.25">
      <c r="A403" t="s">
        <v>662</v>
      </c>
      <c r="B403">
        <v>2022</v>
      </c>
      <c r="C403" t="s">
        <v>20</v>
      </c>
      <c r="D403" t="s">
        <v>663</v>
      </c>
      <c r="E403">
        <v>26233</v>
      </c>
      <c r="F403" t="s">
        <v>161</v>
      </c>
      <c r="G403" t="s">
        <v>44</v>
      </c>
      <c r="H403" t="s">
        <v>25</v>
      </c>
      <c r="I403" t="s">
        <v>24</v>
      </c>
      <c r="J403" s="2">
        <v>45715</v>
      </c>
      <c r="K403" t="s">
        <v>25</v>
      </c>
      <c r="L403">
        <v>44028</v>
      </c>
      <c r="M403">
        <v>235</v>
      </c>
      <c r="N403">
        <v>285</v>
      </c>
      <c r="O403" s="4">
        <v>21800</v>
      </c>
      <c r="P403" s="4">
        <v>26027.216796875</v>
      </c>
      <c r="Q403" s="5">
        <f t="shared" si="24"/>
        <v>0.19390902737958715</v>
      </c>
      <c r="R403" s="4">
        <v>25239.277948215331</v>
      </c>
      <c r="S403" s="5">
        <f t="shared" si="25"/>
        <v>0.1577650434961162</v>
      </c>
      <c r="T403" s="4">
        <v>29822.669526492678</v>
      </c>
      <c r="U403" s="5">
        <f t="shared" si="26"/>
        <v>0.36801236360058165</v>
      </c>
      <c r="V403" s="4">
        <v>25543.486328125</v>
      </c>
      <c r="W403" s="5">
        <f t="shared" si="27"/>
        <v>0.17171955633600922</v>
      </c>
    </row>
    <row r="404" spans="1:23" x14ac:dyDescent="0.25">
      <c r="A404" t="s">
        <v>664</v>
      </c>
      <c r="B404">
        <v>2016</v>
      </c>
      <c r="C404" t="s">
        <v>266</v>
      </c>
      <c r="D404" t="s">
        <v>267</v>
      </c>
      <c r="E404">
        <v>74669</v>
      </c>
      <c r="F404" t="s">
        <v>43</v>
      </c>
      <c r="G404" t="s">
        <v>34</v>
      </c>
      <c r="H404" t="s">
        <v>25</v>
      </c>
      <c r="I404" t="s">
        <v>24</v>
      </c>
      <c r="J404" s="2">
        <v>45561</v>
      </c>
      <c r="K404" t="s">
        <v>25</v>
      </c>
      <c r="L404">
        <v>44028</v>
      </c>
      <c r="M404">
        <v>235</v>
      </c>
      <c r="N404">
        <v>285</v>
      </c>
      <c r="O404" s="4">
        <v>9500</v>
      </c>
      <c r="P404" s="4">
        <v>9557.8818359375</v>
      </c>
      <c r="Q404" s="5">
        <f t="shared" si="24"/>
        <v>6.0928248355263115E-3</v>
      </c>
      <c r="R404" s="4">
        <v>10111.177615891011</v>
      </c>
      <c r="S404" s="5">
        <f t="shared" si="25"/>
        <v>6.4334485883264181E-2</v>
      </c>
      <c r="T404" s="4">
        <v>7531.9798230816668</v>
      </c>
      <c r="U404" s="5">
        <f t="shared" si="26"/>
        <v>-0.20716001862298239</v>
      </c>
      <c r="V404" s="4">
        <v>9467.142578125</v>
      </c>
      <c r="W404" s="5">
        <f t="shared" si="27"/>
        <v>-3.4586759868421302E-3</v>
      </c>
    </row>
    <row r="405" spans="1:23" x14ac:dyDescent="0.25">
      <c r="A405" t="s">
        <v>665</v>
      </c>
      <c r="B405">
        <v>2014</v>
      </c>
      <c r="C405" t="s">
        <v>266</v>
      </c>
      <c r="D405" t="s">
        <v>267</v>
      </c>
      <c r="E405">
        <v>50310</v>
      </c>
      <c r="F405" t="s">
        <v>111</v>
      </c>
      <c r="G405" t="s">
        <v>23</v>
      </c>
      <c r="H405" t="s">
        <v>24</v>
      </c>
      <c r="I405" t="s">
        <v>25</v>
      </c>
      <c r="J405" s="2">
        <v>45328</v>
      </c>
      <c r="K405" t="s">
        <v>25</v>
      </c>
      <c r="L405">
        <v>44028</v>
      </c>
      <c r="M405">
        <v>235</v>
      </c>
      <c r="N405">
        <v>285</v>
      </c>
      <c r="O405" s="4">
        <v>6000</v>
      </c>
      <c r="P405" s="4">
        <v>6560.7666015625</v>
      </c>
      <c r="Q405" s="5">
        <f t="shared" si="24"/>
        <v>9.3461100260416652E-2</v>
      </c>
      <c r="R405" s="4">
        <v>5890.725163315894</v>
      </c>
      <c r="S405" s="5">
        <f t="shared" si="25"/>
        <v>-1.8212472780684386E-2</v>
      </c>
      <c r="T405" s="4">
        <v>4014.1239908980879</v>
      </c>
      <c r="U405" s="5">
        <f t="shared" si="26"/>
        <v>-0.33097933485031872</v>
      </c>
      <c r="V405" s="4">
        <v>6485.88916015625</v>
      </c>
      <c r="W405" s="5">
        <f t="shared" si="27"/>
        <v>8.0981526692708306E-2</v>
      </c>
    </row>
    <row r="406" spans="1:23" x14ac:dyDescent="0.25">
      <c r="A406" t="s">
        <v>666</v>
      </c>
      <c r="B406">
        <v>2020</v>
      </c>
      <c r="C406" t="s">
        <v>167</v>
      </c>
      <c r="D406" t="s">
        <v>600</v>
      </c>
      <c r="E406">
        <v>66910</v>
      </c>
      <c r="F406" t="s">
        <v>250</v>
      </c>
      <c r="G406" t="s">
        <v>34</v>
      </c>
      <c r="H406" t="s">
        <v>25</v>
      </c>
      <c r="I406" t="s">
        <v>24</v>
      </c>
      <c r="J406" s="2">
        <v>45384</v>
      </c>
      <c r="K406" t="s">
        <v>25</v>
      </c>
      <c r="L406">
        <v>44028</v>
      </c>
      <c r="M406">
        <v>235</v>
      </c>
      <c r="N406">
        <v>285</v>
      </c>
      <c r="O406" s="4">
        <v>17400</v>
      </c>
      <c r="P406" s="4">
        <v>12661.6787109375</v>
      </c>
      <c r="Q406" s="5">
        <f t="shared" si="24"/>
        <v>-0.27231731546336202</v>
      </c>
      <c r="R406" s="4">
        <v>12889.020589159971</v>
      </c>
      <c r="S406" s="5">
        <f t="shared" si="25"/>
        <v>-0.25925169027816264</v>
      </c>
      <c r="T406" s="4">
        <v>13125.236328828931</v>
      </c>
      <c r="U406" s="5">
        <f t="shared" si="26"/>
        <v>-0.24567607305580863</v>
      </c>
      <c r="V406" s="4">
        <v>12581.2236328125</v>
      </c>
      <c r="W406" s="5">
        <f t="shared" si="27"/>
        <v>-0.27694117052801726</v>
      </c>
    </row>
    <row r="407" spans="1:23" x14ac:dyDescent="0.25">
      <c r="A407" t="s">
        <v>667</v>
      </c>
      <c r="B407">
        <v>2013</v>
      </c>
      <c r="C407" t="s">
        <v>167</v>
      </c>
      <c r="D407" t="s">
        <v>171</v>
      </c>
      <c r="E407">
        <v>127417</v>
      </c>
      <c r="F407" t="s">
        <v>227</v>
      </c>
      <c r="G407" t="s">
        <v>23</v>
      </c>
      <c r="H407" t="s">
        <v>24</v>
      </c>
      <c r="I407" t="s">
        <v>25</v>
      </c>
      <c r="J407" s="2">
        <v>45356</v>
      </c>
      <c r="K407" t="s">
        <v>25</v>
      </c>
      <c r="L407">
        <v>44028</v>
      </c>
      <c r="M407">
        <v>235</v>
      </c>
      <c r="N407">
        <v>285</v>
      </c>
      <c r="O407" s="4">
        <v>800</v>
      </c>
      <c r="P407" s="4">
        <v>1658.812377929688</v>
      </c>
      <c r="Q407" s="5">
        <f t="shared" si="24"/>
        <v>1.0735154724121099</v>
      </c>
      <c r="R407" s="4">
        <v>1687.481117278292</v>
      </c>
      <c r="S407" s="5">
        <f t="shared" si="25"/>
        <v>1.109351396597865</v>
      </c>
      <c r="T407" s="4">
        <v>2028.7710669444989</v>
      </c>
      <c r="U407" s="5">
        <f t="shared" si="26"/>
        <v>1.5359638336806238</v>
      </c>
      <c r="V407" s="4">
        <v>1612.918701171875</v>
      </c>
      <c r="W407" s="5">
        <f t="shared" si="27"/>
        <v>1.0161483764648436</v>
      </c>
    </row>
    <row r="408" spans="1:23" x14ac:dyDescent="0.25">
      <c r="A408" t="s">
        <v>668</v>
      </c>
      <c r="B408">
        <v>2013</v>
      </c>
      <c r="C408" t="s">
        <v>302</v>
      </c>
      <c r="D408" t="s">
        <v>669</v>
      </c>
      <c r="E408">
        <v>73623</v>
      </c>
      <c r="F408" t="s">
        <v>79</v>
      </c>
      <c r="G408" t="s">
        <v>38</v>
      </c>
      <c r="H408" t="s">
        <v>25</v>
      </c>
      <c r="I408" t="s">
        <v>24</v>
      </c>
      <c r="J408" s="2">
        <v>45538</v>
      </c>
      <c r="K408" t="s">
        <v>25</v>
      </c>
      <c r="L408">
        <v>44028</v>
      </c>
      <c r="M408">
        <v>235</v>
      </c>
      <c r="N408">
        <v>285</v>
      </c>
      <c r="O408" s="4">
        <v>5300</v>
      </c>
      <c r="P408" s="4">
        <v>6151.962890625</v>
      </c>
      <c r="Q408" s="5">
        <f t="shared" si="24"/>
        <v>0.16074771521226405</v>
      </c>
      <c r="R408" s="4">
        <v>5750.5347907610594</v>
      </c>
      <c r="S408" s="5">
        <f t="shared" si="25"/>
        <v>8.5006564294539455E-2</v>
      </c>
      <c r="T408" s="4">
        <v>5413.7451073749389</v>
      </c>
      <c r="U408" s="5">
        <f t="shared" si="26"/>
        <v>2.1461341014139323E-2</v>
      </c>
      <c r="V408" s="4">
        <v>6116.775390625</v>
      </c>
      <c r="W408" s="5">
        <f t="shared" si="27"/>
        <v>0.15410856426886799</v>
      </c>
    </row>
    <row r="409" spans="1:23" x14ac:dyDescent="0.25">
      <c r="A409" t="s">
        <v>670</v>
      </c>
      <c r="B409">
        <v>2015</v>
      </c>
      <c r="C409" t="s">
        <v>302</v>
      </c>
      <c r="D409" t="s">
        <v>669</v>
      </c>
      <c r="E409">
        <v>89608</v>
      </c>
      <c r="F409" t="s">
        <v>250</v>
      </c>
      <c r="G409" t="s">
        <v>34</v>
      </c>
      <c r="H409" t="s">
        <v>24</v>
      </c>
      <c r="I409" t="s">
        <v>25</v>
      </c>
      <c r="J409" s="2">
        <v>45300</v>
      </c>
      <c r="K409" t="s">
        <v>25</v>
      </c>
      <c r="L409">
        <v>44028</v>
      </c>
      <c r="M409">
        <v>235</v>
      </c>
      <c r="N409">
        <v>285</v>
      </c>
      <c r="O409" s="4">
        <v>5000</v>
      </c>
      <c r="P409" s="4">
        <v>8575.1298828125</v>
      </c>
      <c r="Q409" s="5">
        <f t="shared" si="24"/>
        <v>0.7150259765625</v>
      </c>
      <c r="R409" s="4">
        <v>8344.514957416317</v>
      </c>
      <c r="S409" s="5">
        <f t="shared" si="25"/>
        <v>0.66890299148326338</v>
      </c>
      <c r="T409" s="4">
        <v>8259.3032051486862</v>
      </c>
      <c r="U409" s="5">
        <f t="shared" si="26"/>
        <v>0.65186064102973718</v>
      </c>
      <c r="V409" s="4">
        <v>8625.7490234375</v>
      </c>
      <c r="W409" s="5">
        <f t="shared" si="27"/>
        <v>0.72514980468750001</v>
      </c>
    </row>
    <row r="410" spans="1:23" x14ac:dyDescent="0.25">
      <c r="A410" t="s">
        <v>671</v>
      </c>
      <c r="B410">
        <v>2017</v>
      </c>
      <c r="C410" t="s">
        <v>167</v>
      </c>
      <c r="D410" t="s">
        <v>462</v>
      </c>
      <c r="E410">
        <v>72430</v>
      </c>
      <c r="F410" t="s">
        <v>89</v>
      </c>
      <c r="G410" t="s">
        <v>34</v>
      </c>
      <c r="H410" t="s">
        <v>25</v>
      </c>
      <c r="I410" t="s">
        <v>24</v>
      </c>
      <c r="J410" s="2">
        <v>45610</v>
      </c>
      <c r="K410" t="s">
        <v>25</v>
      </c>
      <c r="L410">
        <v>44028</v>
      </c>
      <c r="M410">
        <v>235</v>
      </c>
      <c r="N410">
        <v>285</v>
      </c>
      <c r="O410" s="4">
        <v>3300</v>
      </c>
      <c r="P410" s="4">
        <v>5674.13232421875</v>
      </c>
      <c r="Q410" s="5">
        <f t="shared" si="24"/>
        <v>0.71943403764204539</v>
      </c>
      <c r="R410" s="4">
        <v>5218.8642661412414</v>
      </c>
      <c r="S410" s="5">
        <f t="shared" si="25"/>
        <v>0.58147402004280035</v>
      </c>
      <c r="T410" s="4">
        <v>8047.1784158098162</v>
      </c>
      <c r="U410" s="5">
        <f t="shared" si="26"/>
        <v>1.4385389138817626</v>
      </c>
      <c r="V410" s="4">
        <v>5761.9912109375</v>
      </c>
      <c r="W410" s="5">
        <f t="shared" si="27"/>
        <v>0.74605794270833337</v>
      </c>
    </row>
    <row r="411" spans="1:23" x14ac:dyDescent="0.25">
      <c r="A411" t="s">
        <v>672</v>
      </c>
      <c r="B411">
        <v>2016</v>
      </c>
      <c r="C411" t="s">
        <v>182</v>
      </c>
      <c r="D411" t="s">
        <v>608</v>
      </c>
      <c r="E411">
        <v>121117</v>
      </c>
      <c r="F411" t="s">
        <v>82</v>
      </c>
      <c r="G411" t="s">
        <v>30</v>
      </c>
      <c r="H411" t="s">
        <v>24</v>
      </c>
      <c r="I411" t="s">
        <v>25</v>
      </c>
      <c r="J411" s="2">
        <v>45594</v>
      </c>
      <c r="K411" t="s">
        <v>25</v>
      </c>
      <c r="L411">
        <v>44028</v>
      </c>
      <c r="M411">
        <v>235</v>
      </c>
      <c r="N411">
        <v>285</v>
      </c>
      <c r="O411" s="4">
        <v>8000</v>
      </c>
      <c r="P411" s="4">
        <v>3648.43017578125</v>
      </c>
      <c r="Q411" s="5">
        <f t="shared" si="24"/>
        <v>-0.54394622802734371</v>
      </c>
      <c r="R411" s="4">
        <v>4193.7276038289856</v>
      </c>
      <c r="S411" s="5">
        <f t="shared" si="25"/>
        <v>-0.47578404952137676</v>
      </c>
      <c r="T411" s="4">
        <v>3198.4649394797329</v>
      </c>
      <c r="U411" s="5">
        <f t="shared" si="26"/>
        <v>-0.60019188256503342</v>
      </c>
      <c r="V411" s="4">
        <v>3434.584228515625</v>
      </c>
      <c r="W411" s="5">
        <f t="shared" si="27"/>
        <v>-0.57067697143554685</v>
      </c>
    </row>
    <row r="412" spans="1:23" x14ac:dyDescent="0.25">
      <c r="A412" t="s">
        <v>673</v>
      </c>
      <c r="B412">
        <v>2016</v>
      </c>
      <c r="C412" t="s">
        <v>20</v>
      </c>
      <c r="D412" t="s">
        <v>472</v>
      </c>
      <c r="E412">
        <v>49548</v>
      </c>
      <c r="F412" t="s">
        <v>161</v>
      </c>
      <c r="G412" t="s">
        <v>44</v>
      </c>
      <c r="H412" t="s">
        <v>25</v>
      </c>
      <c r="I412" t="s">
        <v>24</v>
      </c>
      <c r="J412" s="2">
        <v>45421</v>
      </c>
      <c r="K412" t="s">
        <v>25</v>
      </c>
      <c r="L412">
        <v>44028</v>
      </c>
      <c r="M412">
        <v>235</v>
      </c>
      <c r="N412">
        <v>285</v>
      </c>
      <c r="O412" s="4">
        <v>8100</v>
      </c>
      <c r="P412" s="4">
        <v>15092.216796875</v>
      </c>
      <c r="Q412" s="5">
        <f t="shared" si="24"/>
        <v>0.86323664158950608</v>
      </c>
      <c r="R412" s="4">
        <v>14481.007585815731</v>
      </c>
      <c r="S412" s="5">
        <f t="shared" si="25"/>
        <v>0.78777871429823842</v>
      </c>
      <c r="T412" s="4">
        <v>18189.990398219968</v>
      </c>
      <c r="U412" s="5">
        <f t="shared" si="26"/>
        <v>1.2456778269407369</v>
      </c>
      <c r="V412" s="4">
        <v>15399.8876953125</v>
      </c>
      <c r="W412" s="5">
        <f t="shared" si="27"/>
        <v>0.90122070312499991</v>
      </c>
    </row>
    <row r="413" spans="1:23" x14ac:dyDescent="0.25">
      <c r="A413" t="s">
        <v>674</v>
      </c>
      <c r="B413">
        <v>2016</v>
      </c>
      <c r="C413" t="s">
        <v>167</v>
      </c>
      <c r="D413" t="s">
        <v>675</v>
      </c>
      <c r="E413">
        <v>94337</v>
      </c>
      <c r="F413" t="s">
        <v>22</v>
      </c>
      <c r="G413" t="s">
        <v>23</v>
      </c>
      <c r="H413" t="s">
        <v>24</v>
      </c>
      <c r="I413" t="s">
        <v>25</v>
      </c>
      <c r="J413" s="2">
        <v>45407</v>
      </c>
      <c r="K413" t="s">
        <v>25</v>
      </c>
      <c r="L413">
        <v>44028</v>
      </c>
      <c r="M413">
        <v>235</v>
      </c>
      <c r="N413">
        <v>285</v>
      </c>
      <c r="O413" s="4">
        <v>11800</v>
      </c>
      <c r="P413" s="4">
        <v>4518.90771484375</v>
      </c>
      <c r="Q413" s="5">
        <f t="shared" si="24"/>
        <v>-0.61704171908103811</v>
      </c>
      <c r="R413" s="4">
        <v>4065.2156617731689</v>
      </c>
      <c r="S413" s="5">
        <f t="shared" si="25"/>
        <v>-0.65549019815481624</v>
      </c>
      <c r="T413" s="4">
        <v>6563.2692689754595</v>
      </c>
      <c r="U413" s="5">
        <f t="shared" si="26"/>
        <v>-0.44379073991733398</v>
      </c>
      <c r="V413" s="4">
        <v>4511.51025390625</v>
      </c>
      <c r="W413" s="5">
        <f t="shared" si="27"/>
        <v>-0.61766862255031785</v>
      </c>
    </row>
    <row r="414" spans="1:23" x14ac:dyDescent="0.25">
      <c r="A414" t="s">
        <v>676</v>
      </c>
      <c r="B414">
        <v>2021</v>
      </c>
      <c r="C414" t="s">
        <v>156</v>
      </c>
      <c r="D414" t="s">
        <v>196</v>
      </c>
      <c r="E414">
        <v>84945</v>
      </c>
      <c r="F414" t="s">
        <v>106</v>
      </c>
      <c r="G414" t="s">
        <v>38</v>
      </c>
      <c r="H414" t="s">
        <v>25</v>
      </c>
      <c r="I414" t="s">
        <v>24</v>
      </c>
      <c r="J414" s="2">
        <v>45645</v>
      </c>
      <c r="K414" t="s">
        <v>25</v>
      </c>
      <c r="L414">
        <v>44028</v>
      </c>
      <c r="M414">
        <v>235</v>
      </c>
      <c r="N414">
        <v>285</v>
      </c>
      <c r="O414" s="4">
        <v>13100</v>
      </c>
      <c r="P414" s="4">
        <v>11439.015625</v>
      </c>
      <c r="Q414" s="5">
        <f t="shared" si="24"/>
        <v>-0.12679270038167934</v>
      </c>
      <c r="R414" s="4">
        <v>13290.95987762955</v>
      </c>
      <c r="S414" s="5">
        <f t="shared" si="25"/>
        <v>1.457708989538542E-2</v>
      </c>
      <c r="T414" s="4">
        <v>9802.6015826535549</v>
      </c>
      <c r="U414" s="5">
        <f t="shared" si="26"/>
        <v>-0.25170980285087363</v>
      </c>
      <c r="V414" s="4">
        <v>11245.3466796875</v>
      </c>
      <c r="W414" s="5">
        <f t="shared" si="27"/>
        <v>-0.14157658933683204</v>
      </c>
    </row>
    <row r="415" spans="1:23" x14ac:dyDescent="0.25">
      <c r="A415" t="s">
        <v>677</v>
      </c>
      <c r="B415">
        <v>2021</v>
      </c>
      <c r="C415" t="s">
        <v>53</v>
      </c>
      <c r="D415" t="s">
        <v>485</v>
      </c>
      <c r="E415">
        <v>53715</v>
      </c>
      <c r="F415" t="s">
        <v>79</v>
      </c>
      <c r="G415" t="s">
        <v>23</v>
      </c>
      <c r="H415" t="s">
        <v>24</v>
      </c>
      <c r="I415" t="s">
        <v>25</v>
      </c>
      <c r="J415" s="2">
        <v>45720</v>
      </c>
      <c r="K415" t="s">
        <v>25</v>
      </c>
      <c r="L415">
        <v>44028</v>
      </c>
      <c r="M415">
        <v>235</v>
      </c>
      <c r="N415">
        <v>285</v>
      </c>
      <c r="O415" s="4">
        <v>12000</v>
      </c>
      <c r="P415" s="4">
        <v>15396.087890625</v>
      </c>
      <c r="Q415" s="5">
        <f t="shared" si="24"/>
        <v>0.28300732421875008</v>
      </c>
      <c r="R415" s="4">
        <v>15606.33472064648</v>
      </c>
      <c r="S415" s="5">
        <f t="shared" si="25"/>
        <v>0.30052789338720665</v>
      </c>
      <c r="T415" s="4">
        <v>12366.28636972194</v>
      </c>
      <c r="U415" s="5">
        <f t="shared" si="26"/>
        <v>3.0523864143495061E-2</v>
      </c>
      <c r="V415" s="4">
        <v>15517.1826171875</v>
      </c>
      <c r="W415" s="5">
        <f t="shared" si="27"/>
        <v>0.29309855143229169</v>
      </c>
    </row>
    <row r="416" spans="1:23" x14ac:dyDescent="0.25">
      <c r="A416" t="s">
        <v>678</v>
      </c>
      <c r="B416">
        <v>2019</v>
      </c>
      <c r="C416" t="s">
        <v>465</v>
      </c>
      <c r="D416" t="s">
        <v>679</v>
      </c>
      <c r="E416">
        <v>191524</v>
      </c>
      <c r="F416" t="s">
        <v>29</v>
      </c>
      <c r="G416" t="s">
        <v>30</v>
      </c>
      <c r="H416" t="s">
        <v>24</v>
      </c>
      <c r="I416" t="s">
        <v>25</v>
      </c>
      <c r="J416" s="2">
        <v>45608</v>
      </c>
      <c r="K416" t="s">
        <v>25</v>
      </c>
      <c r="L416">
        <v>44028</v>
      </c>
      <c r="M416">
        <v>235</v>
      </c>
      <c r="N416">
        <v>285</v>
      </c>
      <c r="O416" s="4">
        <v>8600</v>
      </c>
      <c r="P416" s="4">
        <v>3290.4775390625</v>
      </c>
      <c r="Q416" s="5">
        <f t="shared" si="24"/>
        <v>-0.61738633266715115</v>
      </c>
      <c r="R416" s="4">
        <v>4868.8171498617203</v>
      </c>
      <c r="S416" s="5">
        <f t="shared" si="25"/>
        <v>-0.43385847094631158</v>
      </c>
      <c r="T416" s="4">
        <v>2769.827280371183</v>
      </c>
      <c r="U416" s="5">
        <f t="shared" si="26"/>
        <v>-0.6779270604219555</v>
      </c>
      <c r="V416" s="4">
        <v>2930.126708984375</v>
      </c>
      <c r="W416" s="5">
        <f t="shared" si="27"/>
        <v>-0.65928759197856102</v>
      </c>
    </row>
    <row r="417" spans="1:23" x14ac:dyDescent="0.25">
      <c r="A417" t="s">
        <v>680</v>
      </c>
      <c r="B417">
        <v>2020</v>
      </c>
      <c r="C417" t="s">
        <v>302</v>
      </c>
      <c r="D417" t="s">
        <v>681</v>
      </c>
      <c r="E417">
        <v>35978</v>
      </c>
      <c r="F417" t="s">
        <v>63</v>
      </c>
      <c r="G417" t="s">
        <v>44</v>
      </c>
      <c r="H417" t="s">
        <v>25</v>
      </c>
      <c r="I417" t="s">
        <v>24</v>
      </c>
      <c r="J417" s="2">
        <v>45734</v>
      </c>
      <c r="K417" t="s">
        <v>25</v>
      </c>
      <c r="L417">
        <v>44028</v>
      </c>
      <c r="M417">
        <v>235</v>
      </c>
      <c r="N417">
        <v>285</v>
      </c>
      <c r="O417" s="4">
        <v>12400</v>
      </c>
      <c r="P417" s="4">
        <v>24428.62109375</v>
      </c>
      <c r="Q417" s="5">
        <f t="shared" si="24"/>
        <v>0.97005008820564509</v>
      </c>
      <c r="R417" s="4">
        <v>25179.17407091241</v>
      </c>
      <c r="S417" s="5">
        <f t="shared" si="25"/>
        <v>1.0305785541058397</v>
      </c>
      <c r="T417" s="4">
        <v>29928.43071113047</v>
      </c>
      <c r="U417" s="5">
        <f t="shared" si="26"/>
        <v>1.4135831218653605</v>
      </c>
      <c r="V417" s="4">
        <v>24640.71875</v>
      </c>
      <c r="W417" s="5">
        <f t="shared" si="27"/>
        <v>0.98715473790322572</v>
      </c>
    </row>
    <row r="418" spans="1:23" x14ac:dyDescent="0.25">
      <c r="A418" t="s">
        <v>682</v>
      </c>
      <c r="B418">
        <v>2014</v>
      </c>
      <c r="C418" t="s">
        <v>27</v>
      </c>
      <c r="D418" t="s">
        <v>28</v>
      </c>
      <c r="E418">
        <v>100962</v>
      </c>
      <c r="F418" t="s">
        <v>55</v>
      </c>
      <c r="G418" t="s">
        <v>38</v>
      </c>
      <c r="H418" t="s">
        <v>25</v>
      </c>
      <c r="I418" t="s">
        <v>24</v>
      </c>
      <c r="J418" s="2">
        <v>45524</v>
      </c>
      <c r="K418" t="s">
        <v>25</v>
      </c>
      <c r="L418">
        <v>44035</v>
      </c>
      <c r="M418">
        <v>222</v>
      </c>
      <c r="N418">
        <v>272</v>
      </c>
      <c r="O418" s="4">
        <v>10200</v>
      </c>
      <c r="P418" s="4">
        <v>4816.20068359375</v>
      </c>
      <c r="Q418" s="5">
        <f t="shared" si="24"/>
        <v>-0.52782346239276956</v>
      </c>
      <c r="R418" s="4">
        <v>4571.0789189480129</v>
      </c>
      <c r="S418" s="5">
        <f t="shared" si="25"/>
        <v>-0.55185500794627318</v>
      </c>
      <c r="T418" s="4">
        <v>5686.8478144616538</v>
      </c>
      <c r="U418" s="5">
        <f t="shared" si="26"/>
        <v>-0.44246590054297508</v>
      </c>
      <c r="V418" s="4">
        <v>4793.0703125</v>
      </c>
      <c r="W418" s="5">
        <f t="shared" si="27"/>
        <v>-0.53009114583333328</v>
      </c>
    </row>
    <row r="419" spans="1:23" x14ac:dyDescent="0.25">
      <c r="A419" t="s">
        <v>683</v>
      </c>
      <c r="B419">
        <v>2014</v>
      </c>
      <c r="C419" t="s">
        <v>53</v>
      </c>
      <c r="D419" t="s">
        <v>684</v>
      </c>
      <c r="E419">
        <v>113883</v>
      </c>
      <c r="F419" t="s">
        <v>29</v>
      </c>
      <c r="G419" t="s">
        <v>30</v>
      </c>
      <c r="H419" t="s">
        <v>24</v>
      </c>
      <c r="I419" t="s">
        <v>25</v>
      </c>
      <c r="J419" s="2">
        <v>45645</v>
      </c>
      <c r="K419" t="s">
        <v>25</v>
      </c>
      <c r="L419">
        <v>44035</v>
      </c>
      <c r="M419">
        <v>222</v>
      </c>
      <c r="N419">
        <v>272</v>
      </c>
      <c r="O419" s="4">
        <v>11250</v>
      </c>
      <c r="P419" s="4">
        <v>4309.84228515625</v>
      </c>
      <c r="Q419" s="5">
        <f t="shared" si="24"/>
        <v>-0.61690290798611114</v>
      </c>
      <c r="R419" s="4">
        <v>5661.1112735371671</v>
      </c>
      <c r="S419" s="5">
        <f t="shared" si="25"/>
        <v>-0.49679010901891851</v>
      </c>
      <c r="T419" s="4">
        <v>8265.078991411041</v>
      </c>
      <c r="U419" s="5">
        <f t="shared" si="26"/>
        <v>-0.26532631187457412</v>
      </c>
      <c r="V419" s="4">
        <v>3822.82373046875</v>
      </c>
      <c r="W419" s="5">
        <f t="shared" si="27"/>
        <v>-0.66019344618055553</v>
      </c>
    </row>
    <row r="420" spans="1:23" x14ac:dyDescent="0.25">
      <c r="A420" t="s">
        <v>685</v>
      </c>
      <c r="B420">
        <v>2012</v>
      </c>
      <c r="C420" t="s">
        <v>20</v>
      </c>
      <c r="D420" t="s">
        <v>81</v>
      </c>
      <c r="E420">
        <v>70663</v>
      </c>
      <c r="F420" t="s">
        <v>334</v>
      </c>
      <c r="G420" t="s">
        <v>23</v>
      </c>
      <c r="H420" t="s">
        <v>24</v>
      </c>
      <c r="I420" t="s">
        <v>25</v>
      </c>
      <c r="J420" s="2">
        <v>45300</v>
      </c>
      <c r="K420" t="s">
        <v>25</v>
      </c>
      <c r="L420">
        <v>44035</v>
      </c>
      <c r="M420">
        <v>222</v>
      </c>
      <c r="N420">
        <v>272</v>
      </c>
      <c r="O420" s="4">
        <v>3700</v>
      </c>
      <c r="P420" s="4">
        <v>3874.5732421875</v>
      </c>
      <c r="Q420" s="5">
        <f t="shared" si="24"/>
        <v>4.7181957347973036E-2</v>
      </c>
      <c r="R420" s="4">
        <v>4585.7255759259479</v>
      </c>
      <c r="S420" s="5">
        <f t="shared" si="25"/>
        <v>0.23938529079079673</v>
      </c>
      <c r="T420" s="4">
        <v>3777.3575146828348</v>
      </c>
      <c r="U420" s="5">
        <f t="shared" si="26"/>
        <v>2.0907436400766199E-2</v>
      </c>
      <c r="V420" s="4">
        <v>3496.21826171875</v>
      </c>
      <c r="W420" s="5">
        <f t="shared" si="27"/>
        <v>-5.5076145481418926E-2</v>
      </c>
    </row>
    <row r="421" spans="1:23" x14ac:dyDescent="0.25">
      <c r="A421" t="s">
        <v>686</v>
      </c>
      <c r="B421">
        <v>2013</v>
      </c>
      <c r="C421" t="s">
        <v>91</v>
      </c>
      <c r="D421" t="s">
        <v>92</v>
      </c>
      <c r="E421">
        <v>150366</v>
      </c>
      <c r="F421" t="s">
        <v>29</v>
      </c>
      <c r="G421" t="s">
        <v>30</v>
      </c>
      <c r="H421" t="s">
        <v>24</v>
      </c>
      <c r="I421" t="s">
        <v>25</v>
      </c>
      <c r="J421" s="2">
        <v>45316</v>
      </c>
      <c r="K421" t="s">
        <v>25</v>
      </c>
      <c r="L421">
        <v>44035</v>
      </c>
      <c r="M421">
        <v>222</v>
      </c>
      <c r="N421">
        <v>272</v>
      </c>
      <c r="O421" s="4">
        <v>3100</v>
      </c>
      <c r="P421" s="4">
        <v>1823.716796875</v>
      </c>
      <c r="Q421" s="5">
        <f t="shared" si="24"/>
        <v>-0.41170425907258068</v>
      </c>
      <c r="R421" s="4">
        <v>2975.2554579216362</v>
      </c>
      <c r="S421" s="5">
        <f t="shared" si="25"/>
        <v>-4.0240174863988343E-2</v>
      </c>
      <c r="T421" s="4">
        <v>3183.7946806614832</v>
      </c>
      <c r="U421" s="5">
        <f t="shared" si="26"/>
        <v>2.7030542148865466E-2</v>
      </c>
      <c r="V421" s="4">
        <v>1764.4990234375</v>
      </c>
      <c r="W421" s="5">
        <f t="shared" si="27"/>
        <v>-0.4308067666330645</v>
      </c>
    </row>
    <row r="422" spans="1:23" x14ac:dyDescent="0.25">
      <c r="A422" t="s">
        <v>687</v>
      </c>
      <c r="B422">
        <v>2010</v>
      </c>
      <c r="C422" t="s">
        <v>113</v>
      </c>
      <c r="D422" t="s">
        <v>576</v>
      </c>
      <c r="E422">
        <v>229013</v>
      </c>
      <c r="F422" t="s">
        <v>22</v>
      </c>
      <c r="G422" t="s">
        <v>23</v>
      </c>
      <c r="H422" t="s">
        <v>24</v>
      </c>
      <c r="I422" t="s">
        <v>25</v>
      </c>
      <c r="J422" s="2">
        <v>45344</v>
      </c>
      <c r="K422" t="s">
        <v>25</v>
      </c>
      <c r="L422">
        <v>44035</v>
      </c>
      <c r="M422">
        <v>222</v>
      </c>
      <c r="N422">
        <v>272</v>
      </c>
      <c r="O422" s="4">
        <v>15800</v>
      </c>
      <c r="P422" s="4">
        <v>1975.516479492188</v>
      </c>
      <c r="Q422" s="5">
        <f t="shared" si="24"/>
        <v>-0.87496731142454509</v>
      </c>
      <c r="R422" s="4">
        <v>1903.236103885612</v>
      </c>
      <c r="S422" s="5">
        <f t="shared" si="25"/>
        <v>-0.87954201874141691</v>
      </c>
      <c r="T422" s="4">
        <v>1465.3142963925311</v>
      </c>
      <c r="U422" s="5">
        <f t="shared" si="26"/>
        <v>-0.9072585888359157</v>
      </c>
      <c r="V422" s="4">
        <v>1947.177490234375</v>
      </c>
      <c r="W422" s="5">
        <f t="shared" si="27"/>
        <v>-0.87676091833959657</v>
      </c>
    </row>
    <row r="423" spans="1:23" x14ac:dyDescent="0.25">
      <c r="A423" t="s">
        <v>688</v>
      </c>
      <c r="B423">
        <v>2017</v>
      </c>
      <c r="C423" t="s">
        <v>185</v>
      </c>
      <c r="D423" t="s">
        <v>689</v>
      </c>
      <c r="E423">
        <v>83153</v>
      </c>
      <c r="F423" t="s">
        <v>89</v>
      </c>
      <c r="G423" t="s">
        <v>34</v>
      </c>
      <c r="H423" t="s">
        <v>25</v>
      </c>
      <c r="I423" t="s">
        <v>24</v>
      </c>
      <c r="J423" s="2">
        <v>45580</v>
      </c>
      <c r="K423" t="s">
        <v>25</v>
      </c>
      <c r="L423">
        <v>44035</v>
      </c>
      <c r="M423">
        <v>222</v>
      </c>
      <c r="N423">
        <v>272</v>
      </c>
      <c r="O423" s="4">
        <v>17500</v>
      </c>
      <c r="P423" s="4">
        <v>5968.7041015625</v>
      </c>
      <c r="Q423" s="5">
        <f t="shared" si="24"/>
        <v>-0.65893119419642865</v>
      </c>
      <c r="R423" s="4">
        <v>5467.1473646476807</v>
      </c>
      <c r="S423" s="5">
        <f t="shared" si="25"/>
        <v>-0.68759157916298963</v>
      </c>
      <c r="T423" s="4">
        <v>12693.805507768509</v>
      </c>
      <c r="U423" s="5">
        <f t="shared" si="26"/>
        <v>-0.27463968527037086</v>
      </c>
      <c r="V423" s="4">
        <v>5855.21337890625</v>
      </c>
      <c r="W423" s="5">
        <f t="shared" si="27"/>
        <v>-0.66541637834821432</v>
      </c>
    </row>
    <row r="424" spans="1:23" x14ac:dyDescent="0.25">
      <c r="A424" t="s">
        <v>690</v>
      </c>
      <c r="B424">
        <v>2015</v>
      </c>
      <c r="C424" t="s">
        <v>120</v>
      </c>
      <c r="D424" t="s">
        <v>691</v>
      </c>
      <c r="E424">
        <v>145824</v>
      </c>
      <c r="F424" t="s">
        <v>89</v>
      </c>
      <c r="G424" t="s">
        <v>30</v>
      </c>
      <c r="H424" t="s">
        <v>24</v>
      </c>
      <c r="I424" t="s">
        <v>25</v>
      </c>
      <c r="J424" s="2">
        <v>45538</v>
      </c>
      <c r="K424" t="s">
        <v>25</v>
      </c>
      <c r="L424">
        <v>44035</v>
      </c>
      <c r="M424">
        <v>222</v>
      </c>
      <c r="N424">
        <v>272</v>
      </c>
      <c r="O424" s="4">
        <v>15500</v>
      </c>
      <c r="P424" s="4">
        <v>2460.77001953125</v>
      </c>
      <c r="Q424" s="5">
        <f t="shared" si="24"/>
        <v>-0.84124064390120967</v>
      </c>
      <c r="R424" s="4">
        <v>2882.4334814967619</v>
      </c>
      <c r="S424" s="5">
        <f t="shared" si="25"/>
        <v>-0.81403654958085403</v>
      </c>
      <c r="T424" s="4">
        <v>2121.2033700466181</v>
      </c>
      <c r="U424" s="5">
        <f t="shared" si="26"/>
        <v>-0.86314816967441177</v>
      </c>
      <c r="V424" s="4">
        <v>2377.629638671875</v>
      </c>
      <c r="W424" s="5">
        <f t="shared" si="27"/>
        <v>-0.84660453944052416</v>
      </c>
    </row>
    <row r="425" spans="1:23" x14ac:dyDescent="0.25">
      <c r="A425" t="s">
        <v>692</v>
      </c>
      <c r="B425">
        <v>2013</v>
      </c>
      <c r="C425" t="s">
        <v>53</v>
      </c>
      <c r="D425" t="s">
        <v>582</v>
      </c>
      <c r="E425">
        <v>102553</v>
      </c>
      <c r="F425" t="s">
        <v>382</v>
      </c>
      <c r="G425" t="s">
        <v>30</v>
      </c>
      <c r="H425" t="s">
        <v>24</v>
      </c>
      <c r="I425" t="s">
        <v>25</v>
      </c>
      <c r="J425" s="2">
        <v>45538</v>
      </c>
      <c r="K425" t="s">
        <v>25</v>
      </c>
      <c r="L425">
        <v>44035</v>
      </c>
      <c r="M425">
        <v>222</v>
      </c>
      <c r="N425">
        <v>272</v>
      </c>
      <c r="O425" s="4">
        <v>7800</v>
      </c>
      <c r="P425" s="4">
        <v>3593.671630859375</v>
      </c>
      <c r="Q425" s="5">
        <f t="shared" si="24"/>
        <v>-0.53927286783854167</v>
      </c>
      <c r="R425" s="4">
        <v>3883.3444183251431</v>
      </c>
      <c r="S425" s="5">
        <f t="shared" si="25"/>
        <v>-0.50213533098395602</v>
      </c>
      <c r="T425" s="4">
        <v>3947.7040897398429</v>
      </c>
      <c r="U425" s="5">
        <f t="shared" si="26"/>
        <v>-0.49388409105899456</v>
      </c>
      <c r="V425" s="4">
        <v>3448.091064453125</v>
      </c>
      <c r="W425" s="5">
        <f t="shared" si="27"/>
        <v>-0.55793704301883018</v>
      </c>
    </row>
    <row r="426" spans="1:23" x14ac:dyDescent="0.25">
      <c r="A426" t="s">
        <v>693</v>
      </c>
      <c r="B426">
        <v>2014</v>
      </c>
      <c r="C426" t="s">
        <v>20</v>
      </c>
      <c r="D426" t="s">
        <v>236</v>
      </c>
      <c r="E426">
        <v>55130</v>
      </c>
      <c r="F426" t="s">
        <v>151</v>
      </c>
      <c r="G426" t="s">
        <v>44</v>
      </c>
      <c r="H426" t="s">
        <v>25</v>
      </c>
      <c r="I426" t="s">
        <v>24</v>
      </c>
      <c r="J426" s="2">
        <v>45300</v>
      </c>
      <c r="K426" t="s">
        <v>25</v>
      </c>
      <c r="L426">
        <v>44035</v>
      </c>
      <c r="M426">
        <v>222</v>
      </c>
      <c r="N426">
        <v>272</v>
      </c>
      <c r="O426" s="4">
        <v>17000</v>
      </c>
      <c r="P426" s="4">
        <v>11932.8369140625</v>
      </c>
      <c r="Q426" s="5">
        <f t="shared" si="24"/>
        <v>-0.29806841681985297</v>
      </c>
      <c r="R426" s="4">
        <v>11586.6767599292</v>
      </c>
      <c r="S426" s="5">
        <f t="shared" si="25"/>
        <v>-0.31843077882769411</v>
      </c>
      <c r="T426" s="4">
        <v>16044.709889128329</v>
      </c>
      <c r="U426" s="5">
        <f t="shared" si="26"/>
        <v>-5.6193535933627636E-2</v>
      </c>
      <c r="V426" s="4">
        <v>12158.181640625</v>
      </c>
      <c r="W426" s="5">
        <f t="shared" si="27"/>
        <v>-0.2848128446691176</v>
      </c>
    </row>
    <row r="427" spans="1:23" x14ac:dyDescent="0.25">
      <c r="A427" t="s">
        <v>694</v>
      </c>
      <c r="B427">
        <v>2013</v>
      </c>
      <c r="C427" t="s">
        <v>20</v>
      </c>
      <c r="D427" t="s">
        <v>236</v>
      </c>
      <c r="E427">
        <v>25553</v>
      </c>
      <c r="F427" t="s">
        <v>174</v>
      </c>
      <c r="G427" t="s">
        <v>44</v>
      </c>
      <c r="H427" t="s">
        <v>25</v>
      </c>
      <c r="I427" t="s">
        <v>24</v>
      </c>
      <c r="J427" s="2">
        <v>45678</v>
      </c>
      <c r="K427" t="s">
        <v>25</v>
      </c>
      <c r="L427">
        <v>44035</v>
      </c>
      <c r="M427">
        <v>222</v>
      </c>
      <c r="N427">
        <v>272</v>
      </c>
      <c r="O427" s="4">
        <v>16800</v>
      </c>
      <c r="P427" s="4">
        <v>17367.142578125</v>
      </c>
      <c r="Q427" s="5">
        <f t="shared" si="24"/>
        <v>3.3758486793154852E-2</v>
      </c>
      <c r="R427" s="4">
        <v>18309.89778524969</v>
      </c>
      <c r="S427" s="5">
        <f t="shared" si="25"/>
        <v>8.9874868169624422E-2</v>
      </c>
      <c r="T427" s="4">
        <v>18864.694141596359</v>
      </c>
      <c r="U427" s="5">
        <f t="shared" si="26"/>
        <v>0.12289846080930711</v>
      </c>
      <c r="V427" s="4">
        <v>17400.09375</v>
      </c>
      <c r="W427" s="5">
        <f t="shared" si="27"/>
        <v>3.571986607142863E-2</v>
      </c>
    </row>
    <row r="428" spans="1:23" x14ac:dyDescent="0.25">
      <c r="A428" t="s">
        <v>695</v>
      </c>
      <c r="B428">
        <v>2013</v>
      </c>
      <c r="C428" t="s">
        <v>104</v>
      </c>
      <c r="D428" t="s">
        <v>126</v>
      </c>
      <c r="E428">
        <v>113999</v>
      </c>
      <c r="F428" t="s">
        <v>696</v>
      </c>
      <c r="G428" t="s">
        <v>23</v>
      </c>
      <c r="H428" t="s">
        <v>24</v>
      </c>
      <c r="I428" t="s">
        <v>25</v>
      </c>
      <c r="J428" s="2">
        <v>45454</v>
      </c>
      <c r="K428" t="s">
        <v>25</v>
      </c>
      <c r="L428">
        <v>44035</v>
      </c>
      <c r="M428">
        <v>222</v>
      </c>
      <c r="N428">
        <v>272</v>
      </c>
      <c r="O428" s="4">
        <v>2100</v>
      </c>
      <c r="P428" s="4">
        <v>4074.987060546875</v>
      </c>
      <c r="Q428" s="5">
        <f t="shared" si="24"/>
        <v>0.94047002883184527</v>
      </c>
      <c r="R428" s="4">
        <v>5202.9824450000078</v>
      </c>
      <c r="S428" s="5">
        <f t="shared" si="25"/>
        <v>1.477610688095242</v>
      </c>
      <c r="T428" s="4">
        <v>4647.3392271955954</v>
      </c>
      <c r="U428" s="5">
        <f t="shared" si="26"/>
        <v>1.2130186796169502</v>
      </c>
      <c r="V428" s="4">
        <v>3687.245849609375</v>
      </c>
      <c r="W428" s="5">
        <f t="shared" si="27"/>
        <v>0.75583135695684533</v>
      </c>
    </row>
    <row r="429" spans="1:23" x14ac:dyDescent="0.25">
      <c r="A429" t="s">
        <v>697</v>
      </c>
      <c r="B429">
        <v>2017</v>
      </c>
      <c r="C429" t="s">
        <v>20</v>
      </c>
      <c r="D429" t="s">
        <v>21</v>
      </c>
      <c r="E429">
        <v>97060</v>
      </c>
      <c r="F429" t="s">
        <v>82</v>
      </c>
      <c r="G429" t="s">
        <v>23</v>
      </c>
      <c r="H429" t="s">
        <v>24</v>
      </c>
      <c r="I429" t="s">
        <v>25</v>
      </c>
      <c r="J429" s="2">
        <v>45664</v>
      </c>
      <c r="K429" t="s">
        <v>25</v>
      </c>
      <c r="L429">
        <v>44035</v>
      </c>
      <c r="M429">
        <v>222</v>
      </c>
      <c r="N429">
        <v>272</v>
      </c>
      <c r="O429" s="4">
        <v>4000</v>
      </c>
      <c r="P429" s="4">
        <v>4228.76123046875</v>
      </c>
      <c r="Q429" s="5">
        <f t="shared" si="24"/>
        <v>5.7190307617187575E-2</v>
      </c>
      <c r="R429" s="4">
        <v>5868.1359274437054</v>
      </c>
      <c r="S429" s="5">
        <f t="shared" si="25"/>
        <v>0.46703398186092637</v>
      </c>
      <c r="T429" s="4">
        <v>5459.6104153620936</v>
      </c>
      <c r="U429" s="5">
        <f t="shared" si="26"/>
        <v>0.36490260384052342</v>
      </c>
      <c r="V429" s="4">
        <v>3734.1591796875</v>
      </c>
      <c r="W429" s="5">
        <f t="shared" si="27"/>
        <v>-6.6460205078125001E-2</v>
      </c>
    </row>
    <row r="430" spans="1:23" x14ac:dyDescent="0.25">
      <c r="A430" t="s">
        <v>698</v>
      </c>
      <c r="B430">
        <v>2016</v>
      </c>
      <c r="C430" t="s">
        <v>20</v>
      </c>
      <c r="D430" t="s">
        <v>21</v>
      </c>
      <c r="E430">
        <v>64096</v>
      </c>
      <c r="F430" t="s">
        <v>61</v>
      </c>
      <c r="G430" t="s">
        <v>23</v>
      </c>
      <c r="H430" t="s">
        <v>24</v>
      </c>
      <c r="I430" t="s">
        <v>25</v>
      </c>
      <c r="J430" s="2">
        <v>45342</v>
      </c>
      <c r="K430" t="s">
        <v>25</v>
      </c>
      <c r="L430">
        <v>44035</v>
      </c>
      <c r="M430">
        <v>222</v>
      </c>
      <c r="N430">
        <v>272</v>
      </c>
      <c r="O430" s="4">
        <v>9000</v>
      </c>
      <c r="P430" s="4">
        <v>6138.9951171875</v>
      </c>
      <c r="Q430" s="5">
        <f t="shared" si="24"/>
        <v>-0.31788943142361115</v>
      </c>
      <c r="R430" s="4">
        <v>8106.0127277251922</v>
      </c>
      <c r="S430" s="5">
        <f t="shared" si="25"/>
        <v>-9.9331919141645297E-2</v>
      </c>
      <c r="T430" s="4">
        <v>7697.5937319706754</v>
      </c>
      <c r="U430" s="5">
        <f t="shared" si="26"/>
        <v>-0.14471180755881385</v>
      </c>
      <c r="V430" s="4">
        <v>5550.7626953125</v>
      </c>
      <c r="W430" s="5">
        <f t="shared" si="27"/>
        <v>-0.38324858940972217</v>
      </c>
    </row>
    <row r="431" spans="1:23" x14ac:dyDescent="0.25">
      <c r="A431" t="s">
        <v>699</v>
      </c>
      <c r="B431">
        <v>2013</v>
      </c>
      <c r="C431" t="s">
        <v>20</v>
      </c>
      <c r="D431" t="s">
        <v>134</v>
      </c>
      <c r="E431">
        <v>112799</v>
      </c>
      <c r="F431" t="s">
        <v>55</v>
      </c>
      <c r="G431" t="s">
        <v>34</v>
      </c>
      <c r="H431" t="s">
        <v>25</v>
      </c>
      <c r="I431" t="s">
        <v>24</v>
      </c>
      <c r="J431" s="2">
        <v>45302</v>
      </c>
      <c r="K431" t="s">
        <v>25</v>
      </c>
      <c r="L431">
        <v>44035</v>
      </c>
      <c r="M431">
        <v>222</v>
      </c>
      <c r="N431">
        <v>272</v>
      </c>
      <c r="O431" s="4">
        <v>4200</v>
      </c>
      <c r="P431" s="4">
        <v>3350.209716796875</v>
      </c>
      <c r="Q431" s="5">
        <f t="shared" si="24"/>
        <v>-0.20233101981026791</v>
      </c>
      <c r="R431" s="4">
        <v>3693.6135665469278</v>
      </c>
      <c r="S431" s="5">
        <f t="shared" si="25"/>
        <v>-0.1205681984412077</v>
      </c>
      <c r="T431" s="4">
        <v>5391.6953801585296</v>
      </c>
      <c r="U431" s="5">
        <f t="shared" si="26"/>
        <v>0.2837369952758404</v>
      </c>
      <c r="V431" s="4">
        <v>3196.093505859375</v>
      </c>
      <c r="W431" s="5">
        <f t="shared" si="27"/>
        <v>-0.23902535574776784</v>
      </c>
    </row>
    <row r="432" spans="1:23" x14ac:dyDescent="0.25">
      <c r="A432" t="s">
        <v>700</v>
      </c>
      <c r="B432">
        <v>2010</v>
      </c>
      <c r="C432" t="s">
        <v>113</v>
      </c>
      <c r="D432" t="s">
        <v>701</v>
      </c>
      <c r="E432">
        <v>100580</v>
      </c>
      <c r="F432" t="s">
        <v>87</v>
      </c>
      <c r="G432" t="s">
        <v>38</v>
      </c>
      <c r="H432" t="s">
        <v>25</v>
      </c>
      <c r="I432" t="s">
        <v>24</v>
      </c>
      <c r="J432" s="2">
        <v>45356</v>
      </c>
      <c r="K432" t="s">
        <v>25</v>
      </c>
      <c r="L432">
        <v>44035</v>
      </c>
      <c r="M432">
        <v>222</v>
      </c>
      <c r="N432">
        <v>272</v>
      </c>
      <c r="O432" s="4">
        <v>2700</v>
      </c>
      <c r="P432" s="4">
        <v>4654.4677734375</v>
      </c>
      <c r="Q432" s="5">
        <f t="shared" si="24"/>
        <v>0.723876953125</v>
      </c>
      <c r="R432" s="4">
        <v>6070.5902109771714</v>
      </c>
      <c r="S432" s="5">
        <f t="shared" si="25"/>
        <v>1.2483667448063596</v>
      </c>
      <c r="T432" s="4">
        <v>6510.2070762322846</v>
      </c>
      <c r="U432" s="5">
        <f t="shared" si="26"/>
        <v>1.4111878060119571</v>
      </c>
      <c r="V432" s="4">
        <v>4218.58251953125</v>
      </c>
      <c r="W432" s="5">
        <f t="shared" si="27"/>
        <v>0.56243797019675923</v>
      </c>
    </row>
    <row r="433" spans="1:23" x14ac:dyDescent="0.25">
      <c r="A433" t="s">
        <v>702</v>
      </c>
      <c r="B433">
        <v>2020</v>
      </c>
      <c r="C433" t="s">
        <v>53</v>
      </c>
      <c r="D433" t="s">
        <v>590</v>
      </c>
      <c r="E433">
        <v>65583</v>
      </c>
      <c r="F433" t="s">
        <v>161</v>
      </c>
      <c r="G433" t="s">
        <v>44</v>
      </c>
      <c r="H433" t="s">
        <v>25</v>
      </c>
      <c r="I433" t="s">
        <v>24</v>
      </c>
      <c r="J433" s="2">
        <v>45664</v>
      </c>
      <c r="K433" t="s">
        <v>25</v>
      </c>
      <c r="L433">
        <v>44035</v>
      </c>
      <c r="M433">
        <v>222</v>
      </c>
      <c r="N433">
        <v>272</v>
      </c>
      <c r="O433" s="4">
        <v>18800</v>
      </c>
      <c r="P433" s="4">
        <v>17972.400390625</v>
      </c>
      <c r="Q433" s="5">
        <f t="shared" si="24"/>
        <v>-4.4021255817819127E-2</v>
      </c>
      <c r="R433" s="4">
        <v>17895.343573253249</v>
      </c>
      <c r="S433" s="5">
        <f t="shared" si="25"/>
        <v>-4.8120022699295273E-2</v>
      </c>
      <c r="T433" s="4">
        <v>11553.819490497541</v>
      </c>
      <c r="U433" s="5">
        <f t="shared" si="26"/>
        <v>-0.38543513348417335</v>
      </c>
      <c r="V433" s="4">
        <v>17627.67578125</v>
      </c>
      <c r="W433" s="5">
        <f t="shared" si="27"/>
        <v>-6.235767121010638E-2</v>
      </c>
    </row>
    <row r="434" spans="1:23" x14ac:dyDescent="0.25">
      <c r="A434" t="s">
        <v>703</v>
      </c>
      <c r="B434">
        <v>2020</v>
      </c>
      <c r="C434" t="s">
        <v>53</v>
      </c>
      <c r="D434" t="s">
        <v>590</v>
      </c>
      <c r="E434">
        <v>117890</v>
      </c>
      <c r="F434" t="s">
        <v>63</v>
      </c>
      <c r="G434" t="s">
        <v>44</v>
      </c>
      <c r="H434" t="s">
        <v>25</v>
      </c>
      <c r="I434" t="s">
        <v>24</v>
      </c>
      <c r="J434" s="2">
        <v>45692</v>
      </c>
      <c r="K434" t="s">
        <v>25</v>
      </c>
      <c r="L434">
        <v>44035</v>
      </c>
      <c r="M434">
        <v>222</v>
      </c>
      <c r="N434">
        <v>272</v>
      </c>
      <c r="O434" s="4">
        <v>18800</v>
      </c>
      <c r="P434" s="4">
        <v>13547.4287109375</v>
      </c>
      <c r="Q434" s="5">
        <f t="shared" si="24"/>
        <v>-0.27939208984374997</v>
      </c>
      <c r="R434" s="4">
        <v>14391.43928138053</v>
      </c>
      <c r="S434" s="5">
        <f t="shared" si="25"/>
        <v>-0.23449791056486546</v>
      </c>
      <c r="T434" s="4">
        <v>8452.099370907179</v>
      </c>
      <c r="U434" s="5">
        <f t="shared" si="26"/>
        <v>-0.55042024622834151</v>
      </c>
      <c r="V434" s="4">
        <v>13561.5087890625</v>
      </c>
      <c r="W434" s="5">
        <f t="shared" si="27"/>
        <v>-0.2786431495179521</v>
      </c>
    </row>
    <row r="435" spans="1:23" x14ac:dyDescent="0.25">
      <c r="A435" t="s">
        <v>704</v>
      </c>
      <c r="B435">
        <v>2012</v>
      </c>
      <c r="C435" t="s">
        <v>53</v>
      </c>
      <c r="D435" t="s">
        <v>150</v>
      </c>
      <c r="E435">
        <v>101884</v>
      </c>
      <c r="F435" t="s">
        <v>82</v>
      </c>
      <c r="G435" t="s">
        <v>30</v>
      </c>
      <c r="H435" t="s">
        <v>24</v>
      </c>
      <c r="I435" t="s">
        <v>25</v>
      </c>
      <c r="J435" s="2">
        <v>45664</v>
      </c>
      <c r="K435" t="s">
        <v>25</v>
      </c>
      <c r="L435">
        <v>44035</v>
      </c>
      <c r="M435">
        <v>222</v>
      </c>
      <c r="N435">
        <v>272</v>
      </c>
      <c r="O435" s="4">
        <v>5085.9154929577498</v>
      </c>
      <c r="P435" s="4">
        <v>3476.0224609375</v>
      </c>
      <c r="Q435" s="5">
        <f t="shared" si="24"/>
        <v>-0.31653947735651522</v>
      </c>
      <c r="R435" s="4">
        <v>2973.8717615759579</v>
      </c>
      <c r="S435" s="5">
        <f t="shared" si="25"/>
        <v>-0.41527306820301058</v>
      </c>
      <c r="T435" s="4">
        <v>705.84540029456184</v>
      </c>
      <c r="U435" s="5">
        <f t="shared" si="26"/>
        <v>-0.86121566485484946</v>
      </c>
      <c r="V435" s="4">
        <v>3425.341552734375</v>
      </c>
      <c r="W435" s="5">
        <f t="shared" si="27"/>
        <v>-0.32650443022946418</v>
      </c>
    </row>
    <row r="436" spans="1:23" x14ac:dyDescent="0.25">
      <c r="A436" t="s">
        <v>705</v>
      </c>
      <c r="B436">
        <v>2020</v>
      </c>
      <c r="C436" t="s">
        <v>20</v>
      </c>
      <c r="D436" t="s">
        <v>706</v>
      </c>
      <c r="E436">
        <v>68851</v>
      </c>
      <c r="F436" t="s">
        <v>72</v>
      </c>
      <c r="G436" t="s">
        <v>38</v>
      </c>
      <c r="H436" t="s">
        <v>25</v>
      </c>
      <c r="I436" t="s">
        <v>24</v>
      </c>
      <c r="J436" s="2">
        <v>45426</v>
      </c>
      <c r="K436" t="s">
        <v>25</v>
      </c>
      <c r="L436">
        <v>44035</v>
      </c>
      <c r="M436">
        <v>222</v>
      </c>
      <c r="N436">
        <v>272</v>
      </c>
      <c r="O436" s="4">
        <v>24400</v>
      </c>
      <c r="P436" s="4">
        <v>17045.48828125</v>
      </c>
      <c r="Q436" s="5">
        <f t="shared" si="24"/>
        <v>-0.30141441470286889</v>
      </c>
      <c r="R436" s="4">
        <v>17278.789662267402</v>
      </c>
      <c r="S436" s="5">
        <f t="shared" si="25"/>
        <v>-0.29185288269395893</v>
      </c>
      <c r="T436" s="4">
        <v>21265.79401498042</v>
      </c>
      <c r="U436" s="5">
        <f t="shared" si="26"/>
        <v>-0.12845106495981884</v>
      </c>
      <c r="V436" s="4">
        <v>17167.212890625</v>
      </c>
      <c r="W436" s="5">
        <f t="shared" si="27"/>
        <v>-0.29642570120389344</v>
      </c>
    </row>
    <row r="437" spans="1:23" x14ac:dyDescent="0.25">
      <c r="A437" t="s">
        <v>707</v>
      </c>
      <c r="B437">
        <v>2012</v>
      </c>
      <c r="C437" t="s">
        <v>94</v>
      </c>
      <c r="D437" t="s">
        <v>153</v>
      </c>
      <c r="E437">
        <v>122924</v>
      </c>
      <c r="F437" t="s">
        <v>77</v>
      </c>
      <c r="G437" t="s">
        <v>30</v>
      </c>
      <c r="H437" t="s">
        <v>24</v>
      </c>
      <c r="I437" t="s">
        <v>25</v>
      </c>
      <c r="J437" s="2">
        <v>45692</v>
      </c>
      <c r="K437" t="s">
        <v>25</v>
      </c>
      <c r="L437">
        <v>44035</v>
      </c>
      <c r="M437">
        <v>222</v>
      </c>
      <c r="N437">
        <v>272</v>
      </c>
      <c r="O437" s="4">
        <v>8300</v>
      </c>
      <c r="P437" s="4">
        <v>3312.91796875</v>
      </c>
      <c r="Q437" s="5">
        <f t="shared" si="24"/>
        <v>-0.60085325677710844</v>
      </c>
      <c r="R437" s="4">
        <v>4058.6737576299829</v>
      </c>
      <c r="S437" s="5">
        <f t="shared" si="25"/>
        <v>-0.51100316173132732</v>
      </c>
      <c r="T437" s="4">
        <v>3767.744888083314</v>
      </c>
      <c r="U437" s="5">
        <f t="shared" si="26"/>
        <v>-0.54605483276104649</v>
      </c>
      <c r="V437" s="4">
        <v>3060.83984375</v>
      </c>
      <c r="W437" s="5">
        <f t="shared" si="27"/>
        <v>-0.63122411521084332</v>
      </c>
    </row>
    <row r="438" spans="1:23" x14ac:dyDescent="0.25">
      <c r="A438" t="s">
        <v>708</v>
      </c>
      <c r="B438">
        <v>2021</v>
      </c>
      <c r="C438" t="s">
        <v>156</v>
      </c>
      <c r="D438" t="s">
        <v>157</v>
      </c>
      <c r="E438">
        <v>54911</v>
      </c>
      <c r="F438" t="s">
        <v>37</v>
      </c>
      <c r="G438" t="s">
        <v>38</v>
      </c>
      <c r="H438" t="s">
        <v>25</v>
      </c>
      <c r="I438" t="s">
        <v>24</v>
      </c>
      <c r="J438" s="2">
        <v>45622</v>
      </c>
      <c r="K438" t="s">
        <v>25</v>
      </c>
      <c r="L438">
        <v>44035</v>
      </c>
      <c r="M438">
        <v>222</v>
      </c>
      <c r="N438">
        <v>272</v>
      </c>
      <c r="O438" s="4">
        <v>13300</v>
      </c>
      <c r="P438" s="4">
        <v>10687.1201171875</v>
      </c>
      <c r="Q438" s="5">
        <f t="shared" si="24"/>
        <v>-0.19645713404605258</v>
      </c>
      <c r="R438" s="4">
        <v>17492.893525688829</v>
      </c>
      <c r="S438" s="5">
        <f t="shared" si="25"/>
        <v>0.31525515230743073</v>
      </c>
      <c r="T438" s="4">
        <v>13329.71770823025</v>
      </c>
      <c r="U438" s="5">
        <f t="shared" si="26"/>
        <v>2.2344141526502437E-3</v>
      </c>
      <c r="V438" s="4">
        <v>11440.978515625</v>
      </c>
      <c r="W438" s="5">
        <f t="shared" si="27"/>
        <v>-0.13977605145676697</v>
      </c>
    </row>
    <row r="439" spans="1:23" x14ac:dyDescent="0.25">
      <c r="A439" t="s">
        <v>709</v>
      </c>
      <c r="B439">
        <v>2013</v>
      </c>
      <c r="C439" t="s">
        <v>266</v>
      </c>
      <c r="D439" t="s">
        <v>710</v>
      </c>
      <c r="E439">
        <v>122124</v>
      </c>
      <c r="F439" t="s">
        <v>89</v>
      </c>
      <c r="G439" t="s">
        <v>30</v>
      </c>
      <c r="H439" t="s">
        <v>24</v>
      </c>
      <c r="I439" t="s">
        <v>25</v>
      </c>
      <c r="J439" s="2">
        <v>45645</v>
      </c>
      <c r="K439" t="s">
        <v>25</v>
      </c>
      <c r="L439">
        <v>44035</v>
      </c>
      <c r="M439">
        <v>222</v>
      </c>
      <c r="N439">
        <v>272</v>
      </c>
      <c r="O439" s="4">
        <v>11510.593220339</v>
      </c>
      <c r="P439" s="4">
        <v>1956.0517578125</v>
      </c>
      <c r="Q439" s="5">
        <f t="shared" si="24"/>
        <v>-0.8300650782831771</v>
      </c>
      <c r="R439" s="4">
        <v>2123.2230665728061</v>
      </c>
      <c r="S439" s="5">
        <f t="shared" si="25"/>
        <v>-0.81554182083151794</v>
      </c>
      <c r="T439" s="4">
        <v>3457.10097933119</v>
      </c>
      <c r="U439" s="5">
        <f t="shared" si="26"/>
        <v>-0.69965918235885893</v>
      </c>
      <c r="V439" s="4">
        <v>1947.177490234375</v>
      </c>
      <c r="W439" s="5">
        <f t="shared" si="27"/>
        <v>-0.83083604355040985</v>
      </c>
    </row>
    <row r="440" spans="1:23" x14ac:dyDescent="0.25">
      <c r="A440" t="s">
        <v>711</v>
      </c>
      <c r="B440">
        <v>2015</v>
      </c>
      <c r="C440" t="s">
        <v>156</v>
      </c>
      <c r="D440" t="s">
        <v>173</v>
      </c>
      <c r="E440">
        <v>115765</v>
      </c>
      <c r="F440" t="s">
        <v>382</v>
      </c>
      <c r="G440" t="s">
        <v>23</v>
      </c>
      <c r="H440" t="s">
        <v>24</v>
      </c>
      <c r="I440" t="s">
        <v>25</v>
      </c>
      <c r="J440" s="2">
        <v>45426</v>
      </c>
      <c r="K440" t="s">
        <v>25</v>
      </c>
      <c r="L440">
        <v>44035</v>
      </c>
      <c r="M440">
        <v>222</v>
      </c>
      <c r="N440">
        <v>272</v>
      </c>
      <c r="O440" s="4">
        <v>8500</v>
      </c>
      <c r="P440" s="4">
        <v>2048.4794921875</v>
      </c>
      <c r="Q440" s="5">
        <f t="shared" si="24"/>
        <v>-0.75900241268382351</v>
      </c>
      <c r="R440" s="4">
        <v>2873.8049801425959</v>
      </c>
      <c r="S440" s="5">
        <f t="shared" si="25"/>
        <v>-0.66190529645381224</v>
      </c>
      <c r="T440" s="4">
        <v>2972.3538634697002</v>
      </c>
      <c r="U440" s="5">
        <f t="shared" si="26"/>
        <v>-0.6503113101800353</v>
      </c>
      <c r="V440" s="4">
        <v>1952.482666015625</v>
      </c>
      <c r="W440" s="5">
        <f t="shared" si="27"/>
        <v>-0.77029615693933828</v>
      </c>
    </row>
    <row r="441" spans="1:23" x14ac:dyDescent="0.25">
      <c r="A441" t="s">
        <v>712</v>
      </c>
      <c r="B441">
        <v>2018</v>
      </c>
      <c r="C441" t="s">
        <v>465</v>
      </c>
      <c r="D441" t="s">
        <v>713</v>
      </c>
      <c r="E441">
        <v>64950</v>
      </c>
      <c r="F441" t="s">
        <v>98</v>
      </c>
      <c r="G441" t="s">
        <v>38</v>
      </c>
      <c r="H441" t="s">
        <v>25</v>
      </c>
      <c r="I441" t="s">
        <v>24</v>
      </c>
      <c r="J441" s="2">
        <v>45454</v>
      </c>
      <c r="K441" t="s">
        <v>25</v>
      </c>
      <c r="L441">
        <v>44035</v>
      </c>
      <c r="M441">
        <v>222</v>
      </c>
      <c r="N441">
        <v>272</v>
      </c>
      <c r="O441" s="4">
        <v>10600</v>
      </c>
      <c r="P441" s="4">
        <v>10414.6943359375</v>
      </c>
      <c r="Q441" s="5">
        <f t="shared" si="24"/>
        <v>-1.7481666420990583E-2</v>
      </c>
      <c r="R441" s="4">
        <v>10749.80096401395</v>
      </c>
      <c r="S441" s="5">
        <f t="shared" si="25"/>
        <v>1.4132166416410463E-2</v>
      </c>
      <c r="T441" s="4">
        <v>12541.02034974772</v>
      </c>
      <c r="U441" s="5">
        <f t="shared" si="26"/>
        <v>0.18311512733469049</v>
      </c>
      <c r="V441" s="4">
        <v>10626.7236328125</v>
      </c>
      <c r="W441" s="5">
        <f t="shared" si="27"/>
        <v>2.5210974351415061E-3</v>
      </c>
    </row>
    <row r="442" spans="1:23" x14ac:dyDescent="0.25">
      <c r="A442" t="s">
        <v>714</v>
      </c>
      <c r="B442">
        <v>2014</v>
      </c>
      <c r="C442" t="s">
        <v>91</v>
      </c>
      <c r="D442" t="s">
        <v>287</v>
      </c>
      <c r="E442">
        <v>116797</v>
      </c>
      <c r="F442" t="s">
        <v>61</v>
      </c>
      <c r="G442" t="s">
        <v>30</v>
      </c>
      <c r="H442" t="s">
        <v>24</v>
      </c>
      <c r="I442" t="s">
        <v>25</v>
      </c>
      <c r="J442" s="2">
        <v>45538</v>
      </c>
      <c r="K442" t="s">
        <v>25</v>
      </c>
      <c r="L442">
        <v>44035</v>
      </c>
      <c r="M442">
        <v>222</v>
      </c>
      <c r="N442">
        <v>272</v>
      </c>
      <c r="O442" s="4">
        <v>1900</v>
      </c>
      <c r="P442" s="4">
        <v>2528.66455078125</v>
      </c>
      <c r="Q442" s="5">
        <f t="shared" si="24"/>
        <v>0.33087607935855257</v>
      </c>
      <c r="R442" s="4">
        <v>3521.6074493220508</v>
      </c>
      <c r="S442" s="5">
        <f t="shared" si="25"/>
        <v>0.85347760490634261</v>
      </c>
      <c r="T442" s="4">
        <v>2777.029042190281</v>
      </c>
      <c r="U442" s="5">
        <f t="shared" si="26"/>
        <v>0.46159423273172684</v>
      </c>
      <c r="V442" s="4">
        <v>2392.763916015625</v>
      </c>
      <c r="W442" s="5">
        <f t="shared" si="27"/>
        <v>0.25934942948190787</v>
      </c>
    </row>
    <row r="443" spans="1:23" x14ac:dyDescent="0.25">
      <c r="A443" t="s">
        <v>715</v>
      </c>
      <c r="B443">
        <v>2015</v>
      </c>
      <c r="C443" t="s">
        <v>20</v>
      </c>
      <c r="D443" t="s">
        <v>421</v>
      </c>
      <c r="E443">
        <v>163988</v>
      </c>
      <c r="F443" t="s">
        <v>82</v>
      </c>
      <c r="G443" t="s">
        <v>30</v>
      </c>
      <c r="H443" t="s">
        <v>24</v>
      </c>
      <c r="I443" t="s">
        <v>25</v>
      </c>
      <c r="J443" s="2">
        <v>45300</v>
      </c>
      <c r="K443" t="s">
        <v>25</v>
      </c>
      <c r="L443">
        <v>44035</v>
      </c>
      <c r="M443">
        <v>222</v>
      </c>
      <c r="N443">
        <v>272</v>
      </c>
      <c r="O443" s="4">
        <v>4800</v>
      </c>
      <c r="P443" s="4">
        <v>557.2437744140625</v>
      </c>
      <c r="Q443" s="5">
        <f t="shared" si="24"/>
        <v>-0.8839075469970703</v>
      </c>
      <c r="R443" s="4">
        <v>2972.773723846502</v>
      </c>
      <c r="S443" s="5">
        <f t="shared" si="25"/>
        <v>-0.38067214086531209</v>
      </c>
      <c r="T443" s="4">
        <v>1644.280773906705</v>
      </c>
      <c r="U443" s="5">
        <f t="shared" si="26"/>
        <v>-0.65744150543610314</v>
      </c>
      <c r="V443" s="4">
        <v>1295.707153320312</v>
      </c>
      <c r="W443" s="5">
        <f t="shared" si="27"/>
        <v>-0.73006100972493493</v>
      </c>
    </row>
    <row r="444" spans="1:23" x14ac:dyDescent="0.25">
      <c r="A444" t="s">
        <v>716</v>
      </c>
      <c r="B444">
        <v>2016</v>
      </c>
      <c r="C444" t="s">
        <v>20</v>
      </c>
      <c r="D444" t="s">
        <v>717</v>
      </c>
      <c r="E444">
        <v>92653</v>
      </c>
      <c r="F444" t="s">
        <v>102</v>
      </c>
      <c r="G444" t="s">
        <v>44</v>
      </c>
      <c r="H444" t="s">
        <v>25</v>
      </c>
      <c r="I444" t="s">
        <v>24</v>
      </c>
      <c r="J444" s="2">
        <v>45622</v>
      </c>
      <c r="K444" t="s">
        <v>25</v>
      </c>
      <c r="L444">
        <v>44035</v>
      </c>
      <c r="M444">
        <v>222</v>
      </c>
      <c r="N444">
        <v>272</v>
      </c>
      <c r="O444" s="4">
        <v>5000</v>
      </c>
      <c r="P444" s="4">
        <v>10045.5009765625</v>
      </c>
      <c r="Q444" s="5">
        <f t="shared" si="24"/>
        <v>1.0091001953125001</v>
      </c>
      <c r="R444" s="4">
        <v>10380.34434440644</v>
      </c>
      <c r="S444" s="5">
        <f t="shared" si="25"/>
        <v>1.0760688688812881</v>
      </c>
      <c r="T444" s="4">
        <v>6125.9383594465089</v>
      </c>
      <c r="U444" s="5">
        <f t="shared" si="26"/>
        <v>0.22518767188930178</v>
      </c>
      <c r="V444" s="4">
        <v>10191.55859375</v>
      </c>
      <c r="W444" s="5">
        <f t="shared" si="27"/>
        <v>1.0383117187500002</v>
      </c>
    </row>
    <row r="445" spans="1:23" x14ac:dyDescent="0.25">
      <c r="A445" t="s">
        <v>718</v>
      </c>
      <c r="B445">
        <v>2017</v>
      </c>
      <c r="C445" t="s">
        <v>167</v>
      </c>
      <c r="D445" t="s">
        <v>675</v>
      </c>
      <c r="E445">
        <v>107222</v>
      </c>
      <c r="F445" t="s">
        <v>22</v>
      </c>
      <c r="G445" t="s">
        <v>23</v>
      </c>
      <c r="H445" t="s">
        <v>24</v>
      </c>
      <c r="I445" t="s">
        <v>25</v>
      </c>
      <c r="J445" s="2">
        <v>45680</v>
      </c>
      <c r="K445" t="s">
        <v>25</v>
      </c>
      <c r="L445">
        <v>44035</v>
      </c>
      <c r="M445">
        <v>222</v>
      </c>
      <c r="N445">
        <v>272</v>
      </c>
      <c r="O445" s="4">
        <v>9900</v>
      </c>
      <c r="P445" s="4">
        <v>3770.923583984375</v>
      </c>
      <c r="Q445" s="5">
        <f t="shared" si="24"/>
        <v>-0.61909862788036618</v>
      </c>
      <c r="R445" s="4">
        <v>3607.9715747183832</v>
      </c>
      <c r="S445" s="5">
        <f t="shared" si="25"/>
        <v>-0.63555842679612295</v>
      </c>
      <c r="T445" s="4">
        <v>5957.3999175304889</v>
      </c>
      <c r="U445" s="5">
        <f t="shared" si="26"/>
        <v>-0.39824243257267788</v>
      </c>
      <c r="V445" s="4">
        <v>3776.3642578125</v>
      </c>
      <c r="W445" s="5">
        <f t="shared" si="27"/>
        <v>-0.61854906486742423</v>
      </c>
    </row>
    <row r="446" spans="1:23" x14ac:dyDescent="0.25">
      <c r="A446" t="s">
        <v>719</v>
      </c>
      <c r="B446">
        <v>2017</v>
      </c>
      <c r="C446" t="s">
        <v>167</v>
      </c>
      <c r="D446" t="s">
        <v>555</v>
      </c>
      <c r="E446">
        <v>129459</v>
      </c>
      <c r="F446" t="s">
        <v>48</v>
      </c>
      <c r="G446" t="s">
        <v>38</v>
      </c>
      <c r="H446" t="s">
        <v>25</v>
      </c>
      <c r="I446" t="s">
        <v>24</v>
      </c>
      <c r="J446" s="2">
        <v>45512</v>
      </c>
      <c r="K446" t="s">
        <v>25</v>
      </c>
      <c r="L446">
        <v>44035</v>
      </c>
      <c r="M446">
        <v>222</v>
      </c>
      <c r="N446">
        <v>272</v>
      </c>
      <c r="O446" s="4">
        <v>4000</v>
      </c>
      <c r="P446" s="4">
        <v>2676.953125</v>
      </c>
      <c r="Q446" s="5">
        <f t="shared" si="24"/>
        <v>-0.33076171875000004</v>
      </c>
      <c r="R446" s="4">
        <v>4543.0813488195772</v>
      </c>
      <c r="S446" s="5">
        <f t="shared" si="25"/>
        <v>0.1357703372048944</v>
      </c>
      <c r="T446" s="4">
        <v>3668.936886300949</v>
      </c>
      <c r="U446" s="5">
        <f t="shared" si="26"/>
        <v>-8.2765778424762737E-2</v>
      </c>
      <c r="V446" s="4">
        <v>2382.071533203125</v>
      </c>
      <c r="W446" s="5">
        <f t="shared" si="27"/>
        <v>-0.40448211669921874</v>
      </c>
    </row>
    <row r="447" spans="1:23" x14ac:dyDescent="0.25">
      <c r="A447" t="s">
        <v>720</v>
      </c>
      <c r="B447">
        <v>2017</v>
      </c>
      <c r="C447" t="s">
        <v>167</v>
      </c>
      <c r="D447" t="s">
        <v>168</v>
      </c>
      <c r="E447">
        <v>178319</v>
      </c>
      <c r="F447" t="s">
        <v>66</v>
      </c>
      <c r="G447" t="s">
        <v>23</v>
      </c>
      <c r="H447" t="s">
        <v>24</v>
      </c>
      <c r="I447" t="s">
        <v>25</v>
      </c>
      <c r="J447" s="2">
        <v>45680</v>
      </c>
      <c r="K447" t="s">
        <v>25</v>
      </c>
      <c r="L447">
        <v>44035</v>
      </c>
      <c r="M447">
        <v>222</v>
      </c>
      <c r="N447">
        <v>272</v>
      </c>
      <c r="O447" s="4">
        <v>3100</v>
      </c>
      <c r="P447" s="4">
        <v>1958.46923828125</v>
      </c>
      <c r="Q447" s="5">
        <f t="shared" si="24"/>
        <v>-0.36823572958669359</v>
      </c>
      <c r="R447" s="4">
        <v>1815.770286246996</v>
      </c>
      <c r="S447" s="5">
        <f t="shared" si="25"/>
        <v>-0.4142676495977432</v>
      </c>
      <c r="T447" s="4">
        <v>1707.7328073331939</v>
      </c>
      <c r="U447" s="5">
        <f t="shared" si="26"/>
        <v>-0.44911844924735678</v>
      </c>
      <c r="V447" s="4">
        <v>1947.177490234375</v>
      </c>
      <c r="W447" s="5">
        <f t="shared" si="27"/>
        <v>-0.37187822895665323</v>
      </c>
    </row>
    <row r="448" spans="1:23" x14ac:dyDescent="0.25">
      <c r="A448" t="s">
        <v>721</v>
      </c>
      <c r="B448">
        <v>2012</v>
      </c>
      <c r="C448" t="s">
        <v>167</v>
      </c>
      <c r="D448" t="s">
        <v>168</v>
      </c>
      <c r="E448">
        <v>106515</v>
      </c>
      <c r="F448" t="s">
        <v>82</v>
      </c>
      <c r="G448" t="s">
        <v>30</v>
      </c>
      <c r="H448" t="s">
        <v>24</v>
      </c>
      <c r="I448" t="s">
        <v>25</v>
      </c>
      <c r="J448" s="2">
        <v>45566</v>
      </c>
      <c r="K448" t="s">
        <v>25</v>
      </c>
      <c r="L448">
        <v>44035</v>
      </c>
      <c r="M448">
        <v>222</v>
      </c>
      <c r="N448">
        <v>272</v>
      </c>
      <c r="O448" s="4">
        <v>1900</v>
      </c>
      <c r="P448" s="4">
        <v>2184.57470703125</v>
      </c>
      <c r="Q448" s="5">
        <f t="shared" si="24"/>
        <v>0.14977616159539475</v>
      </c>
      <c r="R448" s="4">
        <v>1892.142345934177</v>
      </c>
      <c r="S448" s="5">
        <f t="shared" si="25"/>
        <v>-4.1356074030647338E-3</v>
      </c>
      <c r="T448" s="4">
        <v>1903.810823359579</v>
      </c>
      <c r="U448" s="5">
        <f t="shared" si="26"/>
        <v>2.0056965050416764E-3</v>
      </c>
      <c r="V448" s="4">
        <v>2149.12109375</v>
      </c>
      <c r="W448" s="5">
        <f t="shared" si="27"/>
        <v>0.13111636513157898</v>
      </c>
    </row>
    <row r="449" spans="1:23" x14ac:dyDescent="0.25">
      <c r="A449" t="s">
        <v>722</v>
      </c>
      <c r="B449">
        <v>2013</v>
      </c>
      <c r="C449" t="s">
        <v>167</v>
      </c>
      <c r="D449" t="s">
        <v>192</v>
      </c>
      <c r="E449">
        <v>136008</v>
      </c>
      <c r="F449" t="s">
        <v>334</v>
      </c>
      <c r="G449" t="s">
        <v>23</v>
      </c>
      <c r="H449" t="s">
        <v>24</v>
      </c>
      <c r="I449" t="s">
        <v>25</v>
      </c>
      <c r="J449" s="2">
        <v>45398</v>
      </c>
      <c r="K449" t="s">
        <v>25</v>
      </c>
      <c r="L449">
        <v>44035</v>
      </c>
      <c r="M449">
        <v>222</v>
      </c>
      <c r="N449">
        <v>272</v>
      </c>
      <c r="O449" s="4">
        <v>2700</v>
      </c>
      <c r="P449" s="4">
        <v>1318.905639648438</v>
      </c>
      <c r="Q449" s="5">
        <f t="shared" si="24"/>
        <v>-0.5115164297598378</v>
      </c>
      <c r="R449" s="4">
        <v>1672.821631599169</v>
      </c>
      <c r="S449" s="5">
        <f t="shared" si="25"/>
        <v>-0.38043643274104855</v>
      </c>
      <c r="T449" s="4">
        <v>1765.892574325529</v>
      </c>
      <c r="U449" s="5">
        <f t="shared" si="26"/>
        <v>-0.34596571321276703</v>
      </c>
      <c r="V449" s="4">
        <v>1337.383178710938</v>
      </c>
      <c r="W449" s="5">
        <f t="shared" si="27"/>
        <v>-0.50467289677372662</v>
      </c>
    </row>
    <row r="450" spans="1:23" x14ac:dyDescent="0.25">
      <c r="A450" t="s">
        <v>723</v>
      </c>
      <c r="B450">
        <v>2014</v>
      </c>
      <c r="C450" t="s">
        <v>167</v>
      </c>
      <c r="D450" t="s">
        <v>192</v>
      </c>
      <c r="E450">
        <v>107843</v>
      </c>
      <c r="F450" t="s">
        <v>334</v>
      </c>
      <c r="G450" t="s">
        <v>30</v>
      </c>
      <c r="H450" t="s">
        <v>24</v>
      </c>
      <c r="I450" t="s">
        <v>25</v>
      </c>
      <c r="J450" s="2">
        <v>45594</v>
      </c>
      <c r="K450" t="s">
        <v>25</v>
      </c>
      <c r="L450">
        <v>44035</v>
      </c>
      <c r="M450">
        <v>222</v>
      </c>
      <c r="N450">
        <v>272</v>
      </c>
      <c r="O450" s="4">
        <v>900</v>
      </c>
      <c r="P450" s="4">
        <v>2586.910888671875</v>
      </c>
      <c r="Q450" s="5">
        <f t="shared" si="24"/>
        <v>1.8743454318576389</v>
      </c>
      <c r="R450" s="4">
        <v>2992.68429251819</v>
      </c>
      <c r="S450" s="5">
        <f t="shared" si="25"/>
        <v>2.3252047694646554</v>
      </c>
      <c r="T450" s="4">
        <v>2153.0527123921779</v>
      </c>
      <c r="U450" s="5">
        <f t="shared" si="26"/>
        <v>1.3922807915468645</v>
      </c>
      <c r="V450" s="4">
        <v>2497.4755859375</v>
      </c>
      <c r="W450" s="5">
        <f t="shared" si="27"/>
        <v>1.7749728732638888</v>
      </c>
    </row>
    <row r="451" spans="1:23" x14ac:dyDescent="0.25">
      <c r="A451" t="s">
        <v>724</v>
      </c>
      <c r="B451">
        <v>2019</v>
      </c>
      <c r="C451" t="s">
        <v>139</v>
      </c>
      <c r="D451" t="s">
        <v>725</v>
      </c>
      <c r="E451">
        <v>99188</v>
      </c>
      <c r="F451" t="s">
        <v>250</v>
      </c>
      <c r="G451" t="s">
        <v>38</v>
      </c>
      <c r="H451" t="s">
        <v>25</v>
      </c>
      <c r="I451" t="s">
        <v>24</v>
      </c>
      <c r="J451" s="2">
        <v>45566</v>
      </c>
      <c r="K451" t="s">
        <v>25</v>
      </c>
      <c r="L451">
        <v>44035</v>
      </c>
      <c r="M451">
        <v>222</v>
      </c>
      <c r="N451">
        <v>272</v>
      </c>
      <c r="O451" s="4">
        <v>7100</v>
      </c>
      <c r="P451" s="4">
        <v>12701.08203125</v>
      </c>
      <c r="Q451" s="5">
        <f t="shared" ref="Q451:Q514" si="28">(P451/$O451)-1</f>
        <v>0.78888479313380278</v>
      </c>
      <c r="R451" s="4">
        <v>14122.26518604014</v>
      </c>
      <c r="S451" s="5">
        <f t="shared" ref="S451:S514" si="29">(R451/$O451)-1</f>
        <v>0.98905143465354084</v>
      </c>
      <c r="T451" s="4">
        <v>12883.545782819079</v>
      </c>
      <c r="U451" s="5">
        <f t="shared" ref="U451:U514" si="30">(T451/$O451)-1</f>
        <v>0.81458391307310984</v>
      </c>
      <c r="V451" s="4">
        <v>12267.8310546875</v>
      </c>
      <c r="W451" s="5">
        <f t="shared" ref="W451:W514" si="31">(V451/$O451)-1</f>
        <v>0.72786352882922545</v>
      </c>
    </row>
    <row r="452" spans="1:23" x14ac:dyDescent="0.25">
      <c r="A452" t="s">
        <v>726</v>
      </c>
      <c r="B452">
        <v>2011</v>
      </c>
      <c r="C452" t="s">
        <v>269</v>
      </c>
      <c r="D452" t="s">
        <v>307</v>
      </c>
      <c r="E452">
        <v>113172</v>
      </c>
      <c r="F452" t="s">
        <v>382</v>
      </c>
      <c r="G452" t="s">
        <v>30</v>
      </c>
      <c r="H452" t="s">
        <v>24</v>
      </c>
      <c r="I452" t="s">
        <v>25</v>
      </c>
      <c r="J452" s="2">
        <v>45300</v>
      </c>
      <c r="K452" t="s">
        <v>25</v>
      </c>
      <c r="L452">
        <v>44035</v>
      </c>
      <c r="M452">
        <v>222</v>
      </c>
      <c r="N452">
        <v>272</v>
      </c>
      <c r="O452" s="4">
        <v>2000</v>
      </c>
      <c r="P452" s="4">
        <v>3215.319091796875</v>
      </c>
      <c r="Q452" s="5">
        <f t="shared" si="28"/>
        <v>0.60765954589843751</v>
      </c>
      <c r="R452" s="4">
        <v>3544.8665285993652</v>
      </c>
      <c r="S452" s="5">
        <f t="shared" si="29"/>
        <v>0.77243326429968251</v>
      </c>
      <c r="T452" s="4">
        <v>7405.0561974808152</v>
      </c>
      <c r="U452" s="5">
        <f t="shared" si="30"/>
        <v>2.7025280987404074</v>
      </c>
      <c r="V452" s="4">
        <v>3123.9423828125</v>
      </c>
      <c r="W452" s="5">
        <f t="shared" si="31"/>
        <v>0.56197119140624996</v>
      </c>
    </row>
    <row r="453" spans="1:23" x14ac:dyDescent="0.25">
      <c r="A453" t="s">
        <v>727</v>
      </c>
      <c r="B453">
        <v>2017</v>
      </c>
      <c r="C453" t="s">
        <v>269</v>
      </c>
      <c r="D453" t="s">
        <v>728</v>
      </c>
      <c r="E453">
        <v>47196</v>
      </c>
      <c r="F453" t="s">
        <v>102</v>
      </c>
      <c r="G453" t="s">
        <v>44</v>
      </c>
      <c r="H453" t="s">
        <v>25</v>
      </c>
      <c r="I453" t="s">
        <v>24</v>
      </c>
      <c r="J453" s="2">
        <v>45510</v>
      </c>
      <c r="K453" t="s">
        <v>25</v>
      </c>
      <c r="L453">
        <v>44035</v>
      </c>
      <c r="M453">
        <v>222</v>
      </c>
      <c r="N453">
        <v>272</v>
      </c>
      <c r="O453" s="4">
        <v>11800</v>
      </c>
      <c r="P453" s="4">
        <v>19309.16796875</v>
      </c>
      <c r="Q453" s="5">
        <f t="shared" si="28"/>
        <v>0.63637016684322023</v>
      </c>
      <c r="R453" s="4">
        <v>18073.72644996881</v>
      </c>
      <c r="S453" s="5">
        <f t="shared" si="29"/>
        <v>0.53167173304820414</v>
      </c>
      <c r="T453" s="4">
        <v>23229.07572975774</v>
      </c>
      <c r="U453" s="5">
        <f t="shared" si="30"/>
        <v>0.96856573980997807</v>
      </c>
      <c r="V453" s="4">
        <v>19469.796875</v>
      </c>
      <c r="W453" s="5">
        <f t="shared" si="31"/>
        <v>0.64998278601694914</v>
      </c>
    </row>
    <row r="454" spans="1:23" x14ac:dyDescent="0.25">
      <c r="A454" t="s">
        <v>729</v>
      </c>
      <c r="B454">
        <v>2016</v>
      </c>
      <c r="C454" t="s">
        <v>32</v>
      </c>
      <c r="D454" t="s">
        <v>563</v>
      </c>
      <c r="E454">
        <v>61885</v>
      </c>
      <c r="F454" t="s">
        <v>161</v>
      </c>
      <c r="G454" t="s">
        <v>44</v>
      </c>
      <c r="H454" t="s">
        <v>25</v>
      </c>
      <c r="I454" t="s">
        <v>24</v>
      </c>
      <c r="J454" s="2">
        <v>45608</v>
      </c>
      <c r="K454" t="s">
        <v>25</v>
      </c>
      <c r="L454">
        <v>44035</v>
      </c>
      <c r="M454">
        <v>222</v>
      </c>
      <c r="N454">
        <v>272</v>
      </c>
      <c r="O454" s="4">
        <v>7100</v>
      </c>
      <c r="P454" s="4">
        <v>13273.845703125</v>
      </c>
      <c r="Q454" s="5">
        <f t="shared" si="28"/>
        <v>0.86955573283450693</v>
      </c>
      <c r="R454" s="4">
        <v>13107.278358890369</v>
      </c>
      <c r="S454" s="5">
        <f t="shared" si="29"/>
        <v>0.84609554350568583</v>
      </c>
      <c r="T454" s="4">
        <v>12193.83677546746</v>
      </c>
      <c r="U454" s="5">
        <f t="shared" si="30"/>
        <v>0.71744179936161401</v>
      </c>
      <c r="V454" s="4">
        <v>13415.3759765625</v>
      </c>
      <c r="W454" s="5">
        <f t="shared" si="31"/>
        <v>0.88948957416373231</v>
      </c>
    </row>
    <row r="455" spans="1:23" x14ac:dyDescent="0.25">
      <c r="A455" t="s">
        <v>730</v>
      </c>
      <c r="B455">
        <v>2019</v>
      </c>
      <c r="C455" t="s">
        <v>32</v>
      </c>
      <c r="D455" t="s">
        <v>563</v>
      </c>
      <c r="E455">
        <v>77135</v>
      </c>
      <c r="F455" t="s">
        <v>98</v>
      </c>
      <c r="G455" t="s">
        <v>44</v>
      </c>
      <c r="H455" t="s">
        <v>25</v>
      </c>
      <c r="I455" t="s">
        <v>24</v>
      </c>
      <c r="J455" s="2">
        <v>45496</v>
      </c>
      <c r="K455" t="s">
        <v>25</v>
      </c>
      <c r="L455">
        <v>44035</v>
      </c>
      <c r="M455">
        <v>222</v>
      </c>
      <c r="N455">
        <v>272</v>
      </c>
      <c r="O455" s="4">
        <v>11800</v>
      </c>
      <c r="P455" s="4">
        <v>14865.537109375</v>
      </c>
      <c r="Q455" s="5">
        <f t="shared" si="28"/>
        <v>0.25979128045550848</v>
      </c>
      <c r="R455" s="4">
        <v>15684.858349817019</v>
      </c>
      <c r="S455" s="5">
        <f t="shared" si="29"/>
        <v>0.32922528388279826</v>
      </c>
      <c r="T455" s="4">
        <v>15043.417925761491</v>
      </c>
      <c r="U455" s="5">
        <f t="shared" si="30"/>
        <v>0.27486592591199077</v>
      </c>
      <c r="V455" s="4">
        <v>15070.2255859375</v>
      </c>
      <c r="W455" s="5">
        <f t="shared" si="31"/>
        <v>0.27713776152012715</v>
      </c>
    </row>
    <row r="456" spans="1:23" x14ac:dyDescent="0.25">
      <c r="A456" t="s">
        <v>731</v>
      </c>
      <c r="B456">
        <v>2021</v>
      </c>
      <c r="C456" t="s">
        <v>32</v>
      </c>
      <c r="D456" t="s">
        <v>563</v>
      </c>
      <c r="E456">
        <v>18976</v>
      </c>
      <c r="F456" t="s">
        <v>189</v>
      </c>
      <c r="G456" t="s">
        <v>44</v>
      </c>
      <c r="H456" t="s">
        <v>25</v>
      </c>
      <c r="I456" t="s">
        <v>24</v>
      </c>
      <c r="J456" s="2">
        <v>45706</v>
      </c>
      <c r="K456" t="s">
        <v>25</v>
      </c>
      <c r="L456">
        <v>44035</v>
      </c>
      <c r="M456">
        <v>222</v>
      </c>
      <c r="N456">
        <v>272</v>
      </c>
      <c r="O456" s="4">
        <v>19000</v>
      </c>
      <c r="P456" s="4">
        <v>23636.091796875</v>
      </c>
      <c r="Q456" s="5">
        <f t="shared" si="28"/>
        <v>0.2440048314144736</v>
      </c>
      <c r="R456" s="4">
        <v>27767.673344471092</v>
      </c>
      <c r="S456" s="5">
        <f t="shared" si="29"/>
        <v>0.46145649181426807</v>
      </c>
      <c r="T456" s="4">
        <v>25280.834219359262</v>
      </c>
      <c r="U456" s="5">
        <f t="shared" si="30"/>
        <v>0.33057022207154008</v>
      </c>
      <c r="V456" s="4">
        <v>20896.40234375</v>
      </c>
      <c r="W456" s="5">
        <f t="shared" si="31"/>
        <v>9.9810649671052687E-2</v>
      </c>
    </row>
    <row r="457" spans="1:23" x14ac:dyDescent="0.25">
      <c r="A457" t="s">
        <v>732</v>
      </c>
      <c r="B457">
        <v>2017</v>
      </c>
      <c r="C457" t="s">
        <v>53</v>
      </c>
      <c r="D457" t="s">
        <v>57</v>
      </c>
      <c r="E457">
        <v>37313</v>
      </c>
      <c r="F457" t="s">
        <v>254</v>
      </c>
      <c r="G457" t="s">
        <v>38</v>
      </c>
      <c r="H457" t="s">
        <v>25</v>
      </c>
      <c r="I457" t="s">
        <v>24</v>
      </c>
      <c r="J457" s="2">
        <v>45706</v>
      </c>
      <c r="K457" t="s">
        <v>25</v>
      </c>
      <c r="L457">
        <v>44052</v>
      </c>
      <c r="M457">
        <v>235</v>
      </c>
      <c r="N457">
        <v>285</v>
      </c>
      <c r="O457" s="4">
        <v>8600</v>
      </c>
      <c r="P457" s="4">
        <v>18205.173828125</v>
      </c>
      <c r="Q457" s="5">
        <f t="shared" si="28"/>
        <v>1.1168806776889535</v>
      </c>
      <c r="R457" s="4">
        <v>17254.208174628791</v>
      </c>
      <c r="S457" s="5">
        <f t="shared" si="29"/>
        <v>1.0063032761196271</v>
      </c>
      <c r="T457" s="4">
        <v>9823.7261229107426</v>
      </c>
      <c r="U457" s="5">
        <f t="shared" si="30"/>
        <v>0.14229373522217936</v>
      </c>
      <c r="V457" s="4">
        <v>18314.732421875</v>
      </c>
      <c r="W457" s="5">
        <f t="shared" si="31"/>
        <v>1.1296200490552324</v>
      </c>
    </row>
    <row r="458" spans="1:23" x14ac:dyDescent="0.25">
      <c r="A458" t="s">
        <v>733</v>
      </c>
      <c r="B458">
        <v>2016</v>
      </c>
      <c r="C458" t="s">
        <v>53</v>
      </c>
      <c r="D458" t="s">
        <v>340</v>
      </c>
      <c r="E458">
        <v>60985</v>
      </c>
      <c r="F458" t="s">
        <v>214</v>
      </c>
      <c r="G458" t="s">
        <v>34</v>
      </c>
      <c r="H458" t="s">
        <v>25</v>
      </c>
      <c r="I458" t="s">
        <v>24</v>
      </c>
      <c r="J458" s="2">
        <v>45678</v>
      </c>
      <c r="K458" t="s">
        <v>25</v>
      </c>
      <c r="L458">
        <v>44052</v>
      </c>
      <c r="M458">
        <v>235</v>
      </c>
      <c r="N458">
        <v>285</v>
      </c>
      <c r="O458" s="4">
        <v>17000</v>
      </c>
      <c r="P458" s="4">
        <v>13042.8037109375</v>
      </c>
      <c r="Q458" s="5">
        <f t="shared" si="28"/>
        <v>-0.23277625229779408</v>
      </c>
      <c r="R458" s="4">
        <v>13158.84747869499</v>
      </c>
      <c r="S458" s="5">
        <f t="shared" si="29"/>
        <v>-0.2259501483120594</v>
      </c>
      <c r="T458" s="4">
        <v>15927.12785230125</v>
      </c>
      <c r="U458" s="5">
        <f t="shared" si="30"/>
        <v>-6.3110126335220618E-2</v>
      </c>
      <c r="V458" s="4">
        <v>13045.365234375</v>
      </c>
      <c r="W458" s="5">
        <f t="shared" si="31"/>
        <v>-0.23262557444852938</v>
      </c>
    </row>
    <row r="459" spans="1:23" x14ac:dyDescent="0.25">
      <c r="A459" t="s">
        <v>734</v>
      </c>
      <c r="B459">
        <v>2017</v>
      </c>
      <c r="C459" t="s">
        <v>53</v>
      </c>
      <c r="D459" t="s">
        <v>340</v>
      </c>
      <c r="E459">
        <v>114069</v>
      </c>
      <c r="F459" t="s">
        <v>22</v>
      </c>
      <c r="G459" t="s">
        <v>23</v>
      </c>
      <c r="H459" t="s">
        <v>24</v>
      </c>
      <c r="I459" t="s">
        <v>25</v>
      </c>
      <c r="J459" s="2">
        <v>45706</v>
      </c>
      <c r="K459" t="s">
        <v>25</v>
      </c>
      <c r="L459">
        <v>44052</v>
      </c>
      <c r="M459">
        <v>235</v>
      </c>
      <c r="N459">
        <v>285</v>
      </c>
      <c r="O459" s="4">
        <v>17000</v>
      </c>
      <c r="P459" s="4">
        <v>5612.9140625</v>
      </c>
      <c r="Q459" s="5">
        <f t="shared" si="28"/>
        <v>-0.66982858455882355</v>
      </c>
      <c r="R459" s="4">
        <v>5885.9010088648183</v>
      </c>
      <c r="S459" s="5">
        <f t="shared" si="29"/>
        <v>-0.65377052889030485</v>
      </c>
      <c r="T459" s="4">
        <v>9185.564481026091</v>
      </c>
      <c r="U459" s="5">
        <f t="shared" si="30"/>
        <v>-0.4596726775867005</v>
      </c>
      <c r="V459" s="4">
        <v>5649.513671875</v>
      </c>
      <c r="W459" s="5">
        <f t="shared" si="31"/>
        <v>-0.66767566636029407</v>
      </c>
    </row>
    <row r="460" spans="1:23" x14ac:dyDescent="0.25">
      <c r="A460" t="s">
        <v>735</v>
      </c>
      <c r="B460">
        <v>2018</v>
      </c>
      <c r="C460" t="s">
        <v>605</v>
      </c>
      <c r="D460" t="s">
        <v>736</v>
      </c>
      <c r="E460">
        <v>83220</v>
      </c>
      <c r="F460" t="s">
        <v>161</v>
      </c>
      <c r="G460" t="s">
        <v>34</v>
      </c>
      <c r="H460" t="s">
        <v>25</v>
      </c>
      <c r="I460" t="s">
        <v>24</v>
      </c>
      <c r="J460" s="2">
        <v>45692</v>
      </c>
      <c r="K460" t="s">
        <v>25</v>
      </c>
      <c r="L460">
        <v>44052</v>
      </c>
      <c r="M460">
        <v>235</v>
      </c>
      <c r="N460">
        <v>285</v>
      </c>
      <c r="O460" s="4">
        <v>20400</v>
      </c>
      <c r="P460" s="4">
        <v>13919.41015625</v>
      </c>
      <c r="Q460" s="5">
        <f t="shared" si="28"/>
        <v>-0.31767597273284309</v>
      </c>
      <c r="R460" s="4">
        <v>13861.197295000409</v>
      </c>
      <c r="S460" s="5">
        <f t="shared" si="29"/>
        <v>-0.32052954436272507</v>
      </c>
      <c r="T460" s="4">
        <v>19527.370756319629</v>
      </c>
      <c r="U460" s="5">
        <f t="shared" si="30"/>
        <v>-4.277594331766521E-2</v>
      </c>
      <c r="V460" s="4">
        <v>14082.8505859375</v>
      </c>
      <c r="W460" s="5">
        <f t="shared" si="31"/>
        <v>-0.30966418696384801</v>
      </c>
    </row>
    <row r="461" spans="1:23" x14ac:dyDescent="0.25">
      <c r="A461" t="s">
        <v>737</v>
      </c>
      <c r="B461">
        <v>2016</v>
      </c>
      <c r="C461" t="s">
        <v>20</v>
      </c>
      <c r="D461" t="s">
        <v>421</v>
      </c>
      <c r="E461">
        <v>118627</v>
      </c>
      <c r="F461" t="s">
        <v>82</v>
      </c>
      <c r="G461" t="s">
        <v>30</v>
      </c>
      <c r="H461" t="s">
        <v>24</v>
      </c>
      <c r="I461" t="s">
        <v>25</v>
      </c>
      <c r="J461" s="2">
        <v>45608</v>
      </c>
      <c r="K461" t="s">
        <v>25</v>
      </c>
      <c r="L461">
        <v>44052</v>
      </c>
      <c r="M461">
        <v>235</v>
      </c>
      <c r="N461">
        <v>285</v>
      </c>
      <c r="O461" s="4">
        <v>4200</v>
      </c>
      <c r="P461" s="4">
        <v>1659.995361328125</v>
      </c>
      <c r="Q461" s="5">
        <f t="shared" si="28"/>
        <v>-0.6047630092075893</v>
      </c>
      <c r="R461" s="4">
        <v>4421.6507182822224</v>
      </c>
      <c r="S461" s="5">
        <f t="shared" si="29"/>
        <v>5.2773980543386223E-2</v>
      </c>
      <c r="T461" s="4">
        <v>2781.3346968739602</v>
      </c>
      <c r="U461" s="5">
        <f t="shared" si="30"/>
        <v>-0.33777745312524754</v>
      </c>
      <c r="V461" s="4">
        <v>1621.27685546875</v>
      </c>
      <c r="W461" s="5">
        <f t="shared" si="31"/>
        <v>-0.61398170107886907</v>
      </c>
    </row>
    <row r="462" spans="1:23" x14ac:dyDescent="0.25">
      <c r="A462" t="s">
        <v>738</v>
      </c>
      <c r="B462">
        <v>2013</v>
      </c>
      <c r="C462" t="s">
        <v>156</v>
      </c>
      <c r="D462" t="s">
        <v>173</v>
      </c>
      <c r="E462">
        <v>135138</v>
      </c>
      <c r="F462" t="s">
        <v>29</v>
      </c>
      <c r="G462" t="s">
        <v>23</v>
      </c>
      <c r="H462" t="s">
        <v>24</v>
      </c>
      <c r="I462" t="s">
        <v>25</v>
      </c>
      <c r="J462" s="2">
        <v>45729</v>
      </c>
      <c r="K462" t="s">
        <v>25</v>
      </c>
      <c r="L462">
        <v>44052</v>
      </c>
      <c r="M462">
        <v>235</v>
      </c>
      <c r="N462">
        <v>285</v>
      </c>
      <c r="O462" s="4">
        <v>2300</v>
      </c>
      <c r="P462" s="4">
        <v>1707.18798828125</v>
      </c>
      <c r="Q462" s="5">
        <f t="shared" si="28"/>
        <v>-0.25774435292119569</v>
      </c>
      <c r="R462" s="4">
        <v>2209.1603548319358</v>
      </c>
      <c r="S462" s="5">
        <f t="shared" si="29"/>
        <v>-3.9495497899158294E-2</v>
      </c>
      <c r="T462" s="4">
        <v>2431.2958722093772</v>
      </c>
      <c r="U462" s="5">
        <f t="shared" si="30"/>
        <v>5.7085161830163988E-2</v>
      </c>
      <c r="V462" s="4">
        <v>1635.911376953125</v>
      </c>
      <c r="W462" s="5">
        <f t="shared" si="31"/>
        <v>-0.28873418393342387</v>
      </c>
    </row>
    <row r="463" spans="1:23" x14ac:dyDescent="0.25">
      <c r="A463" t="s">
        <v>739</v>
      </c>
      <c r="B463">
        <v>2018</v>
      </c>
      <c r="C463" t="s">
        <v>53</v>
      </c>
      <c r="D463" t="s">
        <v>485</v>
      </c>
      <c r="E463">
        <v>68155</v>
      </c>
      <c r="F463" t="s">
        <v>254</v>
      </c>
      <c r="G463" t="s">
        <v>34</v>
      </c>
      <c r="H463" t="s">
        <v>25</v>
      </c>
      <c r="I463" t="s">
        <v>24</v>
      </c>
      <c r="J463" s="2">
        <v>45622</v>
      </c>
      <c r="K463" t="s">
        <v>25</v>
      </c>
      <c r="L463">
        <v>44052</v>
      </c>
      <c r="M463">
        <v>235</v>
      </c>
      <c r="N463">
        <v>285</v>
      </c>
      <c r="O463" s="4">
        <v>10000</v>
      </c>
      <c r="P463" s="4">
        <v>14600.1904296875</v>
      </c>
      <c r="Q463" s="5">
        <f t="shared" si="28"/>
        <v>0.46001904296875007</v>
      </c>
      <c r="R463" s="4">
        <v>13855.30926856067</v>
      </c>
      <c r="S463" s="5">
        <f t="shared" si="29"/>
        <v>0.38553092685606694</v>
      </c>
      <c r="T463" s="4">
        <v>10467.19829657284</v>
      </c>
      <c r="U463" s="5">
        <f t="shared" si="30"/>
        <v>4.671982965728394E-2</v>
      </c>
      <c r="V463" s="4">
        <v>14758.77734375</v>
      </c>
      <c r="W463" s="5">
        <f t="shared" si="31"/>
        <v>0.47587773437500003</v>
      </c>
    </row>
    <row r="464" spans="1:23" x14ac:dyDescent="0.25">
      <c r="A464" t="s">
        <v>740</v>
      </c>
      <c r="B464">
        <v>2016</v>
      </c>
      <c r="C464" t="s">
        <v>269</v>
      </c>
      <c r="D464" t="s">
        <v>741</v>
      </c>
      <c r="E464">
        <v>82468</v>
      </c>
      <c r="F464" t="s">
        <v>246</v>
      </c>
      <c r="G464" t="s">
        <v>30</v>
      </c>
      <c r="H464" t="s">
        <v>24</v>
      </c>
      <c r="I464" t="s">
        <v>25</v>
      </c>
      <c r="J464" s="2">
        <v>45622</v>
      </c>
      <c r="K464" t="s">
        <v>25</v>
      </c>
      <c r="L464">
        <v>44052</v>
      </c>
      <c r="M464">
        <v>235</v>
      </c>
      <c r="N464">
        <v>285</v>
      </c>
      <c r="O464" s="4">
        <v>7800</v>
      </c>
      <c r="P464" s="4">
        <v>7281.27099609375</v>
      </c>
      <c r="Q464" s="5">
        <f t="shared" si="28"/>
        <v>-6.6503718449519189E-2</v>
      </c>
      <c r="R464" s="4">
        <v>7740.5100297765939</v>
      </c>
      <c r="S464" s="5">
        <f t="shared" si="29"/>
        <v>-7.626919259411058E-3</v>
      </c>
      <c r="T464" s="4">
        <v>14060.32714178304</v>
      </c>
      <c r="U464" s="5">
        <f t="shared" si="30"/>
        <v>0.80260604381833844</v>
      </c>
      <c r="V464" s="4">
        <v>7398.59814453125</v>
      </c>
      <c r="W464" s="5">
        <f t="shared" si="31"/>
        <v>-5.1461776342147436E-2</v>
      </c>
    </row>
    <row r="465" spans="1:23" x14ac:dyDescent="0.25">
      <c r="A465" t="s">
        <v>742</v>
      </c>
      <c r="B465">
        <v>2018</v>
      </c>
      <c r="C465" t="s">
        <v>53</v>
      </c>
      <c r="D465" t="s">
        <v>743</v>
      </c>
      <c r="E465">
        <v>90921</v>
      </c>
      <c r="F465" t="s">
        <v>63</v>
      </c>
      <c r="G465" t="s">
        <v>44</v>
      </c>
      <c r="H465" t="s">
        <v>25</v>
      </c>
      <c r="I465" t="s">
        <v>24</v>
      </c>
      <c r="J465" s="2">
        <v>45412</v>
      </c>
      <c r="K465" t="s">
        <v>25</v>
      </c>
      <c r="L465">
        <v>44053</v>
      </c>
      <c r="M465">
        <v>235</v>
      </c>
      <c r="N465">
        <v>285</v>
      </c>
      <c r="O465" s="4">
        <v>5100</v>
      </c>
      <c r="P465" s="4">
        <v>13297.3427734375</v>
      </c>
      <c r="Q465" s="5">
        <f t="shared" si="28"/>
        <v>1.6073221124387254</v>
      </c>
      <c r="R465" s="4">
        <v>13248.72063842247</v>
      </c>
      <c r="S465" s="5">
        <f t="shared" si="29"/>
        <v>1.5977883604749943</v>
      </c>
      <c r="T465" s="4">
        <v>16807.054702374018</v>
      </c>
      <c r="U465" s="5">
        <f t="shared" si="30"/>
        <v>2.2955009220341211</v>
      </c>
      <c r="V465" s="4">
        <v>13497.6083984375</v>
      </c>
      <c r="W465" s="5">
        <f t="shared" si="31"/>
        <v>1.6465898820465688</v>
      </c>
    </row>
    <row r="466" spans="1:23" x14ac:dyDescent="0.25">
      <c r="A466" t="s">
        <v>744</v>
      </c>
      <c r="B466">
        <v>2016</v>
      </c>
      <c r="C466" t="s">
        <v>120</v>
      </c>
      <c r="D466" t="s">
        <v>206</v>
      </c>
      <c r="E466">
        <v>92217</v>
      </c>
      <c r="F466" t="s">
        <v>115</v>
      </c>
      <c r="G466" t="s">
        <v>30</v>
      </c>
      <c r="H466" t="s">
        <v>24</v>
      </c>
      <c r="I466" t="s">
        <v>25</v>
      </c>
      <c r="J466" s="2">
        <v>45421</v>
      </c>
      <c r="K466" t="s">
        <v>25</v>
      </c>
      <c r="L466">
        <v>44054</v>
      </c>
      <c r="M466">
        <v>235</v>
      </c>
      <c r="N466">
        <v>285</v>
      </c>
      <c r="O466" s="4">
        <v>10500</v>
      </c>
      <c r="P466" s="4">
        <v>5302.10400390625</v>
      </c>
      <c r="Q466" s="5">
        <f t="shared" si="28"/>
        <v>-0.49503771391369045</v>
      </c>
      <c r="R466" s="4">
        <v>5350.6586077399306</v>
      </c>
      <c r="S466" s="5">
        <f t="shared" si="29"/>
        <v>-0.49041346592953039</v>
      </c>
      <c r="T466" s="4">
        <v>7258.7260584747937</v>
      </c>
      <c r="U466" s="5">
        <f t="shared" si="30"/>
        <v>-0.3086927563357339</v>
      </c>
      <c r="V466" s="4">
        <v>5372.56787109375</v>
      </c>
      <c r="W466" s="5">
        <f t="shared" si="31"/>
        <v>-0.48832686941964287</v>
      </c>
    </row>
    <row r="467" spans="1:23" x14ac:dyDescent="0.25">
      <c r="A467" t="s">
        <v>745</v>
      </c>
      <c r="B467">
        <v>2014</v>
      </c>
      <c r="C467" t="s">
        <v>46</v>
      </c>
      <c r="D467" t="s">
        <v>746</v>
      </c>
      <c r="E467">
        <v>79863</v>
      </c>
      <c r="F467" t="s">
        <v>72</v>
      </c>
      <c r="G467" t="s">
        <v>38</v>
      </c>
      <c r="H467" t="s">
        <v>25</v>
      </c>
      <c r="I467" t="s">
        <v>24</v>
      </c>
      <c r="J467" s="2">
        <v>45622</v>
      </c>
      <c r="K467" t="s">
        <v>25</v>
      </c>
      <c r="L467">
        <v>44054</v>
      </c>
      <c r="M467">
        <v>235</v>
      </c>
      <c r="N467">
        <v>285</v>
      </c>
      <c r="O467" s="4">
        <v>3400</v>
      </c>
      <c r="P467" s="4">
        <v>7558.4306640625</v>
      </c>
      <c r="Q467" s="5">
        <f t="shared" si="28"/>
        <v>1.2230678423713237</v>
      </c>
      <c r="R467" s="4">
        <v>9063.7331898753855</v>
      </c>
      <c r="S467" s="5">
        <f t="shared" si="29"/>
        <v>1.6658038793751135</v>
      </c>
      <c r="T467" s="4">
        <v>5990.4956143179124</v>
      </c>
      <c r="U467" s="5">
        <f t="shared" si="30"/>
        <v>0.76191047479938612</v>
      </c>
      <c r="V467" s="4">
        <v>7001.40673828125</v>
      </c>
      <c r="W467" s="5">
        <f t="shared" si="31"/>
        <v>1.0592372759650734</v>
      </c>
    </row>
    <row r="468" spans="1:23" x14ac:dyDescent="0.25">
      <c r="A468" t="s">
        <v>747</v>
      </c>
      <c r="B468">
        <v>2014</v>
      </c>
      <c r="C468" t="s">
        <v>32</v>
      </c>
      <c r="D468" t="s">
        <v>212</v>
      </c>
      <c r="E468">
        <v>102179</v>
      </c>
      <c r="F468" t="s">
        <v>37</v>
      </c>
      <c r="G468" t="s">
        <v>34</v>
      </c>
      <c r="H468" t="s">
        <v>25</v>
      </c>
      <c r="I468" t="s">
        <v>24</v>
      </c>
      <c r="J468" s="2">
        <v>45736</v>
      </c>
      <c r="K468" t="s">
        <v>25</v>
      </c>
      <c r="L468">
        <v>44054</v>
      </c>
      <c r="M468">
        <v>235</v>
      </c>
      <c r="N468">
        <v>285</v>
      </c>
      <c r="O468" s="4">
        <v>9000</v>
      </c>
      <c r="P468" s="4">
        <v>4660.82275390625</v>
      </c>
      <c r="Q468" s="5">
        <f t="shared" si="28"/>
        <v>-0.48213080512152773</v>
      </c>
      <c r="R468" s="4">
        <v>5872.4558036857679</v>
      </c>
      <c r="S468" s="5">
        <f t="shared" si="29"/>
        <v>-0.34750491070158129</v>
      </c>
      <c r="T468" s="4">
        <v>8852.5133391383861</v>
      </c>
      <c r="U468" s="5">
        <f t="shared" si="30"/>
        <v>-1.638740676240158E-2</v>
      </c>
      <c r="V468" s="4">
        <v>4231.4873046875</v>
      </c>
      <c r="W468" s="5">
        <f t="shared" si="31"/>
        <v>-0.52983474392361107</v>
      </c>
    </row>
    <row r="469" spans="1:23" x14ac:dyDescent="0.25">
      <c r="A469" t="s">
        <v>748</v>
      </c>
      <c r="B469">
        <v>2018</v>
      </c>
      <c r="C469" t="s">
        <v>53</v>
      </c>
      <c r="D469" t="s">
        <v>60</v>
      </c>
      <c r="E469">
        <v>87195</v>
      </c>
      <c r="F469" t="s">
        <v>87</v>
      </c>
      <c r="G469" t="s">
        <v>34</v>
      </c>
      <c r="H469" t="s">
        <v>25</v>
      </c>
      <c r="I469" t="s">
        <v>24</v>
      </c>
      <c r="J469" s="2">
        <v>45734</v>
      </c>
      <c r="K469" t="s">
        <v>25</v>
      </c>
      <c r="L469">
        <v>44054</v>
      </c>
      <c r="M469">
        <v>235</v>
      </c>
      <c r="N469">
        <v>285</v>
      </c>
      <c r="O469" s="4">
        <v>10300</v>
      </c>
      <c r="P469" s="4">
        <v>10923.4111328125</v>
      </c>
      <c r="Q469" s="5">
        <f t="shared" si="28"/>
        <v>6.0525352700242729E-2</v>
      </c>
      <c r="R469" s="4">
        <v>12708.095537807139</v>
      </c>
      <c r="S469" s="5">
        <f t="shared" si="29"/>
        <v>0.23379568328224654</v>
      </c>
      <c r="T469" s="4">
        <v>11447.085514619301</v>
      </c>
      <c r="U469" s="5">
        <f t="shared" si="30"/>
        <v>0.11136752569119435</v>
      </c>
      <c r="V469" s="4">
        <v>10524.6611328125</v>
      </c>
      <c r="W469" s="5">
        <f t="shared" si="31"/>
        <v>2.1811760467232988E-2</v>
      </c>
    </row>
    <row r="470" spans="1:23" x14ac:dyDescent="0.25">
      <c r="A470" t="s">
        <v>749</v>
      </c>
      <c r="B470">
        <v>2014</v>
      </c>
      <c r="C470" t="s">
        <v>20</v>
      </c>
      <c r="D470" t="s">
        <v>76</v>
      </c>
      <c r="E470">
        <v>70579</v>
      </c>
      <c r="F470" t="s">
        <v>43</v>
      </c>
      <c r="G470" t="s">
        <v>44</v>
      </c>
      <c r="H470" t="s">
        <v>25</v>
      </c>
      <c r="I470" t="s">
        <v>24</v>
      </c>
      <c r="J470" s="2">
        <v>45594</v>
      </c>
      <c r="K470" t="s">
        <v>25</v>
      </c>
      <c r="L470">
        <v>44054</v>
      </c>
      <c r="M470">
        <v>235</v>
      </c>
      <c r="N470">
        <v>285</v>
      </c>
      <c r="O470" s="4">
        <v>5500</v>
      </c>
      <c r="P470" s="4">
        <v>9906.59765625</v>
      </c>
      <c r="Q470" s="5">
        <f t="shared" si="28"/>
        <v>0.80119957386363638</v>
      </c>
      <c r="R470" s="4">
        <v>9556.4420198133103</v>
      </c>
      <c r="S470" s="5">
        <f t="shared" si="29"/>
        <v>0.73753491269332905</v>
      </c>
      <c r="T470" s="4">
        <v>5876.2641676895128</v>
      </c>
      <c r="U470" s="5">
        <f t="shared" si="30"/>
        <v>6.8411666852638664E-2</v>
      </c>
      <c r="V470" s="4">
        <v>9762.3056640625</v>
      </c>
      <c r="W470" s="5">
        <f t="shared" si="31"/>
        <v>0.77496466619318172</v>
      </c>
    </row>
    <row r="471" spans="1:23" x14ac:dyDescent="0.25">
      <c r="A471" t="s">
        <v>750</v>
      </c>
      <c r="B471">
        <v>2018</v>
      </c>
      <c r="C471" t="s">
        <v>20</v>
      </c>
      <c r="D471" t="s">
        <v>81</v>
      </c>
      <c r="E471">
        <v>66008</v>
      </c>
      <c r="F471" t="s">
        <v>55</v>
      </c>
      <c r="G471" t="s">
        <v>38</v>
      </c>
      <c r="H471" t="s">
        <v>25</v>
      </c>
      <c r="I471" t="s">
        <v>24</v>
      </c>
      <c r="J471" s="2">
        <v>45510</v>
      </c>
      <c r="K471" t="s">
        <v>25</v>
      </c>
      <c r="L471">
        <v>44054</v>
      </c>
      <c r="M471">
        <v>235</v>
      </c>
      <c r="N471">
        <v>285</v>
      </c>
      <c r="O471" s="4">
        <v>13000</v>
      </c>
      <c r="P471" s="4">
        <v>8546.001953125</v>
      </c>
      <c r="Q471" s="5">
        <f t="shared" si="28"/>
        <v>-0.34261523437499997</v>
      </c>
      <c r="R471" s="4">
        <v>9194.156336326887</v>
      </c>
      <c r="S471" s="5">
        <f t="shared" si="29"/>
        <v>-0.29275720489793178</v>
      </c>
      <c r="T471" s="4">
        <v>7235.5188459707442</v>
      </c>
      <c r="U471" s="5">
        <f t="shared" si="30"/>
        <v>-0.4434216272330197</v>
      </c>
      <c r="V471" s="4">
        <v>8398.26171875</v>
      </c>
      <c r="W471" s="5">
        <f t="shared" si="31"/>
        <v>-0.35397986778846158</v>
      </c>
    </row>
    <row r="472" spans="1:23" x14ac:dyDescent="0.25">
      <c r="A472" t="s">
        <v>751</v>
      </c>
      <c r="B472">
        <v>2016</v>
      </c>
      <c r="C472" t="s">
        <v>20</v>
      </c>
      <c r="D472" t="s">
        <v>81</v>
      </c>
      <c r="E472">
        <v>129751</v>
      </c>
      <c r="F472" t="s">
        <v>37</v>
      </c>
      <c r="G472" t="s">
        <v>38</v>
      </c>
      <c r="H472" t="s">
        <v>25</v>
      </c>
      <c r="I472" t="s">
        <v>24</v>
      </c>
      <c r="J472" s="2">
        <v>45412</v>
      </c>
      <c r="K472" t="s">
        <v>25</v>
      </c>
      <c r="L472">
        <v>44054</v>
      </c>
      <c r="M472">
        <v>235</v>
      </c>
      <c r="N472">
        <v>285</v>
      </c>
      <c r="O472" s="4">
        <v>12100</v>
      </c>
      <c r="P472" s="4">
        <v>2839.927001953125</v>
      </c>
      <c r="Q472" s="5">
        <f t="shared" si="28"/>
        <v>-0.76529528909478306</v>
      </c>
      <c r="R472" s="4">
        <v>5972.8856635561606</v>
      </c>
      <c r="S472" s="5">
        <f t="shared" si="29"/>
        <v>-0.50637308565651562</v>
      </c>
      <c r="T472" s="4">
        <v>3790.0421320960481</v>
      </c>
      <c r="U472" s="5">
        <f t="shared" si="30"/>
        <v>-0.68677337751272327</v>
      </c>
      <c r="V472" s="4">
        <v>2642.55615234375</v>
      </c>
      <c r="W472" s="5">
        <f t="shared" si="31"/>
        <v>-0.78160692955836775</v>
      </c>
    </row>
    <row r="473" spans="1:23" x14ac:dyDescent="0.25">
      <c r="A473" t="s">
        <v>752</v>
      </c>
      <c r="B473">
        <v>2013</v>
      </c>
      <c r="C473" t="s">
        <v>20</v>
      </c>
      <c r="D473" t="s">
        <v>21</v>
      </c>
      <c r="E473">
        <v>110232</v>
      </c>
      <c r="F473" t="s">
        <v>48</v>
      </c>
      <c r="G473" t="s">
        <v>38</v>
      </c>
      <c r="H473" t="s">
        <v>25</v>
      </c>
      <c r="I473" t="s">
        <v>24</v>
      </c>
      <c r="J473" s="2">
        <v>45566</v>
      </c>
      <c r="K473" t="s">
        <v>25</v>
      </c>
      <c r="L473">
        <v>44054</v>
      </c>
      <c r="M473">
        <v>235</v>
      </c>
      <c r="N473">
        <v>285</v>
      </c>
      <c r="O473" s="4">
        <v>9000</v>
      </c>
      <c r="P473" s="4">
        <v>2690.402099609375</v>
      </c>
      <c r="Q473" s="5">
        <f t="shared" si="28"/>
        <v>-0.70106643337673613</v>
      </c>
      <c r="R473" s="4">
        <v>4678.7536124337385</v>
      </c>
      <c r="S473" s="5">
        <f t="shared" si="29"/>
        <v>-0.48013848750736243</v>
      </c>
      <c r="T473" s="4">
        <v>4358.5761317300457</v>
      </c>
      <c r="U473" s="5">
        <f t="shared" si="30"/>
        <v>-0.51571376314110595</v>
      </c>
      <c r="V473" s="4">
        <v>2387.146728515625</v>
      </c>
      <c r="W473" s="5">
        <f t="shared" si="31"/>
        <v>-0.73476147460937502</v>
      </c>
    </row>
    <row r="474" spans="1:23" x14ac:dyDescent="0.25">
      <c r="A474" t="s">
        <v>753</v>
      </c>
      <c r="B474">
        <v>2020</v>
      </c>
      <c r="C474" t="s">
        <v>185</v>
      </c>
      <c r="D474" t="s">
        <v>229</v>
      </c>
      <c r="E474">
        <v>35424</v>
      </c>
      <c r="F474" t="s">
        <v>174</v>
      </c>
      <c r="G474" t="s">
        <v>44</v>
      </c>
      <c r="H474" t="s">
        <v>25</v>
      </c>
      <c r="I474" t="s">
        <v>24</v>
      </c>
      <c r="J474" s="2">
        <v>45328</v>
      </c>
      <c r="K474" t="s">
        <v>25</v>
      </c>
      <c r="L474">
        <v>44054</v>
      </c>
      <c r="M474">
        <v>235</v>
      </c>
      <c r="N474">
        <v>285</v>
      </c>
      <c r="O474" s="4">
        <v>13800</v>
      </c>
      <c r="P474" s="4">
        <v>16851.21484375</v>
      </c>
      <c r="Q474" s="5">
        <f t="shared" si="28"/>
        <v>0.22110252490942028</v>
      </c>
      <c r="R474" s="4">
        <v>18380.927842651981</v>
      </c>
      <c r="S474" s="5">
        <f t="shared" si="29"/>
        <v>0.33195129294579573</v>
      </c>
      <c r="T474" s="4">
        <v>16516.974547493301</v>
      </c>
      <c r="U474" s="5">
        <f t="shared" si="30"/>
        <v>0.19688221358647096</v>
      </c>
      <c r="V474" s="4">
        <v>16662.8984375</v>
      </c>
      <c r="W474" s="5">
        <f t="shared" si="31"/>
        <v>0.20745640851449276</v>
      </c>
    </row>
    <row r="475" spans="1:23" x14ac:dyDescent="0.25">
      <c r="A475" t="s">
        <v>754</v>
      </c>
      <c r="B475">
        <v>2015</v>
      </c>
      <c r="C475" t="s">
        <v>266</v>
      </c>
      <c r="D475" t="s">
        <v>755</v>
      </c>
      <c r="E475">
        <v>124744</v>
      </c>
      <c r="F475" t="s">
        <v>174</v>
      </c>
      <c r="G475" t="s">
        <v>30</v>
      </c>
      <c r="H475" t="s">
        <v>24</v>
      </c>
      <c r="I475" t="s">
        <v>25</v>
      </c>
      <c r="J475" s="2">
        <v>45692</v>
      </c>
      <c r="K475" t="s">
        <v>25</v>
      </c>
      <c r="L475">
        <v>44054</v>
      </c>
      <c r="M475">
        <v>235</v>
      </c>
      <c r="N475">
        <v>285</v>
      </c>
      <c r="O475" s="4">
        <v>5700</v>
      </c>
      <c r="P475" s="4">
        <v>5003.50048828125</v>
      </c>
      <c r="Q475" s="5">
        <f t="shared" si="28"/>
        <v>-0.12219289679276313</v>
      </c>
      <c r="R475" s="4">
        <v>8263.4253421423164</v>
      </c>
      <c r="S475" s="5">
        <f t="shared" si="29"/>
        <v>0.44972374423549399</v>
      </c>
      <c r="T475" s="4">
        <v>4284.5095519135448</v>
      </c>
      <c r="U475" s="5">
        <f t="shared" si="30"/>
        <v>-0.2483316575590272</v>
      </c>
      <c r="V475" s="4">
        <v>4510.16845703125</v>
      </c>
      <c r="W475" s="5">
        <f t="shared" si="31"/>
        <v>-0.20874237595942979</v>
      </c>
    </row>
    <row r="476" spans="1:23" x14ac:dyDescent="0.25">
      <c r="A476" t="s">
        <v>756</v>
      </c>
      <c r="B476">
        <v>2017</v>
      </c>
      <c r="C476" t="s">
        <v>120</v>
      </c>
      <c r="D476" t="s">
        <v>757</v>
      </c>
      <c r="E476">
        <v>110161</v>
      </c>
      <c r="F476" t="s">
        <v>72</v>
      </c>
      <c r="G476" t="s">
        <v>38</v>
      </c>
      <c r="H476" t="s">
        <v>25</v>
      </c>
      <c r="I476" t="s">
        <v>24</v>
      </c>
      <c r="J476" s="2">
        <v>45356</v>
      </c>
      <c r="K476" t="s">
        <v>25</v>
      </c>
      <c r="L476">
        <v>44054</v>
      </c>
      <c r="M476">
        <v>235</v>
      </c>
      <c r="N476">
        <v>285</v>
      </c>
      <c r="O476" s="4">
        <v>12700</v>
      </c>
      <c r="P476" s="4">
        <v>7216.40185546875</v>
      </c>
      <c r="Q476" s="5">
        <f t="shared" si="28"/>
        <v>-0.43177938145915351</v>
      </c>
      <c r="R476" s="4">
        <v>9267.982559527929</v>
      </c>
      <c r="S476" s="5">
        <f t="shared" si="29"/>
        <v>-0.2702375937379583</v>
      </c>
      <c r="T476" s="4">
        <v>10598.54785666042</v>
      </c>
      <c r="U476" s="5">
        <f t="shared" si="30"/>
        <v>-0.16546867270390397</v>
      </c>
      <c r="V476" s="4">
        <v>6605.8857421875</v>
      </c>
      <c r="W476" s="5">
        <f t="shared" si="31"/>
        <v>-0.47985151636318901</v>
      </c>
    </row>
    <row r="477" spans="1:23" x14ac:dyDescent="0.25">
      <c r="A477" t="s">
        <v>758</v>
      </c>
      <c r="B477">
        <v>2017</v>
      </c>
      <c r="C477" t="s">
        <v>104</v>
      </c>
      <c r="D477" t="s">
        <v>126</v>
      </c>
      <c r="E477">
        <v>99604</v>
      </c>
      <c r="F477" t="s">
        <v>43</v>
      </c>
      <c r="G477" t="s">
        <v>44</v>
      </c>
      <c r="H477" t="s">
        <v>25</v>
      </c>
      <c r="I477" t="s">
        <v>24</v>
      </c>
      <c r="J477" s="2">
        <v>45622</v>
      </c>
      <c r="K477" t="s">
        <v>25</v>
      </c>
      <c r="L477">
        <v>44054</v>
      </c>
      <c r="M477">
        <v>235</v>
      </c>
      <c r="N477">
        <v>285</v>
      </c>
      <c r="O477" s="4">
        <v>14000</v>
      </c>
      <c r="P477" s="4">
        <v>12939.0947265625</v>
      </c>
      <c r="Q477" s="5">
        <f t="shared" si="28"/>
        <v>-7.57789481026786E-2</v>
      </c>
      <c r="R477" s="4">
        <v>15024.501820514881</v>
      </c>
      <c r="S477" s="5">
        <f t="shared" si="29"/>
        <v>7.3178701465348661E-2</v>
      </c>
      <c r="T477" s="4">
        <v>12976.66083645379</v>
      </c>
      <c r="U477" s="5">
        <f t="shared" si="30"/>
        <v>-7.3095654539015009E-2</v>
      </c>
      <c r="V477" s="4">
        <v>12492.7626953125</v>
      </c>
      <c r="W477" s="5">
        <f t="shared" si="31"/>
        <v>-0.10765980747767856</v>
      </c>
    </row>
    <row r="478" spans="1:23" x14ac:dyDescent="0.25">
      <c r="A478" t="s">
        <v>759</v>
      </c>
      <c r="B478">
        <v>2017</v>
      </c>
      <c r="C478" t="s">
        <v>46</v>
      </c>
      <c r="D478" t="s">
        <v>145</v>
      </c>
      <c r="E478">
        <v>77603</v>
      </c>
      <c r="F478" t="s">
        <v>63</v>
      </c>
      <c r="G478" t="s">
        <v>44</v>
      </c>
      <c r="H478" t="s">
        <v>25</v>
      </c>
      <c r="I478" t="s">
        <v>24</v>
      </c>
      <c r="J478" s="2">
        <v>45706</v>
      </c>
      <c r="K478" t="s">
        <v>25</v>
      </c>
      <c r="L478">
        <v>44054</v>
      </c>
      <c r="M478">
        <v>235</v>
      </c>
      <c r="N478">
        <v>285</v>
      </c>
      <c r="O478" s="4">
        <v>10500</v>
      </c>
      <c r="P478" s="4">
        <v>12689.916015625</v>
      </c>
      <c r="Q478" s="5">
        <f t="shared" si="28"/>
        <v>0.20856343005952382</v>
      </c>
      <c r="R478" s="4">
        <v>12511.33268201499</v>
      </c>
      <c r="S478" s="5">
        <f t="shared" si="29"/>
        <v>0.19155549352523726</v>
      </c>
      <c r="T478" s="4">
        <v>8368.247629575566</v>
      </c>
      <c r="U478" s="5">
        <f t="shared" si="30"/>
        <v>-0.20302403527851753</v>
      </c>
      <c r="V478" s="4">
        <v>12849.728515625</v>
      </c>
      <c r="W478" s="5">
        <f t="shared" si="31"/>
        <v>0.22378366815476181</v>
      </c>
    </row>
    <row r="479" spans="1:23" x14ac:dyDescent="0.25">
      <c r="A479" t="s">
        <v>760</v>
      </c>
      <c r="B479">
        <v>2018</v>
      </c>
      <c r="C479" t="s">
        <v>113</v>
      </c>
      <c r="D479" t="s">
        <v>761</v>
      </c>
      <c r="E479">
        <v>68345</v>
      </c>
      <c r="F479" t="s">
        <v>87</v>
      </c>
      <c r="G479" t="s">
        <v>44</v>
      </c>
      <c r="H479" t="s">
        <v>25</v>
      </c>
      <c r="I479" t="s">
        <v>24</v>
      </c>
      <c r="J479" s="2">
        <v>45692</v>
      </c>
      <c r="K479" t="s">
        <v>25</v>
      </c>
      <c r="L479">
        <v>44054</v>
      </c>
      <c r="M479">
        <v>235</v>
      </c>
      <c r="N479">
        <v>285</v>
      </c>
      <c r="O479" s="4">
        <v>16500</v>
      </c>
      <c r="P479" s="4">
        <v>13478.5849609375</v>
      </c>
      <c r="Q479" s="5">
        <f t="shared" si="28"/>
        <v>-0.18311606297348482</v>
      </c>
      <c r="R479" s="4">
        <v>15357.667851033249</v>
      </c>
      <c r="S479" s="5">
        <f t="shared" si="29"/>
        <v>-6.9232251452530313E-2</v>
      </c>
      <c r="T479" s="4">
        <v>13729.848193596081</v>
      </c>
      <c r="U479" s="5">
        <f t="shared" si="30"/>
        <v>-0.16788798826690421</v>
      </c>
      <c r="V479" s="4">
        <v>13227.9736328125</v>
      </c>
      <c r="W479" s="5">
        <f t="shared" si="31"/>
        <v>-0.19830462831439399</v>
      </c>
    </row>
    <row r="480" spans="1:23" x14ac:dyDescent="0.25">
      <c r="A480" t="s">
        <v>762</v>
      </c>
      <c r="B480">
        <v>2014</v>
      </c>
      <c r="C480" t="s">
        <v>53</v>
      </c>
      <c r="D480" t="s">
        <v>590</v>
      </c>
      <c r="E480">
        <v>140920</v>
      </c>
      <c r="F480" t="s">
        <v>334</v>
      </c>
      <c r="G480" t="s">
        <v>30</v>
      </c>
      <c r="H480" t="s">
        <v>24</v>
      </c>
      <c r="I480" t="s">
        <v>25</v>
      </c>
      <c r="J480" s="2">
        <v>45510</v>
      </c>
      <c r="K480" t="s">
        <v>25</v>
      </c>
      <c r="L480">
        <v>44054</v>
      </c>
      <c r="M480">
        <v>235</v>
      </c>
      <c r="N480">
        <v>285</v>
      </c>
      <c r="O480" s="4">
        <v>1900</v>
      </c>
      <c r="P480" s="4">
        <v>2717.75</v>
      </c>
      <c r="Q480" s="5">
        <f t="shared" si="28"/>
        <v>0.43039473684210527</v>
      </c>
      <c r="R480" s="4">
        <v>3361.4827278757989</v>
      </c>
      <c r="S480" s="5">
        <f t="shared" si="29"/>
        <v>0.7692014357241046</v>
      </c>
      <c r="T480" s="4">
        <v>1618.3179431498961</v>
      </c>
      <c r="U480" s="5">
        <f t="shared" si="30"/>
        <v>-0.14825371413163357</v>
      </c>
      <c r="V480" s="4">
        <v>2553.572021484375</v>
      </c>
      <c r="W480" s="5">
        <f t="shared" si="31"/>
        <v>0.34398527446546057</v>
      </c>
    </row>
    <row r="481" spans="1:23" x14ac:dyDescent="0.25">
      <c r="A481" t="s">
        <v>763</v>
      </c>
      <c r="B481">
        <v>2020</v>
      </c>
      <c r="C481" t="s">
        <v>20</v>
      </c>
      <c r="D481" t="s">
        <v>21</v>
      </c>
      <c r="E481">
        <v>71917</v>
      </c>
      <c r="F481" t="s">
        <v>151</v>
      </c>
      <c r="G481" t="s">
        <v>38</v>
      </c>
      <c r="H481" t="s">
        <v>25</v>
      </c>
      <c r="I481" t="s">
        <v>24</v>
      </c>
      <c r="J481" s="2">
        <v>45664</v>
      </c>
      <c r="K481" t="s">
        <v>25</v>
      </c>
      <c r="L481">
        <v>44054</v>
      </c>
      <c r="M481">
        <v>235</v>
      </c>
      <c r="N481">
        <v>285</v>
      </c>
      <c r="O481" s="4">
        <v>12500</v>
      </c>
      <c r="P481" s="4">
        <v>15074.7978515625</v>
      </c>
      <c r="Q481" s="5">
        <f t="shared" si="28"/>
        <v>0.20598382812499993</v>
      </c>
      <c r="R481" s="4">
        <v>16883.40209381278</v>
      </c>
      <c r="S481" s="5">
        <f t="shared" si="29"/>
        <v>0.35067216750502239</v>
      </c>
      <c r="T481" s="4">
        <v>14080.50443389469</v>
      </c>
      <c r="U481" s="5">
        <f t="shared" si="30"/>
        <v>0.12644035471157511</v>
      </c>
      <c r="V481" s="4">
        <v>15151.4677734375</v>
      </c>
      <c r="W481" s="5">
        <f t="shared" si="31"/>
        <v>0.21211742187499993</v>
      </c>
    </row>
    <row r="482" spans="1:23" x14ac:dyDescent="0.25">
      <c r="A482" t="s">
        <v>764</v>
      </c>
      <c r="B482">
        <v>2012</v>
      </c>
      <c r="C482" t="s">
        <v>94</v>
      </c>
      <c r="D482" t="s">
        <v>153</v>
      </c>
      <c r="E482">
        <v>76930</v>
      </c>
      <c r="F482" t="s">
        <v>246</v>
      </c>
      <c r="G482" t="s">
        <v>30</v>
      </c>
      <c r="H482" t="s">
        <v>24</v>
      </c>
      <c r="I482" t="s">
        <v>25</v>
      </c>
      <c r="J482" s="2">
        <v>45412</v>
      </c>
      <c r="K482" t="s">
        <v>25</v>
      </c>
      <c r="L482">
        <v>44054</v>
      </c>
      <c r="M482">
        <v>235</v>
      </c>
      <c r="N482">
        <v>285</v>
      </c>
      <c r="O482" s="4">
        <v>5600</v>
      </c>
      <c r="P482" s="4">
        <v>4842.46923828125</v>
      </c>
      <c r="Q482" s="5">
        <f t="shared" si="28"/>
        <v>-0.13527335030691967</v>
      </c>
      <c r="R482" s="4">
        <v>4782.0226977431021</v>
      </c>
      <c r="S482" s="5">
        <f t="shared" si="29"/>
        <v>-0.14606737540301751</v>
      </c>
      <c r="T482" s="4">
        <v>4644.1272269278888</v>
      </c>
      <c r="U482" s="5">
        <f t="shared" si="30"/>
        <v>-0.17069156662001983</v>
      </c>
      <c r="V482" s="4">
        <v>4723.74169921875</v>
      </c>
      <c r="W482" s="5">
        <f t="shared" si="31"/>
        <v>-0.15647469656808033</v>
      </c>
    </row>
    <row r="483" spans="1:23" x14ac:dyDescent="0.25">
      <c r="A483" t="s">
        <v>765</v>
      </c>
      <c r="B483">
        <v>2021</v>
      </c>
      <c r="C483" t="s">
        <v>156</v>
      </c>
      <c r="D483" t="s">
        <v>157</v>
      </c>
      <c r="E483">
        <v>63474</v>
      </c>
      <c r="F483" t="s">
        <v>250</v>
      </c>
      <c r="G483" t="s">
        <v>38</v>
      </c>
      <c r="H483" t="s">
        <v>25</v>
      </c>
      <c r="I483" t="s">
        <v>24</v>
      </c>
      <c r="J483" s="2">
        <v>45314</v>
      </c>
      <c r="K483" t="s">
        <v>25</v>
      </c>
      <c r="L483">
        <v>44054</v>
      </c>
      <c r="M483">
        <v>235</v>
      </c>
      <c r="N483">
        <v>285</v>
      </c>
      <c r="O483" s="4">
        <v>12000</v>
      </c>
      <c r="P483" s="4">
        <v>14207.80078125</v>
      </c>
      <c r="Q483" s="5">
        <f t="shared" si="28"/>
        <v>0.18398339843749989</v>
      </c>
      <c r="R483" s="4">
        <v>15744.536515036471</v>
      </c>
      <c r="S483" s="5">
        <f t="shared" si="29"/>
        <v>0.31204470958637254</v>
      </c>
      <c r="T483" s="4">
        <v>12206.857821622751</v>
      </c>
      <c r="U483" s="5">
        <f t="shared" si="30"/>
        <v>1.7238151801895807E-2</v>
      </c>
      <c r="V483" s="4">
        <v>14018.626953125</v>
      </c>
      <c r="W483" s="5">
        <f t="shared" si="31"/>
        <v>0.16821891276041656</v>
      </c>
    </row>
    <row r="484" spans="1:23" x14ac:dyDescent="0.25">
      <c r="A484" t="s">
        <v>766</v>
      </c>
      <c r="B484">
        <v>2014</v>
      </c>
      <c r="C484" t="s">
        <v>159</v>
      </c>
      <c r="D484" t="s">
        <v>767</v>
      </c>
      <c r="E484">
        <v>172541</v>
      </c>
      <c r="F484" t="s">
        <v>89</v>
      </c>
      <c r="G484" t="s">
        <v>30</v>
      </c>
      <c r="H484" t="s">
        <v>24</v>
      </c>
      <c r="I484" t="s">
        <v>25</v>
      </c>
      <c r="J484" s="2">
        <v>45603</v>
      </c>
      <c r="K484" t="s">
        <v>25</v>
      </c>
      <c r="L484">
        <v>44054</v>
      </c>
      <c r="M484">
        <v>235</v>
      </c>
      <c r="N484">
        <v>285</v>
      </c>
      <c r="O484" s="4">
        <v>2200</v>
      </c>
      <c r="P484" s="4">
        <v>2522.612548828125</v>
      </c>
      <c r="Q484" s="5">
        <f t="shared" si="28"/>
        <v>0.14664206764914778</v>
      </c>
      <c r="R484" s="4">
        <v>2635.7503257972162</v>
      </c>
      <c r="S484" s="5">
        <f t="shared" si="29"/>
        <v>0.19806832990782564</v>
      </c>
      <c r="T484" s="4">
        <v>2567.2155520985161</v>
      </c>
      <c r="U484" s="5">
        <f t="shared" si="30"/>
        <v>0.16691616004478016</v>
      </c>
      <c r="V484" s="4">
        <v>2487.482177734375</v>
      </c>
      <c r="W484" s="5">
        <f t="shared" si="31"/>
        <v>0.13067371715198872</v>
      </c>
    </row>
    <row r="485" spans="1:23" x14ac:dyDescent="0.25">
      <c r="A485" t="s">
        <v>768</v>
      </c>
      <c r="B485">
        <v>2016</v>
      </c>
      <c r="C485" t="s">
        <v>159</v>
      </c>
      <c r="D485" t="s">
        <v>769</v>
      </c>
      <c r="E485">
        <v>190753</v>
      </c>
      <c r="F485" t="s">
        <v>334</v>
      </c>
      <c r="G485" t="s">
        <v>30</v>
      </c>
      <c r="H485" t="s">
        <v>24</v>
      </c>
      <c r="I485" t="s">
        <v>25</v>
      </c>
      <c r="J485" s="2">
        <v>45664</v>
      </c>
      <c r="K485" t="s">
        <v>25</v>
      </c>
      <c r="L485">
        <v>44054</v>
      </c>
      <c r="M485">
        <v>235</v>
      </c>
      <c r="N485">
        <v>285</v>
      </c>
      <c r="O485" s="4">
        <v>3600</v>
      </c>
      <c r="P485" s="4">
        <v>2928.252197265625</v>
      </c>
      <c r="Q485" s="5">
        <f t="shared" si="28"/>
        <v>-0.18659661187065968</v>
      </c>
      <c r="R485" s="4">
        <v>3159.0964538005819</v>
      </c>
      <c r="S485" s="5">
        <f t="shared" si="29"/>
        <v>-0.12247320727761613</v>
      </c>
      <c r="T485" s="4">
        <v>3364.5011536396059</v>
      </c>
      <c r="U485" s="5">
        <f t="shared" si="30"/>
        <v>-6.5416346211220611E-2</v>
      </c>
      <c r="V485" s="4">
        <v>2831.903076171875</v>
      </c>
      <c r="W485" s="5">
        <f t="shared" si="31"/>
        <v>-0.21336025661892366</v>
      </c>
    </row>
    <row r="486" spans="1:23" x14ac:dyDescent="0.25">
      <c r="A486" t="s">
        <v>770</v>
      </c>
      <c r="B486">
        <v>2019</v>
      </c>
      <c r="C486" t="s">
        <v>182</v>
      </c>
      <c r="D486" t="s">
        <v>608</v>
      </c>
      <c r="E486">
        <v>60471</v>
      </c>
      <c r="F486" t="s">
        <v>82</v>
      </c>
      <c r="G486" t="s">
        <v>30</v>
      </c>
      <c r="H486" t="s">
        <v>24</v>
      </c>
      <c r="I486" t="s">
        <v>25</v>
      </c>
      <c r="J486" s="2">
        <v>45496</v>
      </c>
      <c r="K486" t="s">
        <v>25</v>
      </c>
      <c r="L486">
        <v>44054</v>
      </c>
      <c r="M486">
        <v>235</v>
      </c>
      <c r="N486">
        <v>285</v>
      </c>
      <c r="O486" s="4">
        <v>12600</v>
      </c>
      <c r="P486" s="4">
        <v>9330.6640625</v>
      </c>
      <c r="Q486" s="5">
        <f t="shared" si="28"/>
        <v>-0.25947110615079361</v>
      </c>
      <c r="R486" s="4">
        <v>10694.80282174019</v>
      </c>
      <c r="S486" s="5">
        <f t="shared" si="29"/>
        <v>-0.15120612525871513</v>
      </c>
      <c r="T486" s="4">
        <v>7707.4582462877124</v>
      </c>
      <c r="U486" s="5">
        <f t="shared" si="30"/>
        <v>-0.38829696458034024</v>
      </c>
      <c r="V486" s="4">
        <v>8639.59765625</v>
      </c>
      <c r="W486" s="5">
        <f t="shared" si="31"/>
        <v>-0.3143176463293651</v>
      </c>
    </row>
    <row r="487" spans="1:23" x14ac:dyDescent="0.25">
      <c r="A487" t="s">
        <v>771</v>
      </c>
      <c r="B487">
        <v>2015</v>
      </c>
      <c r="C487" t="s">
        <v>519</v>
      </c>
      <c r="D487" t="s">
        <v>772</v>
      </c>
      <c r="E487">
        <v>70025</v>
      </c>
      <c r="F487" t="s">
        <v>246</v>
      </c>
      <c r="G487" t="s">
        <v>38</v>
      </c>
      <c r="H487" t="s">
        <v>25</v>
      </c>
      <c r="I487" t="s">
        <v>24</v>
      </c>
      <c r="J487" s="2">
        <v>45365</v>
      </c>
      <c r="K487" t="s">
        <v>25</v>
      </c>
      <c r="L487">
        <v>44054</v>
      </c>
      <c r="M487">
        <v>235</v>
      </c>
      <c r="N487">
        <v>285</v>
      </c>
      <c r="O487" s="4">
        <v>4000</v>
      </c>
      <c r="P487" s="4">
        <v>6727.7841796875</v>
      </c>
      <c r="Q487" s="5">
        <f t="shared" si="28"/>
        <v>0.68194604492187505</v>
      </c>
      <c r="R487" s="4">
        <v>6749.0222335563994</v>
      </c>
      <c r="S487" s="5">
        <f t="shared" si="29"/>
        <v>0.6872555583890998</v>
      </c>
      <c r="T487" s="4">
        <v>10112.234776924521</v>
      </c>
      <c r="U487" s="5">
        <f t="shared" si="30"/>
        <v>1.5280586942311301</v>
      </c>
      <c r="V487" s="4">
        <v>6665.5654296875</v>
      </c>
      <c r="W487" s="5">
        <f t="shared" si="31"/>
        <v>0.66639135742187494</v>
      </c>
    </row>
    <row r="488" spans="1:23" x14ac:dyDescent="0.25">
      <c r="A488" t="s">
        <v>773</v>
      </c>
      <c r="B488">
        <v>2013</v>
      </c>
      <c r="C488" t="s">
        <v>774</v>
      </c>
      <c r="D488" t="s">
        <v>775</v>
      </c>
      <c r="E488">
        <v>119816</v>
      </c>
      <c r="F488" t="s">
        <v>254</v>
      </c>
      <c r="G488" t="s">
        <v>38</v>
      </c>
      <c r="H488" t="s">
        <v>25</v>
      </c>
      <c r="I488" t="s">
        <v>24</v>
      </c>
      <c r="J488" s="2">
        <v>45328</v>
      </c>
      <c r="K488" t="s">
        <v>25</v>
      </c>
      <c r="L488">
        <v>44054</v>
      </c>
      <c r="M488">
        <v>235</v>
      </c>
      <c r="N488">
        <v>285</v>
      </c>
      <c r="O488" s="4">
        <v>3300</v>
      </c>
      <c r="P488" s="4">
        <v>4662.4248046875</v>
      </c>
      <c r="Q488" s="5">
        <f t="shared" si="28"/>
        <v>0.41285600142045453</v>
      </c>
      <c r="R488" s="4">
        <v>4780.5899263152342</v>
      </c>
      <c r="S488" s="5">
        <f t="shared" si="29"/>
        <v>0.44866361403491939</v>
      </c>
      <c r="T488" s="4">
        <v>4842.0242195800556</v>
      </c>
      <c r="U488" s="5">
        <f t="shared" si="30"/>
        <v>0.46728006653941079</v>
      </c>
      <c r="V488" s="4">
        <v>4603.8955078125</v>
      </c>
      <c r="W488" s="5">
        <f t="shared" si="31"/>
        <v>0.39511985085227264</v>
      </c>
    </row>
    <row r="489" spans="1:23" x14ac:dyDescent="0.25">
      <c r="A489" t="s">
        <v>776</v>
      </c>
      <c r="B489">
        <v>2016</v>
      </c>
      <c r="C489" t="s">
        <v>551</v>
      </c>
      <c r="D489" t="s">
        <v>777</v>
      </c>
      <c r="E489">
        <v>95484</v>
      </c>
      <c r="F489" t="s">
        <v>77</v>
      </c>
      <c r="G489" t="s">
        <v>38</v>
      </c>
      <c r="H489" t="s">
        <v>25</v>
      </c>
      <c r="I489" t="s">
        <v>24</v>
      </c>
      <c r="J489" s="2">
        <v>45538</v>
      </c>
      <c r="K489" t="s">
        <v>25</v>
      </c>
      <c r="L489">
        <v>44054</v>
      </c>
      <c r="M489">
        <v>235</v>
      </c>
      <c r="N489">
        <v>285</v>
      </c>
      <c r="O489" s="4">
        <v>8600</v>
      </c>
      <c r="P489" s="4">
        <v>6202.67578125</v>
      </c>
      <c r="Q489" s="5">
        <f t="shared" si="28"/>
        <v>-0.27875863008720925</v>
      </c>
      <c r="R489" s="4">
        <v>8685.7833576044086</v>
      </c>
      <c r="S489" s="5">
        <f t="shared" si="29"/>
        <v>9.9748090237683495E-3</v>
      </c>
      <c r="T489" s="4">
        <v>7660.7523425136214</v>
      </c>
      <c r="U489" s="5">
        <f t="shared" si="30"/>
        <v>-0.1092148438937649</v>
      </c>
      <c r="V489" s="4">
        <v>5540.1796875</v>
      </c>
      <c r="W489" s="5">
        <f t="shared" si="31"/>
        <v>-0.35579305959302321</v>
      </c>
    </row>
    <row r="490" spans="1:23" x14ac:dyDescent="0.25">
      <c r="A490" t="s">
        <v>778</v>
      </c>
      <c r="B490">
        <v>2015</v>
      </c>
      <c r="C490" t="s">
        <v>20</v>
      </c>
      <c r="D490" t="s">
        <v>258</v>
      </c>
      <c r="E490">
        <v>187904</v>
      </c>
      <c r="F490" t="s">
        <v>111</v>
      </c>
      <c r="G490" t="s">
        <v>30</v>
      </c>
      <c r="H490" t="s">
        <v>24</v>
      </c>
      <c r="I490" t="s">
        <v>25</v>
      </c>
      <c r="J490" s="2">
        <v>45421</v>
      </c>
      <c r="K490" t="s">
        <v>25</v>
      </c>
      <c r="L490">
        <v>44054</v>
      </c>
      <c r="M490">
        <v>235</v>
      </c>
      <c r="N490">
        <v>285</v>
      </c>
      <c r="O490" s="4">
        <v>700</v>
      </c>
      <c r="P490" s="4">
        <v>2515.65771484375</v>
      </c>
      <c r="Q490" s="5">
        <f t="shared" si="28"/>
        <v>2.5937967354910714</v>
      </c>
      <c r="R490" s="4">
        <v>2894.5609106961278</v>
      </c>
      <c r="S490" s="5">
        <f t="shared" si="29"/>
        <v>3.1350870152801829</v>
      </c>
      <c r="T490" s="4">
        <v>4070.5004605448439</v>
      </c>
      <c r="U490" s="5">
        <f t="shared" si="30"/>
        <v>4.8150006579212059</v>
      </c>
      <c r="V490" s="4">
        <v>2481.263671875</v>
      </c>
      <c r="W490" s="5">
        <f t="shared" si="31"/>
        <v>2.5446623883928572</v>
      </c>
    </row>
    <row r="491" spans="1:23" x14ac:dyDescent="0.25">
      <c r="A491" t="s">
        <v>779</v>
      </c>
      <c r="B491">
        <v>2019</v>
      </c>
      <c r="C491" t="s">
        <v>20</v>
      </c>
      <c r="D491" t="s">
        <v>421</v>
      </c>
      <c r="E491">
        <v>114876</v>
      </c>
      <c r="F491" t="s">
        <v>82</v>
      </c>
      <c r="G491" t="s">
        <v>30</v>
      </c>
      <c r="H491" t="s">
        <v>24</v>
      </c>
      <c r="I491" t="s">
        <v>25</v>
      </c>
      <c r="J491" s="2">
        <v>45468</v>
      </c>
      <c r="K491" t="s">
        <v>25</v>
      </c>
      <c r="L491">
        <v>44054</v>
      </c>
      <c r="M491">
        <v>235</v>
      </c>
      <c r="N491">
        <v>285</v>
      </c>
      <c r="O491" s="4">
        <v>13100</v>
      </c>
      <c r="P491" s="4">
        <v>4946.90087890625</v>
      </c>
      <c r="Q491" s="5">
        <f t="shared" si="28"/>
        <v>-0.62237397870944655</v>
      </c>
      <c r="R491" s="4">
        <v>7551.1257003305291</v>
      </c>
      <c r="S491" s="5">
        <f t="shared" si="29"/>
        <v>-0.42357819081446346</v>
      </c>
      <c r="T491" s="4">
        <v>4351.2642642325391</v>
      </c>
      <c r="U491" s="5">
        <f t="shared" si="30"/>
        <v>-0.66784242257766879</v>
      </c>
      <c r="V491" s="4">
        <v>4566.80908203125</v>
      </c>
      <c r="W491" s="5">
        <f t="shared" si="31"/>
        <v>-0.65138861969227091</v>
      </c>
    </row>
    <row r="492" spans="1:23" x14ac:dyDescent="0.25">
      <c r="A492" t="s">
        <v>780</v>
      </c>
      <c r="B492">
        <v>2016</v>
      </c>
      <c r="C492" t="s">
        <v>156</v>
      </c>
      <c r="D492" t="s">
        <v>615</v>
      </c>
      <c r="E492">
        <v>80628</v>
      </c>
      <c r="F492" t="s">
        <v>219</v>
      </c>
      <c r="G492" t="s">
        <v>38</v>
      </c>
      <c r="H492" t="s">
        <v>25</v>
      </c>
      <c r="I492" t="s">
        <v>24</v>
      </c>
      <c r="J492" s="2">
        <v>45314</v>
      </c>
      <c r="K492" t="s">
        <v>25</v>
      </c>
      <c r="L492">
        <v>44054</v>
      </c>
      <c r="M492">
        <v>235</v>
      </c>
      <c r="N492">
        <v>285</v>
      </c>
      <c r="O492" s="4">
        <v>2800</v>
      </c>
      <c r="P492" s="4">
        <v>5783.14697265625</v>
      </c>
      <c r="Q492" s="5">
        <f t="shared" si="28"/>
        <v>1.0654096330915177</v>
      </c>
      <c r="R492" s="4">
        <v>7449.773409599974</v>
      </c>
      <c r="S492" s="5">
        <f t="shared" si="29"/>
        <v>1.6606333605714192</v>
      </c>
      <c r="T492" s="4">
        <v>6637.2581180452544</v>
      </c>
      <c r="U492" s="5">
        <f t="shared" si="30"/>
        <v>1.3704493278733052</v>
      </c>
      <c r="V492" s="4">
        <v>5353.60888671875</v>
      </c>
      <c r="W492" s="5">
        <f t="shared" si="31"/>
        <v>0.9120031738281249</v>
      </c>
    </row>
    <row r="493" spans="1:23" x14ac:dyDescent="0.25">
      <c r="A493" t="s">
        <v>781</v>
      </c>
      <c r="B493">
        <v>2017</v>
      </c>
      <c r="C493" t="s">
        <v>156</v>
      </c>
      <c r="D493" t="s">
        <v>483</v>
      </c>
      <c r="E493">
        <v>79887</v>
      </c>
      <c r="F493" t="s">
        <v>102</v>
      </c>
      <c r="G493" t="s">
        <v>44</v>
      </c>
      <c r="H493" t="s">
        <v>25</v>
      </c>
      <c r="I493" t="s">
        <v>24</v>
      </c>
      <c r="J493" s="2">
        <v>45440</v>
      </c>
      <c r="K493" t="s">
        <v>25</v>
      </c>
      <c r="L493">
        <v>44054</v>
      </c>
      <c r="M493">
        <v>235</v>
      </c>
      <c r="N493">
        <v>285</v>
      </c>
      <c r="O493" s="4">
        <v>2900</v>
      </c>
      <c r="P493" s="4">
        <v>8376.6728515625</v>
      </c>
      <c r="Q493" s="5">
        <f t="shared" si="28"/>
        <v>1.8885078798491381</v>
      </c>
      <c r="R493" s="4">
        <v>9039.9163303116929</v>
      </c>
      <c r="S493" s="5">
        <f t="shared" si="29"/>
        <v>2.1172125276936873</v>
      </c>
      <c r="T493" s="4">
        <v>10033.301136858559</v>
      </c>
      <c r="U493" s="5">
        <f t="shared" si="30"/>
        <v>2.4597590127098479</v>
      </c>
      <c r="V493" s="4">
        <v>8418.7822265625</v>
      </c>
      <c r="W493" s="5">
        <f t="shared" si="31"/>
        <v>1.9030283539870689</v>
      </c>
    </row>
    <row r="494" spans="1:23" x14ac:dyDescent="0.25">
      <c r="A494" t="s">
        <v>782</v>
      </c>
      <c r="B494">
        <v>2015</v>
      </c>
      <c r="C494" t="s">
        <v>269</v>
      </c>
      <c r="D494" t="s">
        <v>309</v>
      </c>
      <c r="E494">
        <v>38534</v>
      </c>
      <c r="F494" t="s">
        <v>79</v>
      </c>
      <c r="G494" t="s">
        <v>34</v>
      </c>
      <c r="H494" t="s">
        <v>25</v>
      </c>
      <c r="I494" t="s">
        <v>24</v>
      </c>
      <c r="J494" s="2">
        <v>45678</v>
      </c>
      <c r="K494" t="s">
        <v>25</v>
      </c>
      <c r="L494">
        <v>44054</v>
      </c>
      <c r="M494">
        <v>235</v>
      </c>
      <c r="N494">
        <v>285</v>
      </c>
      <c r="O494" s="4">
        <v>2100</v>
      </c>
      <c r="P494" s="4">
        <v>15116.0693359375</v>
      </c>
      <c r="Q494" s="5">
        <f t="shared" si="28"/>
        <v>6.1981282552083332</v>
      </c>
      <c r="R494" s="4">
        <v>15620.64579414433</v>
      </c>
      <c r="S494" s="5">
        <f t="shared" si="29"/>
        <v>6.4384027591163475</v>
      </c>
      <c r="T494" s="4">
        <v>22964.22169186977</v>
      </c>
      <c r="U494" s="5">
        <f t="shared" si="30"/>
        <v>9.9353436627951286</v>
      </c>
      <c r="V494" s="4">
        <v>15418.1123046875</v>
      </c>
      <c r="W494" s="5">
        <f t="shared" si="31"/>
        <v>6.3419582403273811</v>
      </c>
    </row>
    <row r="495" spans="1:23" x14ac:dyDescent="0.25">
      <c r="A495" t="s">
        <v>783</v>
      </c>
      <c r="B495">
        <v>2012</v>
      </c>
      <c r="C495" t="s">
        <v>266</v>
      </c>
      <c r="D495" t="s">
        <v>561</v>
      </c>
      <c r="E495">
        <v>87604</v>
      </c>
      <c r="F495" t="s">
        <v>135</v>
      </c>
      <c r="G495" t="s">
        <v>44</v>
      </c>
      <c r="H495" t="s">
        <v>25</v>
      </c>
      <c r="I495" t="s">
        <v>24</v>
      </c>
      <c r="J495" s="2">
        <v>45594</v>
      </c>
      <c r="K495" t="s">
        <v>25</v>
      </c>
      <c r="L495">
        <v>44054</v>
      </c>
      <c r="M495">
        <v>235</v>
      </c>
      <c r="N495">
        <v>285</v>
      </c>
      <c r="O495" s="4">
        <v>13876.0233918129</v>
      </c>
      <c r="P495" s="4">
        <v>5003.775390625</v>
      </c>
      <c r="Q495" s="5">
        <f t="shared" si="28"/>
        <v>-0.63939413697029968</v>
      </c>
      <c r="R495" s="4">
        <v>7555.0546104044242</v>
      </c>
      <c r="S495" s="5">
        <f t="shared" si="29"/>
        <v>-0.45553171848484775</v>
      </c>
      <c r="T495" s="4">
        <v>8568.1937347890289</v>
      </c>
      <c r="U495" s="5">
        <f t="shared" si="30"/>
        <v>-0.38251806783170927</v>
      </c>
      <c r="V495" s="4">
        <v>4508.13623046875</v>
      </c>
      <c r="W495" s="5">
        <f t="shared" si="31"/>
        <v>-0.67511324367407521</v>
      </c>
    </row>
    <row r="496" spans="1:23" x14ac:dyDescent="0.25">
      <c r="A496" t="s">
        <v>784</v>
      </c>
      <c r="B496">
        <v>2019</v>
      </c>
      <c r="C496" t="s">
        <v>113</v>
      </c>
      <c r="D496" t="s">
        <v>701</v>
      </c>
      <c r="E496">
        <v>41214</v>
      </c>
      <c r="F496" t="s">
        <v>48</v>
      </c>
      <c r="G496" t="s">
        <v>38</v>
      </c>
      <c r="H496" t="s">
        <v>25</v>
      </c>
      <c r="I496" t="s">
        <v>24</v>
      </c>
      <c r="J496" s="2">
        <v>45454</v>
      </c>
      <c r="K496" t="s">
        <v>25</v>
      </c>
      <c r="L496">
        <v>44067</v>
      </c>
      <c r="M496">
        <v>235</v>
      </c>
      <c r="N496">
        <v>285</v>
      </c>
      <c r="O496" s="4">
        <v>5100</v>
      </c>
      <c r="P496" s="4">
        <v>13627.3505859375</v>
      </c>
      <c r="Q496" s="5">
        <f t="shared" si="28"/>
        <v>1.6720295266544118</v>
      </c>
      <c r="R496" s="4">
        <v>20716.141974912502</v>
      </c>
      <c r="S496" s="5">
        <f t="shared" si="29"/>
        <v>3.0619886225318629</v>
      </c>
      <c r="T496" s="4">
        <v>17388.11830066915</v>
      </c>
      <c r="U496" s="5">
        <f t="shared" si="30"/>
        <v>2.4094349609155197</v>
      </c>
      <c r="V496" s="4">
        <v>15612.59765625</v>
      </c>
      <c r="W496" s="5">
        <f t="shared" si="31"/>
        <v>2.0612936580882355</v>
      </c>
    </row>
    <row r="497" spans="1:23" x14ac:dyDescent="0.25">
      <c r="A497" t="s">
        <v>785</v>
      </c>
      <c r="B497">
        <v>2015</v>
      </c>
      <c r="C497" t="s">
        <v>120</v>
      </c>
      <c r="D497">
        <v>200</v>
      </c>
      <c r="E497">
        <v>61226</v>
      </c>
      <c r="F497" t="s">
        <v>98</v>
      </c>
      <c r="G497" t="s">
        <v>44</v>
      </c>
      <c r="H497" t="s">
        <v>25</v>
      </c>
      <c r="I497" t="s">
        <v>24</v>
      </c>
      <c r="J497" s="2">
        <v>45482</v>
      </c>
      <c r="K497" t="s">
        <v>25</v>
      </c>
      <c r="L497">
        <v>44067</v>
      </c>
      <c r="M497">
        <v>235</v>
      </c>
      <c r="N497">
        <v>285</v>
      </c>
      <c r="O497" s="4">
        <v>9000</v>
      </c>
      <c r="P497" s="4">
        <v>10534.7646484375</v>
      </c>
      <c r="Q497" s="5">
        <f t="shared" si="28"/>
        <v>0.17052940538194439</v>
      </c>
      <c r="R497" s="4">
        <v>11056.52239453242</v>
      </c>
      <c r="S497" s="5">
        <f t="shared" si="29"/>
        <v>0.22850248828137998</v>
      </c>
      <c r="T497" s="4">
        <v>7697.126635800103</v>
      </c>
      <c r="U497" s="5">
        <f t="shared" si="30"/>
        <v>-0.14476370713332187</v>
      </c>
      <c r="V497" s="4">
        <v>10608.6689453125</v>
      </c>
      <c r="W497" s="5">
        <f t="shared" si="31"/>
        <v>0.17874099392361109</v>
      </c>
    </row>
    <row r="498" spans="1:23" x14ac:dyDescent="0.25">
      <c r="A498" t="s">
        <v>786</v>
      </c>
      <c r="B498">
        <v>2016</v>
      </c>
      <c r="C498" t="s">
        <v>120</v>
      </c>
      <c r="D498">
        <v>200</v>
      </c>
      <c r="E498">
        <v>68372</v>
      </c>
      <c r="F498" t="s">
        <v>102</v>
      </c>
      <c r="G498" t="s">
        <v>44</v>
      </c>
      <c r="H498" t="s">
        <v>25</v>
      </c>
      <c r="I498" t="s">
        <v>24</v>
      </c>
      <c r="J498" s="2">
        <v>45314</v>
      </c>
      <c r="K498" t="s">
        <v>25</v>
      </c>
      <c r="L498">
        <v>44067</v>
      </c>
      <c r="M498">
        <v>235</v>
      </c>
      <c r="N498">
        <v>285</v>
      </c>
      <c r="O498" s="4">
        <v>9100</v>
      </c>
      <c r="P498" s="4">
        <v>11525.775390625</v>
      </c>
      <c r="Q498" s="5">
        <f t="shared" si="28"/>
        <v>0.2665687242445054</v>
      </c>
      <c r="R498" s="4">
        <v>11222.17408221251</v>
      </c>
      <c r="S498" s="5">
        <f t="shared" si="29"/>
        <v>0.23320594310027576</v>
      </c>
      <c r="T498" s="4">
        <v>7911.2791454269664</v>
      </c>
      <c r="U498" s="5">
        <f t="shared" si="30"/>
        <v>-0.13062866533769601</v>
      </c>
      <c r="V498" s="4">
        <v>11489.0576171875</v>
      </c>
      <c r="W498" s="5">
        <f t="shared" si="31"/>
        <v>0.26253380408653837</v>
      </c>
    </row>
    <row r="499" spans="1:23" x14ac:dyDescent="0.25">
      <c r="A499" t="s">
        <v>787</v>
      </c>
      <c r="B499">
        <v>2015</v>
      </c>
      <c r="C499" t="s">
        <v>120</v>
      </c>
      <c r="D499">
        <v>200</v>
      </c>
      <c r="E499">
        <v>148141</v>
      </c>
      <c r="F499" t="s">
        <v>58</v>
      </c>
      <c r="G499" t="s">
        <v>23</v>
      </c>
      <c r="H499" t="s">
        <v>24</v>
      </c>
      <c r="I499" t="s">
        <v>25</v>
      </c>
      <c r="J499" s="2">
        <v>45580</v>
      </c>
      <c r="K499" t="s">
        <v>25</v>
      </c>
      <c r="L499">
        <v>44067</v>
      </c>
      <c r="M499">
        <v>235</v>
      </c>
      <c r="N499">
        <v>285</v>
      </c>
      <c r="O499" s="4">
        <v>7200</v>
      </c>
      <c r="P499" s="4">
        <v>2055.452880859375</v>
      </c>
      <c r="Q499" s="5">
        <f t="shared" si="28"/>
        <v>-0.71452043321397563</v>
      </c>
      <c r="R499" s="4">
        <v>2764.105059873089</v>
      </c>
      <c r="S499" s="5">
        <f t="shared" si="29"/>
        <v>-0.616096519462071</v>
      </c>
      <c r="T499" s="4">
        <v>2055.834619790819</v>
      </c>
      <c r="U499" s="5">
        <f t="shared" si="30"/>
        <v>-0.71446741391794177</v>
      </c>
      <c r="V499" s="4">
        <v>1996.505004882812</v>
      </c>
      <c r="W499" s="5">
        <f t="shared" si="31"/>
        <v>-0.72270763821072048</v>
      </c>
    </row>
    <row r="500" spans="1:23" x14ac:dyDescent="0.25">
      <c r="A500" t="s">
        <v>788</v>
      </c>
      <c r="B500">
        <v>2015</v>
      </c>
      <c r="C500" t="s">
        <v>120</v>
      </c>
      <c r="D500">
        <v>200</v>
      </c>
      <c r="E500">
        <v>92219</v>
      </c>
      <c r="F500" t="s">
        <v>48</v>
      </c>
      <c r="G500" t="s">
        <v>38</v>
      </c>
      <c r="H500" t="s">
        <v>25</v>
      </c>
      <c r="I500" t="s">
        <v>24</v>
      </c>
      <c r="J500" s="2">
        <v>45342</v>
      </c>
      <c r="K500" t="s">
        <v>25</v>
      </c>
      <c r="L500">
        <v>44067</v>
      </c>
      <c r="M500">
        <v>235</v>
      </c>
      <c r="N500">
        <v>285</v>
      </c>
      <c r="O500" s="4">
        <v>5300</v>
      </c>
      <c r="P500" s="4">
        <v>4720.66259765625</v>
      </c>
      <c r="Q500" s="5">
        <f t="shared" si="28"/>
        <v>-0.10930894383844336</v>
      </c>
      <c r="R500" s="4">
        <v>7071.3443072309983</v>
      </c>
      <c r="S500" s="5">
        <f t="shared" si="29"/>
        <v>0.3342159070247166</v>
      </c>
      <c r="T500" s="4">
        <v>4627.3669406096351</v>
      </c>
      <c r="U500" s="5">
        <f t="shared" si="30"/>
        <v>-0.12691189799818203</v>
      </c>
      <c r="V500" s="4">
        <v>4266.255859375</v>
      </c>
      <c r="W500" s="5">
        <f t="shared" si="31"/>
        <v>-0.19504606426886795</v>
      </c>
    </row>
    <row r="501" spans="1:23" x14ac:dyDescent="0.25">
      <c r="A501" t="s">
        <v>789</v>
      </c>
      <c r="B501">
        <v>2012</v>
      </c>
      <c r="C501" t="s">
        <v>46</v>
      </c>
      <c r="D501" t="s">
        <v>790</v>
      </c>
      <c r="E501">
        <v>123839</v>
      </c>
      <c r="F501" t="s">
        <v>382</v>
      </c>
      <c r="G501" t="s">
        <v>30</v>
      </c>
      <c r="H501" t="s">
        <v>24</v>
      </c>
      <c r="I501" t="s">
        <v>25</v>
      </c>
      <c r="J501" s="2">
        <v>45610</v>
      </c>
      <c r="K501" t="s">
        <v>25</v>
      </c>
      <c r="L501">
        <v>44067</v>
      </c>
      <c r="M501">
        <v>235</v>
      </c>
      <c r="N501">
        <v>285</v>
      </c>
      <c r="O501" s="4">
        <v>2300</v>
      </c>
      <c r="P501" s="4">
        <v>2779.140380859375</v>
      </c>
      <c r="Q501" s="5">
        <f t="shared" si="28"/>
        <v>0.2083219047214675</v>
      </c>
      <c r="R501" s="4">
        <v>3018.286080440972</v>
      </c>
      <c r="S501" s="5">
        <f t="shared" si="29"/>
        <v>0.3122982958439009</v>
      </c>
      <c r="T501" s="4">
        <v>3721.109358727686</v>
      </c>
      <c r="U501" s="5">
        <f t="shared" si="30"/>
        <v>0.61787363422942865</v>
      </c>
      <c r="V501" s="4">
        <v>2695.435791015625</v>
      </c>
      <c r="W501" s="5">
        <f t="shared" si="31"/>
        <v>0.1719286047894022</v>
      </c>
    </row>
    <row r="502" spans="1:23" x14ac:dyDescent="0.25">
      <c r="A502" t="s">
        <v>791</v>
      </c>
      <c r="B502">
        <v>2016</v>
      </c>
      <c r="C502" t="s">
        <v>32</v>
      </c>
      <c r="D502" t="s">
        <v>524</v>
      </c>
      <c r="E502">
        <v>134209</v>
      </c>
      <c r="F502" t="s">
        <v>89</v>
      </c>
      <c r="G502" t="s">
        <v>30</v>
      </c>
      <c r="H502" t="s">
        <v>24</v>
      </c>
      <c r="I502" t="s">
        <v>25</v>
      </c>
      <c r="J502" s="2">
        <v>45729</v>
      </c>
      <c r="K502" t="s">
        <v>25</v>
      </c>
      <c r="L502">
        <v>44067</v>
      </c>
      <c r="M502">
        <v>235</v>
      </c>
      <c r="N502">
        <v>285</v>
      </c>
      <c r="O502" s="4">
        <v>1600</v>
      </c>
      <c r="P502" s="4">
        <v>4001.920654296875</v>
      </c>
      <c r="Q502" s="5">
        <f t="shared" si="28"/>
        <v>1.5012004089355471</v>
      </c>
      <c r="R502" s="4">
        <v>4392.1252395087977</v>
      </c>
      <c r="S502" s="5">
        <f t="shared" si="29"/>
        <v>1.7450782746929985</v>
      </c>
      <c r="T502" s="4">
        <v>6851.4601605168809</v>
      </c>
      <c r="U502" s="5">
        <f t="shared" si="30"/>
        <v>3.2821626003230504</v>
      </c>
      <c r="V502" s="4">
        <v>3976.6298828125</v>
      </c>
      <c r="W502" s="5">
        <f t="shared" si="31"/>
        <v>1.4853936767578126</v>
      </c>
    </row>
    <row r="503" spans="1:23" x14ac:dyDescent="0.25">
      <c r="A503" t="s">
        <v>792</v>
      </c>
      <c r="B503">
        <v>2017</v>
      </c>
      <c r="C503" t="s">
        <v>32</v>
      </c>
      <c r="D503" t="s">
        <v>524</v>
      </c>
      <c r="E503">
        <v>90130</v>
      </c>
      <c r="F503" t="s">
        <v>77</v>
      </c>
      <c r="G503" t="s">
        <v>30</v>
      </c>
      <c r="H503" t="s">
        <v>24</v>
      </c>
      <c r="I503" t="s">
        <v>25</v>
      </c>
      <c r="J503" s="2">
        <v>45645</v>
      </c>
      <c r="K503" t="s">
        <v>25</v>
      </c>
      <c r="L503">
        <v>44067</v>
      </c>
      <c r="M503">
        <v>235</v>
      </c>
      <c r="N503">
        <v>285</v>
      </c>
      <c r="O503" s="4">
        <v>9000</v>
      </c>
      <c r="P503" s="4">
        <v>7014.0322265625</v>
      </c>
      <c r="Q503" s="5">
        <f t="shared" si="28"/>
        <v>-0.22066308593749995</v>
      </c>
      <c r="R503" s="4">
        <v>9943.4383219877</v>
      </c>
      <c r="S503" s="5">
        <f t="shared" si="29"/>
        <v>0.10482648022085561</v>
      </c>
      <c r="T503" s="4">
        <v>12530.78115551368</v>
      </c>
      <c r="U503" s="5">
        <f t="shared" si="30"/>
        <v>0.39230901727929779</v>
      </c>
      <c r="V503" s="4">
        <v>6582.484375</v>
      </c>
      <c r="W503" s="5">
        <f t="shared" si="31"/>
        <v>-0.26861284722222223</v>
      </c>
    </row>
    <row r="504" spans="1:23" x14ac:dyDescent="0.25">
      <c r="A504" t="s">
        <v>793</v>
      </c>
      <c r="B504">
        <v>2016</v>
      </c>
      <c r="C504" t="s">
        <v>32</v>
      </c>
      <c r="D504" t="s">
        <v>318</v>
      </c>
      <c r="E504">
        <v>82970</v>
      </c>
      <c r="F504" t="s">
        <v>72</v>
      </c>
      <c r="G504" t="s">
        <v>38</v>
      </c>
      <c r="H504" t="s">
        <v>25</v>
      </c>
      <c r="I504" t="s">
        <v>24</v>
      </c>
      <c r="J504" s="2">
        <v>45356</v>
      </c>
      <c r="K504" t="s">
        <v>25</v>
      </c>
      <c r="L504">
        <v>44067</v>
      </c>
      <c r="M504">
        <v>235</v>
      </c>
      <c r="N504">
        <v>285</v>
      </c>
      <c r="O504" s="4">
        <v>8600</v>
      </c>
      <c r="P504" s="4">
        <v>10093.2509765625</v>
      </c>
      <c r="Q504" s="5">
        <f t="shared" si="28"/>
        <v>0.1736338344840116</v>
      </c>
      <c r="R504" s="4">
        <v>11182.587122000579</v>
      </c>
      <c r="S504" s="5">
        <f t="shared" si="29"/>
        <v>0.30030082813960224</v>
      </c>
      <c r="T504" s="4">
        <v>7261.8403770044442</v>
      </c>
      <c r="U504" s="5">
        <f t="shared" si="30"/>
        <v>-0.15559995616227396</v>
      </c>
      <c r="V504" s="4">
        <v>9602.2197265625</v>
      </c>
      <c r="W504" s="5">
        <f t="shared" si="31"/>
        <v>0.11653717750726744</v>
      </c>
    </row>
    <row r="505" spans="1:23" x14ac:dyDescent="0.25">
      <c r="A505" t="s">
        <v>794</v>
      </c>
      <c r="B505">
        <v>2015</v>
      </c>
      <c r="C505" t="s">
        <v>32</v>
      </c>
      <c r="D505" t="s">
        <v>322</v>
      </c>
      <c r="E505">
        <v>94760</v>
      </c>
      <c r="F505" t="s">
        <v>22</v>
      </c>
      <c r="G505" t="s">
        <v>30</v>
      </c>
      <c r="H505" t="s">
        <v>24</v>
      </c>
      <c r="I505" t="s">
        <v>25</v>
      </c>
      <c r="J505" s="2">
        <v>45580</v>
      </c>
      <c r="K505" t="s">
        <v>25</v>
      </c>
      <c r="L505">
        <v>44067</v>
      </c>
      <c r="M505">
        <v>235</v>
      </c>
      <c r="N505">
        <v>285</v>
      </c>
      <c r="O505" s="4">
        <v>3800</v>
      </c>
      <c r="P505" s="4">
        <v>5688.76953125</v>
      </c>
      <c r="Q505" s="5">
        <f t="shared" si="28"/>
        <v>0.49704461348684204</v>
      </c>
      <c r="R505" s="4">
        <v>5714.235323784188</v>
      </c>
      <c r="S505" s="5">
        <f t="shared" si="29"/>
        <v>0.5037461378379442</v>
      </c>
      <c r="T505" s="4">
        <v>5482.5534375810794</v>
      </c>
      <c r="U505" s="5">
        <f t="shared" si="30"/>
        <v>0.44277722041607359</v>
      </c>
      <c r="V505" s="4">
        <v>5758.89208984375</v>
      </c>
      <c r="W505" s="5">
        <f t="shared" si="31"/>
        <v>0.51549791837993419</v>
      </c>
    </row>
    <row r="506" spans="1:23" x14ac:dyDescent="0.25">
      <c r="A506" t="s">
        <v>795</v>
      </c>
      <c r="B506">
        <v>2020</v>
      </c>
      <c r="C506" t="s">
        <v>32</v>
      </c>
      <c r="D506" t="s">
        <v>40</v>
      </c>
      <c r="E506">
        <v>53789</v>
      </c>
      <c r="F506" t="s">
        <v>250</v>
      </c>
      <c r="G506" t="s">
        <v>44</v>
      </c>
      <c r="H506" t="s">
        <v>25</v>
      </c>
      <c r="I506" t="s">
        <v>24</v>
      </c>
      <c r="J506" s="2">
        <v>45610</v>
      </c>
      <c r="K506" t="s">
        <v>25</v>
      </c>
      <c r="L506">
        <v>44067</v>
      </c>
      <c r="M506">
        <v>235</v>
      </c>
      <c r="N506">
        <v>285</v>
      </c>
      <c r="O506" s="4">
        <v>7600</v>
      </c>
      <c r="P506" s="4">
        <v>19545.80078125</v>
      </c>
      <c r="Q506" s="5">
        <f t="shared" si="28"/>
        <v>1.5718158922697367</v>
      </c>
      <c r="R506" s="4">
        <v>19557.868209876469</v>
      </c>
      <c r="S506" s="5">
        <f t="shared" si="29"/>
        <v>1.573403711825851</v>
      </c>
      <c r="T506" s="4">
        <v>22891.119251748682</v>
      </c>
      <c r="U506" s="5">
        <f t="shared" si="30"/>
        <v>2.0119893752300895</v>
      </c>
      <c r="V506" s="4">
        <v>19563.103515625</v>
      </c>
      <c r="W506" s="5">
        <f t="shared" si="31"/>
        <v>1.5740925678453945</v>
      </c>
    </row>
    <row r="507" spans="1:23" x14ac:dyDescent="0.25">
      <c r="A507" t="s">
        <v>796</v>
      </c>
      <c r="B507">
        <v>2014</v>
      </c>
      <c r="C507" t="s">
        <v>53</v>
      </c>
      <c r="D507" t="s">
        <v>148</v>
      </c>
      <c r="E507">
        <v>103896</v>
      </c>
      <c r="F507" t="s">
        <v>22</v>
      </c>
      <c r="G507" t="s">
        <v>23</v>
      </c>
      <c r="H507" t="s">
        <v>24</v>
      </c>
      <c r="I507" t="s">
        <v>25</v>
      </c>
      <c r="J507" s="2">
        <v>45666</v>
      </c>
      <c r="K507" t="s">
        <v>25</v>
      </c>
      <c r="L507">
        <v>44067</v>
      </c>
      <c r="M507">
        <v>235</v>
      </c>
      <c r="N507">
        <v>285</v>
      </c>
      <c r="O507" s="4">
        <v>2000</v>
      </c>
      <c r="P507" s="4">
        <v>4583.95361328125</v>
      </c>
      <c r="Q507" s="5">
        <f t="shared" si="28"/>
        <v>1.291976806640625</v>
      </c>
      <c r="R507" s="4">
        <v>4359.9620013494896</v>
      </c>
      <c r="S507" s="5">
        <f t="shared" si="29"/>
        <v>1.1799810006747449</v>
      </c>
      <c r="T507" s="4">
        <v>7273.4438332908467</v>
      </c>
      <c r="U507" s="5">
        <f t="shared" si="30"/>
        <v>2.6367219166454232</v>
      </c>
      <c r="V507" s="4">
        <v>4585.64501953125</v>
      </c>
      <c r="W507" s="5">
        <f t="shared" si="31"/>
        <v>1.292822509765625</v>
      </c>
    </row>
    <row r="508" spans="1:23" x14ac:dyDescent="0.25">
      <c r="A508" t="s">
        <v>797</v>
      </c>
      <c r="B508">
        <v>2015</v>
      </c>
      <c r="C508" t="s">
        <v>53</v>
      </c>
      <c r="D508" t="s">
        <v>798</v>
      </c>
      <c r="E508">
        <v>120452</v>
      </c>
      <c r="F508" t="s">
        <v>58</v>
      </c>
      <c r="G508" t="s">
        <v>30</v>
      </c>
      <c r="H508" t="s">
        <v>24</v>
      </c>
      <c r="I508" t="s">
        <v>25</v>
      </c>
      <c r="J508" s="2">
        <v>45379</v>
      </c>
      <c r="K508" t="s">
        <v>25</v>
      </c>
      <c r="L508">
        <v>44067</v>
      </c>
      <c r="M508">
        <v>235</v>
      </c>
      <c r="N508">
        <v>285</v>
      </c>
      <c r="O508" s="4">
        <v>2200</v>
      </c>
      <c r="P508" s="4">
        <v>3540.9111328125</v>
      </c>
      <c r="Q508" s="5">
        <f t="shared" si="28"/>
        <v>0.60950506036931817</v>
      </c>
      <c r="R508" s="4">
        <v>4547.2570578706373</v>
      </c>
      <c r="S508" s="5">
        <f t="shared" si="29"/>
        <v>1.0669350263048352</v>
      </c>
      <c r="T508" s="4">
        <v>7392.0676080562434</v>
      </c>
      <c r="U508" s="5">
        <f t="shared" si="30"/>
        <v>2.360030730934656</v>
      </c>
      <c r="V508" s="4">
        <v>3196.34326171875</v>
      </c>
      <c r="W508" s="5">
        <f t="shared" si="31"/>
        <v>0.45288330078125005</v>
      </c>
    </row>
    <row r="509" spans="1:23" x14ac:dyDescent="0.25">
      <c r="A509" t="s">
        <v>799</v>
      </c>
      <c r="B509">
        <v>2017</v>
      </c>
      <c r="C509" t="s">
        <v>53</v>
      </c>
      <c r="D509" t="s">
        <v>65</v>
      </c>
      <c r="E509">
        <v>134370</v>
      </c>
      <c r="F509" t="s">
        <v>29</v>
      </c>
      <c r="G509" t="s">
        <v>30</v>
      </c>
      <c r="H509" t="s">
        <v>24</v>
      </c>
      <c r="I509" t="s">
        <v>25</v>
      </c>
      <c r="J509" s="2">
        <v>45736</v>
      </c>
      <c r="K509" t="s">
        <v>25</v>
      </c>
      <c r="L509">
        <v>44067</v>
      </c>
      <c r="M509">
        <v>235</v>
      </c>
      <c r="N509">
        <v>285</v>
      </c>
      <c r="O509" s="4">
        <v>3500</v>
      </c>
      <c r="P509" s="4">
        <v>4718.533203125</v>
      </c>
      <c r="Q509" s="5">
        <f t="shared" si="28"/>
        <v>0.34815234375000004</v>
      </c>
      <c r="R509" s="4">
        <v>7387.3186242691172</v>
      </c>
      <c r="S509" s="5">
        <f t="shared" si="29"/>
        <v>1.1106624640768907</v>
      </c>
      <c r="T509" s="4">
        <v>9384.0329476803054</v>
      </c>
      <c r="U509" s="5">
        <f t="shared" si="30"/>
        <v>1.6811522707658013</v>
      </c>
      <c r="V509" s="4">
        <v>4638.6328125</v>
      </c>
      <c r="W509" s="5">
        <f t="shared" si="31"/>
        <v>0.32532366071428576</v>
      </c>
    </row>
    <row r="510" spans="1:23" x14ac:dyDescent="0.25">
      <c r="A510" t="s">
        <v>800</v>
      </c>
      <c r="B510">
        <v>2013</v>
      </c>
      <c r="C510" t="s">
        <v>53</v>
      </c>
      <c r="D510" t="s">
        <v>60</v>
      </c>
      <c r="E510">
        <v>79925</v>
      </c>
      <c r="F510" t="s">
        <v>246</v>
      </c>
      <c r="G510" t="s">
        <v>30</v>
      </c>
      <c r="H510" t="s">
        <v>24</v>
      </c>
      <c r="I510" t="s">
        <v>25</v>
      </c>
      <c r="J510" s="2">
        <v>45664</v>
      </c>
      <c r="K510" t="s">
        <v>25</v>
      </c>
      <c r="L510">
        <v>44067</v>
      </c>
      <c r="M510">
        <v>235</v>
      </c>
      <c r="N510">
        <v>285</v>
      </c>
      <c r="O510" s="4">
        <v>3700</v>
      </c>
      <c r="P510" s="4">
        <v>4073.689208984375</v>
      </c>
      <c r="Q510" s="5">
        <f t="shared" si="28"/>
        <v>0.1009970835092906</v>
      </c>
      <c r="R510" s="4">
        <v>4368.9783479339594</v>
      </c>
      <c r="S510" s="5">
        <f t="shared" si="29"/>
        <v>0.18080495890107007</v>
      </c>
      <c r="T510" s="4">
        <v>4209.5560368994848</v>
      </c>
      <c r="U510" s="5">
        <f t="shared" si="30"/>
        <v>0.13771784781067153</v>
      </c>
      <c r="V510" s="4">
        <v>4046.772705078125</v>
      </c>
      <c r="W510" s="5">
        <f t="shared" si="31"/>
        <v>9.372235272381757E-2</v>
      </c>
    </row>
    <row r="511" spans="1:23" x14ac:dyDescent="0.25">
      <c r="A511" t="s">
        <v>801</v>
      </c>
      <c r="B511">
        <v>2012</v>
      </c>
      <c r="C511" t="s">
        <v>53</v>
      </c>
      <c r="D511" t="s">
        <v>802</v>
      </c>
      <c r="E511">
        <v>141859</v>
      </c>
      <c r="F511" t="s">
        <v>66</v>
      </c>
      <c r="G511" t="s">
        <v>23</v>
      </c>
      <c r="H511" t="s">
        <v>24</v>
      </c>
      <c r="I511" t="s">
        <v>25</v>
      </c>
      <c r="J511" s="2">
        <v>45337</v>
      </c>
      <c r="K511" t="s">
        <v>25</v>
      </c>
      <c r="L511">
        <v>44067</v>
      </c>
      <c r="M511">
        <v>235</v>
      </c>
      <c r="N511">
        <v>285</v>
      </c>
      <c r="O511" s="4">
        <v>2100</v>
      </c>
      <c r="P511" s="4">
        <v>2436.94189453125</v>
      </c>
      <c r="Q511" s="5">
        <f t="shared" si="28"/>
        <v>0.16044852120535724</v>
      </c>
      <c r="R511" s="4">
        <v>2160.787458658413</v>
      </c>
      <c r="S511" s="5">
        <f t="shared" si="29"/>
        <v>2.8946408884958474E-2</v>
      </c>
      <c r="T511" s="4">
        <v>3446.9662404805599</v>
      </c>
      <c r="U511" s="5">
        <f t="shared" si="30"/>
        <v>0.64141249546693335</v>
      </c>
      <c r="V511" s="4">
        <v>2373.243408203125</v>
      </c>
      <c r="W511" s="5">
        <f t="shared" si="31"/>
        <v>0.1301159086681547</v>
      </c>
    </row>
    <row r="512" spans="1:23" x14ac:dyDescent="0.25">
      <c r="A512" t="s">
        <v>803</v>
      </c>
      <c r="B512">
        <v>2017</v>
      </c>
      <c r="C512" t="s">
        <v>53</v>
      </c>
      <c r="D512" t="s">
        <v>69</v>
      </c>
      <c r="E512">
        <v>109352</v>
      </c>
      <c r="F512" t="s">
        <v>22</v>
      </c>
      <c r="G512" t="s">
        <v>23</v>
      </c>
      <c r="H512" t="s">
        <v>24</v>
      </c>
      <c r="I512" t="s">
        <v>25</v>
      </c>
      <c r="J512" s="2">
        <v>45393</v>
      </c>
      <c r="K512" t="s">
        <v>25</v>
      </c>
      <c r="L512">
        <v>44067</v>
      </c>
      <c r="M512">
        <v>235</v>
      </c>
      <c r="N512">
        <v>285</v>
      </c>
      <c r="O512" s="4">
        <v>11800</v>
      </c>
      <c r="P512" s="4">
        <v>5751.5205078125</v>
      </c>
      <c r="Q512" s="5">
        <f t="shared" si="28"/>
        <v>-0.51258300781249999</v>
      </c>
      <c r="R512" s="4">
        <v>6042.4146398424409</v>
      </c>
      <c r="S512" s="5">
        <f t="shared" si="29"/>
        <v>-0.48793096272521685</v>
      </c>
      <c r="T512" s="4">
        <v>9863.8804118992484</v>
      </c>
      <c r="U512" s="5">
        <f t="shared" si="30"/>
        <v>-0.16407793119497893</v>
      </c>
      <c r="V512" s="4">
        <v>5845.49658203125</v>
      </c>
      <c r="W512" s="5">
        <f t="shared" si="31"/>
        <v>-0.50461893372616529</v>
      </c>
    </row>
    <row r="513" spans="1:23" x14ac:dyDescent="0.25">
      <c r="A513" t="s">
        <v>804</v>
      </c>
      <c r="B513">
        <v>2018</v>
      </c>
      <c r="C513" t="s">
        <v>53</v>
      </c>
      <c r="D513" t="s">
        <v>69</v>
      </c>
      <c r="E513">
        <v>106273</v>
      </c>
      <c r="F513" t="s">
        <v>174</v>
      </c>
      <c r="G513" t="s">
        <v>44</v>
      </c>
      <c r="H513" t="s">
        <v>25</v>
      </c>
      <c r="I513" t="s">
        <v>24</v>
      </c>
      <c r="J513" s="2">
        <v>45498</v>
      </c>
      <c r="K513" t="s">
        <v>25</v>
      </c>
      <c r="L513">
        <v>44067</v>
      </c>
      <c r="M513">
        <v>235</v>
      </c>
      <c r="N513">
        <v>285</v>
      </c>
      <c r="O513" s="4">
        <v>10900</v>
      </c>
      <c r="P513" s="4">
        <v>11663.328125</v>
      </c>
      <c r="Q513" s="5">
        <f t="shared" si="28"/>
        <v>7.0030103211009109E-2</v>
      </c>
      <c r="R513" s="4">
        <v>14394.93105464514</v>
      </c>
      <c r="S513" s="5">
        <f t="shared" si="29"/>
        <v>0.32063587657294867</v>
      </c>
      <c r="T513" s="4">
        <v>15003.313503829109</v>
      </c>
      <c r="U513" s="5">
        <f t="shared" si="30"/>
        <v>0.37645078016780809</v>
      </c>
      <c r="V513" s="4">
        <v>10992.375</v>
      </c>
      <c r="W513" s="5">
        <f t="shared" si="31"/>
        <v>8.4747706422019231E-3</v>
      </c>
    </row>
    <row r="514" spans="1:23" x14ac:dyDescent="0.25">
      <c r="A514" t="s">
        <v>805</v>
      </c>
      <c r="B514">
        <v>2017</v>
      </c>
      <c r="C514" t="s">
        <v>53</v>
      </c>
      <c r="D514" t="s">
        <v>806</v>
      </c>
      <c r="E514">
        <v>103740</v>
      </c>
      <c r="F514" t="s">
        <v>261</v>
      </c>
      <c r="G514" t="s">
        <v>30</v>
      </c>
      <c r="H514" t="s">
        <v>24</v>
      </c>
      <c r="I514" t="s">
        <v>25</v>
      </c>
      <c r="J514" s="2">
        <v>45412</v>
      </c>
      <c r="K514" t="s">
        <v>25</v>
      </c>
      <c r="L514">
        <v>44067</v>
      </c>
      <c r="M514">
        <v>235</v>
      </c>
      <c r="N514">
        <v>285</v>
      </c>
      <c r="O514" s="4">
        <v>18250</v>
      </c>
      <c r="P514" s="4">
        <v>5240.6240234375</v>
      </c>
      <c r="Q514" s="5">
        <f t="shared" si="28"/>
        <v>-0.71284251926369868</v>
      </c>
      <c r="R514" s="4">
        <v>5571.3051989926444</v>
      </c>
      <c r="S514" s="5">
        <f t="shared" si="29"/>
        <v>-0.69472300279492361</v>
      </c>
      <c r="T514" s="4">
        <v>9449.1021109265275</v>
      </c>
      <c r="U514" s="5">
        <f t="shared" si="30"/>
        <v>-0.48224098022320394</v>
      </c>
      <c r="V514" s="4">
        <v>5126.40087890625</v>
      </c>
      <c r="W514" s="5">
        <f t="shared" si="31"/>
        <v>-0.71910132170376717</v>
      </c>
    </row>
    <row r="515" spans="1:23" x14ac:dyDescent="0.25">
      <c r="A515" t="s">
        <v>807</v>
      </c>
      <c r="B515">
        <v>2018</v>
      </c>
      <c r="C515" t="s">
        <v>20</v>
      </c>
      <c r="D515" t="s">
        <v>74</v>
      </c>
      <c r="E515">
        <v>123820</v>
      </c>
      <c r="F515" t="s">
        <v>58</v>
      </c>
      <c r="G515" t="s">
        <v>23</v>
      </c>
      <c r="H515" t="s">
        <v>24</v>
      </c>
      <c r="I515" t="s">
        <v>25</v>
      </c>
      <c r="J515" s="2">
        <v>45596</v>
      </c>
      <c r="K515" t="s">
        <v>25</v>
      </c>
      <c r="L515">
        <v>44067</v>
      </c>
      <c r="M515">
        <v>235</v>
      </c>
      <c r="N515">
        <v>285</v>
      </c>
      <c r="O515" s="4">
        <v>10000</v>
      </c>
      <c r="P515" s="4">
        <v>5358.08642578125</v>
      </c>
      <c r="Q515" s="5">
        <f t="shared" ref="Q515:Q578" si="32">(P515/$O515)-1</f>
        <v>-0.46419135742187501</v>
      </c>
      <c r="R515" s="4">
        <v>6487.3388140752659</v>
      </c>
      <c r="S515" s="5">
        <f t="shared" ref="S515:S578" si="33">(R515/$O515)-1</f>
        <v>-0.35126611859247336</v>
      </c>
      <c r="T515" s="4">
        <v>2768.5231611652539</v>
      </c>
      <c r="U515" s="5">
        <f t="shared" ref="U515:U578" si="34">(T515/$O515)-1</f>
        <v>-0.72314768388347461</v>
      </c>
      <c r="V515" s="4">
        <v>5019.03466796875</v>
      </c>
      <c r="W515" s="5">
        <f t="shared" ref="W515:W578" si="35">(V515/$O515)-1</f>
        <v>-0.49809653320312497</v>
      </c>
    </row>
    <row r="516" spans="1:23" x14ac:dyDescent="0.25">
      <c r="A516" t="s">
        <v>808</v>
      </c>
      <c r="B516">
        <v>2015</v>
      </c>
      <c r="C516" t="s">
        <v>20</v>
      </c>
      <c r="D516" t="s">
        <v>76</v>
      </c>
      <c r="E516">
        <v>156710</v>
      </c>
      <c r="F516" t="s">
        <v>115</v>
      </c>
      <c r="G516" t="s">
        <v>30</v>
      </c>
      <c r="H516" t="s">
        <v>24</v>
      </c>
      <c r="I516" t="s">
        <v>25</v>
      </c>
      <c r="J516" s="2">
        <v>45568</v>
      </c>
      <c r="K516" t="s">
        <v>25</v>
      </c>
      <c r="L516">
        <v>44067</v>
      </c>
      <c r="M516">
        <v>235</v>
      </c>
      <c r="N516">
        <v>285</v>
      </c>
      <c r="O516" s="4">
        <v>5500</v>
      </c>
      <c r="P516" s="4">
        <v>3057.26318359375</v>
      </c>
      <c r="Q516" s="5">
        <f t="shared" si="32"/>
        <v>-0.44413396661931814</v>
      </c>
      <c r="R516" s="4">
        <v>3517.4702356025459</v>
      </c>
      <c r="S516" s="5">
        <f t="shared" si="33"/>
        <v>-0.36045995716317347</v>
      </c>
      <c r="T516" s="4">
        <v>1649.164704493332</v>
      </c>
      <c r="U516" s="5">
        <f t="shared" si="34"/>
        <v>-0.70015187191030326</v>
      </c>
      <c r="V516" s="4">
        <v>2893.640380859375</v>
      </c>
      <c r="W516" s="5">
        <f t="shared" si="35"/>
        <v>-0.47388356711647728</v>
      </c>
    </row>
    <row r="517" spans="1:23" x14ac:dyDescent="0.25">
      <c r="A517" t="s">
        <v>809</v>
      </c>
      <c r="B517">
        <v>2016</v>
      </c>
      <c r="C517" t="s">
        <v>20</v>
      </c>
      <c r="D517" t="s">
        <v>76</v>
      </c>
      <c r="E517">
        <v>89065</v>
      </c>
      <c r="F517" t="s">
        <v>29</v>
      </c>
      <c r="G517" t="s">
        <v>38</v>
      </c>
      <c r="H517" t="s">
        <v>25</v>
      </c>
      <c r="I517" t="s">
        <v>24</v>
      </c>
      <c r="J517" s="2">
        <v>45449</v>
      </c>
      <c r="K517" t="s">
        <v>25</v>
      </c>
      <c r="L517">
        <v>44067</v>
      </c>
      <c r="M517">
        <v>235</v>
      </c>
      <c r="N517">
        <v>285</v>
      </c>
      <c r="O517" s="4">
        <v>8500</v>
      </c>
      <c r="P517" s="4">
        <v>6331.36767578125</v>
      </c>
      <c r="Q517" s="5">
        <f t="shared" si="32"/>
        <v>-0.25513321461397054</v>
      </c>
      <c r="R517" s="4">
        <v>9000.7262419302224</v>
      </c>
      <c r="S517" s="5">
        <f t="shared" si="33"/>
        <v>5.8908969638849618E-2</v>
      </c>
      <c r="T517" s="4">
        <v>4241.7015269398826</v>
      </c>
      <c r="U517" s="5">
        <f t="shared" si="34"/>
        <v>-0.50097629094824914</v>
      </c>
      <c r="V517" s="4">
        <v>5715.05908203125</v>
      </c>
      <c r="W517" s="5">
        <f t="shared" si="35"/>
        <v>-0.32764010799632348</v>
      </c>
    </row>
    <row r="518" spans="1:23" x14ac:dyDescent="0.25">
      <c r="A518" t="s">
        <v>810</v>
      </c>
      <c r="B518">
        <v>2015</v>
      </c>
      <c r="C518" t="s">
        <v>20</v>
      </c>
      <c r="D518" t="s">
        <v>74</v>
      </c>
      <c r="E518">
        <v>69099</v>
      </c>
      <c r="F518" t="s">
        <v>22</v>
      </c>
      <c r="G518" t="s">
        <v>30</v>
      </c>
      <c r="H518" t="s">
        <v>24</v>
      </c>
      <c r="I518" t="s">
        <v>25</v>
      </c>
      <c r="J518" s="2">
        <v>45323</v>
      </c>
      <c r="K518" t="s">
        <v>25</v>
      </c>
      <c r="L518">
        <v>44067</v>
      </c>
      <c r="M518">
        <v>235</v>
      </c>
      <c r="N518">
        <v>285</v>
      </c>
      <c r="O518" s="4">
        <v>7800</v>
      </c>
      <c r="P518" s="4">
        <v>7451.41748046875</v>
      </c>
      <c r="Q518" s="5">
        <f t="shared" si="32"/>
        <v>-4.4690066606570489E-2</v>
      </c>
      <c r="R518" s="4">
        <v>7194.7794279107584</v>
      </c>
      <c r="S518" s="5">
        <f t="shared" si="33"/>
        <v>-7.7592381037082214E-2</v>
      </c>
      <c r="T518" s="4">
        <v>3861.4232968552278</v>
      </c>
      <c r="U518" s="5">
        <f t="shared" si="34"/>
        <v>-0.50494573117240671</v>
      </c>
      <c r="V518" s="4">
        <v>7398.59814453125</v>
      </c>
      <c r="W518" s="5">
        <f t="shared" si="35"/>
        <v>-5.1461776342147436E-2</v>
      </c>
    </row>
    <row r="519" spans="1:23" x14ac:dyDescent="0.25">
      <c r="A519" t="s">
        <v>811</v>
      </c>
      <c r="B519">
        <v>2016</v>
      </c>
      <c r="C519" t="s">
        <v>20</v>
      </c>
      <c r="D519" t="s">
        <v>218</v>
      </c>
      <c r="E519">
        <v>85932</v>
      </c>
      <c r="F519" t="s">
        <v>261</v>
      </c>
      <c r="G519" t="s">
        <v>23</v>
      </c>
      <c r="H519" t="s">
        <v>24</v>
      </c>
      <c r="I519" t="s">
        <v>25</v>
      </c>
      <c r="J519" s="2">
        <v>45664</v>
      </c>
      <c r="K519" t="s">
        <v>25</v>
      </c>
      <c r="L519">
        <v>44067</v>
      </c>
      <c r="M519">
        <v>235</v>
      </c>
      <c r="N519">
        <v>285</v>
      </c>
      <c r="O519" s="4">
        <v>3100</v>
      </c>
      <c r="P519" s="4">
        <v>5547.1787109375</v>
      </c>
      <c r="Q519" s="5">
        <f t="shared" si="32"/>
        <v>0.78941248739919345</v>
      </c>
      <c r="R519" s="4">
        <v>5864.4278946306831</v>
      </c>
      <c r="S519" s="5">
        <f t="shared" si="33"/>
        <v>0.89175093375183323</v>
      </c>
      <c r="T519" s="4">
        <v>1628.3833126873089</v>
      </c>
      <c r="U519" s="5">
        <f t="shared" si="34"/>
        <v>-0.47471506042344869</v>
      </c>
      <c r="V519" s="4">
        <v>5612.6533203125</v>
      </c>
      <c r="W519" s="5">
        <f t="shared" si="35"/>
        <v>0.81053332913306453</v>
      </c>
    </row>
    <row r="520" spans="1:23" x14ac:dyDescent="0.25">
      <c r="A520" t="s">
        <v>812</v>
      </c>
      <c r="B520">
        <v>2018</v>
      </c>
      <c r="C520" t="s">
        <v>20</v>
      </c>
      <c r="D520" t="s">
        <v>81</v>
      </c>
      <c r="E520">
        <v>101073</v>
      </c>
      <c r="F520" t="s">
        <v>29</v>
      </c>
      <c r="G520" t="s">
        <v>30</v>
      </c>
      <c r="H520" t="s">
        <v>24</v>
      </c>
      <c r="I520" t="s">
        <v>25</v>
      </c>
      <c r="J520" s="2">
        <v>45617</v>
      </c>
      <c r="K520" t="s">
        <v>25</v>
      </c>
      <c r="L520">
        <v>44067</v>
      </c>
      <c r="M520">
        <v>235</v>
      </c>
      <c r="N520">
        <v>285</v>
      </c>
      <c r="O520" s="4">
        <v>4400</v>
      </c>
      <c r="P520" s="4">
        <v>5939.71533203125</v>
      </c>
      <c r="Q520" s="5">
        <f t="shared" si="32"/>
        <v>0.34993530273437501</v>
      </c>
      <c r="R520" s="4">
        <v>10102.72548529684</v>
      </c>
      <c r="S520" s="5">
        <f t="shared" si="33"/>
        <v>1.2960739739311</v>
      </c>
      <c r="T520" s="4">
        <v>6289.932013005272</v>
      </c>
      <c r="U520" s="5">
        <f t="shared" si="34"/>
        <v>0.42953000295574362</v>
      </c>
      <c r="V520" s="4">
        <v>5559.01416015625</v>
      </c>
      <c r="W520" s="5">
        <f t="shared" si="35"/>
        <v>0.26341230912642044</v>
      </c>
    </row>
    <row r="521" spans="1:23" x14ac:dyDescent="0.25">
      <c r="A521" t="s">
        <v>813</v>
      </c>
      <c r="B521">
        <v>2017</v>
      </c>
      <c r="C521" t="s">
        <v>20</v>
      </c>
      <c r="D521" t="s">
        <v>81</v>
      </c>
      <c r="E521">
        <v>71121</v>
      </c>
      <c r="F521" t="s">
        <v>77</v>
      </c>
      <c r="G521" t="s">
        <v>38</v>
      </c>
      <c r="H521" t="s">
        <v>25</v>
      </c>
      <c r="I521" t="s">
        <v>24</v>
      </c>
      <c r="J521" s="2">
        <v>45666</v>
      </c>
      <c r="K521" t="s">
        <v>25</v>
      </c>
      <c r="L521">
        <v>44067</v>
      </c>
      <c r="M521">
        <v>235</v>
      </c>
      <c r="N521">
        <v>285</v>
      </c>
      <c r="O521" s="4">
        <v>9500</v>
      </c>
      <c r="P521" s="4">
        <v>7258.69921875</v>
      </c>
      <c r="Q521" s="5">
        <f t="shared" si="32"/>
        <v>-0.23592639802631576</v>
      </c>
      <c r="R521" s="4">
        <v>11288.673839441921</v>
      </c>
      <c r="S521" s="5">
        <f t="shared" si="33"/>
        <v>0.18828145678336017</v>
      </c>
      <c r="T521" s="4">
        <v>8168.7008880332314</v>
      </c>
      <c r="U521" s="5">
        <f t="shared" si="34"/>
        <v>-0.1401367486280809</v>
      </c>
      <c r="V521" s="4">
        <v>8157.4716796875</v>
      </c>
      <c r="W521" s="5">
        <f t="shared" si="35"/>
        <v>-0.14131877055921049</v>
      </c>
    </row>
    <row r="522" spans="1:23" x14ac:dyDescent="0.25">
      <c r="A522" t="s">
        <v>814</v>
      </c>
      <c r="B522">
        <v>2017</v>
      </c>
      <c r="C522" t="s">
        <v>20</v>
      </c>
      <c r="D522" t="s">
        <v>81</v>
      </c>
      <c r="E522">
        <v>77863</v>
      </c>
      <c r="F522" t="s">
        <v>82</v>
      </c>
      <c r="G522" t="s">
        <v>30</v>
      </c>
      <c r="H522" t="s">
        <v>24</v>
      </c>
      <c r="I522" t="s">
        <v>25</v>
      </c>
      <c r="J522" s="2">
        <v>45566</v>
      </c>
      <c r="K522" t="s">
        <v>25</v>
      </c>
      <c r="L522">
        <v>44067</v>
      </c>
      <c r="M522">
        <v>235</v>
      </c>
      <c r="N522">
        <v>285</v>
      </c>
      <c r="O522" s="4">
        <v>14800</v>
      </c>
      <c r="P522" s="4">
        <v>5359.95751953125</v>
      </c>
      <c r="Q522" s="5">
        <f t="shared" si="32"/>
        <v>-0.63784070813978033</v>
      </c>
      <c r="R522" s="4">
        <v>6763.2479782010778</v>
      </c>
      <c r="S522" s="5">
        <f t="shared" si="33"/>
        <v>-0.54302378525668393</v>
      </c>
      <c r="T522" s="4">
        <v>5292.061069771391</v>
      </c>
      <c r="U522" s="5">
        <f t="shared" si="34"/>
        <v>-0.64242830609652768</v>
      </c>
      <c r="V522" s="4">
        <v>4919.75634765625</v>
      </c>
      <c r="W522" s="5">
        <f t="shared" si="35"/>
        <v>-0.66758403056376692</v>
      </c>
    </row>
    <row r="523" spans="1:23" x14ac:dyDescent="0.25">
      <c r="A523" t="s">
        <v>815</v>
      </c>
      <c r="B523">
        <v>2015</v>
      </c>
      <c r="C523" t="s">
        <v>91</v>
      </c>
      <c r="D523" t="s">
        <v>816</v>
      </c>
      <c r="E523">
        <v>61218</v>
      </c>
      <c r="F523" t="s">
        <v>48</v>
      </c>
      <c r="G523" t="s">
        <v>38</v>
      </c>
      <c r="H523" t="s">
        <v>25</v>
      </c>
      <c r="I523" t="s">
        <v>24</v>
      </c>
      <c r="J523" s="2">
        <v>45538</v>
      </c>
      <c r="K523" t="s">
        <v>25</v>
      </c>
      <c r="L523">
        <v>44067</v>
      </c>
      <c r="M523">
        <v>235</v>
      </c>
      <c r="N523">
        <v>285</v>
      </c>
      <c r="O523" s="4">
        <v>600</v>
      </c>
      <c r="P523" s="4">
        <v>7207.435546875</v>
      </c>
      <c r="Q523" s="5">
        <f t="shared" si="32"/>
        <v>11.012392578125</v>
      </c>
      <c r="R523" s="4">
        <v>10138.55121891805</v>
      </c>
      <c r="S523" s="5">
        <f t="shared" si="33"/>
        <v>15.897585364863417</v>
      </c>
      <c r="T523" s="4">
        <v>10264.43855311665</v>
      </c>
      <c r="U523" s="5">
        <f t="shared" si="34"/>
        <v>16.10739758852775</v>
      </c>
      <c r="V523" s="4">
        <v>6788.71826171875</v>
      </c>
      <c r="W523" s="5">
        <f t="shared" si="35"/>
        <v>10.314530436197916</v>
      </c>
    </row>
    <row r="524" spans="1:23" x14ac:dyDescent="0.25">
      <c r="A524" t="s">
        <v>817</v>
      </c>
      <c r="B524">
        <v>2013</v>
      </c>
      <c r="C524" t="s">
        <v>91</v>
      </c>
      <c r="D524" t="s">
        <v>364</v>
      </c>
      <c r="E524">
        <v>95891</v>
      </c>
      <c r="F524" t="s">
        <v>22</v>
      </c>
      <c r="G524" t="s">
        <v>23</v>
      </c>
      <c r="H524" t="s">
        <v>24</v>
      </c>
      <c r="I524" t="s">
        <v>25</v>
      </c>
      <c r="J524" s="2">
        <v>45533</v>
      </c>
      <c r="K524" t="s">
        <v>25</v>
      </c>
      <c r="L524">
        <v>44067</v>
      </c>
      <c r="M524">
        <v>235</v>
      </c>
      <c r="N524">
        <v>285</v>
      </c>
      <c r="O524" s="4">
        <v>700</v>
      </c>
      <c r="P524" s="4">
        <v>3256.028076171875</v>
      </c>
      <c r="Q524" s="5">
        <f t="shared" si="32"/>
        <v>3.6514686802455358</v>
      </c>
      <c r="R524" s="4">
        <v>3747.32129685674</v>
      </c>
      <c r="S524" s="5">
        <f t="shared" si="33"/>
        <v>4.3533161383667718</v>
      </c>
      <c r="T524" s="4">
        <v>2482.8734172024692</v>
      </c>
      <c r="U524" s="5">
        <f t="shared" si="34"/>
        <v>2.546962024574956</v>
      </c>
      <c r="V524" s="4">
        <v>3040.967529296875</v>
      </c>
      <c r="W524" s="5">
        <f t="shared" si="35"/>
        <v>3.3442393275669646</v>
      </c>
    </row>
    <row r="525" spans="1:23" x14ac:dyDescent="0.25">
      <c r="A525" t="s">
        <v>818</v>
      </c>
      <c r="B525">
        <v>2018</v>
      </c>
      <c r="C525" t="s">
        <v>104</v>
      </c>
      <c r="D525" t="s">
        <v>819</v>
      </c>
      <c r="E525">
        <v>114191</v>
      </c>
      <c r="F525" t="s">
        <v>475</v>
      </c>
      <c r="G525" t="s">
        <v>38</v>
      </c>
      <c r="H525" t="s">
        <v>25</v>
      </c>
      <c r="I525" t="s">
        <v>24</v>
      </c>
      <c r="J525" s="2">
        <v>45412</v>
      </c>
      <c r="K525" t="s">
        <v>25</v>
      </c>
      <c r="L525">
        <v>44067</v>
      </c>
      <c r="M525">
        <v>235</v>
      </c>
      <c r="N525">
        <v>285</v>
      </c>
      <c r="O525" s="4">
        <v>26800</v>
      </c>
      <c r="P525" s="4">
        <v>17661.28125</v>
      </c>
      <c r="Q525" s="5">
        <f t="shared" si="32"/>
        <v>-0.34099696828358206</v>
      </c>
      <c r="R525" s="4">
        <v>14579.93798769119</v>
      </c>
      <c r="S525" s="5">
        <f t="shared" si="33"/>
        <v>-0.45597246314585116</v>
      </c>
      <c r="T525" s="4">
        <v>19392.088162992812</v>
      </c>
      <c r="U525" s="5">
        <f t="shared" si="34"/>
        <v>-0.27641462078385026</v>
      </c>
      <c r="V525" s="4">
        <v>17579.638671875</v>
      </c>
      <c r="W525" s="5">
        <f t="shared" si="35"/>
        <v>-0.34404333313899249</v>
      </c>
    </row>
    <row r="526" spans="1:23" x14ac:dyDescent="0.25">
      <c r="A526" t="s">
        <v>820</v>
      </c>
      <c r="B526">
        <v>2019</v>
      </c>
      <c r="C526" t="s">
        <v>20</v>
      </c>
      <c r="D526" t="s">
        <v>821</v>
      </c>
      <c r="E526">
        <v>120500</v>
      </c>
      <c r="F526" t="s">
        <v>161</v>
      </c>
      <c r="G526" t="s">
        <v>30</v>
      </c>
      <c r="H526" t="s">
        <v>24</v>
      </c>
      <c r="I526" t="s">
        <v>25</v>
      </c>
      <c r="J526" s="2">
        <v>45631</v>
      </c>
      <c r="K526" t="s">
        <v>25</v>
      </c>
      <c r="L526">
        <v>44067</v>
      </c>
      <c r="M526">
        <v>235</v>
      </c>
      <c r="N526">
        <v>285</v>
      </c>
      <c r="O526" s="4">
        <v>18000</v>
      </c>
      <c r="P526" s="4">
        <v>11996.388671875</v>
      </c>
      <c r="Q526" s="5">
        <f t="shared" si="32"/>
        <v>-0.33353396267361113</v>
      </c>
      <c r="R526" s="4">
        <v>12747.732254570819</v>
      </c>
      <c r="S526" s="5">
        <f t="shared" si="33"/>
        <v>-0.29179265252384334</v>
      </c>
      <c r="T526" s="4">
        <v>13422.120292817721</v>
      </c>
      <c r="U526" s="5">
        <f t="shared" si="34"/>
        <v>-0.25432665039901547</v>
      </c>
      <c r="V526" s="4">
        <v>12147.7509765625</v>
      </c>
      <c r="W526" s="5">
        <f t="shared" si="35"/>
        <v>-0.32512494574652773</v>
      </c>
    </row>
    <row r="527" spans="1:23" x14ac:dyDescent="0.25">
      <c r="A527" t="s">
        <v>822</v>
      </c>
      <c r="B527">
        <v>2014</v>
      </c>
      <c r="C527" t="s">
        <v>113</v>
      </c>
      <c r="D527" t="s">
        <v>114</v>
      </c>
      <c r="E527">
        <v>71661</v>
      </c>
      <c r="F527" t="s">
        <v>82</v>
      </c>
      <c r="G527" t="s">
        <v>34</v>
      </c>
      <c r="H527" t="s">
        <v>25</v>
      </c>
      <c r="I527" t="s">
        <v>24</v>
      </c>
      <c r="J527" s="2">
        <v>45552</v>
      </c>
      <c r="K527" t="s">
        <v>25</v>
      </c>
      <c r="L527">
        <v>44067</v>
      </c>
      <c r="M527">
        <v>235</v>
      </c>
      <c r="N527">
        <v>285</v>
      </c>
      <c r="O527" s="4">
        <v>12700</v>
      </c>
      <c r="P527" s="4">
        <v>6495.208984375</v>
      </c>
      <c r="Q527" s="5">
        <f t="shared" si="32"/>
        <v>-0.48856622170275588</v>
      </c>
      <c r="R527" s="4">
        <v>6278.5885153330892</v>
      </c>
      <c r="S527" s="5">
        <f t="shared" si="33"/>
        <v>-0.50562295154857573</v>
      </c>
      <c r="T527" s="4">
        <v>7889.9534895229563</v>
      </c>
      <c r="U527" s="5">
        <f t="shared" si="34"/>
        <v>-0.37874381972260185</v>
      </c>
      <c r="V527" s="4">
        <v>6493.33251953125</v>
      </c>
      <c r="W527" s="5">
        <f t="shared" si="35"/>
        <v>-0.48871397484005907</v>
      </c>
    </row>
    <row r="528" spans="1:23" x14ac:dyDescent="0.25">
      <c r="A528" t="s">
        <v>823</v>
      </c>
      <c r="B528">
        <v>2014</v>
      </c>
      <c r="C528" t="s">
        <v>113</v>
      </c>
      <c r="D528" t="s">
        <v>576</v>
      </c>
      <c r="E528">
        <v>125420</v>
      </c>
      <c r="F528" t="s">
        <v>382</v>
      </c>
      <c r="G528" t="s">
        <v>30</v>
      </c>
      <c r="H528" t="s">
        <v>24</v>
      </c>
      <c r="I528" t="s">
        <v>25</v>
      </c>
      <c r="J528" s="2">
        <v>45309</v>
      </c>
      <c r="K528" t="s">
        <v>25</v>
      </c>
      <c r="L528">
        <v>44067</v>
      </c>
      <c r="M528">
        <v>235</v>
      </c>
      <c r="N528">
        <v>285</v>
      </c>
      <c r="O528" s="4">
        <v>4400</v>
      </c>
      <c r="P528" s="4">
        <v>4046.955322265625</v>
      </c>
      <c r="Q528" s="5">
        <f t="shared" si="32"/>
        <v>-8.0237426757812536E-2</v>
      </c>
      <c r="R528" s="4">
        <v>4296.5832782198004</v>
      </c>
      <c r="S528" s="5">
        <f t="shared" si="33"/>
        <v>-2.3503800404590769E-2</v>
      </c>
      <c r="T528" s="4">
        <v>4084.9907183529631</v>
      </c>
      <c r="U528" s="5">
        <f t="shared" si="34"/>
        <v>-7.159301855614475E-2</v>
      </c>
      <c r="V528" s="4">
        <v>4013.01611328125</v>
      </c>
      <c r="W528" s="5">
        <f t="shared" si="35"/>
        <v>-8.7950883345170427E-2</v>
      </c>
    </row>
    <row r="529" spans="1:23" x14ac:dyDescent="0.25">
      <c r="A529" t="s">
        <v>824</v>
      </c>
      <c r="B529">
        <v>2017</v>
      </c>
      <c r="C529" t="s">
        <v>185</v>
      </c>
      <c r="D529" t="s">
        <v>825</v>
      </c>
      <c r="E529">
        <v>96507</v>
      </c>
      <c r="F529" t="s">
        <v>246</v>
      </c>
      <c r="G529" t="s">
        <v>34</v>
      </c>
      <c r="H529" t="s">
        <v>25</v>
      </c>
      <c r="I529" t="s">
        <v>24</v>
      </c>
      <c r="J529" s="2">
        <v>45596</v>
      </c>
      <c r="K529" t="s">
        <v>25</v>
      </c>
      <c r="L529">
        <v>44067</v>
      </c>
      <c r="M529">
        <v>235</v>
      </c>
      <c r="N529">
        <v>285</v>
      </c>
      <c r="O529" s="4">
        <v>14100</v>
      </c>
      <c r="P529" s="4">
        <v>5287.40869140625</v>
      </c>
      <c r="Q529" s="5">
        <f t="shared" si="32"/>
        <v>-0.6250064757867908</v>
      </c>
      <c r="R529" s="4">
        <v>4799.0992501696483</v>
      </c>
      <c r="S529" s="5">
        <f t="shared" si="33"/>
        <v>-0.65963835105179802</v>
      </c>
      <c r="T529" s="4">
        <v>5558.9103405181468</v>
      </c>
      <c r="U529" s="5">
        <f t="shared" si="34"/>
        <v>-0.60575103967956401</v>
      </c>
      <c r="V529" s="4">
        <v>5249.74267578125</v>
      </c>
      <c r="W529" s="5">
        <f t="shared" si="35"/>
        <v>-0.62767782441267728</v>
      </c>
    </row>
    <row r="530" spans="1:23" x14ac:dyDescent="0.25">
      <c r="A530" t="s">
        <v>826</v>
      </c>
      <c r="B530">
        <v>2018</v>
      </c>
      <c r="C530" t="s">
        <v>185</v>
      </c>
      <c r="D530" t="s">
        <v>536</v>
      </c>
      <c r="E530">
        <v>96938</v>
      </c>
      <c r="F530" t="s">
        <v>621</v>
      </c>
      <c r="G530" t="s">
        <v>44</v>
      </c>
      <c r="H530" t="s">
        <v>25</v>
      </c>
      <c r="I530" t="s">
        <v>24</v>
      </c>
      <c r="J530" s="2">
        <v>45498</v>
      </c>
      <c r="K530" t="s">
        <v>25</v>
      </c>
      <c r="L530">
        <v>44067</v>
      </c>
      <c r="M530">
        <v>235</v>
      </c>
      <c r="N530">
        <v>285</v>
      </c>
      <c r="O530" s="4">
        <v>11400</v>
      </c>
      <c r="P530" s="4">
        <v>10557.2216796875</v>
      </c>
      <c r="Q530" s="5">
        <f t="shared" si="32"/>
        <v>-7.3927922834429838E-2</v>
      </c>
      <c r="R530" s="4">
        <v>11636.89118711192</v>
      </c>
      <c r="S530" s="5">
        <f t="shared" si="33"/>
        <v>2.0779928694028005E-2</v>
      </c>
      <c r="T530" s="4">
        <v>12924.73519525347</v>
      </c>
      <c r="U530" s="5">
        <f t="shared" si="34"/>
        <v>0.13374870133802363</v>
      </c>
      <c r="V530" s="4">
        <v>10322.8173828125</v>
      </c>
      <c r="W530" s="5">
        <f t="shared" si="35"/>
        <v>-9.4489703262061409E-2</v>
      </c>
    </row>
    <row r="531" spans="1:23" x14ac:dyDescent="0.25">
      <c r="A531" t="s">
        <v>827</v>
      </c>
      <c r="B531">
        <v>2018</v>
      </c>
      <c r="C531" t="s">
        <v>185</v>
      </c>
      <c r="D531" t="s">
        <v>229</v>
      </c>
      <c r="E531">
        <v>191606</v>
      </c>
      <c r="F531" t="s">
        <v>37</v>
      </c>
      <c r="G531" t="s">
        <v>30</v>
      </c>
      <c r="H531" t="s">
        <v>24</v>
      </c>
      <c r="I531" t="s">
        <v>25</v>
      </c>
      <c r="J531" s="2">
        <v>45692</v>
      </c>
      <c r="K531" t="s">
        <v>25</v>
      </c>
      <c r="L531">
        <v>44067</v>
      </c>
      <c r="M531">
        <v>235</v>
      </c>
      <c r="N531">
        <v>285</v>
      </c>
      <c r="O531" s="4">
        <v>9200</v>
      </c>
      <c r="P531" s="4">
        <v>2263.991455078125</v>
      </c>
      <c r="Q531" s="5">
        <f t="shared" si="32"/>
        <v>-0.75391397227411683</v>
      </c>
      <c r="R531" s="4">
        <v>4185.6023469045422</v>
      </c>
      <c r="S531" s="5">
        <f t="shared" si="33"/>
        <v>-0.54504322316254972</v>
      </c>
      <c r="T531" s="4">
        <v>2905.169811358533</v>
      </c>
      <c r="U531" s="5">
        <f t="shared" si="34"/>
        <v>-0.68422067267842035</v>
      </c>
      <c r="V531" s="4">
        <v>2081.294677734375</v>
      </c>
      <c r="W531" s="5">
        <f t="shared" si="35"/>
        <v>-0.77377231763756793</v>
      </c>
    </row>
    <row r="532" spans="1:23" x14ac:dyDescent="0.25">
      <c r="A532" t="s">
        <v>828</v>
      </c>
      <c r="B532">
        <v>2016</v>
      </c>
      <c r="C532" t="s">
        <v>185</v>
      </c>
      <c r="D532" t="s">
        <v>536</v>
      </c>
      <c r="E532">
        <v>102723</v>
      </c>
      <c r="F532" t="s">
        <v>98</v>
      </c>
      <c r="G532" t="s">
        <v>38</v>
      </c>
      <c r="H532" t="s">
        <v>25</v>
      </c>
      <c r="I532" t="s">
        <v>24</v>
      </c>
      <c r="J532" s="2">
        <v>45610</v>
      </c>
      <c r="K532" t="s">
        <v>25</v>
      </c>
      <c r="L532">
        <v>44067</v>
      </c>
      <c r="M532">
        <v>235</v>
      </c>
      <c r="N532">
        <v>285</v>
      </c>
      <c r="O532" s="4">
        <v>10100</v>
      </c>
      <c r="P532" s="4">
        <v>6251.10986328125</v>
      </c>
      <c r="Q532" s="5">
        <f t="shared" si="32"/>
        <v>-0.38107823135829211</v>
      </c>
      <c r="R532" s="4">
        <v>7270.3027437730943</v>
      </c>
      <c r="S532" s="5">
        <f t="shared" si="33"/>
        <v>-0.28016804517098071</v>
      </c>
      <c r="T532" s="4">
        <v>8332.0297036219399</v>
      </c>
      <c r="U532" s="5">
        <f t="shared" si="34"/>
        <v>-0.1750465639978277</v>
      </c>
      <c r="V532" s="4">
        <v>5684.76025390625</v>
      </c>
      <c r="W532" s="5">
        <f t="shared" si="35"/>
        <v>-0.43715245010829207</v>
      </c>
    </row>
    <row r="533" spans="1:23" x14ac:dyDescent="0.25">
      <c r="A533" t="s">
        <v>829</v>
      </c>
      <c r="B533">
        <v>2014</v>
      </c>
      <c r="C533" t="s">
        <v>185</v>
      </c>
      <c r="D533" t="s">
        <v>536</v>
      </c>
      <c r="E533">
        <v>84451</v>
      </c>
      <c r="F533" t="s">
        <v>475</v>
      </c>
      <c r="G533" t="s">
        <v>38</v>
      </c>
      <c r="H533" t="s">
        <v>25</v>
      </c>
      <c r="I533" t="s">
        <v>24</v>
      </c>
      <c r="J533" s="2">
        <v>45449</v>
      </c>
      <c r="K533" t="s">
        <v>25</v>
      </c>
      <c r="L533">
        <v>44067</v>
      </c>
      <c r="M533">
        <v>235</v>
      </c>
      <c r="N533">
        <v>285</v>
      </c>
      <c r="O533" s="4">
        <v>2500</v>
      </c>
      <c r="P533" s="4">
        <v>4653.77001953125</v>
      </c>
      <c r="Q533" s="5">
        <f t="shared" si="32"/>
        <v>0.86150800781249992</v>
      </c>
      <c r="R533" s="4">
        <v>5644.7085223294062</v>
      </c>
      <c r="S533" s="5">
        <f t="shared" si="33"/>
        <v>1.2578834089317623</v>
      </c>
      <c r="T533" s="4">
        <v>7371.5458753150269</v>
      </c>
      <c r="U533" s="5">
        <f t="shared" si="34"/>
        <v>1.9486183501260106</v>
      </c>
      <c r="V533" s="4">
        <v>4231.4873046875</v>
      </c>
      <c r="W533" s="5">
        <f t="shared" si="35"/>
        <v>0.69259492187500005</v>
      </c>
    </row>
    <row r="534" spans="1:23" x14ac:dyDescent="0.25">
      <c r="A534" t="s">
        <v>830</v>
      </c>
      <c r="B534">
        <v>2015</v>
      </c>
      <c r="C534" t="s">
        <v>185</v>
      </c>
      <c r="D534" t="s">
        <v>831</v>
      </c>
      <c r="E534">
        <v>68512</v>
      </c>
      <c r="F534" t="s">
        <v>189</v>
      </c>
      <c r="G534" t="s">
        <v>44</v>
      </c>
      <c r="H534" t="s">
        <v>25</v>
      </c>
      <c r="I534" t="s">
        <v>24</v>
      </c>
      <c r="J534" s="2">
        <v>45356</v>
      </c>
      <c r="K534" t="s">
        <v>25</v>
      </c>
      <c r="L534">
        <v>44067</v>
      </c>
      <c r="M534">
        <v>235</v>
      </c>
      <c r="N534">
        <v>285</v>
      </c>
      <c r="O534" s="4">
        <v>3614.2857142857101</v>
      </c>
      <c r="P534" s="4">
        <v>6828.50830078125</v>
      </c>
      <c r="Q534" s="5">
        <f t="shared" si="32"/>
        <v>0.88931059705410287</v>
      </c>
      <c r="R534" s="4">
        <v>11226.884073051169</v>
      </c>
      <c r="S534" s="5">
        <f t="shared" si="33"/>
        <v>2.1062525103303664</v>
      </c>
      <c r="T534" s="4">
        <v>8539.3403315231426</v>
      </c>
      <c r="U534" s="5">
        <f t="shared" si="34"/>
        <v>1.3626633328324926</v>
      </c>
      <c r="V534" s="4">
        <v>8787.9970703125</v>
      </c>
      <c r="W534" s="5">
        <f t="shared" si="35"/>
        <v>1.4314616400074138</v>
      </c>
    </row>
    <row r="535" spans="1:23" x14ac:dyDescent="0.25">
      <c r="A535" t="s">
        <v>832</v>
      </c>
      <c r="B535">
        <v>2014</v>
      </c>
      <c r="C535" t="s">
        <v>266</v>
      </c>
      <c r="D535" t="s">
        <v>833</v>
      </c>
      <c r="E535">
        <v>182745</v>
      </c>
      <c r="F535" t="s">
        <v>79</v>
      </c>
      <c r="G535" t="s">
        <v>30</v>
      </c>
      <c r="H535" t="s">
        <v>24</v>
      </c>
      <c r="I535" t="s">
        <v>25</v>
      </c>
      <c r="J535" s="2">
        <v>45610</v>
      </c>
      <c r="K535" t="s">
        <v>25</v>
      </c>
      <c r="L535">
        <v>44067</v>
      </c>
      <c r="M535">
        <v>235</v>
      </c>
      <c r="N535">
        <v>285</v>
      </c>
      <c r="O535" s="4">
        <v>800</v>
      </c>
      <c r="P535" s="4">
        <v>1389.421142578125</v>
      </c>
      <c r="Q535" s="5">
        <f t="shared" si="32"/>
        <v>0.73677642822265632</v>
      </c>
      <c r="R535" s="4">
        <v>1406.345612892816</v>
      </c>
      <c r="S535" s="5">
        <f t="shared" si="33"/>
        <v>0.7579320161160199</v>
      </c>
      <c r="T535" s="4">
        <v>2082.3206035669591</v>
      </c>
      <c r="U535" s="5">
        <f t="shared" si="34"/>
        <v>1.6029007544586991</v>
      </c>
      <c r="V535" s="4">
        <v>1375.471069335938</v>
      </c>
      <c r="W535" s="5">
        <f t="shared" si="35"/>
        <v>0.71933883666992249</v>
      </c>
    </row>
    <row r="536" spans="1:23" x14ac:dyDescent="0.25">
      <c r="A536" t="s">
        <v>834</v>
      </c>
      <c r="B536">
        <v>2013</v>
      </c>
      <c r="C536" t="s">
        <v>53</v>
      </c>
      <c r="D536" t="s">
        <v>568</v>
      </c>
      <c r="E536">
        <v>75176</v>
      </c>
      <c r="F536" t="s">
        <v>82</v>
      </c>
      <c r="G536" t="s">
        <v>30</v>
      </c>
      <c r="H536" t="s">
        <v>24</v>
      </c>
      <c r="I536" t="s">
        <v>25</v>
      </c>
      <c r="J536" s="2">
        <v>45454</v>
      </c>
      <c r="K536" t="s">
        <v>25</v>
      </c>
      <c r="L536">
        <v>44067</v>
      </c>
      <c r="M536">
        <v>235</v>
      </c>
      <c r="N536">
        <v>285</v>
      </c>
      <c r="O536" s="4">
        <v>6200</v>
      </c>
      <c r="P536" s="4">
        <v>6318.92822265625</v>
      </c>
      <c r="Q536" s="5">
        <f t="shared" si="32"/>
        <v>1.9181971396169395E-2</v>
      </c>
      <c r="R536" s="4">
        <v>5223.8395448402516</v>
      </c>
      <c r="S536" s="5">
        <f t="shared" si="33"/>
        <v>-0.15744523470318528</v>
      </c>
      <c r="T536" s="4">
        <v>9278.0028208904387</v>
      </c>
      <c r="U536" s="5">
        <f t="shared" si="34"/>
        <v>0.49645206788555463</v>
      </c>
      <c r="V536" s="4">
        <v>6236.439453125</v>
      </c>
      <c r="W536" s="5">
        <f t="shared" si="35"/>
        <v>5.8773311491935321E-3</v>
      </c>
    </row>
    <row r="537" spans="1:23" x14ac:dyDescent="0.25">
      <c r="A537" t="s">
        <v>835</v>
      </c>
      <c r="B537">
        <v>2012</v>
      </c>
      <c r="C537" t="s">
        <v>120</v>
      </c>
      <c r="D537" t="s">
        <v>691</v>
      </c>
      <c r="E537">
        <v>85352</v>
      </c>
      <c r="F537" t="s">
        <v>696</v>
      </c>
      <c r="G537" t="s">
        <v>23</v>
      </c>
      <c r="H537" t="s">
        <v>24</v>
      </c>
      <c r="I537" t="s">
        <v>25</v>
      </c>
      <c r="J537" s="2">
        <v>45426</v>
      </c>
      <c r="K537" t="s">
        <v>25</v>
      </c>
      <c r="L537">
        <v>44067</v>
      </c>
      <c r="M537">
        <v>235</v>
      </c>
      <c r="N537">
        <v>285</v>
      </c>
      <c r="O537" s="4">
        <v>4400</v>
      </c>
      <c r="P537" s="4">
        <v>3149.721923828125</v>
      </c>
      <c r="Q537" s="5">
        <f t="shared" si="32"/>
        <v>-0.28415410822088072</v>
      </c>
      <c r="R537" s="4">
        <v>2988.9567285863568</v>
      </c>
      <c r="S537" s="5">
        <f t="shared" si="33"/>
        <v>-0.32069165259400978</v>
      </c>
      <c r="T537" s="4">
        <v>2728.6952054000039</v>
      </c>
      <c r="U537" s="5">
        <f t="shared" si="34"/>
        <v>-0.3798419987727264</v>
      </c>
      <c r="V537" s="4">
        <v>3137.748779296875</v>
      </c>
      <c r="W537" s="5">
        <f t="shared" si="35"/>
        <v>-0.28687527743252839</v>
      </c>
    </row>
    <row r="538" spans="1:23" x14ac:dyDescent="0.25">
      <c r="A538" t="s">
        <v>836</v>
      </c>
      <c r="B538">
        <v>2012</v>
      </c>
      <c r="C538" t="s">
        <v>120</v>
      </c>
      <c r="D538">
        <v>300</v>
      </c>
      <c r="E538">
        <v>155376</v>
      </c>
      <c r="F538" t="s">
        <v>55</v>
      </c>
      <c r="G538" t="s">
        <v>38</v>
      </c>
      <c r="H538" t="s">
        <v>25</v>
      </c>
      <c r="I538" t="s">
        <v>24</v>
      </c>
      <c r="J538" s="2">
        <v>45594</v>
      </c>
      <c r="K538" t="s">
        <v>25</v>
      </c>
      <c r="L538">
        <v>44067</v>
      </c>
      <c r="M538">
        <v>235</v>
      </c>
      <c r="N538">
        <v>285</v>
      </c>
      <c r="O538" s="4">
        <v>500</v>
      </c>
      <c r="P538" s="4">
        <v>1461.6123046875</v>
      </c>
      <c r="Q538" s="5">
        <f t="shared" si="32"/>
        <v>1.9232246093750001</v>
      </c>
      <c r="R538" s="4">
        <v>1385.3609103851629</v>
      </c>
      <c r="S538" s="5">
        <f t="shared" si="33"/>
        <v>1.7707218207703259</v>
      </c>
      <c r="T538" s="4">
        <v>1988.3804378147031</v>
      </c>
      <c r="U538" s="5">
        <f t="shared" si="34"/>
        <v>2.9767608756294064</v>
      </c>
      <c r="V538" s="4">
        <v>1459.436401367188</v>
      </c>
      <c r="W538" s="5">
        <f t="shared" si="35"/>
        <v>1.9188728027343758</v>
      </c>
    </row>
    <row r="539" spans="1:23" x14ac:dyDescent="0.25">
      <c r="A539" t="s">
        <v>837</v>
      </c>
      <c r="B539">
        <v>2017</v>
      </c>
      <c r="C539" t="s">
        <v>46</v>
      </c>
      <c r="D539" t="s">
        <v>122</v>
      </c>
      <c r="E539">
        <v>148251</v>
      </c>
      <c r="F539" t="s">
        <v>106</v>
      </c>
      <c r="G539" t="s">
        <v>38</v>
      </c>
      <c r="H539" t="s">
        <v>25</v>
      </c>
      <c r="I539" t="s">
        <v>24</v>
      </c>
      <c r="J539" s="2">
        <v>45454</v>
      </c>
      <c r="K539" t="s">
        <v>25</v>
      </c>
      <c r="L539">
        <v>44067</v>
      </c>
      <c r="M539">
        <v>235</v>
      </c>
      <c r="N539">
        <v>285</v>
      </c>
      <c r="O539" s="4">
        <v>15500</v>
      </c>
      <c r="P539" s="4">
        <v>6508.64111328125</v>
      </c>
      <c r="Q539" s="5">
        <f t="shared" si="32"/>
        <v>-0.58008767011088702</v>
      </c>
      <c r="R539" s="4">
        <v>6688.3432225981996</v>
      </c>
      <c r="S539" s="5">
        <f t="shared" si="33"/>
        <v>-0.56849398563882581</v>
      </c>
      <c r="T539" s="4">
        <v>7831.8761276433761</v>
      </c>
      <c r="U539" s="5">
        <f t="shared" si="34"/>
        <v>-0.49471766918429827</v>
      </c>
      <c r="V539" s="4">
        <v>6493.33251953125</v>
      </c>
      <c r="W539" s="5">
        <f t="shared" si="35"/>
        <v>-0.5810753213205645</v>
      </c>
    </row>
    <row r="540" spans="1:23" x14ac:dyDescent="0.25">
      <c r="A540" t="s">
        <v>838</v>
      </c>
      <c r="B540">
        <v>2019</v>
      </c>
      <c r="C540" t="s">
        <v>46</v>
      </c>
      <c r="D540" t="s">
        <v>234</v>
      </c>
      <c r="E540">
        <v>117119</v>
      </c>
      <c r="F540" t="s">
        <v>382</v>
      </c>
      <c r="G540" t="s">
        <v>34</v>
      </c>
      <c r="H540" t="s">
        <v>25</v>
      </c>
      <c r="I540" t="s">
        <v>24</v>
      </c>
      <c r="J540" s="2">
        <v>45580</v>
      </c>
      <c r="K540" t="s">
        <v>25</v>
      </c>
      <c r="L540">
        <v>44067</v>
      </c>
      <c r="M540">
        <v>235</v>
      </c>
      <c r="N540">
        <v>285</v>
      </c>
      <c r="O540" s="4">
        <v>12600</v>
      </c>
      <c r="P540" s="4">
        <v>7263.3408203125</v>
      </c>
      <c r="Q540" s="5">
        <f t="shared" si="32"/>
        <v>-0.42354437934027778</v>
      </c>
      <c r="R540" s="4">
        <v>8178.4949296313134</v>
      </c>
      <c r="S540" s="5">
        <f t="shared" si="33"/>
        <v>-0.35091310082291161</v>
      </c>
      <c r="T540" s="4">
        <v>4495.1712220396412</v>
      </c>
      <c r="U540" s="5">
        <f t="shared" si="34"/>
        <v>-0.64324037920320309</v>
      </c>
      <c r="V540" s="4">
        <v>7138.80224609375</v>
      </c>
      <c r="W540" s="5">
        <f t="shared" si="35"/>
        <v>-0.43342839316716275</v>
      </c>
    </row>
    <row r="541" spans="1:23" x14ac:dyDescent="0.25">
      <c r="A541" t="s">
        <v>839</v>
      </c>
      <c r="B541">
        <v>2014</v>
      </c>
      <c r="C541" t="s">
        <v>20</v>
      </c>
      <c r="D541" t="s">
        <v>236</v>
      </c>
      <c r="E541">
        <v>107207</v>
      </c>
      <c r="F541" t="s">
        <v>22</v>
      </c>
      <c r="G541" t="s">
        <v>30</v>
      </c>
      <c r="H541" t="s">
        <v>24</v>
      </c>
      <c r="I541" t="s">
        <v>25</v>
      </c>
      <c r="J541" s="2">
        <v>45524</v>
      </c>
      <c r="K541" t="s">
        <v>25</v>
      </c>
      <c r="L541">
        <v>44067</v>
      </c>
      <c r="M541">
        <v>235</v>
      </c>
      <c r="N541">
        <v>285</v>
      </c>
      <c r="O541" s="4">
        <v>22500</v>
      </c>
      <c r="P541" s="4">
        <v>4181.337890625</v>
      </c>
      <c r="Q541" s="5">
        <f t="shared" si="32"/>
        <v>-0.81416276041666669</v>
      </c>
      <c r="R541" s="4">
        <v>4244.9804127322514</v>
      </c>
      <c r="S541" s="5">
        <f t="shared" si="33"/>
        <v>-0.81133420387856658</v>
      </c>
      <c r="T541" s="4">
        <v>6852.3724505134714</v>
      </c>
      <c r="U541" s="5">
        <f t="shared" si="34"/>
        <v>-0.69545011331051243</v>
      </c>
      <c r="V541" s="4">
        <v>4202.115234375</v>
      </c>
      <c r="W541" s="5">
        <f t="shared" si="35"/>
        <v>-0.81323932291666667</v>
      </c>
    </row>
    <row r="542" spans="1:23" x14ac:dyDescent="0.25">
      <c r="A542" t="s">
        <v>840</v>
      </c>
      <c r="B542">
        <v>2017</v>
      </c>
      <c r="C542" t="s">
        <v>104</v>
      </c>
      <c r="D542" t="s">
        <v>419</v>
      </c>
      <c r="E542">
        <v>191353</v>
      </c>
      <c r="F542" t="s">
        <v>382</v>
      </c>
      <c r="G542" t="s">
        <v>23</v>
      </c>
      <c r="H542" t="s">
        <v>24</v>
      </c>
      <c r="I542" t="s">
        <v>25</v>
      </c>
      <c r="J542" s="2">
        <v>45610</v>
      </c>
      <c r="K542" t="s">
        <v>25</v>
      </c>
      <c r="L542">
        <v>44067</v>
      </c>
      <c r="M542">
        <v>235</v>
      </c>
      <c r="N542">
        <v>285</v>
      </c>
      <c r="O542" s="4">
        <v>4900</v>
      </c>
      <c r="P542" s="4">
        <v>5810.5615234375</v>
      </c>
      <c r="Q542" s="5">
        <f t="shared" si="32"/>
        <v>0.1858288823341836</v>
      </c>
      <c r="R542" s="4">
        <v>5967.3030355093724</v>
      </c>
      <c r="S542" s="5">
        <f t="shared" si="33"/>
        <v>0.21781694602232093</v>
      </c>
      <c r="T542" s="4">
        <v>7953.0184677213329</v>
      </c>
      <c r="U542" s="5">
        <f t="shared" si="34"/>
        <v>0.62306499341251698</v>
      </c>
      <c r="V542" s="4">
        <v>5845.49658203125</v>
      </c>
      <c r="W542" s="5">
        <f t="shared" si="35"/>
        <v>0.19295848612882649</v>
      </c>
    </row>
    <row r="543" spans="1:23" x14ac:dyDescent="0.25">
      <c r="A543" t="s">
        <v>841</v>
      </c>
      <c r="B543">
        <v>2017</v>
      </c>
      <c r="C543" t="s">
        <v>20</v>
      </c>
      <c r="D543" t="s">
        <v>134</v>
      </c>
      <c r="E543">
        <v>85996</v>
      </c>
      <c r="F543" t="s">
        <v>87</v>
      </c>
      <c r="G543" t="s">
        <v>38</v>
      </c>
      <c r="H543" t="s">
        <v>25</v>
      </c>
      <c r="I543" t="s">
        <v>24</v>
      </c>
      <c r="J543" s="2">
        <v>45568</v>
      </c>
      <c r="K543" t="s">
        <v>25</v>
      </c>
      <c r="L543">
        <v>44067</v>
      </c>
      <c r="M543">
        <v>235</v>
      </c>
      <c r="N543">
        <v>285</v>
      </c>
      <c r="O543" s="4">
        <v>12200</v>
      </c>
      <c r="P543" s="4">
        <v>10759.7900390625</v>
      </c>
      <c r="Q543" s="5">
        <f t="shared" si="32"/>
        <v>-0.11804999679815575</v>
      </c>
      <c r="R543" s="4">
        <v>11666.84711949733</v>
      </c>
      <c r="S543" s="5">
        <f t="shared" si="33"/>
        <v>-4.3701055778907372E-2</v>
      </c>
      <c r="T543" s="4">
        <v>14454.160079902071</v>
      </c>
      <c r="U543" s="5">
        <f t="shared" si="34"/>
        <v>0.18476721966410414</v>
      </c>
      <c r="V543" s="4">
        <v>10855.3974609375</v>
      </c>
      <c r="W543" s="5">
        <f t="shared" si="35"/>
        <v>-0.11021332287397545</v>
      </c>
    </row>
    <row r="544" spans="1:23" x14ac:dyDescent="0.25">
      <c r="A544" t="s">
        <v>842</v>
      </c>
      <c r="B544">
        <v>2017</v>
      </c>
      <c r="C544" t="s">
        <v>20</v>
      </c>
      <c r="D544" t="s">
        <v>134</v>
      </c>
      <c r="E544">
        <v>157068</v>
      </c>
      <c r="F544" t="s">
        <v>22</v>
      </c>
      <c r="G544" t="s">
        <v>23</v>
      </c>
      <c r="H544" t="s">
        <v>24</v>
      </c>
      <c r="I544" t="s">
        <v>25</v>
      </c>
      <c r="J544" s="2">
        <v>45561</v>
      </c>
      <c r="K544" t="s">
        <v>25</v>
      </c>
      <c r="L544">
        <v>44067</v>
      </c>
      <c r="M544">
        <v>235</v>
      </c>
      <c r="N544">
        <v>285</v>
      </c>
      <c r="O544" s="4">
        <v>12200</v>
      </c>
      <c r="P544" s="4">
        <v>4049.40869140625</v>
      </c>
      <c r="Q544" s="5">
        <f t="shared" si="32"/>
        <v>-0.66808125480276637</v>
      </c>
      <c r="R544" s="4">
        <v>4444.7221258179916</v>
      </c>
      <c r="S544" s="5">
        <f t="shared" si="33"/>
        <v>-0.63567851427721378</v>
      </c>
      <c r="T544" s="4">
        <v>5907.4827044984086</v>
      </c>
      <c r="U544" s="5">
        <f t="shared" si="34"/>
        <v>-0.51578010618865511</v>
      </c>
      <c r="V544" s="4">
        <v>4023.49267578125</v>
      </c>
      <c r="W544" s="5">
        <f t="shared" si="35"/>
        <v>-0.670205518378586</v>
      </c>
    </row>
    <row r="545" spans="1:23" x14ac:dyDescent="0.25">
      <c r="A545" t="s">
        <v>843</v>
      </c>
      <c r="B545">
        <v>2020</v>
      </c>
      <c r="C545" t="s">
        <v>20</v>
      </c>
      <c r="D545" t="s">
        <v>134</v>
      </c>
      <c r="E545">
        <v>90526</v>
      </c>
      <c r="F545" t="s">
        <v>475</v>
      </c>
      <c r="G545" t="s">
        <v>44</v>
      </c>
      <c r="H545" t="s">
        <v>25</v>
      </c>
      <c r="I545" t="s">
        <v>24</v>
      </c>
      <c r="J545" s="2">
        <v>45645</v>
      </c>
      <c r="K545" t="s">
        <v>25</v>
      </c>
      <c r="L545">
        <v>44067</v>
      </c>
      <c r="M545">
        <v>235</v>
      </c>
      <c r="N545">
        <v>285</v>
      </c>
      <c r="O545" s="4">
        <v>17000</v>
      </c>
      <c r="P545" s="4">
        <v>14377.9482421875</v>
      </c>
      <c r="Q545" s="5">
        <f t="shared" si="32"/>
        <v>-0.15423833869485293</v>
      </c>
      <c r="R545" s="4">
        <v>14282.14880971303</v>
      </c>
      <c r="S545" s="5">
        <f t="shared" si="33"/>
        <v>-0.15987359942864532</v>
      </c>
      <c r="T545" s="4">
        <v>14674.948267579</v>
      </c>
      <c r="U545" s="5">
        <f t="shared" si="34"/>
        <v>-0.13676774896594113</v>
      </c>
      <c r="V545" s="4">
        <v>14506.486328125</v>
      </c>
      <c r="W545" s="5">
        <f t="shared" si="35"/>
        <v>-0.14667727481617643</v>
      </c>
    </row>
    <row r="546" spans="1:23" x14ac:dyDescent="0.25">
      <c r="A546" t="s">
        <v>844</v>
      </c>
      <c r="B546">
        <v>2017</v>
      </c>
      <c r="C546" t="s">
        <v>20</v>
      </c>
      <c r="D546" t="s">
        <v>108</v>
      </c>
      <c r="E546">
        <v>85601</v>
      </c>
      <c r="F546" t="s">
        <v>141</v>
      </c>
      <c r="G546" t="s">
        <v>38</v>
      </c>
      <c r="H546" t="s">
        <v>25</v>
      </c>
      <c r="I546" t="s">
        <v>24</v>
      </c>
      <c r="J546" s="2">
        <v>45498</v>
      </c>
      <c r="K546" t="s">
        <v>25</v>
      </c>
      <c r="L546">
        <v>44067</v>
      </c>
      <c r="M546">
        <v>235</v>
      </c>
      <c r="N546">
        <v>285</v>
      </c>
      <c r="O546" s="4">
        <v>12500</v>
      </c>
      <c r="P546" s="4">
        <v>10759.7900390625</v>
      </c>
      <c r="Q546" s="5">
        <f t="shared" si="32"/>
        <v>-0.13921679687499999</v>
      </c>
      <c r="R546" s="4">
        <v>10340.14674293481</v>
      </c>
      <c r="S546" s="5">
        <f t="shared" si="33"/>
        <v>-0.17278826056521512</v>
      </c>
      <c r="T546" s="4">
        <v>12196.1277033152</v>
      </c>
      <c r="U546" s="5">
        <f t="shared" si="34"/>
        <v>-2.4309783734783985E-2</v>
      </c>
      <c r="V546" s="4">
        <v>10735.2880859375</v>
      </c>
      <c r="W546" s="5">
        <f t="shared" si="35"/>
        <v>-0.141176953125</v>
      </c>
    </row>
    <row r="547" spans="1:23" x14ac:dyDescent="0.25">
      <c r="A547" t="s">
        <v>845</v>
      </c>
      <c r="B547">
        <v>2019</v>
      </c>
      <c r="C547" t="s">
        <v>113</v>
      </c>
      <c r="D547" t="s">
        <v>846</v>
      </c>
      <c r="E547">
        <v>70646</v>
      </c>
      <c r="F547" t="s">
        <v>29</v>
      </c>
      <c r="G547" t="s">
        <v>38</v>
      </c>
      <c r="H547" t="s">
        <v>25</v>
      </c>
      <c r="I547" t="s">
        <v>24</v>
      </c>
      <c r="J547" s="2">
        <v>45309</v>
      </c>
      <c r="K547" t="s">
        <v>25</v>
      </c>
      <c r="L547">
        <v>44067</v>
      </c>
      <c r="M547">
        <v>235</v>
      </c>
      <c r="N547">
        <v>285</v>
      </c>
      <c r="O547" s="4">
        <v>20300</v>
      </c>
      <c r="P547" s="4">
        <v>10874.73828125</v>
      </c>
      <c r="Q547" s="5">
        <f t="shared" si="32"/>
        <v>-0.46429860683497537</v>
      </c>
      <c r="R547" s="4">
        <v>15783.648296371</v>
      </c>
      <c r="S547" s="5">
        <f t="shared" si="33"/>
        <v>-0.22248037948911326</v>
      </c>
      <c r="T547" s="4">
        <v>14235.01857491692</v>
      </c>
      <c r="U547" s="5">
        <f t="shared" si="34"/>
        <v>-0.29876755788586606</v>
      </c>
      <c r="V547" s="4">
        <v>9984.5107421875</v>
      </c>
      <c r="W547" s="5">
        <f t="shared" si="35"/>
        <v>-0.50815218018780794</v>
      </c>
    </row>
    <row r="548" spans="1:23" x14ac:dyDescent="0.25">
      <c r="A548" t="s">
        <v>847</v>
      </c>
      <c r="B548">
        <v>2016</v>
      </c>
      <c r="C548" t="s">
        <v>159</v>
      </c>
      <c r="D548" t="s">
        <v>406</v>
      </c>
      <c r="E548">
        <v>92402</v>
      </c>
      <c r="F548" t="s">
        <v>254</v>
      </c>
      <c r="G548" t="s">
        <v>38</v>
      </c>
      <c r="H548" t="s">
        <v>25</v>
      </c>
      <c r="I548" t="s">
        <v>24</v>
      </c>
      <c r="J548" s="2">
        <v>45300</v>
      </c>
      <c r="K548" t="s">
        <v>25</v>
      </c>
      <c r="L548">
        <v>44067</v>
      </c>
      <c r="M548">
        <v>235</v>
      </c>
      <c r="N548">
        <v>285</v>
      </c>
      <c r="O548" s="4">
        <v>13100</v>
      </c>
      <c r="P548" s="4">
        <v>9234.337890625</v>
      </c>
      <c r="Q548" s="5">
        <f t="shared" si="32"/>
        <v>-0.29508871063931297</v>
      </c>
      <c r="R548" s="4">
        <v>8643.1179636400993</v>
      </c>
      <c r="S548" s="5">
        <f t="shared" si="33"/>
        <v>-0.34022000277556497</v>
      </c>
      <c r="T548" s="4">
        <v>6621.2375741593323</v>
      </c>
      <c r="U548" s="5">
        <f t="shared" si="34"/>
        <v>-0.49456201723974558</v>
      </c>
      <c r="V548" s="4">
        <v>9301.4140625</v>
      </c>
      <c r="W548" s="5">
        <f t="shared" si="35"/>
        <v>-0.28996839217557246</v>
      </c>
    </row>
    <row r="549" spans="1:23" x14ac:dyDescent="0.25">
      <c r="A549" t="s">
        <v>848</v>
      </c>
      <c r="B549">
        <v>2017</v>
      </c>
      <c r="C549" t="s">
        <v>139</v>
      </c>
      <c r="D549" t="s">
        <v>283</v>
      </c>
      <c r="E549">
        <v>84237</v>
      </c>
      <c r="F549" t="s">
        <v>649</v>
      </c>
      <c r="G549" t="s">
        <v>23</v>
      </c>
      <c r="H549" t="s">
        <v>24</v>
      </c>
      <c r="I549" t="s">
        <v>25</v>
      </c>
      <c r="J549" s="2">
        <v>45566</v>
      </c>
      <c r="K549" t="s">
        <v>25</v>
      </c>
      <c r="L549">
        <v>44067</v>
      </c>
      <c r="M549">
        <v>235</v>
      </c>
      <c r="N549">
        <v>285</v>
      </c>
      <c r="O549" s="4">
        <v>12300</v>
      </c>
      <c r="P549" s="4">
        <v>6376.37060546875</v>
      </c>
      <c r="Q549" s="5">
        <f t="shared" si="32"/>
        <v>-0.48159588573424794</v>
      </c>
      <c r="R549" s="4">
        <v>8340.5269512148043</v>
      </c>
      <c r="S549" s="5">
        <f t="shared" si="33"/>
        <v>-0.32190837795001592</v>
      </c>
      <c r="T549" s="4">
        <v>8093.9783073725666</v>
      </c>
      <c r="U549" s="5">
        <f t="shared" si="34"/>
        <v>-0.34195298314044176</v>
      </c>
      <c r="V549" s="4">
        <v>5587.6181640625</v>
      </c>
      <c r="W549" s="5">
        <f t="shared" si="35"/>
        <v>-0.54572210048272352</v>
      </c>
    </row>
    <row r="550" spans="1:23" x14ac:dyDescent="0.25">
      <c r="A550" t="s">
        <v>849</v>
      </c>
      <c r="B550">
        <v>2018</v>
      </c>
      <c r="C550" t="s">
        <v>139</v>
      </c>
      <c r="D550" t="s">
        <v>283</v>
      </c>
      <c r="E550">
        <v>139387</v>
      </c>
      <c r="F550" t="s">
        <v>48</v>
      </c>
      <c r="G550" t="s">
        <v>38</v>
      </c>
      <c r="H550" t="s">
        <v>25</v>
      </c>
      <c r="I550" t="s">
        <v>24</v>
      </c>
      <c r="J550" s="2">
        <v>45568</v>
      </c>
      <c r="K550" t="s">
        <v>25</v>
      </c>
      <c r="L550">
        <v>44067</v>
      </c>
      <c r="M550">
        <v>235</v>
      </c>
      <c r="N550">
        <v>285</v>
      </c>
      <c r="O550" s="4">
        <v>14750</v>
      </c>
      <c r="P550" s="4">
        <v>6389.7080078125</v>
      </c>
      <c r="Q550" s="5">
        <f t="shared" si="32"/>
        <v>-0.5667994570974576</v>
      </c>
      <c r="R550" s="4">
        <v>10012.9529014329</v>
      </c>
      <c r="S550" s="5">
        <f t="shared" si="33"/>
        <v>-0.32115573549607457</v>
      </c>
      <c r="T550" s="4">
        <v>7792.3762741237733</v>
      </c>
      <c r="U550" s="5">
        <f t="shared" si="34"/>
        <v>-0.47170330344923572</v>
      </c>
      <c r="V550" s="4">
        <v>5749.62109375</v>
      </c>
      <c r="W550" s="5">
        <f t="shared" si="35"/>
        <v>-0.61019518008474583</v>
      </c>
    </row>
    <row r="551" spans="1:23" x14ac:dyDescent="0.25">
      <c r="A551" t="s">
        <v>850</v>
      </c>
      <c r="B551">
        <v>2017</v>
      </c>
      <c r="C551" t="s">
        <v>53</v>
      </c>
      <c r="D551" t="s">
        <v>148</v>
      </c>
      <c r="E551">
        <v>186530</v>
      </c>
      <c r="F551" t="s">
        <v>77</v>
      </c>
      <c r="G551" t="s">
        <v>30</v>
      </c>
      <c r="H551" t="s">
        <v>24</v>
      </c>
      <c r="I551" t="s">
        <v>25</v>
      </c>
      <c r="J551" s="2">
        <v>45568</v>
      </c>
      <c r="K551" t="s">
        <v>25</v>
      </c>
      <c r="L551">
        <v>44067</v>
      </c>
      <c r="M551">
        <v>235</v>
      </c>
      <c r="N551">
        <v>285</v>
      </c>
      <c r="O551" s="4">
        <v>10000</v>
      </c>
      <c r="P551" s="4">
        <v>4233.34423828125</v>
      </c>
      <c r="Q551" s="5">
        <f t="shared" si="32"/>
        <v>-0.57666557617187508</v>
      </c>
      <c r="R551" s="4">
        <v>6106.0147325249955</v>
      </c>
      <c r="S551" s="5">
        <f t="shared" si="33"/>
        <v>-0.38939852674750042</v>
      </c>
      <c r="T551" s="4">
        <v>7469.1918348121944</v>
      </c>
      <c r="U551" s="5">
        <f t="shared" si="34"/>
        <v>-0.25308081651878056</v>
      </c>
      <c r="V551" s="4">
        <v>3774.72705078125</v>
      </c>
      <c r="W551" s="5">
        <f t="shared" si="35"/>
        <v>-0.62252729492187497</v>
      </c>
    </row>
    <row r="552" spans="1:23" x14ac:dyDescent="0.25">
      <c r="A552" t="s">
        <v>851</v>
      </c>
      <c r="B552">
        <v>2011</v>
      </c>
      <c r="C552" t="s">
        <v>53</v>
      </c>
      <c r="D552" t="s">
        <v>150</v>
      </c>
      <c r="E552">
        <v>87888</v>
      </c>
      <c r="F552" t="s">
        <v>98</v>
      </c>
      <c r="G552" t="s">
        <v>44</v>
      </c>
      <c r="H552" t="s">
        <v>25</v>
      </c>
      <c r="I552" t="s">
        <v>24</v>
      </c>
      <c r="J552" s="2">
        <v>45692</v>
      </c>
      <c r="K552" t="s">
        <v>25</v>
      </c>
      <c r="L552">
        <v>44067</v>
      </c>
      <c r="M552">
        <v>235</v>
      </c>
      <c r="N552">
        <v>285</v>
      </c>
      <c r="O552" s="4">
        <v>5085.9154929577498</v>
      </c>
      <c r="P552" s="4">
        <v>5650.5009765625</v>
      </c>
      <c r="Q552" s="5">
        <f t="shared" si="32"/>
        <v>0.11100960768744739</v>
      </c>
      <c r="R552" s="4">
        <v>6801.7675707867766</v>
      </c>
      <c r="S552" s="5">
        <f t="shared" si="33"/>
        <v>0.33737329694228979</v>
      </c>
      <c r="T552" s="4">
        <v>4147.499017209414</v>
      </c>
      <c r="U552" s="5">
        <f t="shared" si="34"/>
        <v>-0.18451279362539963</v>
      </c>
      <c r="V552" s="4">
        <v>5479.955078125</v>
      </c>
      <c r="W552" s="5">
        <f t="shared" si="35"/>
        <v>7.7476628487606503E-2</v>
      </c>
    </row>
    <row r="553" spans="1:23" x14ac:dyDescent="0.25">
      <c r="A553" t="s">
        <v>852</v>
      </c>
      <c r="B553">
        <v>2020</v>
      </c>
      <c r="C553" t="s">
        <v>20</v>
      </c>
      <c r="D553" t="s">
        <v>134</v>
      </c>
      <c r="E553">
        <v>88200</v>
      </c>
      <c r="F553" t="s">
        <v>66</v>
      </c>
      <c r="G553" t="s">
        <v>85</v>
      </c>
      <c r="H553" t="s">
        <v>24</v>
      </c>
      <c r="I553" t="s">
        <v>25</v>
      </c>
      <c r="J553" s="2">
        <v>45715</v>
      </c>
      <c r="K553" t="s">
        <v>25</v>
      </c>
      <c r="L553">
        <v>44067</v>
      </c>
      <c r="M553">
        <v>235</v>
      </c>
      <c r="N553">
        <v>285</v>
      </c>
      <c r="O553" s="4">
        <v>12200</v>
      </c>
      <c r="P553" s="4">
        <v>8021.5634765625</v>
      </c>
      <c r="Q553" s="5">
        <f t="shared" si="32"/>
        <v>-0.34249479700307373</v>
      </c>
      <c r="R553" s="4">
        <v>9392.5514191702696</v>
      </c>
      <c r="S553" s="5">
        <f t="shared" si="33"/>
        <v>-0.23011873613358447</v>
      </c>
      <c r="T553" s="4">
        <v>11660.350688684481</v>
      </c>
      <c r="U553" s="5">
        <f t="shared" si="34"/>
        <v>-4.4233550107829478E-2</v>
      </c>
      <c r="V553" s="4">
        <v>7469.65234375</v>
      </c>
      <c r="W553" s="5">
        <f t="shared" si="35"/>
        <v>-0.38773341444672127</v>
      </c>
    </row>
    <row r="554" spans="1:23" x14ac:dyDescent="0.25">
      <c r="A554" t="s">
        <v>853</v>
      </c>
      <c r="B554">
        <v>2021</v>
      </c>
      <c r="C554" t="s">
        <v>20</v>
      </c>
      <c r="D554" t="s">
        <v>21</v>
      </c>
      <c r="E554">
        <v>66462</v>
      </c>
      <c r="F554" t="s">
        <v>250</v>
      </c>
      <c r="G554" t="s">
        <v>38</v>
      </c>
      <c r="H554" t="s">
        <v>25</v>
      </c>
      <c r="I554" t="s">
        <v>24</v>
      </c>
      <c r="J554" s="2">
        <v>45664</v>
      </c>
      <c r="K554" t="s">
        <v>25</v>
      </c>
      <c r="L554">
        <v>44067</v>
      </c>
      <c r="M554">
        <v>235</v>
      </c>
      <c r="N554">
        <v>285</v>
      </c>
      <c r="O554" s="4">
        <v>19600</v>
      </c>
      <c r="P554" s="4">
        <v>19051.4765625</v>
      </c>
      <c r="Q554" s="5">
        <f t="shared" si="32"/>
        <v>-2.7985889668367347E-2</v>
      </c>
      <c r="R554" s="4">
        <v>19581.9075722458</v>
      </c>
      <c r="S554" s="5">
        <f t="shared" si="33"/>
        <v>-9.2308304868371494E-4</v>
      </c>
      <c r="T554" s="4">
        <v>14531.128964523279</v>
      </c>
      <c r="U554" s="5">
        <f t="shared" si="34"/>
        <v>-0.25861586915697554</v>
      </c>
      <c r="V554" s="4">
        <v>19227.087890625</v>
      </c>
      <c r="W554" s="5">
        <f t="shared" si="35"/>
        <v>-1.9026128029336786E-2</v>
      </c>
    </row>
    <row r="555" spans="1:23" x14ac:dyDescent="0.25">
      <c r="A555" t="s">
        <v>854</v>
      </c>
      <c r="B555">
        <v>2018</v>
      </c>
      <c r="C555" t="s">
        <v>20</v>
      </c>
      <c r="D555" t="s">
        <v>421</v>
      </c>
      <c r="E555">
        <v>107949</v>
      </c>
      <c r="F555" t="s">
        <v>58</v>
      </c>
      <c r="G555" t="s">
        <v>23</v>
      </c>
      <c r="H555" t="s">
        <v>24</v>
      </c>
      <c r="I555" t="s">
        <v>25</v>
      </c>
      <c r="J555" s="2">
        <v>45370</v>
      </c>
      <c r="K555" t="s">
        <v>25</v>
      </c>
      <c r="L555">
        <v>44067</v>
      </c>
      <c r="M555">
        <v>235</v>
      </c>
      <c r="N555">
        <v>285</v>
      </c>
      <c r="O555" s="4">
        <v>9800</v>
      </c>
      <c r="P555" s="4">
        <v>3974.986572265625</v>
      </c>
      <c r="Q555" s="5">
        <f t="shared" si="32"/>
        <v>-0.59438912527901788</v>
      </c>
      <c r="R555" s="4">
        <v>7105.7378397948742</v>
      </c>
      <c r="S555" s="5">
        <f t="shared" si="33"/>
        <v>-0.27492471022501286</v>
      </c>
      <c r="T555" s="4">
        <v>4631.8991408213151</v>
      </c>
      <c r="U555" s="5">
        <f t="shared" si="34"/>
        <v>-0.5273572305284373</v>
      </c>
      <c r="V555" s="4">
        <v>3665.547119140625</v>
      </c>
      <c r="W555" s="5">
        <f t="shared" si="35"/>
        <v>-0.62596457967952812</v>
      </c>
    </row>
    <row r="556" spans="1:23" x14ac:dyDescent="0.25">
      <c r="A556" t="s">
        <v>855</v>
      </c>
      <c r="B556">
        <v>2022</v>
      </c>
      <c r="C556" t="s">
        <v>20</v>
      </c>
      <c r="D556" t="s">
        <v>706</v>
      </c>
      <c r="E556">
        <v>46376</v>
      </c>
      <c r="F556" t="s">
        <v>37</v>
      </c>
      <c r="G556" t="s">
        <v>38</v>
      </c>
      <c r="H556" t="s">
        <v>25</v>
      </c>
      <c r="I556" t="s">
        <v>24</v>
      </c>
      <c r="J556" s="2">
        <v>45426</v>
      </c>
      <c r="K556" t="s">
        <v>25</v>
      </c>
      <c r="L556">
        <v>44067</v>
      </c>
      <c r="M556">
        <v>235</v>
      </c>
      <c r="N556">
        <v>285</v>
      </c>
      <c r="O556" s="4">
        <v>26300</v>
      </c>
      <c r="P556" s="4">
        <v>18469.296875</v>
      </c>
      <c r="Q556" s="5">
        <f t="shared" si="32"/>
        <v>-0.29774536596958179</v>
      </c>
      <c r="R556" s="4">
        <v>26100.08368235466</v>
      </c>
      <c r="S556" s="5">
        <f t="shared" si="33"/>
        <v>-7.601380899062371E-3</v>
      </c>
      <c r="T556" s="4">
        <v>22349.932823221548</v>
      </c>
      <c r="U556" s="5">
        <f t="shared" si="34"/>
        <v>-0.15019266831857225</v>
      </c>
      <c r="V556" s="4">
        <v>17379.482421875</v>
      </c>
      <c r="W556" s="5">
        <f t="shared" si="35"/>
        <v>-0.33918317787547525</v>
      </c>
    </row>
    <row r="557" spans="1:23" x14ac:dyDescent="0.25">
      <c r="A557" t="s">
        <v>856</v>
      </c>
      <c r="B557">
        <v>2017</v>
      </c>
      <c r="C557" t="s">
        <v>156</v>
      </c>
      <c r="D557" t="s">
        <v>157</v>
      </c>
      <c r="E557">
        <v>97116</v>
      </c>
      <c r="F557" t="s">
        <v>102</v>
      </c>
      <c r="G557" t="s">
        <v>44</v>
      </c>
      <c r="H557" t="s">
        <v>25</v>
      </c>
      <c r="I557" t="s">
        <v>24</v>
      </c>
      <c r="J557" s="2">
        <v>45538</v>
      </c>
      <c r="K557" t="s">
        <v>25</v>
      </c>
      <c r="L557">
        <v>44067</v>
      </c>
      <c r="M557">
        <v>235</v>
      </c>
      <c r="N557">
        <v>285</v>
      </c>
      <c r="O557" s="4">
        <v>7400</v>
      </c>
      <c r="P557" s="4">
        <v>7329.70068359375</v>
      </c>
      <c r="Q557" s="5">
        <f t="shared" si="32"/>
        <v>-9.4999076224662193E-3</v>
      </c>
      <c r="R557" s="4">
        <v>7975.4903674817688</v>
      </c>
      <c r="S557" s="5">
        <f t="shared" si="33"/>
        <v>7.776896857861737E-2</v>
      </c>
      <c r="T557" s="4">
        <v>7554.0128246043478</v>
      </c>
      <c r="U557" s="5">
        <f t="shared" si="34"/>
        <v>2.0812543865452504E-2</v>
      </c>
      <c r="V557" s="4">
        <v>7186.35009765625</v>
      </c>
      <c r="W557" s="5">
        <f t="shared" si="35"/>
        <v>-2.8871608424831052E-2</v>
      </c>
    </row>
    <row r="558" spans="1:23" x14ac:dyDescent="0.25">
      <c r="A558" t="s">
        <v>857</v>
      </c>
      <c r="B558">
        <v>2014</v>
      </c>
      <c r="C558" t="s">
        <v>185</v>
      </c>
      <c r="D558" t="s">
        <v>264</v>
      </c>
      <c r="E558">
        <v>119104</v>
      </c>
      <c r="F558" t="s">
        <v>82</v>
      </c>
      <c r="G558" t="s">
        <v>30</v>
      </c>
      <c r="H558" t="s">
        <v>24</v>
      </c>
      <c r="I558" t="s">
        <v>25</v>
      </c>
      <c r="J558" s="2">
        <v>45454</v>
      </c>
      <c r="K558" t="s">
        <v>25</v>
      </c>
      <c r="L558">
        <v>44067</v>
      </c>
      <c r="M558">
        <v>235</v>
      </c>
      <c r="N558">
        <v>285</v>
      </c>
      <c r="O558" s="4">
        <v>2000</v>
      </c>
      <c r="P558" s="4">
        <v>2265.640869140625</v>
      </c>
      <c r="Q558" s="5">
        <f t="shared" si="32"/>
        <v>0.13282043457031256</v>
      </c>
      <c r="R558" s="4">
        <v>2158.51590297859</v>
      </c>
      <c r="S558" s="5">
        <f t="shared" si="33"/>
        <v>7.9257951489295042E-2</v>
      </c>
      <c r="T558" s="4">
        <v>1885.0545537474411</v>
      </c>
      <c r="U558" s="5">
        <f t="shared" si="34"/>
        <v>-5.747272312627949E-2</v>
      </c>
      <c r="V558" s="4">
        <v>2185.947998046875</v>
      </c>
      <c r="W558" s="5">
        <f t="shared" si="35"/>
        <v>9.2973999023437504E-2</v>
      </c>
    </row>
    <row r="559" spans="1:23" x14ac:dyDescent="0.25">
      <c r="A559" t="s">
        <v>858</v>
      </c>
      <c r="B559">
        <v>2014</v>
      </c>
      <c r="C559" t="s">
        <v>185</v>
      </c>
      <c r="D559" t="s">
        <v>264</v>
      </c>
      <c r="E559">
        <v>133971</v>
      </c>
      <c r="F559" t="s">
        <v>22</v>
      </c>
      <c r="G559" t="s">
        <v>30</v>
      </c>
      <c r="H559" t="s">
        <v>24</v>
      </c>
      <c r="I559" t="s">
        <v>25</v>
      </c>
      <c r="J559" s="2">
        <v>45540</v>
      </c>
      <c r="K559" t="s">
        <v>25</v>
      </c>
      <c r="L559">
        <v>44067</v>
      </c>
      <c r="M559">
        <v>235</v>
      </c>
      <c r="N559">
        <v>285</v>
      </c>
      <c r="O559" s="4">
        <v>3700</v>
      </c>
      <c r="P559" s="4">
        <v>2262.528564453125</v>
      </c>
      <c r="Q559" s="5">
        <f t="shared" si="32"/>
        <v>-0.38850579339104729</v>
      </c>
      <c r="R559" s="4">
        <v>2091.2318961736692</v>
      </c>
      <c r="S559" s="5">
        <f t="shared" si="33"/>
        <v>-0.43480219022333266</v>
      </c>
      <c r="T559" s="4">
        <v>1976.484203491902</v>
      </c>
      <c r="U559" s="5">
        <f t="shared" si="34"/>
        <v>-0.46581508013732376</v>
      </c>
      <c r="V559" s="4">
        <v>2185.947998046875</v>
      </c>
      <c r="W559" s="5">
        <f t="shared" si="35"/>
        <v>-0.40920324377111483</v>
      </c>
    </row>
    <row r="560" spans="1:23" x14ac:dyDescent="0.25">
      <c r="A560" t="s">
        <v>859</v>
      </c>
      <c r="B560">
        <v>2017</v>
      </c>
      <c r="C560" t="s">
        <v>185</v>
      </c>
      <c r="D560" t="s">
        <v>437</v>
      </c>
      <c r="E560">
        <v>160625</v>
      </c>
      <c r="F560" t="s">
        <v>58</v>
      </c>
      <c r="G560" t="s">
        <v>30</v>
      </c>
      <c r="H560" t="s">
        <v>24</v>
      </c>
      <c r="I560" t="s">
        <v>25</v>
      </c>
      <c r="J560" s="2">
        <v>45680</v>
      </c>
      <c r="K560" t="s">
        <v>25</v>
      </c>
      <c r="L560">
        <v>44067</v>
      </c>
      <c r="M560">
        <v>235</v>
      </c>
      <c r="N560">
        <v>285</v>
      </c>
      <c r="O560" s="4">
        <v>2500</v>
      </c>
      <c r="P560" s="4">
        <v>2117.07861328125</v>
      </c>
      <c r="Q560" s="5">
        <f t="shared" si="32"/>
        <v>-0.15316855468750001</v>
      </c>
      <c r="R560" s="4">
        <v>2467.6875382409248</v>
      </c>
      <c r="S560" s="5">
        <f t="shared" si="33"/>
        <v>-1.2924984703630016E-2</v>
      </c>
      <c r="T560" s="4">
        <v>2137.4757529567451</v>
      </c>
      <c r="U560" s="5">
        <f t="shared" si="34"/>
        <v>-0.14500969881730197</v>
      </c>
      <c r="V560" s="4">
        <v>2012.723754882812</v>
      </c>
      <c r="W560" s="5">
        <f t="shared" si="35"/>
        <v>-0.19491049804687521</v>
      </c>
    </row>
    <row r="561" spans="1:23" x14ac:dyDescent="0.25">
      <c r="A561" t="s">
        <v>860</v>
      </c>
      <c r="B561">
        <v>2019</v>
      </c>
      <c r="C561" t="s">
        <v>266</v>
      </c>
      <c r="D561" t="s">
        <v>561</v>
      </c>
      <c r="E561">
        <v>96718</v>
      </c>
      <c r="F561" t="s">
        <v>87</v>
      </c>
      <c r="G561" t="s">
        <v>30</v>
      </c>
      <c r="H561" t="s">
        <v>24</v>
      </c>
      <c r="I561" t="s">
        <v>25</v>
      </c>
      <c r="J561" s="2">
        <v>45664</v>
      </c>
      <c r="K561" t="s">
        <v>25</v>
      </c>
      <c r="L561">
        <v>44067</v>
      </c>
      <c r="M561">
        <v>235</v>
      </c>
      <c r="N561">
        <v>285</v>
      </c>
      <c r="O561" s="4">
        <v>15500</v>
      </c>
      <c r="P561" s="4">
        <v>10709.7724609375</v>
      </c>
      <c r="Q561" s="5">
        <f t="shared" si="32"/>
        <v>-0.30904693800403227</v>
      </c>
      <c r="R561" s="4">
        <v>12352.602954656701</v>
      </c>
      <c r="S561" s="5">
        <f t="shared" si="33"/>
        <v>-0.20305787389311614</v>
      </c>
      <c r="T561" s="4">
        <v>12711.393282659619</v>
      </c>
      <c r="U561" s="5">
        <f t="shared" si="34"/>
        <v>-0.1799101107961536</v>
      </c>
      <c r="V561" s="4">
        <v>10519.068359375</v>
      </c>
      <c r="W561" s="5">
        <f t="shared" si="35"/>
        <v>-0.32135042842741934</v>
      </c>
    </row>
    <row r="562" spans="1:23" x14ac:dyDescent="0.25">
      <c r="A562" t="s">
        <v>861</v>
      </c>
      <c r="B562">
        <v>2019</v>
      </c>
      <c r="C562" t="s">
        <v>182</v>
      </c>
      <c r="D562" t="s">
        <v>608</v>
      </c>
      <c r="E562">
        <v>37562</v>
      </c>
      <c r="F562" t="s">
        <v>250</v>
      </c>
      <c r="G562" t="s">
        <v>38</v>
      </c>
      <c r="H562" t="s">
        <v>25</v>
      </c>
      <c r="I562" t="s">
        <v>24</v>
      </c>
      <c r="J562" s="2">
        <v>45678</v>
      </c>
      <c r="K562" t="s">
        <v>25</v>
      </c>
      <c r="L562">
        <v>44067</v>
      </c>
      <c r="M562">
        <v>235</v>
      </c>
      <c r="N562">
        <v>285</v>
      </c>
      <c r="O562" s="4">
        <v>15400</v>
      </c>
      <c r="P562" s="4">
        <v>20072.279296875</v>
      </c>
      <c r="Q562" s="5">
        <f t="shared" si="32"/>
        <v>0.30339475953733763</v>
      </c>
      <c r="R562" s="4">
        <v>20148.769118985761</v>
      </c>
      <c r="S562" s="5">
        <f t="shared" si="33"/>
        <v>0.30836163110297155</v>
      </c>
      <c r="T562" s="4">
        <v>12740.653032920851</v>
      </c>
      <c r="U562" s="5">
        <f t="shared" si="34"/>
        <v>-0.17268486799215255</v>
      </c>
      <c r="V562" s="4">
        <v>20492.2734375</v>
      </c>
      <c r="W562" s="5">
        <f t="shared" si="35"/>
        <v>0.3306671063311688</v>
      </c>
    </row>
    <row r="563" spans="1:23" x14ac:dyDescent="0.25">
      <c r="A563" t="s">
        <v>862</v>
      </c>
      <c r="B563">
        <v>2016</v>
      </c>
      <c r="C563" t="s">
        <v>185</v>
      </c>
      <c r="D563" t="s">
        <v>863</v>
      </c>
      <c r="E563">
        <v>111675</v>
      </c>
      <c r="F563" t="s">
        <v>22</v>
      </c>
      <c r="G563" t="s">
        <v>30</v>
      </c>
      <c r="H563" t="s">
        <v>24</v>
      </c>
      <c r="I563" t="s">
        <v>25</v>
      </c>
      <c r="J563" s="2">
        <v>45608</v>
      </c>
      <c r="K563" t="s">
        <v>25</v>
      </c>
      <c r="L563">
        <v>44067</v>
      </c>
      <c r="M563">
        <v>235</v>
      </c>
      <c r="N563">
        <v>285</v>
      </c>
      <c r="O563" s="4">
        <v>13700</v>
      </c>
      <c r="P563" s="4">
        <v>3489.341064453125</v>
      </c>
      <c r="Q563" s="5">
        <f t="shared" si="32"/>
        <v>-0.74530357193772812</v>
      </c>
      <c r="R563" s="4">
        <v>3690.4856383621559</v>
      </c>
      <c r="S563" s="5">
        <f t="shared" si="33"/>
        <v>-0.73062148625093748</v>
      </c>
      <c r="T563" s="4">
        <v>5562.0264151220172</v>
      </c>
      <c r="U563" s="5">
        <f t="shared" si="34"/>
        <v>-0.59401267042904982</v>
      </c>
      <c r="V563" s="4">
        <v>3411.829345703125</v>
      </c>
      <c r="W563" s="5">
        <f t="shared" si="35"/>
        <v>-0.75096136162750915</v>
      </c>
    </row>
    <row r="564" spans="1:23" x14ac:dyDescent="0.25">
      <c r="A564" t="s">
        <v>864</v>
      </c>
      <c r="B564">
        <v>2019</v>
      </c>
      <c r="C564" t="s">
        <v>185</v>
      </c>
      <c r="D564" t="s">
        <v>865</v>
      </c>
      <c r="E564">
        <v>121856</v>
      </c>
      <c r="F564" t="s">
        <v>37</v>
      </c>
      <c r="G564" t="s">
        <v>34</v>
      </c>
      <c r="H564" t="s">
        <v>25</v>
      </c>
      <c r="I564" t="s">
        <v>24</v>
      </c>
      <c r="J564" s="2">
        <v>45622</v>
      </c>
      <c r="K564" t="s">
        <v>25</v>
      </c>
      <c r="L564">
        <v>44067</v>
      </c>
      <c r="M564">
        <v>235</v>
      </c>
      <c r="N564">
        <v>285</v>
      </c>
      <c r="O564" s="4">
        <v>20600</v>
      </c>
      <c r="P564" s="4">
        <v>5124.40966796875</v>
      </c>
      <c r="Q564" s="5">
        <f t="shared" si="32"/>
        <v>-0.75124224912773063</v>
      </c>
      <c r="R564" s="4">
        <v>7138.9220311812651</v>
      </c>
      <c r="S564" s="5">
        <f t="shared" si="33"/>
        <v>-0.65345038683586099</v>
      </c>
      <c r="T564" s="4">
        <v>8217.8271306320112</v>
      </c>
      <c r="U564" s="5">
        <f t="shared" si="34"/>
        <v>-0.60107635288194117</v>
      </c>
      <c r="V564" s="4">
        <v>4555.8232421875</v>
      </c>
      <c r="W564" s="5">
        <f t="shared" si="35"/>
        <v>-0.77884353193264566</v>
      </c>
    </row>
    <row r="565" spans="1:23" x14ac:dyDescent="0.25">
      <c r="A565" t="s">
        <v>866</v>
      </c>
      <c r="B565">
        <v>2019</v>
      </c>
      <c r="C565" t="s">
        <v>167</v>
      </c>
      <c r="D565" t="s">
        <v>600</v>
      </c>
      <c r="E565">
        <v>130821</v>
      </c>
      <c r="F565" t="s">
        <v>63</v>
      </c>
      <c r="G565" t="s">
        <v>38</v>
      </c>
      <c r="H565" t="s">
        <v>25</v>
      </c>
      <c r="I565" t="s">
        <v>24</v>
      </c>
      <c r="J565" s="2">
        <v>45734</v>
      </c>
      <c r="K565" t="s">
        <v>25</v>
      </c>
      <c r="L565">
        <v>44067</v>
      </c>
      <c r="M565">
        <v>235</v>
      </c>
      <c r="N565">
        <v>285</v>
      </c>
      <c r="O565" s="4">
        <v>7600</v>
      </c>
      <c r="P565" s="4">
        <v>8205.4365234375</v>
      </c>
      <c r="Q565" s="5">
        <f t="shared" si="32"/>
        <v>7.9662700452302726E-2</v>
      </c>
      <c r="R565" s="4">
        <v>8496.84126743663</v>
      </c>
      <c r="S565" s="5">
        <f t="shared" si="33"/>
        <v>0.11800542992587237</v>
      </c>
      <c r="T565" s="4">
        <v>10304.04163956091</v>
      </c>
      <c r="U565" s="5">
        <f t="shared" si="34"/>
        <v>0.355794952573804</v>
      </c>
      <c r="V565" s="4">
        <v>8145.23388671875</v>
      </c>
      <c r="W565" s="5">
        <f t="shared" si="35"/>
        <v>7.1741300884045955E-2</v>
      </c>
    </row>
    <row r="566" spans="1:23" x14ac:dyDescent="0.25">
      <c r="A566" t="s">
        <v>867</v>
      </c>
      <c r="B566">
        <v>2019</v>
      </c>
      <c r="C566" t="s">
        <v>167</v>
      </c>
      <c r="D566" t="s">
        <v>168</v>
      </c>
      <c r="E566">
        <v>92150</v>
      </c>
      <c r="F566" t="s">
        <v>22</v>
      </c>
      <c r="G566" t="s">
        <v>23</v>
      </c>
      <c r="H566" t="s">
        <v>24</v>
      </c>
      <c r="I566" t="s">
        <v>25</v>
      </c>
      <c r="J566" s="2">
        <v>45505</v>
      </c>
      <c r="K566" t="s">
        <v>25</v>
      </c>
      <c r="L566">
        <v>44067</v>
      </c>
      <c r="M566">
        <v>235</v>
      </c>
      <c r="N566">
        <v>285</v>
      </c>
      <c r="O566" s="4">
        <v>8200</v>
      </c>
      <c r="P566" s="4">
        <v>6228.17919921875</v>
      </c>
      <c r="Q566" s="5">
        <f t="shared" si="32"/>
        <v>-0.24046595131478654</v>
      </c>
      <c r="R566" s="4">
        <v>6006.2531294019582</v>
      </c>
      <c r="S566" s="5">
        <f t="shared" si="33"/>
        <v>-0.26753010617049289</v>
      </c>
      <c r="T566" s="4">
        <v>5540.6445417691284</v>
      </c>
      <c r="U566" s="5">
        <f t="shared" si="34"/>
        <v>-0.32431164124766731</v>
      </c>
      <c r="V566" s="4">
        <v>6124.21875</v>
      </c>
      <c r="W566" s="5">
        <f t="shared" si="35"/>
        <v>-0.25314405487804881</v>
      </c>
    </row>
    <row r="567" spans="1:23" x14ac:dyDescent="0.25">
      <c r="A567" t="s">
        <v>868</v>
      </c>
      <c r="B567">
        <v>2017</v>
      </c>
      <c r="C567" t="s">
        <v>167</v>
      </c>
      <c r="D567" t="s">
        <v>168</v>
      </c>
      <c r="E567">
        <v>106125</v>
      </c>
      <c r="F567" t="s">
        <v>106</v>
      </c>
      <c r="G567" t="s">
        <v>38</v>
      </c>
      <c r="H567" t="s">
        <v>25</v>
      </c>
      <c r="I567" t="s">
        <v>24</v>
      </c>
      <c r="J567" s="2">
        <v>45435</v>
      </c>
      <c r="K567" t="s">
        <v>25</v>
      </c>
      <c r="L567">
        <v>44067</v>
      </c>
      <c r="M567">
        <v>235</v>
      </c>
      <c r="N567">
        <v>285</v>
      </c>
      <c r="O567" s="4">
        <v>7200</v>
      </c>
      <c r="P567" s="4">
        <v>5243.6279296875</v>
      </c>
      <c r="Q567" s="5">
        <f t="shared" si="32"/>
        <v>-0.27171834309895837</v>
      </c>
      <c r="R567" s="4">
        <v>5808.4422146653214</v>
      </c>
      <c r="S567" s="5">
        <f t="shared" si="33"/>
        <v>-0.19327191462981652</v>
      </c>
      <c r="T567" s="4">
        <v>4794.7798821362894</v>
      </c>
      <c r="U567" s="5">
        <f t="shared" si="34"/>
        <v>-0.33405834970329318</v>
      </c>
      <c r="V567" s="4">
        <v>5102.4033203125</v>
      </c>
      <c r="W567" s="5">
        <f t="shared" si="35"/>
        <v>-0.29133287217881942</v>
      </c>
    </row>
    <row r="568" spans="1:23" x14ac:dyDescent="0.25">
      <c r="A568" t="s">
        <v>869</v>
      </c>
      <c r="B568">
        <v>2014</v>
      </c>
      <c r="C568" t="s">
        <v>167</v>
      </c>
      <c r="D568" t="s">
        <v>168</v>
      </c>
      <c r="E568">
        <v>162609</v>
      </c>
      <c r="F568" t="s">
        <v>89</v>
      </c>
      <c r="G568" t="s">
        <v>30</v>
      </c>
      <c r="H568" t="s">
        <v>24</v>
      </c>
      <c r="I568" t="s">
        <v>25</v>
      </c>
      <c r="J568" s="2">
        <v>45505</v>
      </c>
      <c r="K568" t="s">
        <v>25</v>
      </c>
      <c r="L568">
        <v>44067</v>
      </c>
      <c r="M568">
        <v>235</v>
      </c>
      <c r="N568">
        <v>285</v>
      </c>
      <c r="O568" s="4">
        <v>1300</v>
      </c>
      <c r="P568" s="4">
        <v>1412.568115234375</v>
      </c>
      <c r="Q568" s="5">
        <f t="shared" si="32"/>
        <v>8.6590857872596239E-2</v>
      </c>
      <c r="R568" s="4">
        <v>1566.762377202152</v>
      </c>
      <c r="S568" s="5">
        <f t="shared" si="33"/>
        <v>0.20520182861704006</v>
      </c>
      <c r="T568" s="4">
        <v>1628.2077687917099</v>
      </c>
      <c r="U568" s="5">
        <f t="shared" si="34"/>
        <v>0.25246751445516136</v>
      </c>
      <c r="V568" s="4">
        <v>1375.471069335938</v>
      </c>
      <c r="W568" s="5">
        <f t="shared" si="35"/>
        <v>5.8054668719952351E-2</v>
      </c>
    </row>
    <row r="569" spans="1:23" x14ac:dyDescent="0.25">
      <c r="A569" t="s">
        <v>870</v>
      </c>
      <c r="B569">
        <v>2015</v>
      </c>
      <c r="C569" t="s">
        <v>167</v>
      </c>
      <c r="D569" t="s">
        <v>171</v>
      </c>
      <c r="E569">
        <v>138417</v>
      </c>
      <c r="F569" t="s">
        <v>254</v>
      </c>
      <c r="G569" t="s">
        <v>38</v>
      </c>
      <c r="H569" t="s">
        <v>25</v>
      </c>
      <c r="I569" t="s">
        <v>24</v>
      </c>
      <c r="J569" s="2">
        <v>45715</v>
      </c>
      <c r="K569" t="s">
        <v>25</v>
      </c>
      <c r="L569">
        <v>44067</v>
      </c>
      <c r="M569">
        <v>235</v>
      </c>
      <c r="N569">
        <v>285</v>
      </c>
      <c r="O569" s="4">
        <v>4300</v>
      </c>
      <c r="P569" s="4">
        <v>3479.22412109375</v>
      </c>
      <c r="Q569" s="5">
        <f t="shared" si="32"/>
        <v>-0.19087811137354649</v>
      </c>
      <c r="R569" s="4">
        <v>3557.5541720125452</v>
      </c>
      <c r="S569" s="5">
        <f t="shared" si="33"/>
        <v>-0.1726618204621988</v>
      </c>
      <c r="T569" s="4">
        <v>3252.2796695960692</v>
      </c>
      <c r="U569" s="5">
        <f t="shared" si="34"/>
        <v>-0.24365589079161176</v>
      </c>
      <c r="V569" s="4">
        <v>3396.737060546875</v>
      </c>
      <c r="W569" s="5">
        <f t="shared" si="35"/>
        <v>-0.21006114871002912</v>
      </c>
    </row>
    <row r="570" spans="1:23" x14ac:dyDescent="0.25">
      <c r="A570" t="s">
        <v>871</v>
      </c>
      <c r="B570">
        <v>2017</v>
      </c>
      <c r="C570" t="s">
        <v>167</v>
      </c>
      <c r="D570" t="s">
        <v>171</v>
      </c>
      <c r="E570">
        <v>113777</v>
      </c>
      <c r="F570" t="s">
        <v>106</v>
      </c>
      <c r="G570" t="s">
        <v>34</v>
      </c>
      <c r="H570" t="s">
        <v>25</v>
      </c>
      <c r="I570" t="s">
        <v>24</v>
      </c>
      <c r="J570" s="2">
        <v>45666</v>
      </c>
      <c r="K570" t="s">
        <v>25</v>
      </c>
      <c r="L570">
        <v>44067</v>
      </c>
      <c r="M570">
        <v>235</v>
      </c>
      <c r="N570">
        <v>285</v>
      </c>
      <c r="O570" s="4">
        <v>4800</v>
      </c>
      <c r="P570" s="4">
        <v>4930.5595703125</v>
      </c>
      <c r="Q570" s="5">
        <f t="shared" si="32"/>
        <v>2.7199910481770839E-2</v>
      </c>
      <c r="R570" s="4">
        <v>5442.599807341242</v>
      </c>
      <c r="S570" s="5">
        <f t="shared" si="33"/>
        <v>0.13387495986275866</v>
      </c>
      <c r="T570" s="4">
        <v>5141.1578606563162</v>
      </c>
      <c r="U570" s="5">
        <f t="shared" si="34"/>
        <v>7.1074554303399262E-2</v>
      </c>
      <c r="V570" s="4">
        <v>4763.2373046875</v>
      </c>
      <c r="W570" s="5">
        <f t="shared" si="35"/>
        <v>-7.6588948567708481E-3</v>
      </c>
    </row>
    <row r="571" spans="1:23" x14ac:dyDescent="0.25">
      <c r="A571" t="s">
        <v>872</v>
      </c>
      <c r="B571">
        <v>2017</v>
      </c>
      <c r="C571" t="s">
        <v>167</v>
      </c>
      <c r="D571" t="s">
        <v>171</v>
      </c>
      <c r="E571">
        <v>124466</v>
      </c>
      <c r="F571" t="s">
        <v>111</v>
      </c>
      <c r="G571" t="s">
        <v>30</v>
      </c>
      <c r="H571" t="s">
        <v>24</v>
      </c>
      <c r="I571" t="s">
        <v>25</v>
      </c>
      <c r="J571" s="2">
        <v>45554</v>
      </c>
      <c r="K571" t="s">
        <v>25</v>
      </c>
      <c r="L571">
        <v>44067</v>
      </c>
      <c r="M571">
        <v>235</v>
      </c>
      <c r="N571">
        <v>285</v>
      </c>
      <c r="O571" s="4">
        <v>7600</v>
      </c>
      <c r="P571" s="4">
        <v>2746.32080078125</v>
      </c>
      <c r="Q571" s="5">
        <f t="shared" si="32"/>
        <v>-0.63864199989720394</v>
      </c>
      <c r="R571" s="4">
        <v>2886.680446771712</v>
      </c>
      <c r="S571" s="5">
        <f t="shared" si="33"/>
        <v>-0.62017362542477472</v>
      </c>
      <c r="T571" s="4">
        <v>3077.7103696248432</v>
      </c>
      <c r="U571" s="5">
        <f t="shared" si="34"/>
        <v>-0.59503810925988909</v>
      </c>
      <c r="V571" s="4">
        <v>2649.997802734375</v>
      </c>
      <c r="W571" s="5">
        <f t="shared" si="35"/>
        <v>-0.65131607858758223</v>
      </c>
    </row>
    <row r="572" spans="1:23" x14ac:dyDescent="0.25">
      <c r="A572" t="s">
        <v>873</v>
      </c>
      <c r="B572">
        <v>2018</v>
      </c>
      <c r="C572" t="s">
        <v>167</v>
      </c>
      <c r="D572" t="s">
        <v>171</v>
      </c>
      <c r="E572">
        <v>98193</v>
      </c>
      <c r="F572" t="s">
        <v>61</v>
      </c>
      <c r="G572" t="s">
        <v>34</v>
      </c>
      <c r="H572" t="s">
        <v>25</v>
      </c>
      <c r="I572" t="s">
        <v>24</v>
      </c>
      <c r="J572" s="2">
        <v>45589</v>
      </c>
      <c r="K572" t="s">
        <v>25</v>
      </c>
      <c r="L572">
        <v>44067</v>
      </c>
      <c r="M572">
        <v>235</v>
      </c>
      <c r="N572">
        <v>285</v>
      </c>
      <c r="O572" s="4">
        <v>5800</v>
      </c>
      <c r="P572" s="4">
        <v>4901.6259765625</v>
      </c>
      <c r="Q572" s="5">
        <f t="shared" si="32"/>
        <v>-0.15489207300646557</v>
      </c>
      <c r="R572" s="4">
        <v>4810.0812847458837</v>
      </c>
      <c r="S572" s="5">
        <f t="shared" si="33"/>
        <v>-0.17067564056105455</v>
      </c>
      <c r="T572" s="4">
        <v>5072.3331915672616</v>
      </c>
      <c r="U572" s="5">
        <f t="shared" si="34"/>
        <v>-0.12545979455736866</v>
      </c>
      <c r="V572" s="4">
        <v>4739.60791015625</v>
      </c>
      <c r="W572" s="5">
        <f t="shared" si="35"/>
        <v>-0.18282622238685342</v>
      </c>
    </row>
    <row r="573" spans="1:23" x14ac:dyDescent="0.25">
      <c r="A573" t="s">
        <v>874</v>
      </c>
      <c r="B573">
        <v>2015</v>
      </c>
      <c r="C573" t="s">
        <v>167</v>
      </c>
      <c r="D573" t="s">
        <v>171</v>
      </c>
      <c r="E573">
        <v>100857</v>
      </c>
      <c r="F573" t="s">
        <v>58</v>
      </c>
      <c r="G573" t="s">
        <v>23</v>
      </c>
      <c r="H573" t="s">
        <v>24</v>
      </c>
      <c r="I573" t="s">
        <v>25</v>
      </c>
      <c r="J573" s="2">
        <v>45524</v>
      </c>
      <c r="K573" t="s">
        <v>25</v>
      </c>
      <c r="L573">
        <v>44067</v>
      </c>
      <c r="M573">
        <v>235</v>
      </c>
      <c r="N573">
        <v>285</v>
      </c>
      <c r="O573" s="4">
        <v>8500</v>
      </c>
      <c r="P573" s="4">
        <v>2909.1982421875</v>
      </c>
      <c r="Q573" s="5">
        <f t="shared" si="32"/>
        <v>-0.65774138327205889</v>
      </c>
      <c r="R573" s="4">
        <v>3399.9613387343788</v>
      </c>
      <c r="S573" s="5">
        <f t="shared" si="33"/>
        <v>-0.60000454838419071</v>
      </c>
      <c r="T573" s="4">
        <v>3465.5656048574178</v>
      </c>
      <c r="U573" s="5">
        <f t="shared" si="34"/>
        <v>-0.592286399428539</v>
      </c>
      <c r="V573" s="4">
        <v>2792.89794921875</v>
      </c>
      <c r="W573" s="5">
        <f t="shared" si="35"/>
        <v>-0.67142377068014714</v>
      </c>
    </row>
    <row r="574" spans="1:23" x14ac:dyDescent="0.25">
      <c r="A574" t="s">
        <v>875</v>
      </c>
      <c r="B574">
        <v>2013</v>
      </c>
      <c r="C574" t="s">
        <v>167</v>
      </c>
      <c r="D574" t="s">
        <v>171</v>
      </c>
      <c r="E574">
        <v>116096</v>
      </c>
      <c r="F574" t="s">
        <v>55</v>
      </c>
      <c r="G574" t="s">
        <v>30</v>
      </c>
      <c r="H574" t="s">
        <v>24</v>
      </c>
      <c r="I574" t="s">
        <v>25</v>
      </c>
      <c r="J574" s="2">
        <v>45701</v>
      </c>
      <c r="K574" t="s">
        <v>25</v>
      </c>
      <c r="L574">
        <v>44067</v>
      </c>
      <c r="M574">
        <v>235</v>
      </c>
      <c r="N574">
        <v>285</v>
      </c>
      <c r="O574" s="4">
        <v>3500</v>
      </c>
      <c r="P574" s="4">
        <v>2187.45703125</v>
      </c>
      <c r="Q574" s="5">
        <f t="shared" si="32"/>
        <v>-0.37501227678571425</v>
      </c>
      <c r="R574" s="4">
        <v>2360.5296928245239</v>
      </c>
      <c r="S574" s="5">
        <f t="shared" si="33"/>
        <v>-0.32556294490727888</v>
      </c>
      <c r="T574" s="4">
        <v>2699.4349632632479</v>
      </c>
      <c r="U574" s="5">
        <f t="shared" si="34"/>
        <v>-0.22873286763907197</v>
      </c>
      <c r="V574" s="4">
        <v>2141.39453125</v>
      </c>
      <c r="W574" s="5">
        <f t="shared" si="35"/>
        <v>-0.38817299107142855</v>
      </c>
    </row>
    <row r="575" spans="1:23" x14ac:dyDescent="0.25">
      <c r="A575" t="s">
        <v>876</v>
      </c>
      <c r="B575">
        <v>2012</v>
      </c>
      <c r="C575" t="s">
        <v>167</v>
      </c>
      <c r="D575" t="s">
        <v>171</v>
      </c>
      <c r="E575">
        <v>91749</v>
      </c>
      <c r="F575" t="s">
        <v>151</v>
      </c>
      <c r="G575" t="s">
        <v>38</v>
      </c>
      <c r="H575" t="s">
        <v>25</v>
      </c>
      <c r="I575" t="s">
        <v>24</v>
      </c>
      <c r="J575" s="2">
        <v>45498</v>
      </c>
      <c r="K575" t="s">
        <v>25</v>
      </c>
      <c r="L575">
        <v>44067</v>
      </c>
      <c r="M575">
        <v>235</v>
      </c>
      <c r="N575">
        <v>285</v>
      </c>
      <c r="O575" s="4">
        <v>800</v>
      </c>
      <c r="P575" s="4">
        <v>4986.44775390625</v>
      </c>
      <c r="Q575" s="5">
        <f t="shared" si="32"/>
        <v>5.2330596923828123</v>
      </c>
      <c r="R575" s="4">
        <v>4662.0209544359886</v>
      </c>
      <c r="S575" s="5">
        <f t="shared" si="33"/>
        <v>4.827526193044986</v>
      </c>
      <c r="T575" s="4">
        <v>5078.6645042893524</v>
      </c>
      <c r="U575" s="5">
        <f t="shared" si="34"/>
        <v>5.3483306303616907</v>
      </c>
      <c r="V575" s="4">
        <v>4869.3037109375</v>
      </c>
      <c r="W575" s="5">
        <f t="shared" si="35"/>
        <v>5.0866296386718748</v>
      </c>
    </row>
    <row r="576" spans="1:23" x14ac:dyDescent="0.25">
      <c r="A576" t="s">
        <v>877</v>
      </c>
      <c r="B576">
        <v>2013</v>
      </c>
      <c r="C576" t="s">
        <v>156</v>
      </c>
      <c r="D576" t="s">
        <v>173</v>
      </c>
      <c r="E576">
        <v>99178</v>
      </c>
      <c r="F576" t="s">
        <v>48</v>
      </c>
      <c r="G576" t="s">
        <v>38</v>
      </c>
      <c r="H576" t="s">
        <v>25</v>
      </c>
      <c r="I576" t="s">
        <v>24</v>
      </c>
      <c r="J576" s="2">
        <v>45484</v>
      </c>
      <c r="K576" t="s">
        <v>25</v>
      </c>
      <c r="L576">
        <v>44067</v>
      </c>
      <c r="M576">
        <v>235</v>
      </c>
      <c r="N576">
        <v>285</v>
      </c>
      <c r="O576" s="4">
        <v>3600</v>
      </c>
      <c r="P576" s="4">
        <v>2589.869140625</v>
      </c>
      <c r="Q576" s="5">
        <f t="shared" si="32"/>
        <v>-0.28059190538194445</v>
      </c>
      <c r="R576" s="4">
        <v>3600.4376689889082</v>
      </c>
      <c r="S576" s="5">
        <f t="shared" si="33"/>
        <v>1.2157471914120421E-4</v>
      </c>
      <c r="T576" s="4">
        <v>3360.3476475378452</v>
      </c>
      <c r="U576" s="5">
        <f t="shared" si="34"/>
        <v>-6.6570097906154091E-2</v>
      </c>
      <c r="V576" s="4">
        <v>2412.272705078125</v>
      </c>
      <c r="W576" s="5">
        <f t="shared" si="35"/>
        <v>-0.32992424858940972</v>
      </c>
    </row>
    <row r="577" spans="1:23" x14ac:dyDescent="0.25">
      <c r="A577" t="s">
        <v>878</v>
      </c>
      <c r="B577">
        <v>2011</v>
      </c>
      <c r="C577" t="s">
        <v>156</v>
      </c>
      <c r="D577" t="s">
        <v>176</v>
      </c>
      <c r="E577">
        <v>123251</v>
      </c>
      <c r="F577" t="s">
        <v>79</v>
      </c>
      <c r="G577" t="s">
        <v>30</v>
      </c>
      <c r="H577" t="s">
        <v>24</v>
      </c>
      <c r="I577" t="s">
        <v>25</v>
      </c>
      <c r="J577" s="2">
        <v>45498</v>
      </c>
      <c r="K577" t="s">
        <v>25</v>
      </c>
      <c r="L577">
        <v>44067</v>
      </c>
      <c r="M577">
        <v>235</v>
      </c>
      <c r="N577">
        <v>285</v>
      </c>
      <c r="O577" s="4">
        <v>2400</v>
      </c>
      <c r="P577" s="4">
        <v>1777.600952148438</v>
      </c>
      <c r="Q577" s="5">
        <f t="shared" si="32"/>
        <v>-0.25933293660481749</v>
      </c>
      <c r="R577" s="4">
        <v>1394.822085231541</v>
      </c>
      <c r="S577" s="5">
        <f t="shared" si="33"/>
        <v>-0.41882413115352457</v>
      </c>
      <c r="T577" s="4">
        <v>3297.671659198742</v>
      </c>
      <c r="U577" s="5">
        <f t="shared" si="34"/>
        <v>0.37402985799947586</v>
      </c>
      <c r="V577" s="4">
        <v>1702.28759765625</v>
      </c>
      <c r="W577" s="5">
        <f t="shared" si="35"/>
        <v>-0.29071350097656246</v>
      </c>
    </row>
    <row r="578" spans="1:23" x14ac:dyDescent="0.25">
      <c r="A578" t="s">
        <v>879</v>
      </c>
      <c r="B578">
        <v>2017</v>
      </c>
      <c r="C578" t="s">
        <v>156</v>
      </c>
      <c r="D578" t="s">
        <v>178</v>
      </c>
      <c r="E578">
        <v>56400</v>
      </c>
      <c r="F578" t="s">
        <v>227</v>
      </c>
      <c r="G578" t="s">
        <v>85</v>
      </c>
      <c r="H578" t="s">
        <v>24</v>
      </c>
      <c r="I578" t="s">
        <v>25</v>
      </c>
      <c r="J578" s="2">
        <v>45435</v>
      </c>
      <c r="K578" t="s">
        <v>25</v>
      </c>
      <c r="L578">
        <v>44067</v>
      </c>
      <c r="M578">
        <v>235</v>
      </c>
      <c r="N578">
        <v>285</v>
      </c>
      <c r="O578" s="4">
        <v>8000</v>
      </c>
      <c r="P578" s="4">
        <v>5153.3095703125</v>
      </c>
      <c r="Q578" s="5">
        <f t="shared" si="32"/>
        <v>-0.35583630371093755</v>
      </c>
      <c r="R578" s="4">
        <v>6383.5525119116337</v>
      </c>
      <c r="S578" s="5">
        <f t="shared" si="33"/>
        <v>-0.20205593601104577</v>
      </c>
      <c r="T578" s="4">
        <v>8939.7529943066293</v>
      </c>
      <c r="U578" s="5">
        <f t="shared" si="34"/>
        <v>0.11746912428832856</v>
      </c>
      <c r="V578" s="4">
        <v>4684.99560546875</v>
      </c>
      <c r="W578" s="5">
        <f t="shared" si="35"/>
        <v>-0.4143755493164063</v>
      </c>
    </row>
    <row r="579" spans="1:23" x14ac:dyDescent="0.25">
      <c r="A579" t="s">
        <v>880</v>
      </c>
      <c r="B579">
        <v>2014</v>
      </c>
      <c r="C579" t="s">
        <v>465</v>
      </c>
      <c r="D579" t="s">
        <v>466</v>
      </c>
      <c r="E579">
        <v>100776</v>
      </c>
      <c r="F579" t="s">
        <v>22</v>
      </c>
      <c r="G579" t="s">
        <v>23</v>
      </c>
      <c r="H579" t="s">
        <v>24</v>
      </c>
      <c r="I579" t="s">
        <v>25</v>
      </c>
      <c r="J579" s="2">
        <v>45370</v>
      </c>
      <c r="K579" t="s">
        <v>25</v>
      </c>
      <c r="L579">
        <v>44067</v>
      </c>
      <c r="M579">
        <v>235</v>
      </c>
      <c r="N579">
        <v>285</v>
      </c>
      <c r="O579" s="4">
        <v>900</v>
      </c>
      <c r="P579" s="4">
        <v>4020.580810546875</v>
      </c>
      <c r="Q579" s="5">
        <f t="shared" ref="Q579:Q642" si="36">(P579/$O579)-1</f>
        <v>3.4673120117187501</v>
      </c>
      <c r="R579" s="4">
        <v>2476.8114895938052</v>
      </c>
      <c r="S579" s="5">
        <f t="shared" ref="S579:S642" si="37">(R579/$O579)-1</f>
        <v>1.7520127662153389</v>
      </c>
      <c r="T579" s="4">
        <v>5459.8162222031506</v>
      </c>
      <c r="U579" s="5">
        <f t="shared" ref="U579:U642" si="38">(T579/$O579)-1</f>
        <v>5.0664624691146116</v>
      </c>
      <c r="V579" s="4">
        <v>4575.4833984375</v>
      </c>
      <c r="W579" s="5">
        <f t="shared" ref="W579:W642" si="39">(V579/$O579)-1</f>
        <v>4.0838704427083332</v>
      </c>
    </row>
    <row r="580" spans="1:23" x14ac:dyDescent="0.25">
      <c r="A580" t="s">
        <v>881</v>
      </c>
      <c r="B580">
        <v>2016</v>
      </c>
      <c r="C580" t="s">
        <v>182</v>
      </c>
      <c r="D580" t="s">
        <v>608</v>
      </c>
      <c r="E580">
        <v>60315</v>
      </c>
      <c r="F580" t="s">
        <v>115</v>
      </c>
      <c r="G580" t="s">
        <v>38</v>
      </c>
      <c r="H580" t="s">
        <v>25</v>
      </c>
      <c r="I580" t="s">
        <v>24</v>
      </c>
      <c r="J580" s="2">
        <v>45594</v>
      </c>
      <c r="K580" t="s">
        <v>25</v>
      </c>
      <c r="L580">
        <v>44067</v>
      </c>
      <c r="M580">
        <v>235</v>
      </c>
      <c r="N580">
        <v>285</v>
      </c>
      <c r="O580" s="4">
        <v>8000</v>
      </c>
      <c r="P580" s="4">
        <v>9059.48828125</v>
      </c>
      <c r="Q580" s="5">
        <f t="shared" si="36"/>
        <v>0.13243603515624991</v>
      </c>
      <c r="R580" s="4">
        <v>8617.3808787336402</v>
      </c>
      <c r="S580" s="5">
        <f t="shared" si="37"/>
        <v>7.7172609841704931E-2</v>
      </c>
      <c r="T580" s="4">
        <v>6774.7255363650838</v>
      </c>
      <c r="U580" s="5">
        <f t="shared" si="38"/>
        <v>-0.1531593079543645</v>
      </c>
      <c r="V580" s="4">
        <v>8982.3046875</v>
      </c>
      <c r="W580" s="5">
        <f t="shared" si="39"/>
        <v>0.1227880859374999</v>
      </c>
    </row>
    <row r="581" spans="1:23" x14ac:dyDescent="0.25">
      <c r="A581" t="s">
        <v>882</v>
      </c>
      <c r="B581">
        <v>2017</v>
      </c>
      <c r="C581" t="s">
        <v>519</v>
      </c>
      <c r="D581" t="s">
        <v>520</v>
      </c>
      <c r="E581">
        <v>103861</v>
      </c>
      <c r="F581" t="s">
        <v>115</v>
      </c>
      <c r="G581" t="s">
        <v>38</v>
      </c>
      <c r="H581" t="s">
        <v>25</v>
      </c>
      <c r="I581" t="s">
        <v>24</v>
      </c>
      <c r="J581" s="2">
        <v>45678</v>
      </c>
      <c r="K581" t="s">
        <v>25</v>
      </c>
      <c r="L581">
        <v>44067</v>
      </c>
      <c r="M581">
        <v>235</v>
      </c>
      <c r="N581">
        <v>285</v>
      </c>
      <c r="O581" s="4">
        <v>2800</v>
      </c>
      <c r="P581" s="4">
        <v>5424.43115234375</v>
      </c>
      <c r="Q581" s="5">
        <f t="shared" si="36"/>
        <v>0.93729684012276793</v>
      </c>
      <c r="R581" s="4">
        <v>5621.3068374942704</v>
      </c>
      <c r="S581" s="5">
        <f t="shared" si="37"/>
        <v>1.0076095848193822</v>
      </c>
      <c r="T581" s="4">
        <v>6397.2019248727729</v>
      </c>
      <c r="U581" s="5">
        <f t="shared" si="38"/>
        <v>1.2847149731688474</v>
      </c>
      <c r="V581" s="4">
        <v>5374.56396484375</v>
      </c>
      <c r="W581" s="5">
        <f t="shared" si="39"/>
        <v>0.91948713030133922</v>
      </c>
    </row>
    <row r="582" spans="1:23" x14ac:dyDescent="0.25">
      <c r="A582" t="s">
        <v>883</v>
      </c>
      <c r="B582">
        <v>2016</v>
      </c>
      <c r="C582" t="s">
        <v>185</v>
      </c>
      <c r="D582" t="s">
        <v>186</v>
      </c>
      <c r="E582">
        <v>62400</v>
      </c>
      <c r="F582" t="s">
        <v>174</v>
      </c>
      <c r="G582" t="s">
        <v>44</v>
      </c>
      <c r="H582" t="s">
        <v>25</v>
      </c>
      <c r="I582" t="s">
        <v>24</v>
      </c>
      <c r="J582" s="2">
        <v>45524</v>
      </c>
      <c r="K582" t="s">
        <v>25</v>
      </c>
      <c r="L582">
        <v>44067</v>
      </c>
      <c r="M582">
        <v>235</v>
      </c>
      <c r="N582">
        <v>285</v>
      </c>
      <c r="O582" s="4">
        <v>7200</v>
      </c>
      <c r="P582" s="4">
        <v>11806.55078125</v>
      </c>
      <c r="Q582" s="5">
        <f t="shared" si="36"/>
        <v>0.63979871961805546</v>
      </c>
      <c r="R582" s="4">
        <v>12668.50194868652</v>
      </c>
      <c r="S582" s="5">
        <f t="shared" si="37"/>
        <v>0.75951415953979451</v>
      </c>
      <c r="T582" s="4">
        <v>10804.427578571909</v>
      </c>
      <c r="U582" s="5">
        <f t="shared" si="38"/>
        <v>0.50061494146832075</v>
      </c>
      <c r="V582" s="4">
        <v>11642.8505859375</v>
      </c>
      <c r="W582" s="5">
        <f t="shared" si="39"/>
        <v>0.61706258138020842</v>
      </c>
    </row>
    <row r="583" spans="1:23" x14ac:dyDescent="0.25">
      <c r="A583" t="s">
        <v>884</v>
      </c>
      <c r="B583">
        <v>2017</v>
      </c>
      <c r="C583" t="s">
        <v>91</v>
      </c>
      <c r="D583" t="s">
        <v>885</v>
      </c>
      <c r="E583">
        <v>129974</v>
      </c>
      <c r="F583" t="s">
        <v>77</v>
      </c>
      <c r="G583" t="s">
        <v>30</v>
      </c>
      <c r="H583" t="s">
        <v>24</v>
      </c>
      <c r="I583" t="s">
        <v>25</v>
      </c>
      <c r="J583" s="2">
        <v>45631</v>
      </c>
      <c r="K583" t="s">
        <v>25</v>
      </c>
      <c r="L583">
        <v>44067</v>
      </c>
      <c r="M583">
        <v>235</v>
      </c>
      <c r="N583">
        <v>285</v>
      </c>
      <c r="O583" s="4">
        <v>9300</v>
      </c>
      <c r="P583" s="4">
        <v>3741.619140625</v>
      </c>
      <c r="Q583" s="5">
        <f t="shared" si="36"/>
        <v>-0.59767536122311826</v>
      </c>
      <c r="R583" s="4">
        <v>6696.2057230277414</v>
      </c>
      <c r="S583" s="5">
        <f t="shared" si="37"/>
        <v>-0.27997787924432893</v>
      </c>
      <c r="T583" s="4">
        <v>5542.592790731901</v>
      </c>
      <c r="U583" s="5">
        <f t="shared" si="38"/>
        <v>-0.40402228056646228</v>
      </c>
      <c r="V583" s="4">
        <v>3361.063232421875</v>
      </c>
      <c r="W583" s="5">
        <f t="shared" si="39"/>
        <v>-0.63859535135248657</v>
      </c>
    </row>
    <row r="584" spans="1:23" x14ac:dyDescent="0.25">
      <c r="A584" t="s">
        <v>886</v>
      </c>
      <c r="B584">
        <v>2017</v>
      </c>
      <c r="C584" t="s">
        <v>20</v>
      </c>
      <c r="D584" t="s">
        <v>421</v>
      </c>
      <c r="E584">
        <v>78733</v>
      </c>
      <c r="F584" t="s">
        <v>227</v>
      </c>
      <c r="G584" t="s">
        <v>23</v>
      </c>
      <c r="H584" t="s">
        <v>24</v>
      </c>
      <c r="I584" t="s">
        <v>25</v>
      </c>
      <c r="J584" s="2">
        <v>45356</v>
      </c>
      <c r="K584" t="s">
        <v>25</v>
      </c>
      <c r="L584">
        <v>44067</v>
      </c>
      <c r="M584">
        <v>235</v>
      </c>
      <c r="N584">
        <v>285</v>
      </c>
      <c r="O584" s="4">
        <v>9000</v>
      </c>
      <c r="P584" s="4">
        <v>4403.74365234375</v>
      </c>
      <c r="Q584" s="5">
        <f t="shared" si="36"/>
        <v>-0.5106951497395833</v>
      </c>
      <c r="R584" s="4">
        <v>7153.6232227104756</v>
      </c>
      <c r="S584" s="5">
        <f t="shared" si="37"/>
        <v>-0.20515297525439158</v>
      </c>
      <c r="T584" s="4">
        <v>4878.0948103795827</v>
      </c>
      <c r="U584" s="5">
        <f t="shared" si="38"/>
        <v>-0.45798946551337971</v>
      </c>
      <c r="V584" s="4">
        <v>4117.2392578125</v>
      </c>
      <c r="W584" s="5">
        <f t="shared" si="39"/>
        <v>-0.54252897135416667</v>
      </c>
    </row>
    <row r="585" spans="1:23" x14ac:dyDescent="0.25">
      <c r="A585" t="s">
        <v>887</v>
      </c>
      <c r="B585">
        <v>2015</v>
      </c>
      <c r="C585" t="s">
        <v>20</v>
      </c>
      <c r="D585" t="s">
        <v>421</v>
      </c>
      <c r="E585">
        <v>106030</v>
      </c>
      <c r="F585" t="s">
        <v>37</v>
      </c>
      <c r="G585" t="s">
        <v>38</v>
      </c>
      <c r="H585" t="s">
        <v>25</v>
      </c>
      <c r="I585" t="s">
        <v>24</v>
      </c>
      <c r="J585" s="2">
        <v>45314</v>
      </c>
      <c r="K585" t="s">
        <v>25</v>
      </c>
      <c r="L585">
        <v>44067</v>
      </c>
      <c r="M585">
        <v>235</v>
      </c>
      <c r="N585">
        <v>285</v>
      </c>
      <c r="O585" s="4">
        <v>7400</v>
      </c>
      <c r="P585" s="4">
        <v>2632.3232421875</v>
      </c>
      <c r="Q585" s="5">
        <f t="shared" si="36"/>
        <v>-0.6442806429476351</v>
      </c>
      <c r="R585" s="4">
        <v>6911.6168016741358</v>
      </c>
      <c r="S585" s="5">
        <f t="shared" si="37"/>
        <v>-6.5997729503495139E-2</v>
      </c>
      <c r="T585" s="4">
        <v>4452.7210745928114</v>
      </c>
      <c r="U585" s="5">
        <f t="shared" si="38"/>
        <v>-0.39828093586583635</v>
      </c>
      <c r="V585" s="4">
        <v>4740.00048828125</v>
      </c>
      <c r="W585" s="5">
        <f t="shared" si="39"/>
        <v>-0.35945939347550671</v>
      </c>
    </row>
    <row r="586" spans="1:23" x14ac:dyDescent="0.25">
      <c r="A586" t="s">
        <v>888</v>
      </c>
      <c r="B586">
        <v>2020</v>
      </c>
      <c r="C586" t="s">
        <v>20</v>
      </c>
      <c r="D586" t="s">
        <v>717</v>
      </c>
      <c r="E586">
        <v>60027</v>
      </c>
      <c r="F586" t="s">
        <v>475</v>
      </c>
      <c r="G586" t="s">
        <v>38</v>
      </c>
      <c r="H586" t="s">
        <v>25</v>
      </c>
      <c r="I586" t="s">
        <v>24</v>
      </c>
      <c r="J586" s="2">
        <v>45342</v>
      </c>
      <c r="K586" t="s">
        <v>25</v>
      </c>
      <c r="L586">
        <v>44067</v>
      </c>
      <c r="M586">
        <v>235</v>
      </c>
      <c r="N586">
        <v>285</v>
      </c>
      <c r="O586" s="4">
        <v>13900</v>
      </c>
      <c r="P586" s="4">
        <v>18307.20703125</v>
      </c>
      <c r="Q586" s="5">
        <f t="shared" si="36"/>
        <v>0.31706525404676267</v>
      </c>
      <c r="R586" s="4">
        <v>18203.707008705511</v>
      </c>
      <c r="S586" s="5">
        <f t="shared" si="37"/>
        <v>0.30961920925938924</v>
      </c>
      <c r="T586" s="4">
        <v>8037.593597668254</v>
      </c>
      <c r="U586" s="5">
        <f t="shared" si="38"/>
        <v>-0.42175585628285939</v>
      </c>
      <c r="V586" s="4">
        <v>18481.1796875</v>
      </c>
      <c r="W586" s="5">
        <f t="shared" si="39"/>
        <v>0.32958127248201441</v>
      </c>
    </row>
    <row r="587" spans="1:23" x14ac:dyDescent="0.25">
      <c r="A587" t="s">
        <v>889</v>
      </c>
      <c r="B587">
        <v>2016</v>
      </c>
      <c r="C587" t="s">
        <v>167</v>
      </c>
      <c r="D587" t="s">
        <v>890</v>
      </c>
      <c r="E587">
        <v>133336</v>
      </c>
      <c r="F587" t="s">
        <v>79</v>
      </c>
      <c r="G587" t="s">
        <v>38</v>
      </c>
      <c r="H587" t="s">
        <v>25</v>
      </c>
      <c r="I587" t="s">
        <v>24</v>
      </c>
      <c r="J587" s="2">
        <v>45734</v>
      </c>
      <c r="K587" t="s">
        <v>25</v>
      </c>
      <c r="L587">
        <v>44067</v>
      </c>
      <c r="M587">
        <v>235</v>
      </c>
      <c r="N587">
        <v>285</v>
      </c>
      <c r="O587" s="4">
        <v>8000</v>
      </c>
      <c r="P587" s="4">
        <v>2594.48486328125</v>
      </c>
      <c r="Q587" s="5">
        <f t="shared" si="36"/>
        <v>-0.67568939208984369</v>
      </c>
      <c r="R587" s="4">
        <v>2409.8907997636629</v>
      </c>
      <c r="S587" s="5">
        <f t="shared" si="37"/>
        <v>-0.69876365002954222</v>
      </c>
      <c r="T587" s="4">
        <v>3424.8329462768602</v>
      </c>
      <c r="U587" s="5">
        <f t="shared" si="38"/>
        <v>-0.57189588171539252</v>
      </c>
      <c r="V587" s="4">
        <v>2510.328125</v>
      </c>
      <c r="W587" s="5">
        <f t="shared" si="39"/>
        <v>-0.686208984375</v>
      </c>
    </row>
    <row r="588" spans="1:23" x14ac:dyDescent="0.25">
      <c r="A588" t="s">
        <v>891</v>
      </c>
      <c r="B588">
        <v>2013</v>
      </c>
      <c r="C588" t="s">
        <v>167</v>
      </c>
      <c r="D588" t="s">
        <v>188</v>
      </c>
      <c r="E588">
        <v>122914</v>
      </c>
      <c r="F588" t="s">
        <v>48</v>
      </c>
      <c r="G588" t="s">
        <v>38</v>
      </c>
      <c r="H588" t="s">
        <v>25</v>
      </c>
      <c r="I588" t="s">
        <v>24</v>
      </c>
      <c r="J588" s="2">
        <v>45302</v>
      </c>
      <c r="K588" t="s">
        <v>25</v>
      </c>
      <c r="L588">
        <v>44067</v>
      </c>
      <c r="M588">
        <v>235</v>
      </c>
      <c r="N588">
        <v>285</v>
      </c>
      <c r="O588" s="4">
        <v>8000</v>
      </c>
      <c r="P588" s="4">
        <v>1980.994873046875</v>
      </c>
      <c r="Q588" s="5">
        <f t="shared" si="36"/>
        <v>-0.75237564086914066</v>
      </c>
      <c r="R588" s="4">
        <v>2864.4798503079128</v>
      </c>
      <c r="S588" s="5">
        <f t="shared" si="37"/>
        <v>-0.64194001871151096</v>
      </c>
      <c r="T588" s="4">
        <v>4182.0640189179767</v>
      </c>
      <c r="U588" s="5">
        <f t="shared" si="38"/>
        <v>-0.47724199763525288</v>
      </c>
      <c r="V588" s="4">
        <v>1915.73095703125</v>
      </c>
      <c r="W588" s="5">
        <f t="shared" si="39"/>
        <v>-0.76053363037109378</v>
      </c>
    </row>
    <row r="589" spans="1:23" x14ac:dyDescent="0.25">
      <c r="A589" t="s">
        <v>892</v>
      </c>
      <c r="B589">
        <v>2019</v>
      </c>
      <c r="C589" t="s">
        <v>167</v>
      </c>
      <c r="D589" t="s">
        <v>893</v>
      </c>
      <c r="E589">
        <v>15087</v>
      </c>
      <c r="F589" t="s">
        <v>106</v>
      </c>
      <c r="G589" t="s">
        <v>38</v>
      </c>
      <c r="H589" t="s">
        <v>25</v>
      </c>
      <c r="I589" t="s">
        <v>24</v>
      </c>
      <c r="J589" s="2">
        <v>45398</v>
      </c>
      <c r="K589" t="s">
        <v>25</v>
      </c>
      <c r="L589">
        <v>44067</v>
      </c>
      <c r="M589">
        <v>235</v>
      </c>
      <c r="N589">
        <v>285</v>
      </c>
      <c r="O589" s="4">
        <v>7000</v>
      </c>
      <c r="P589" s="4">
        <v>27493.451171875</v>
      </c>
      <c r="Q589" s="5">
        <f t="shared" si="36"/>
        <v>2.9276358816964287</v>
      </c>
      <c r="R589" s="4">
        <v>22189.151999030579</v>
      </c>
      <c r="S589" s="5">
        <f t="shared" si="37"/>
        <v>2.1698788570043686</v>
      </c>
      <c r="T589" s="4">
        <v>18768.52285078527</v>
      </c>
      <c r="U589" s="5">
        <f t="shared" si="38"/>
        <v>1.6812175501121813</v>
      </c>
      <c r="V589" s="4">
        <v>28213.103515625</v>
      </c>
      <c r="W589" s="5">
        <f t="shared" si="39"/>
        <v>3.030443359375</v>
      </c>
    </row>
    <row r="590" spans="1:23" x14ac:dyDescent="0.25">
      <c r="A590" t="s">
        <v>894</v>
      </c>
      <c r="B590">
        <v>2015</v>
      </c>
      <c r="C590" t="s">
        <v>167</v>
      </c>
      <c r="D590" t="s">
        <v>555</v>
      </c>
      <c r="E590">
        <v>91590</v>
      </c>
      <c r="F590" t="s">
        <v>55</v>
      </c>
      <c r="G590" t="s">
        <v>38</v>
      </c>
      <c r="H590" t="s">
        <v>25</v>
      </c>
      <c r="I590" t="s">
        <v>24</v>
      </c>
      <c r="J590" s="2">
        <v>45575</v>
      </c>
      <c r="K590" t="s">
        <v>25</v>
      </c>
      <c r="L590">
        <v>44067</v>
      </c>
      <c r="M590">
        <v>235</v>
      </c>
      <c r="N590">
        <v>285</v>
      </c>
      <c r="O590" s="4">
        <v>1100</v>
      </c>
      <c r="P590" s="4">
        <v>3928.06103515625</v>
      </c>
      <c r="Q590" s="5">
        <f t="shared" si="36"/>
        <v>2.5709645774147729</v>
      </c>
      <c r="R590" s="4">
        <v>3772.2233572746982</v>
      </c>
      <c r="S590" s="5">
        <f t="shared" si="37"/>
        <v>2.4292939611588165</v>
      </c>
      <c r="T590" s="4">
        <v>3557.0944717526581</v>
      </c>
      <c r="U590" s="5">
        <f t="shared" si="38"/>
        <v>2.2337222470478708</v>
      </c>
      <c r="V590" s="4">
        <v>4033.624267578125</v>
      </c>
      <c r="W590" s="5">
        <f t="shared" si="39"/>
        <v>2.66693115234375</v>
      </c>
    </row>
    <row r="591" spans="1:23" x14ac:dyDescent="0.25">
      <c r="A591" t="s">
        <v>895</v>
      </c>
      <c r="B591">
        <v>2015</v>
      </c>
      <c r="C591" t="s">
        <v>167</v>
      </c>
      <c r="D591" t="s">
        <v>293</v>
      </c>
      <c r="E591">
        <v>136242</v>
      </c>
      <c r="F591" t="s">
        <v>77</v>
      </c>
      <c r="G591" t="s">
        <v>38</v>
      </c>
      <c r="H591" t="s">
        <v>25</v>
      </c>
      <c r="I591" t="s">
        <v>24</v>
      </c>
      <c r="J591" s="2">
        <v>45603</v>
      </c>
      <c r="K591" t="s">
        <v>25</v>
      </c>
      <c r="L591">
        <v>44067</v>
      </c>
      <c r="M591">
        <v>235</v>
      </c>
      <c r="N591">
        <v>285</v>
      </c>
      <c r="O591" s="4">
        <v>7300</v>
      </c>
      <c r="P591" s="4">
        <v>2328.820068359375</v>
      </c>
      <c r="Q591" s="5">
        <f t="shared" si="36"/>
        <v>-0.68098355227953766</v>
      </c>
      <c r="R591" s="4">
        <v>3554.761091010108</v>
      </c>
      <c r="S591" s="5">
        <f t="shared" si="37"/>
        <v>-0.51304642588902638</v>
      </c>
      <c r="T591" s="4">
        <v>3018.0217303276681</v>
      </c>
      <c r="U591" s="5">
        <f t="shared" si="38"/>
        <v>-0.58657236570853866</v>
      </c>
      <c r="V591" s="4">
        <v>2193.859375</v>
      </c>
      <c r="W591" s="5">
        <f t="shared" si="39"/>
        <v>-0.6994713184931507</v>
      </c>
    </row>
    <row r="592" spans="1:23" x14ac:dyDescent="0.25">
      <c r="A592" t="s">
        <v>896</v>
      </c>
      <c r="B592">
        <v>2015</v>
      </c>
      <c r="C592" t="s">
        <v>167</v>
      </c>
      <c r="D592" t="s">
        <v>168</v>
      </c>
      <c r="E592">
        <v>154058</v>
      </c>
      <c r="F592" t="s">
        <v>77</v>
      </c>
      <c r="G592" t="s">
        <v>30</v>
      </c>
      <c r="H592" t="s">
        <v>24</v>
      </c>
      <c r="I592" t="s">
        <v>25</v>
      </c>
      <c r="J592" s="2">
        <v>45736</v>
      </c>
      <c r="K592" t="s">
        <v>25</v>
      </c>
      <c r="L592">
        <v>44067</v>
      </c>
      <c r="M592">
        <v>235</v>
      </c>
      <c r="N592">
        <v>285</v>
      </c>
      <c r="O592" s="4">
        <v>6200</v>
      </c>
      <c r="P592" s="4">
        <v>1941.84521484375</v>
      </c>
      <c r="Q592" s="5">
        <f t="shared" si="36"/>
        <v>-0.68679915889616938</v>
      </c>
      <c r="R592" s="4">
        <v>3205.115221175532</v>
      </c>
      <c r="S592" s="5">
        <f t="shared" si="37"/>
        <v>-0.48304593206846258</v>
      </c>
      <c r="T592" s="4">
        <v>2655.160832791792</v>
      </c>
      <c r="U592" s="5">
        <f t="shared" si="38"/>
        <v>-0.57174825277551744</v>
      </c>
      <c r="V592" s="4">
        <v>1903.561401367188</v>
      </c>
      <c r="W592" s="5">
        <f t="shared" si="39"/>
        <v>-0.69297396752142126</v>
      </c>
    </row>
    <row r="593" spans="1:23" x14ac:dyDescent="0.25">
      <c r="A593" t="s">
        <v>897</v>
      </c>
      <c r="B593">
        <v>2017</v>
      </c>
      <c r="C593" t="s">
        <v>167</v>
      </c>
      <c r="D593" t="s">
        <v>898</v>
      </c>
      <c r="E593">
        <v>124252</v>
      </c>
      <c r="F593" t="s">
        <v>29</v>
      </c>
      <c r="G593" t="s">
        <v>30</v>
      </c>
      <c r="H593" t="s">
        <v>24</v>
      </c>
      <c r="I593" t="s">
        <v>25</v>
      </c>
      <c r="J593" s="2">
        <v>45370</v>
      </c>
      <c r="K593" t="s">
        <v>25</v>
      </c>
      <c r="L593">
        <v>44067</v>
      </c>
      <c r="M593">
        <v>235</v>
      </c>
      <c r="N593">
        <v>285</v>
      </c>
      <c r="O593" s="4">
        <v>13800</v>
      </c>
      <c r="P593" s="4">
        <v>3218.06982421875</v>
      </c>
      <c r="Q593" s="5">
        <f t="shared" si="36"/>
        <v>-0.76680653447690217</v>
      </c>
      <c r="R593" s="4">
        <v>4836.8306939145914</v>
      </c>
      <c r="S593" s="5">
        <f t="shared" si="37"/>
        <v>-0.64950502218010209</v>
      </c>
      <c r="T593" s="4">
        <v>5534.4783326554098</v>
      </c>
      <c r="U593" s="5">
        <f t="shared" si="38"/>
        <v>-0.59895084545975297</v>
      </c>
      <c r="V593" s="4">
        <v>2871.552490234375</v>
      </c>
      <c r="W593" s="5">
        <f t="shared" si="39"/>
        <v>-0.79191648621490041</v>
      </c>
    </row>
    <row r="594" spans="1:23" x14ac:dyDescent="0.25">
      <c r="A594" t="s">
        <v>899</v>
      </c>
      <c r="B594">
        <v>2014</v>
      </c>
      <c r="C594" t="s">
        <v>167</v>
      </c>
      <c r="D594" t="s">
        <v>900</v>
      </c>
      <c r="E594">
        <v>159228</v>
      </c>
      <c r="F594" t="s">
        <v>696</v>
      </c>
      <c r="G594" t="s">
        <v>23</v>
      </c>
      <c r="H594" t="s">
        <v>24</v>
      </c>
      <c r="I594" t="s">
        <v>25</v>
      </c>
      <c r="J594" s="2">
        <v>45580</v>
      </c>
      <c r="K594" t="s">
        <v>25</v>
      </c>
      <c r="L594">
        <v>44067</v>
      </c>
      <c r="M594">
        <v>235</v>
      </c>
      <c r="N594">
        <v>285</v>
      </c>
      <c r="O594" s="4">
        <v>1500</v>
      </c>
      <c r="P594" s="4">
        <v>1295.380615234375</v>
      </c>
      <c r="Q594" s="5">
        <f t="shared" si="36"/>
        <v>-0.13641292317708331</v>
      </c>
      <c r="R594" s="4">
        <v>1592.241831974914</v>
      </c>
      <c r="S594" s="5">
        <f t="shared" si="37"/>
        <v>6.1494554649942579E-2</v>
      </c>
      <c r="T594" s="4">
        <v>1424.94323916553</v>
      </c>
      <c r="U594" s="5">
        <f t="shared" si="38"/>
        <v>-5.0037840556313329E-2</v>
      </c>
      <c r="V594" s="4">
        <v>1337.383178710938</v>
      </c>
      <c r="W594" s="5">
        <f t="shared" si="39"/>
        <v>-0.10841121419270805</v>
      </c>
    </row>
    <row r="595" spans="1:23" x14ac:dyDescent="0.25">
      <c r="A595" t="s">
        <v>901</v>
      </c>
      <c r="B595">
        <v>2018</v>
      </c>
      <c r="C595" t="s">
        <v>156</v>
      </c>
      <c r="D595" t="s">
        <v>196</v>
      </c>
      <c r="E595">
        <v>149084</v>
      </c>
      <c r="F595" t="s">
        <v>22</v>
      </c>
      <c r="G595" t="s">
        <v>23</v>
      </c>
      <c r="H595" t="s">
        <v>24</v>
      </c>
      <c r="I595" t="s">
        <v>25</v>
      </c>
      <c r="J595" s="2">
        <v>45526</v>
      </c>
      <c r="K595" t="s">
        <v>25</v>
      </c>
      <c r="L595">
        <v>44067</v>
      </c>
      <c r="M595">
        <v>235</v>
      </c>
      <c r="N595">
        <v>285</v>
      </c>
      <c r="O595" s="4">
        <v>3000</v>
      </c>
      <c r="P595" s="4">
        <v>2989.113037109375</v>
      </c>
      <c r="Q595" s="5">
        <f t="shared" si="36"/>
        <v>-3.6289876302083579E-3</v>
      </c>
      <c r="R595" s="4">
        <v>2463.8367115449601</v>
      </c>
      <c r="S595" s="5">
        <f t="shared" si="37"/>
        <v>-0.17872109615167997</v>
      </c>
      <c r="T595" s="4">
        <v>2799.4336732808561</v>
      </c>
      <c r="U595" s="5">
        <f t="shared" si="38"/>
        <v>-6.6855442239714624E-2</v>
      </c>
      <c r="V595" s="4">
        <v>2926.701416015625</v>
      </c>
      <c r="W595" s="5">
        <f t="shared" si="39"/>
        <v>-2.4432861328125055E-2</v>
      </c>
    </row>
    <row r="596" spans="1:23" x14ac:dyDescent="0.25">
      <c r="A596" t="s">
        <v>902</v>
      </c>
      <c r="B596">
        <v>2016</v>
      </c>
      <c r="C596" t="s">
        <v>156</v>
      </c>
      <c r="D596" t="s">
        <v>903</v>
      </c>
      <c r="E596">
        <v>73415</v>
      </c>
      <c r="F596" t="s">
        <v>37</v>
      </c>
      <c r="G596" t="s">
        <v>38</v>
      </c>
      <c r="H596" t="s">
        <v>25</v>
      </c>
      <c r="I596" t="s">
        <v>24</v>
      </c>
      <c r="J596" s="2">
        <v>45323</v>
      </c>
      <c r="K596" t="s">
        <v>25</v>
      </c>
      <c r="L596">
        <v>44067</v>
      </c>
      <c r="M596">
        <v>235</v>
      </c>
      <c r="N596">
        <v>285</v>
      </c>
      <c r="O596" s="4">
        <v>3700</v>
      </c>
      <c r="P596" s="4">
        <v>4739.236328125</v>
      </c>
      <c r="Q596" s="5">
        <f t="shared" si="36"/>
        <v>0.28087468327702703</v>
      </c>
      <c r="R596" s="4">
        <v>7815.1606851541264</v>
      </c>
      <c r="S596" s="5">
        <f t="shared" si="37"/>
        <v>1.1122055905821964</v>
      </c>
      <c r="T596" s="4">
        <v>9914.6418918251384</v>
      </c>
      <c r="U596" s="5">
        <f t="shared" si="38"/>
        <v>1.6796329437365238</v>
      </c>
      <c r="V596" s="4">
        <v>4647.1962890625</v>
      </c>
      <c r="W596" s="5">
        <f t="shared" si="39"/>
        <v>0.25599899704391893</v>
      </c>
    </row>
    <row r="597" spans="1:23" x14ac:dyDescent="0.25">
      <c r="A597" t="s">
        <v>904</v>
      </c>
      <c r="B597">
        <v>2016</v>
      </c>
      <c r="C597" t="s">
        <v>185</v>
      </c>
      <c r="D597" t="s">
        <v>905</v>
      </c>
      <c r="E597">
        <v>100929</v>
      </c>
      <c r="F597" t="s">
        <v>22</v>
      </c>
      <c r="G597" t="s">
        <v>23</v>
      </c>
      <c r="H597" t="s">
        <v>24</v>
      </c>
      <c r="I597" t="s">
        <v>25</v>
      </c>
      <c r="J597" s="2">
        <v>45645</v>
      </c>
      <c r="K597" t="s">
        <v>25</v>
      </c>
      <c r="L597">
        <v>44067</v>
      </c>
      <c r="M597">
        <v>235</v>
      </c>
      <c r="N597">
        <v>285</v>
      </c>
      <c r="O597" s="4">
        <v>10000</v>
      </c>
      <c r="P597" s="4">
        <v>3872.717041015625</v>
      </c>
      <c r="Q597" s="5">
        <f t="shared" si="36"/>
        <v>-0.61272829589843747</v>
      </c>
      <c r="R597" s="4">
        <v>4099.3636667374212</v>
      </c>
      <c r="S597" s="5">
        <f t="shared" si="37"/>
        <v>-0.59006363332625789</v>
      </c>
      <c r="T597" s="4">
        <v>5986.2762349265813</v>
      </c>
      <c r="U597" s="5">
        <f t="shared" si="38"/>
        <v>-0.40137237650734192</v>
      </c>
      <c r="V597" s="4">
        <v>3678.55517578125</v>
      </c>
      <c r="W597" s="5">
        <f t="shared" si="39"/>
        <v>-0.63214448242187493</v>
      </c>
    </row>
    <row r="598" spans="1:23" x14ac:dyDescent="0.25">
      <c r="A598" t="s">
        <v>906</v>
      </c>
      <c r="B598">
        <v>2019</v>
      </c>
      <c r="C598" t="s">
        <v>53</v>
      </c>
      <c r="D598" t="s">
        <v>485</v>
      </c>
      <c r="E598">
        <v>81245</v>
      </c>
      <c r="F598" t="s">
        <v>98</v>
      </c>
      <c r="G598" t="s">
        <v>44</v>
      </c>
      <c r="H598" t="s">
        <v>25</v>
      </c>
      <c r="I598" t="s">
        <v>24</v>
      </c>
      <c r="J598" s="2">
        <v>45678</v>
      </c>
      <c r="K598" t="s">
        <v>25</v>
      </c>
      <c r="L598">
        <v>44067</v>
      </c>
      <c r="M598">
        <v>235</v>
      </c>
      <c r="N598">
        <v>285</v>
      </c>
      <c r="O598" s="4">
        <v>11400</v>
      </c>
      <c r="P598" s="4">
        <v>14992.2060546875</v>
      </c>
      <c r="Q598" s="5">
        <f t="shared" si="36"/>
        <v>0.31510579427083329</v>
      </c>
      <c r="R598" s="4">
        <v>15455.188980506029</v>
      </c>
      <c r="S598" s="5">
        <f t="shared" si="37"/>
        <v>0.35571833162333588</v>
      </c>
      <c r="T598" s="4">
        <v>13069.06465689465</v>
      </c>
      <c r="U598" s="5">
        <f t="shared" si="38"/>
        <v>0.14640918042935525</v>
      </c>
      <c r="V598" s="4">
        <v>15121.4150390625</v>
      </c>
      <c r="W598" s="5">
        <f t="shared" si="39"/>
        <v>0.32643991570723685</v>
      </c>
    </row>
    <row r="599" spans="1:23" x14ac:dyDescent="0.25">
      <c r="A599" t="s">
        <v>907</v>
      </c>
      <c r="B599">
        <v>2013</v>
      </c>
      <c r="C599" t="s">
        <v>266</v>
      </c>
      <c r="D599" t="s">
        <v>908</v>
      </c>
      <c r="E599">
        <v>48391</v>
      </c>
      <c r="F599" t="s">
        <v>43</v>
      </c>
      <c r="G599" t="s">
        <v>44</v>
      </c>
      <c r="H599" t="s">
        <v>25</v>
      </c>
      <c r="I599" t="s">
        <v>24</v>
      </c>
      <c r="J599" s="2">
        <v>45692</v>
      </c>
      <c r="K599" t="s">
        <v>25</v>
      </c>
      <c r="L599">
        <v>44067</v>
      </c>
      <c r="M599">
        <v>235</v>
      </c>
      <c r="N599">
        <v>285</v>
      </c>
      <c r="O599" s="4">
        <v>4600</v>
      </c>
      <c r="P599" s="4">
        <v>8055.7392578125</v>
      </c>
      <c r="Q599" s="5">
        <f t="shared" si="36"/>
        <v>0.75124766474184779</v>
      </c>
      <c r="R599" s="4">
        <v>9173.0777559589042</v>
      </c>
      <c r="S599" s="5">
        <f t="shared" si="37"/>
        <v>0.99414733825193569</v>
      </c>
      <c r="T599" s="4">
        <v>9599.324532010176</v>
      </c>
      <c r="U599" s="5">
        <f t="shared" si="38"/>
        <v>1.0868096808717773</v>
      </c>
      <c r="V599" s="4">
        <v>7629.2841796875</v>
      </c>
      <c r="W599" s="5">
        <f t="shared" si="39"/>
        <v>0.65854003906250003</v>
      </c>
    </row>
    <row r="600" spans="1:23" x14ac:dyDescent="0.25">
      <c r="A600" t="s">
        <v>909</v>
      </c>
      <c r="B600">
        <v>2017</v>
      </c>
      <c r="C600" t="s">
        <v>32</v>
      </c>
      <c r="D600" t="s">
        <v>563</v>
      </c>
      <c r="E600">
        <v>51149</v>
      </c>
      <c r="F600" t="s">
        <v>63</v>
      </c>
      <c r="G600" t="s">
        <v>44</v>
      </c>
      <c r="H600" t="s">
        <v>25</v>
      </c>
      <c r="I600" t="s">
        <v>24</v>
      </c>
      <c r="J600" s="2">
        <v>45356</v>
      </c>
      <c r="K600" t="s">
        <v>25</v>
      </c>
      <c r="L600">
        <v>44067</v>
      </c>
      <c r="M600">
        <v>235</v>
      </c>
      <c r="N600">
        <v>285</v>
      </c>
      <c r="O600" s="4">
        <v>15400</v>
      </c>
      <c r="P600" s="4">
        <v>15076.3564453125</v>
      </c>
      <c r="Q600" s="5">
        <f t="shared" si="36"/>
        <v>-2.1015815239448066E-2</v>
      </c>
      <c r="R600" s="4">
        <v>15185.599907659411</v>
      </c>
      <c r="S600" s="5">
        <f t="shared" si="37"/>
        <v>-1.392208391822003E-2</v>
      </c>
      <c r="T600" s="4">
        <v>13815.88329354385</v>
      </c>
      <c r="U600" s="5">
        <f t="shared" si="38"/>
        <v>-0.10286472119845136</v>
      </c>
      <c r="V600" s="4">
        <v>15469.3017578125</v>
      </c>
      <c r="W600" s="5">
        <f t="shared" si="39"/>
        <v>4.5001141436689096E-3</v>
      </c>
    </row>
    <row r="601" spans="1:23" x14ac:dyDescent="0.25">
      <c r="A601" t="s">
        <v>910</v>
      </c>
      <c r="B601">
        <v>2016</v>
      </c>
      <c r="C601" t="s">
        <v>32</v>
      </c>
      <c r="D601" t="s">
        <v>911</v>
      </c>
      <c r="E601">
        <v>103604</v>
      </c>
      <c r="F601" t="s">
        <v>29</v>
      </c>
      <c r="G601" t="s">
        <v>38</v>
      </c>
      <c r="H601" t="s">
        <v>25</v>
      </c>
      <c r="I601" t="s">
        <v>24</v>
      </c>
      <c r="J601" s="2">
        <v>45463</v>
      </c>
      <c r="K601" t="s">
        <v>25</v>
      </c>
      <c r="L601">
        <v>44067</v>
      </c>
      <c r="M601">
        <v>235</v>
      </c>
      <c r="N601">
        <v>285</v>
      </c>
      <c r="O601" s="4">
        <v>11400</v>
      </c>
      <c r="P601" s="4">
        <v>5408.6904296875</v>
      </c>
      <c r="Q601" s="5">
        <f t="shared" si="36"/>
        <v>-0.5255534710800438</v>
      </c>
      <c r="R601" s="4">
        <v>7705.5728997326514</v>
      </c>
      <c r="S601" s="5">
        <f t="shared" si="37"/>
        <v>-0.32407255265503054</v>
      </c>
      <c r="T601" s="4">
        <v>10499.464953365899</v>
      </c>
      <c r="U601" s="5">
        <f t="shared" si="38"/>
        <v>-7.8994302336324651E-2</v>
      </c>
      <c r="V601" s="4">
        <v>4855.88037109375</v>
      </c>
      <c r="W601" s="5">
        <f t="shared" si="39"/>
        <v>-0.57404558148300433</v>
      </c>
    </row>
    <row r="602" spans="1:23" x14ac:dyDescent="0.25">
      <c r="A602" t="s">
        <v>912</v>
      </c>
      <c r="B602">
        <v>2014</v>
      </c>
      <c r="C602" t="s">
        <v>248</v>
      </c>
      <c r="D602" t="s">
        <v>913</v>
      </c>
      <c r="E602">
        <v>117221</v>
      </c>
      <c r="F602" t="s">
        <v>82</v>
      </c>
      <c r="G602" t="s">
        <v>23</v>
      </c>
      <c r="H602" t="s">
        <v>24</v>
      </c>
      <c r="I602" t="s">
        <v>25</v>
      </c>
      <c r="J602" s="2">
        <v>45484</v>
      </c>
      <c r="K602" t="s">
        <v>25</v>
      </c>
      <c r="L602">
        <v>44067</v>
      </c>
      <c r="M602">
        <v>235</v>
      </c>
      <c r="N602">
        <v>285</v>
      </c>
      <c r="O602" s="4">
        <v>500</v>
      </c>
      <c r="P602" s="4">
        <v>2483.991943359375</v>
      </c>
      <c r="Q602" s="5">
        <f t="shared" si="36"/>
        <v>3.9679838867187502</v>
      </c>
      <c r="R602" s="4">
        <v>3016.0967663551542</v>
      </c>
      <c r="S602" s="5">
        <f t="shared" si="37"/>
        <v>5.0321935327103082</v>
      </c>
      <c r="T602" s="4">
        <v>1837.8902643452691</v>
      </c>
      <c r="U602" s="5">
        <f t="shared" si="38"/>
        <v>2.6757805286905381</v>
      </c>
      <c r="V602" s="4">
        <v>2359.124267578125</v>
      </c>
      <c r="W602" s="5">
        <f t="shared" si="39"/>
        <v>3.71824853515625</v>
      </c>
    </row>
    <row r="603" spans="1:23" x14ac:dyDescent="0.25">
      <c r="A603" t="s">
        <v>914</v>
      </c>
      <c r="B603">
        <v>2016</v>
      </c>
      <c r="C603" t="s">
        <v>20</v>
      </c>
      <c r="D603" t="s">
        <v>915</v>
      </c>
      <c r="E603">
        <v>68117</v>
      </c>
      <c r="F603" t="s">
        <v>254</v>
      </c>
      <c r="G603" t="s">
        <v>44</v>
      </c>
      <c r="H603" t="s">
        <v>25</v>
      </c>
      <c r="I603" t="s">
        <v>24</v>
      </c>
      <c r="J603" s="2">
        <v>45582</v>
      </c>
      <c r="K603" t="s">
        <v>25</v>
      </c>
      <c r="L603">
        <v>44074</v>
      </c>
      <c r="M603">
        <v>179</v>
      </c>
      <c r="N603">
        <v>229</v>
      </c>
      <c r="O603" s="4">
        <v>3600</v>
      </c>
      <c r="P603" s="4">
        <v>11518.5048828125</v>
      </c>
      <c r="Q603" s="5">
        <f t="shared" si="36"/>
        <v>2.199584689670139</v>
      </c>
      <c r="R603" s="4">
        <v>10854.477234715339</v>
      </c>
      <c r="S603" s="5">
        <f t="shared" si="37"/>
        <v>2.0151325651987055</v>
      </c>
      <c r="T603" s="4">
        <v>9240.7834847356571</v>
      </c>
      <c r="U603" s="5">
        <f t="shared" si="38"/>
        <v>1.5668843013154605</v>
      </c>
      <c r="V603" s="4">
        <v>11489.0576171875</v>
      </c>
      <c r="W603" s="5">
        <f t="shared" si="39"/>
        <v>2.1914048936631945</v>
      </c>
    </row>
    <row r="604" spans="1:23" x14ac:dyDescent="0.25">
      <c r="A604" t="s">
        <v>916</v>
      </c>
      <c r="B604">
        <v>2016</v>
      </c>
      <c r="C604" t="s">
        <v>20</v>
      </c>
      <c r="D604" t="s">
        <v>76</v>
      </c>
      <c r="E604">
        <v>63009</v>
      </c>
      <c r="F604" t="s">
        <v>475</v>
      </c>
      <c r="G604" t="s">
        <v>38</v>
      </c>
      <c r="H604" t="s">
        <v>25</v>
      </c>
      <c r="I604" t="s">
        <v>24</v>
      </c>
      <c r="J604" s="2">
        <v>45622</v>
      </c>
      <c r="K604" t="s">
        <v>25</v>
      </c>
      <c r="L604">
        <v>44074</v>
      </c>
      <c r="M604">
        <v>179</v>
      </c>
      <c r="N604">
        <v>229</v>
      </c>
      <c r="O604" s="4">
        <v>1300</v>
      </c>
      <c r="P604" s="4">
        <v>12618.3349609375</v>
      </c>
      <c r="Q604" s="5">
        <f t="shared" si="36"/>
        <v>8.7064115084134617</v>
      </c>
      <c r="R604" s="4">
        <v>11834.83110040557</v>
      </c>
      <c r="S604" s="5">
        <f t="shared" si="37"/>
        <v>8.1037162310812079</v>
      </c>
      <c r="T604" s="4">
        <v>5855.5765062705477</v>
      </c>
      <c r="U604" s="5">
        <f t="shared" si="38"/>
        <v>3.5042896202081133</v>
      </c>
      <c r="V604" s="4">
        <v>12567.4541015625</v>
      </c>
      <c r="W604" s="5">
        <f t="shared" si="39"/>
        <v>8.6672723858173075</v>
      </c>
    </row>
    <row r="605" spans="1:23" x14ac:dyDescent="0.25">
      <c r="A605" t="s">
        <v>917</v>
      </c>
      <c r="B605">
        <v>2017</v>
      </c>
      <c r="C605" t="s">
        <v>20</v>
      </c>
      <c r="D605" t="s">
        <v>81</v>
      </c>
      <c r="E605">
        <v>102225</v>
      </c>
      <c r="F605" t="s">
        <v>382</v>
      </c>
      <c r="G605" t="s">
        <v>38</v>
      </c>
      <c r="H605" t="s">
        <v>25</v>
      </c>
      <c r="I605" t="s">
        <v>24</v>
      </c>
      <c r="J605" s="2">
        <v>45678</v>
      </c>
      <c r="K605" t="s">
        <v>25</v>
      </c>
      <c r="L605">
        <v>44074</v>
      </c>
      <c r="M605">
        <v>179</v>
      </c>
      <c r="N605">
        <v>229</v>
      </c>
      <c r="O605" s="4">
        <v>8400</v>
      </c>
      <c r="P605" s="4">
        <v>3884.415283203125</v>
      </c>
      <c r="Q605" s="5">
        <f t="shared" si="36"/>
        <v>-0.53756960914248508</v>
      </c>
      <c r="R605" s="4">
        <v>5569.0425413507537</v>
      </c>
      <c r="S605" s="5">
        <f t="shared" si="37"/>
        <v>-0.33701874507729124</v>
      </c>
      <c r="T605" s="4">
        <v>4284.5020911678912</v>
      </c>
      <c r="U605" s="5">
        <f t="shared" si="38"/>
        <v>-0.48994022724191777</v>
      </c>
      <c r="V605" s="4">
        <v>3450.07421875</v>
      </c>
      <c r="W605" s="5">
        <f t="shared" si="39"/>
        <v>-0.58927687872023804</v>
      </c>
    </row>
    <row r="606" spans="1:23" x14ac:dyDescent="0.25">
      <c r="A606" t="s">
        <v>918</v>
      </c>
      <c r="B606">
        <v>2016</v>
      </c>
      <c r="C606" t="s">
        <v>20</v>
      </c>
      <c r="D606" t="s">
        <v>81</v>
      </c>
      <c r="E606">
        <v>132553</v>
      </c>
      <c r="F606" t="s">
        <v>649</v>
      </c>
      <c r="G606" t="s">
        <v>23</v>
      </c>
      <c r="H606" t="s">
        <v>24</v>
      </c>
      <c r="I606" t="s">
        <v>25</v>
      </c>
      <c r="J606" s="2">
        <v>45664</v>
      </c>
      <c r="K606" t="s">
        <v>25</v>
      </c>
      <c r="L606">
        <v>44074</v>
      </c>
      <c r="M606">
        <v>179</v>
      </c>
      <c r="N606">
        <v>229</v>
      </c>
      <c r="O606" s="4">
        <v>6000</v>
      </c>
      <c r="P606" s="4">
        <v>2187.799560546875</v>
      </c>
      <c r="Q606" s="5">
        <f t="shared" si="36"/>
        <v>-0.63536673990885417</v>
      </c>
      <c r="R606" s="4">
        <v>3403.2247223046588</v>
      </c>
      <c r="S606" s="5">
        <f t="shared" si="37"/>
        <v>-0.43279587961589017</v>
      </c>
      <c r="T606" s="4">
        <v>2505.8718028798189</v>
      </c>
      <c r="U606" s="5">
        <f t="shared" si="38"/>
        <v>-0.58235469952003016</v>
      </c>
      <c r="V606" s="4">
        <v>2082.657958984375</v>
      </c>
      <c r="W606" s="5">
        <f t="shared" si="39"/>
        <v>-0.65289034016927083</v>
      </c>
    </row>
    <row r="607" spans="1:23" x14ac:dyDescent="0.25">
      <c r="A607" t="s">
        <v>919</v>
      </c>
      <c r="B607">
        <v>2018</v>
      </c>
      <c r="C607" t="s">
        <v>104</v>
      </c>
      <c r="D607" t="s">
        <v>105</v>
      </c>
      <c r="E607">
        <v>79088</v>
      </c>
      <c r="F607" t="s">
        <v>161</v>
      </c>
      <c r="G607" t="s">
        <v>44</v>
      </c>
      <c r="H607" t="s">
        <v>25</v>
      </c>
      <c r="I607" t="s">
        <v>24</v>
      </c>
      <c r="J607" s="2">
        <v>45468</v>
      </c>
      <c r="K607" t="s">
        <v>25</v>
      </c>
      <c r="L607">
        <v>44074</v>
      </c>
      <c r="M607">
        <v>179</v>
      </c>
      <c r="N607">
        <v>229</v>
      </c>
      <c r="O607" s="4">
        <v>20000</v>
      </c>
      <c r="P607" s="4">
        <v>19777.310546875</v>
      </c>
      <c r="Q607" s="5">
        <f t="shared" si="36"/>
        <v>-1.1134472656250005E-2</v>
      </c>
      <c r="R607" s="4">
        <v>19070.55695692229</v>
      </c>
      <c r="S607" s="5">
        <f t="shared" si="37"/>
        <v>-4.647215215388556E-2</v>
      </c>
      <c r="T607" s="4">
        <v>15326.70317288166</v>
      </c>
      <c r="U607" s="5">
        <f t="shared" si="38"/>
        <v>-0.23366484135591703</v>
      </c>
      <c r="V607" s="4">
        <v>20174.533203125</v>
      </c>
      <c r="W607" s="5">
        <f t="shared" si="39"/>
        <v>8.7266601562498991E-3</v>
      </c>
    </row>
    <row r="608" spans="1:23" x14ac:dyDescent="0.25">
      <c r="A608" t="s">
        <v>920</v>
      </c>
      <c r="B608">
        <v>2016</v>
      </c>
      <c r="C608" t="s">
        <v>104</v>
      </c>
      <c r="D608" t="s">
        <v>126</v>
      </c>
      <c r="E608">
        <v>70173</v>
      </c>
      <c r="F608" t="s">
        <v>151</v>
      </c>
      <c r="G608" t="s">
        <v>44</v>
      </c>
      <c r="H608" t="s">
        <v>25</v>
      </c>
      <c r="I608" t="s">
        <v>24</v>
      </c>
      <c r="J608" s="2">
        <v>45678</v>
      </c>
      <c r="K608" t="s">
        <v>25</v>
      </c>
      <c r="L608">
        <v>44074</v>
      </c>
      <c r="M608">
        <v>179</v>
      </c>
      <c r="N608">
        <v>229</v>
      </c>
      <c r="O608" s="4">
        <v>10700</v>
      </c>
      <c r="P608" s="4">
        <v>12997.71875</v>
      </c>
      <c r="Q608" s="5">
        <f t="shared" si="36"/>
        <v>0.21474007009345786</v>
      </c>
      <c r="R608" s="4">
        <v>16168.81634423283</v>
      </c>
      <c r="S608" s="5">
        <f t="shared" si="37"/>
        <v>0.51110433123671295</v>
      </c>
      <c r="T608" s="4">
        <v>14232.82961217698</v>
      </c>
      <c r="U608" s="5">
        <f t="shared" si="38"/>
        <v>0.33017099179224108</v>
      </c>
      <c r="V608" s="4">
        <v>12904.927734375</v>
      </c>
      <c r="W608" s="5">
        <f t="shared" si="39"/>
        <v>0.20606801255841112</v>
      </c>
    </row>
    <row r="609" spans="1:23" x14ac:dyDescent="0.25">
      <c r="A609" t="s">
        <v>921</v>
      </c>
      <c r="B609">
        <v>2014</v>
      </c>
      <c r="C609" t="s">
        <v>302</v>
      </c>
      <c r="D609" t="s">
        <v>922</v>
      </c>
      <c r="E609">
        <v>156747</v>
      </c>
      <c r="F609" t="s">
        <v>254</v>
      </c>
      <c r="G609" t="s">
        <v>30</v>
      </c>
      <c r="H609" t="s">
        <v>24</v>
      </c>
      <c r="I609" t="s">
        <v>25</v>
      </c>
      <c r="J609" s="2">
        <v>45678</v>
      </c>
      <c r="K609" t="s">
        <v>25</v>
      </c>
      <c r="L609">
        <v>44074</v>
      </c>
      <c r="M609">
        <v>179</v>
      </c>
      <c r="N609">
        <v>229</v>
      </c>
      <c r="O609" s="4">
        <v>2800</v>
      </c>
      <c r="P609" s="4">
        <v>3781.193115234375</v>
      </c>
      <c r="Q609" s="5">
        <f t="shared" si="36"/>
        <v>0.35042611258370537</v>
      </c>
      <c r="R609" s="4">
        <v>3940.8482465484112</v>
      </c>
      <c r="S609" s="5">
        <f t="shared" si="37"/>
        <v>0.40744580233871819</v>
      </c>
      <c r="T609" s="4">
        <v>5434.3774241442507</v>
      </c>
      <c r="U609" s="5">
        <f t="shared" si="38"/>
        <v>0.94084908005151813</v>
      </c>
      <c r="V609" s="4">
        <v>3658.721923828125</v>
      </c>
      <c r="W609" s="5">
        <f t="shared" si="39"/>
        <v>0.3066864013671875</v>
      </c>
    </row>
    <row r="610" spans="1:23" x14ac:dyDescent="0.25">
      <c r="A610" t="s">
        <v>923</v>
      </c>
      <c r="B610">
        <v>2016</v>
      </c>
      <c r="C610" t="s">
        <v>20</v>
      </c>
      <c r="D610" t="s">
        <v>236</v>
      </c>
      <c r="E610">
        <v>77831</v>
      </c>
      <c r="F610" t="s">
        <v>37</v>
      </c>
      <c r="G610" t="s">
        <v>38</v>
      </c>
      <c r="H610" t="s">
        <v>25</v>
      </c>
      <c r="I610" t="s">
        <v>24</v>
      </c>
      <c r="J610" s="2">
        <v>45398</v>
      </c>
      <c r="K610" t="s">
        <v>25</v>
      </c>
      <c r="L610">
        <v>44077</v>
      </c>
      <c r="M610">
        <v>280</v>
      </c>
      <c r="N610">
        <v>330</v>
      </c>
      <c r="O610" s="4">
        <v>17000</v>
      </c>
      <c r="P610" s="4">
        <v>8175.5322265625</v>
      </c>
      <c r="Q610" s="5">
        <f t="shared" si="36"/>
        <v>-0.51908633961397066</v>
      </c>
      <c r="R610" s="4">
        <v>9936.0515826802239</v>
      </c>
      <c r="S610" s="5">
        <f t="shared" si="37"/>
        <v>-0.41552637748939858</v>
      </c>
      <c r="T610" s="4">
        <v>12854.94167928382</v>
      </c>
      <c r="U610" s="5">
        <f t="shared" si="38"/>
        <v>-0.24382696004212823</v>
      </c>
      <c r="V610" s="4">
        <v>7546.7421875</v>
      </c>
      <c r="W610" s="5">
        <f t="shared" si="39"/>
        <v>-0.55607398897058824</v>
      </c>
    </row>
    <row r="611" spans="1:23" x14ac:dyDescent="0.25">
      <c r="A611" t="s">
        <v>924</v>
      </c>
      <c r="B611">
        <v>2020</v>
      </c>
      <c r="C611" t="s">
        <v>113</v>
      </c>
      <c r="D611" t="s">
        <v>701</v>
      </c>
      <c r="E611">
        <v>45725</v>
      </c>
      <c r="F611" t="s">
        <v>77</v>
      </c>
      <c r="G611" t="s">
        <v>38</v>
      </c>
      <c r="H611" t="s">
        <v>25</v>
      </c>
      <c r="I611" t="s">
        <v>24</v>
      </c>
      <c r="J611" s="2">
        <v>45468</v>
      </c>
      <c r="K611" t="s">
        <v>25</v>
      </c>
      <c r="L611">
        <v>44081</v>
      </c>
      <c r="M611">
        <v>325</v>
      </c>
      <c r="N611">
        <v>375</v>
      </c>
      <c r="O611" s="4">
        <v>12000</v>
      </c>
      <c r="P611" s="4">
        <v>13813.20703125</v>
      </c>
      <c r="Q611" s="5">
        <f t="shared" si="36"/>
        <v>0.15110058593750009</v>
      </c>
      <c r="R611" s="4">
        <v>20813.396138292541</v>
      </c>
      <c r="S611" s="5">
        <f t="shared" si="37"/>
        <v>0.73444967819104501</v>
      </c>
      <c r="T611" s="4">
        <v>17732.449024155288</v>
      </c>
      <c r="U611" s="5">
        <f t="shared" si="38"/>
        <v>0.47770408534627395</v>
      </c>
      <c r="V611" s="4">
        <v>15542.1064453125</v>
      </c>
      <c r="W611" s="5">
        <f t="shared" si="39"/>
        <v>0.29517553710937494</v>
      </c>
    </row>
    <row r="612" spans="1:23" x14ac:dyDescent="0.25">
      <c r="A612" t="s">
        <v>925</v>
      </c>
      <c r="B612">
        <v>2019</v>
      </c>
      <c r="C612" t="s">
        <v>50</v>
      </c>
      <c r="D612">
        <v>1500</v>
      </c>
      <c r="E612">
        <v>73106</v>
      </c>
      <c r="F612" t="s">
        <v>98</v>
      </c>
      <c r="G612" t="s">
        <v>44</v>
      </c>
      <c r="H612" t="s">
        <v>25</v>
      </c>
      <c r="I612" t="s">
        <v>24</v>
      </c>
      <c r="J612" s="2">
        <v>45356</v>
      </c>
      <c r="K612" t="s">
        <v>25</v>
      </c>
      <c r="L612">
        <v>44081</v>
      </c>
      <c r="M612">
        <v>325</v>
      </c>
      <c r="N612">
        <v>375</v>
      </c>
      <c r="O612" s="4">
        <v>43200</v>
      </c>
      <c r="P612" s="4">
        <v>21836.703125</v>
      </c>
      <c r="Q612" s="5">
        <f t="shared" si="36"/>
        <v>-0.49452076099537035</v>
      </c>
      <c r="R612" s="4">
        <v>20483.367027543361</v>
      </c>
      <c r="S612" s="5">
        <f t="shared" si="37"/>
        <v>-0.52584798547353329</v>
      </c>
      <c r="T612" s="4">
        <v>24003.20592831228</v>
      </c>
      <c r="U612" s="5">
        <f t="shared" si="38"/>
        <v>-0.4443702331409195</v>
      </c>
      <c r="V612" s="4">
        <v>21473.900390625</v>
      </c>
      <c r="W612" s="5">
        <f t="shared" si="39"/>
        <v>-0.50291897243923611</v>
      </c>
    </row>
    <row r="613" spans="1:23" x14ac:dyDescent="0.25">
      <c r="A613" t="s">
        <v>926</v>
      </c>
      <c r="B613">
        <v>2014</v>
      </c>
      <c r="C613" t="s">
        <v>53</v>
      </c>
      <c r="D613" t="s">
        <v>60</v>
      </c>
      <c r="E613">
        <v>147178</v>
      </c>
      <c r="F613" t="s">
        <v>58</v>
      </c>
      <c r="G613" t="s">
        <v>30</v>
      </c>
      <c r="H613" t="s">
        <v>24</v>
      </c>
      <c r="I613" t="s">
        <v>25</v>
      </c>
      <c r="J613" s="2">
        <v>45426</v>
      </c>
      <c r="K613" t="s">
        <v>25</v>
      </c>
      <c r="L613">
        <v>44081</v>
      </c>
      <c r="M613">
        <v>325</v>
      </c>
      <c r="N613">
        <v>375</v>
      </c>
      <c r="O613" s="4">
        <v>4500</v>
      </c>
      <c r="P613" s="4">
        <v>1886.579345703125</v>
      </c>
      <c r="Q613" s="5">
        <f t="shared" si="36"/>
        <v>-0.58076014539930554</v>
      </c>
      <c r="R613" s="4">
        <v>2385.8259716847128</v>
      </c>
      <c r="S613" s="5">
        <f t="shared" si="37"/>
        <v>-0.46981645073673051</v>
      </c>
      <c r="T613" s="4">
        <v>2325.809862907101</v>
      </c>
      <c r="U613" s="5">
        <f t="shared" si="38"/>
        <v>-0.483153363798422</v>
      </c>
      <c r="V613" s="4">
        <v>1830.625122070312</v>
      </c>
      <c r="W613" s="5">
        <f t="shared" si="39"/>
        <v>-0.59319441731770839</v>
      </c>
    </row>
    <row r="614" spans="1:23" x14ac:dyDescent="0.25">
      <c r="A614" t="s">
        <v>927</v>
      </c>
      <c r="B614">
        <v>2015</v>
      </c>
      <c r="C614" t="s">
        <v>53</v>
      </c>
      <c r="D614" t="s">
        <v>928</v>
      </c>
      <c r="E614">
        <v>31163</v>
      </c>
      <c r="F614" t="s">
        <v>63</v>
      </c>
      <c r="G614" t="s">
        <v>44</v>
      </c>
      <c r="H614" t="s">
        <v>25</v>
      </c>
      <c r="I614" t="s">
        <v>24</v>
      </c>
      <c r="J614" s="2">
        <v>45314</v>
      </c>
      <c r="K614" t="s">
        <v>25</v>
      </c>
      <c r="L614">
        <v>44081</v>
      </c>
      <c r="M614">
        <v>325</v>
      </c>
      <c r="N614">
        <v>375</v>
      </c>
      <c r="O614" s="4">
        <v>14200</v>
      </c>
      <c r="P614" s="4">
        <v>20908.44921875</v>
      </c>
      <c r="Q614" s="5">
        <f t="shared" si="36"/>
        <v>0.47242600132042245</v>
      </c>
      <c r="R614" s="4">
        <v>23677.666306790979</v>
      </c>
      <c r="S614" s="5">
        <f t="shared" si="37"/>
        <v>0.66744128921063228</v>
      </c>
      <c r="T614" s="4">
        <v>22228.849231680979</v>
      </c>
      <c r="U614" s="5">
        <f t="shared" si="38"/>
        <v>0.56541191772401267</v>
      </c>
      <c r="V614" s="4">
        <v>19916.29296875</v>
      </c>
      <c r="W614" s="5">
        <f t="shared" si="39"/>
        <v>0.40255584286971824</v>
      </c>
    </row>
    <row r="615" spans="1:23" x14ac:dyDescent="0.25">
      <c r="A615" t="s">
        <v>929</v>
      </c>
      <c r="B615">
        <v>2013</v>
      </c>
      <c r="C615" t="s">
        <v>53</v>
      </c>
      <c r="D615" t="s">
        <v>928</v>
      </c>
      <c r="E615">
        <v>101529</v>
      </c>
      <c r="F615" t="s">
        <v>161</v>
      </c>
      <c r="G615" t="s">
        <v>44</v>
      </c>
      <c r="H615" t="s">
        <v>25</v>
      </c>
      <c r="I615" t="s">
        <v>24</v>
      </c>
      <c r="J615" s="2">
        <v>45300</v>
      </c>
      <c r="K615" t="s">
        <v>25</v>
      </c>
      <c r="L615">
        <v>44081</v>
      </c>
      <c r="M615">
        <v>325</v>
      </c>
      <c r="N615">
        <v>375</v>
      </c>
      <c r="O615" s="4">
        <v>24100</v>
      </c>
      <c r="P615" s="4">
        <v>11884.0703125</v>
      </c>
      <c r="Q615" s="5">
        <f t="shared" si="36"/>
        <v>-0.50688504927385891</v>
      </c>
      <c r="R615" s="4">
        <v>10855.510452799141</v>
      </c>
      <c r="S615" s="5">
        <f t="shared" si="37"/>
        <v>-0.54956388162659175</v>
      </c>
      <c r="T615" s="4">
        <v>12065.33908683974</v>
      </c>
      <c r="U615" s="5">
        <f t="shared" si="38"/>
        <v>-0.49936352336764567</v>
      </c>
      <c r="V615" s="4">
        <v>12158.181640625</v>
      </c>
      <c r="W615" s="5">
        <f t="shared" si="39"/>
        <v>-0.49551113524377588</v>
      </c>
    </row>
    <row r="616" spans="1:23" x14ac:dyDescent="0.25">
      <c r="A616" t="s">
        <v>930</v>
      </c>
      <c r="B616">
        <v>2019</v>
      </c>
      <c r="C616" t="s">
        <v>20</v>
      </c>
      <c r="D616" t="s">
        <v>81</v>
      </c>
      <c r="E616">
        <v>87657</v>
      </c>
      <c r="F616" t="s">
        <v>246</v>
      </c>
      <c r="G616" t="s">
        <v>38</v>
      </c>
      <c r="H616" t="s">
        <v>25</v>
      </c>
      <c r="I616" t="s">
        <v>24</v>
      </c>
      <c r="J616" s="2">
        <v>45426</v>
      </c>
      <c r="K616" t="s">
        <v>25</v>
      </c>
      <c r="L616">
        <v>44081</v>
      </c>
      <c r="M616">
        <v>325</v>
      </c>
      <c r="N616">
        <v>375</v>
      </c>
      <c r="O616" s="4">
        <v>11600</v>
      </c>
      <c r="P616" s="4">
        <v>7367.689453125</v>
      </c>
      <c r="Q616" s="5">
        <f t="shared" si="36"/>
        <v>-0.36485435748922412</v>
      </c>
      <c r="R616" s="4">
        <v>8757.403609101335</v>
      </c>
      <c r="S616" s="5">
        <f t="shared" si="37"/>
        <v>-0.24505141300850564</v>
      </c>
      <c r="T616" s="4">
        <v>6440.4202928273153</v>
      </c>
      <c r="U616" s="5">
        <f t="shared" si="38"/>
        <v>-0.44479135406661074</v>
      </c>
      <c r="V616" s="4">
        <v>6875.98486328125</v>
      </c>
      <c r="W616" s="5">
        <f t="shared" si="39"/>
        <v>-0.40724268419989229</v>
      </c>
    </row>
    <row r="617" spans="1:23" x14ac:dyDescent="0.25">
      <c r="A617" t="s">
        <v>931</v>
      </c>
      <c r="B617">
        <v>2017</v>
      </c>
      <c r="C617" t="s">
        <v>20</v>
      </c>
      <c r="D617" t="s">
        <v>81</v>
      </c>
      <c r="E617">
        <v>80173</v>
      </c>
      <c r="F617" t="s">
        <v>87</v>
      </c>
      <c r="G617" t="s">
        <v>34</v>
      </c>
      <c r="H617" t="s">
        <v>25</v>
      </c>
      <c r="I617" t="s">
        <v>24</v>
      </c>
      <c r="J617" s="2">
        <v>45302</v>
      </c>
      <c r="K617" t="s">
        <v>25</v>
      </c>
      <c r="L617">
        <v>44081</v>
      </c>
      <c r="M617">
        <v>325</v>
      </c>
      <c r="N617">
        <v>375</v>
      </c>
      <c r="O617" s="4">
        <v>13200</v>
      </c>
      <c r="P617" s="4">
        <v>9922.1826171875</v>
      </c>
      <c r="Q617" s="5">
        <f t="shared" si="36"/>
        <v>-0.2483194986979167</v>
      </c>
      <c r="R617" s="4">
        <v>12111.947192310579</v>
      </c>
      <c r="S617" s="5">
        <f t="shared" si="37"/>
        <v>-8.2428243006774315E-2</v>
      </c>
      <c r="T617" s="4">
        <v>9445.114504554731</v>
      </c>
      <c r="U617" s="5">
        <f t="shared" si="38"/>
        <v>-0.28446102238221738</v>
      </c>
      <c r="V617" s="4">
        <v>9147.365234375</v>
      </c>
      <c r="W617" s="5">
        <f t="shared" si="39"/>
        <v>-0.3070177852746212</v>
      </c>
    </row>
    <row r="618" spans="1:23" x14ac:dyDescent="0.25">
      <c r="A618" t="s">
        <v>932</v>
      </c>
      <c r="B618">
        <v>2016</v>
      </c>
      <c r="C618" t="s">
        <v>20</v>
      </c>
      <c r="D618" t="s">
        <v>110</v>
      </c>
      <c r="E618">
        <v>94104</v>
      </c>
      <c r="F618" t="s">
        <v>219</v>
      </c>
      <c r="G618" t="s">
        <v>38</v>
      </c>
      <c r="H618" t="s">
        <v>25</v>
      </c>
      <c r="I618" t="s">
        <v>24</v>
      </c>
      <c r="J618" s="2">
        <v>45426</v>
      </c>
      <c r="K618" t="s">
        <v>25</v>
      </c>
      <c r="L618">
        <v>44081</v>
      </c>
      <c r="M618">
        <v>325</v>
      </c>
      <c r="N618">
        <v>375</v>
      </c>
      <c r="O618" s="4">
        <v>9800</v>
      </c>
      <c r="P618" s="4">
        <v>8892.0947265625</v>
      </c>
      <c r="Q618" s="5">
        <f t="shared" si="36"/>
        <v>-9.2643395248724447E-2</v>
      </c>
      <c r="R618" s="4">
        <v>8602.4503076191977</v>
      </c>
      <c r="S618" s="5">
        <f t="shared" si="37"/>
        <v>-0.12219894820212274</v>
      </c>
      <c r="T618" s="4">
        <v>9099.9912534572741</v>
      </c>
      <c r="U618" s="5">
        <f t="shared" si="38"/>
        <v>-7.1429463932931259E-2</v>
      </c>
      <c r="V618" s="4">
        <v>8878.8134765625</v>
      </c>
      <c r="W618" s="5">
        <f t="shared" si="39"/>
        <v>-9.3998624840561207E-2</v>
      </c>
    </row>
    <row r="619" spans="1:23" x14ac:dyDescent="0.25">
      <c r="A619" t="s">
        <v>933</v>
      </c>
      <c r="B619">
        <v>2012</v>
      </c>
      <c r="C619" t="s">
        <v>20</v>
      </c>
      <c r="D619" t="s">
        <v>372</v>
      </c>
      <c r="E619">
        <v>144372</v>
      </c>
      <c r="F619" t="s">
        <v>61</v>
      </c>
      <c r="G619" t="s">
        <v>30</v>
      </c>
      <c r="H619" t="s">
        <v>24</v>
      </c>
      <c r="I619" t="s">
        <v>25</v>
      </c>
      <c r="J619" s="2">
        <v>45610</v>
      </c>
      <c r="K619" t="s">
        <v>25</v>
      </c>
      <c r="L619">
        <v>44081</v>
      </c>
      <c r="M619">
        <v>325</v>
      </c>
      <c r="N619">
        <v>375</v>
      </c>
      <c r="O619" s="4">
        <v>2600</v>
      </c>
      <c r="P619" s="4">
        <v>2144.689453125</v>
      </c>
      <c r="Q619" s="5">
        <f t="shared" si="36"/>
        <v>-0.17511944110576927</v>
      </c>
      <c r="R619" s="4">
        <v>2449.1117968588042</v>
      </c>
      <c r="S619" s="5">
        <f t="shared" si="37"/>
        <v>-5.8033924285075367E-2</v>
      </c>
      <c r="T619" s="4">
        <v>3339.2969533924038</v>
      </c>
      <c r="U619" s="5">
        <f t="shared" si="38"/>
        <v>0.28434498207400138</v>
      </c>
      <c r="V619" s="4">
        <v>2012.723754882812</v>
      </c>
      <c r="W619" s="5">
        <f t="shared" si="39"/>
        <v>-0.22587547889122617</v>
      </c>
    </row>
    <row r="620" spans="1:23" x14ac:dyDescent="0.25">
      <c r="A620" t="s">
        <v>934</v>
      </c>
      <c r="B620">
        <v>2015</v>
      </c>
      <c r="C620" t="s">
        <v>185</v>
      </c>
      <c r="D620" t="s">
        <v>536</v>
      </c>
      <c r="E620">
        <v>85191</v>
      </c>
      <c r="F620" t="s">
        <v>72</v>
      </c>
      <c r="G620" t="s">
        <v>30</v>
      </c>
      <c r="H620" t="s">
        <v>24</v>
      </c>
      <c r="I620" t="s">
        <v>25</v>
      </c>
      <c r="J620" s="2">
        <v>45393</v>
      </c>
      <c r="K620" t="s">
        <v>25</v>
      </c>
      <c r="L620">
        <v>44081</v>
      </c>
      <c r="M620">
        <v>325</v>
      </c>
      <c r="N620">
        <v>375</v>
      </c>
      <c r="O620" s="4">
        <v>5800</v>
      </c>
      <c r="P620" s="4">
        <v>5657.25927734375</v>
      </c>
      <c r="Q620" s="5">
        <f t="shared" si="36"/>
        <v>-2.4610469423491432E-2</v>
      </c>
      <c r="R620" s="4">
        <v>8081.8762756726328</v>
      </c>
      <c r="S620" s="5">
        <f t="shared" si="37"/>
        <v>0.39342694408148837</v>
      </c>
      <c r="T620" s="4">
        <v>9464.8356837535684</v>
      </c>
      <c r="U620" s="5">
        <f t="shared" si="38"/>
        <v>0.63186822133682208</v>
      </c>
      <c r="V620" s="4">
        <v>5298.65185546875</v>
      </c>
      <c r="W620" s="5">
        <f t="shared" si="39"/>
        <v>-8.6439335264008599E-2</v>
      </c>
    </row>
    <row r="621" spans="1:23" x14ac:dyDescent="0.25">
      <c r="A621" t="s">
        <v>935</v>
      </c>
      <c r="B621">
        <v>2011</v>
      </c>
      <c r="C621" t="s">
        <v>46</v>
      </c>
      <c r="D621" t="s">
        <v>124</v>
      </c>
      <c r="E621">
        <v>41365</v>
      </c>
      <c r="F621" t="s">
        <v>55</v>
      </c>
      <c r="G621" t="s">
        <v>30</v>
      </c>
      <c r="H621" t="s">
        <v>24</v>
      </c>
      <c r="I621" t="s">
        <v>25</v>
      </c>
      <c r="J621" s="2">
        <v>45496</v>
      </c>
      <c r="K621" t="s">
        <v>25</v>
      </c>
      <c r="L621">
        <v>44081</v>
      </c>
      <c r="M621">
        <v>325</v>
      </c>
      <c r="N621">
        <v>375</v>
      </c>
      <c r="O621" s="4">
        <v>14400</v>
      </c>
      <c r="P621" s="4">
        <v>9366.255859375</v>
      </c>
      <c r="Q621" s="5">
        <f t="shared" si="36"/>
        <v>-0.34956556532118055</v>
      </c>
      <c r="R621" s="4">
        <v>8266.4594161690602</v>
      </c>
      <c r="S621" s="5">
        <f t="shared" si="37"/>
        <v>-0.42594031832159307</v>
      </c>
      <c r="T621" s="4">
        <v>14174.99795252649</v>
      </c>
      <c r="U621" s="5">
        <f t="shared" si="38"/>
        <v>-1.5625142185660468E-2</v>
      </c>
      <c r="V621" s="4">
        <v>9301.4140625</v>
      </c>
      <c r="W621" s="5">
        <f t="shared" si="39"/>
        <v>-0.35406846788194446</v>
      </c>
    </row>
    <row r="622" spans="1:23" x14ac:dyDescent="0.25">
      <c r="A622" t="s">
        <v>936</v>
      </c>
      <c r="B622">
        <v>2017</v>
      </c>
      <c r="C622" t="s">
        <v>104</v>
      </c>
      <c r="D622" t="s">
        <v>126</v>
      </c>
      <c r="E622">
        <v>106477</v>
      </c>
      <c r="F622" t="s">
        <v>382</v>
      </c>
      <c r="G622" t="s">
        <v>30</v>
      </c>
      <c r="H622" t="s">
        <v>24</v>
      </c>
      <c r="I622" t="s">
        <v>25</v>
      </c>
      <c r="J622" s="2">
        <v>45440</v>
      </c>
      <c r="K622" t="s">
        <v>25</v>
      </c>
      <c r="L622">
        <v>44081</v>
      </c>
      <c r="M622">
        <v>325</v>
      </c>
      <c r="N622">
        <v>375</v>
      </c>
      <c r="O622" s="4">
        <v>2400</v>
      </c>
      <c r="P622" s="4">
        <v>7292.33056640625</v>
      </c>
      <c r="Q622" s="5">
        <f t="shared" si="36"/>
        <v>2.0384710693359374</v>
      </c>
      <c r="R622" s="4">
        <v>9668.5704038192671</v>
      </c>
      <c r="S622" s="5">
        <f t="shared" si="37"/>
        <v>3.0285710015913612</v>
      </c>
      <c r="T622" s="4">
        <v>8348.1162042950218</v>
      </c>
      <c r="U622" s="5">
        <f t="shared" si="38"/>
        <v>2.4783817517895925</v>
      </c>
      <c r="V622" s="4">
        <v>6815.83056640625</v>
      </c>
      <c r="W622" s="5">
        <f t="shared" si="39"/>
        <v>1.839929402669271</v>
      </c>
    </row>
    <row r="623" spans="1:23" x14ac:dyDescent="0.25">
      <c r="A623" t="s">
        <v>937</v>
      </c>
      <c r="B623">
        <v>2013</v>
      </c>
      <c r="C623" t="s">
        <v>248</v>
      </c>
      <c r="D623">
        <v>500</v>
      </c>
      <c r="E623">
        <v>72398</v>
      </c>
      <c r="F623" t="s">
        <v>141</v>
      </c>
      <c r="G623" t="s">
        <v>38</v>
      </c>
      <c r="H623" t="s">
        <v>25</v>
      </c>
      <c r="I623" t="s">
        <v>24</v>
      </c>
      <c r="J623" s="2">
        <v>45412</v>
      </c>
      <c r="K623" t="s">
        <v>25</v>
      </c>
      <c r="L623">
        <v>44081</v>
      </c>
      <c r="M623">
        <v>325</v>
      </c>
      <c r="N623">
        <v>375</v>
      </c>
      <c r="O623" s="4">
        <v>2975</v>
      </c>
      <c r="P623" s="4">
        <v>5254.197265625</v>
      </c>
      <c r="Q623" s="5">
        <f t="shared" si="36"/>
        <v>0.76611672794117647</v>
      </c>
      <c r="R623" s="4">
        <v>6611.6209870107814</v>
      </c>
      <c r="S623" s="5">
        <f t="shared" si="37"/>
        <v>1.2223936090792544</v>
      </c>
      <c r="T623" s="4">
        <v>3556.939282394133</v>
      </c>
      <c r="U623" s="5">
        <f t="shared" si="38"/>
        <v>0.19560984282155736</v>
      </c>
      <c r="V623" s="4">
        <v>4804.75634765625</v>
      </c>
      <c r="W623" s="5">
        <f t="shared" si="39"/>
        <v>0.61504415047268912</v>
      </c>
    </row>
    <row r="624" spans="1:23" x14ac:dyDescent="0.25">
      <c r="A624" t="s">
        <v>938</v>
      </c>
      <c r="B624">
        <v>2014</v>
      </c>
      <c r="C624" t="s">
        <v>46</v>
      </c>
      <c r="D624" t="s">
        <v>145</v>
      </c>
      <c r="E624">
        <v>109646</v>
      </c>
      <c r="F624" t="s">
        <v>250</v>
      </c>
      <c r="G624" t="s">
        <v>34</v>
      </c>
      <c r="H624" t="s">
        <v>25</v>
      </c>
      <c r="I624" t="s">
        <v>24</v>
      </c>
      <c r="J624" s="2">
        <v>45384</v>
      </c>
      <c r="K624" t="s">
        <v>25</v>
      </c>
      <c r="L624">
        <v>44081</v>
      </c>
      <c r="M624">
        <v>325</v>
      </c>
      <c r="N624">
        <v>375</v>
      </c>
      <c r="O624" s="4">
        <v>3600</v>
      </c>
      <c r="P624" s="4">
        <v>5501.1494140625</v>
      </c>
      <c r="Q624" s="5">
        <f t="shared" si="36"/>
        <v>0.52809705946180552</v>
      </c>
      <c r="R624" s="4">
        <v>5719.0246076877211</v>
      </c>
      <c r="S624" s="5">
        <f t="shared" si="37"/>
        <v>0.58861794657992261</v>
      </c>
      <c r="T624" s="4">
        <v>3352.9915975342428</v>
      </c>
      <c r="U624" s="5">
        <f t="shared" si="38"/>
        <v>-6.8613445129376949E-2</v>
      </c>
      <c r="V624" s="4">
        <v>5490.18310546875</v>
      </c>
      <c r="W624" s="5">
        <f t="shared" si="39"/>
        <v>0.52505086263020839</v>
      </c>
    </row>
    <row r="625" spans="1:23" x14ac:dyDescent="0.25">
      <c r="A625" t="s">
        <v>939</v>
      </c>
      <c r="B625">
        <v>2020</v>
      </c>
      <c r="C625" t="s">
        <v>113</v>
      </c>
      <c r="D625" t="s">
        <v>761</v>
      </c>
      <c r="E625">
        <v>45048</v>
      </c>
      <c r="F625" t="s">
        <v>29</v>
      </c>
      <c r="G625" t="s">
        <v>38</v>
      </c>
      <c r="H625" t="s">
        <v>25</v>
      </c>
      <c r="I625" t="s">
        <v>24</v>
      </c>
      <c r="J625" s="2">
        <v>45398</v>
      </c>
      <c r="K625" t="s">
        <v>25</v>
      </c>
      <c r="L625">
        <v>44081</v>
      </c>
      <c r="M625">
        <v>325</v>
      </c>
      <c r="N625">
        <v>375</v>
      </c>
      <c r="O625" s="4">
        <v>21200</v>
      </c>
      <c r="P625" s="4">
        <v>11853.9765625</v>
      </c>
      <c r="Q625" s="5">
        <f t="shared" si="36"/>
        <v>-0.44085016214622641</v>
      </c>
      <c r="R625" s="4">
        <v>20503.258662236451</v>
      </c>
      <c r="S625" s="5">
        <f t="shared" si="37"/>
        <v>-3.286515744167684E-2</v>
      </c>
      <c r="T625" s="4">
        <v>14580.026808753981</v>
      </c>
      <c r="U625" s="5">
        <f t="shared" si="38"/>
        <v>-0.31226288637952926</v>
      </c>
      <c r="V625" s="4">
        <v>12986.5751953125</v>
      </c>
      <c r="W625" s="5">
        <f t="shared" si="39"/>
        <v>-0.38742569833431606</v>
      </c>
    </row>
    <row r="626" spans="1:23" x14ac:dyDescent="0.25">
      <c r="A626" t="s">
        <v>940</v>
      </c>
      <c r="B626">
        <v>2017</v>
      </c>
      <c r="C626" t="s">
        <v>20</v>
      </c>
      <c r="D626" t="s">
        <v>421</v>
      </c>
      <c r="E626">
        <v>159806</v>
      </c>
      <c r="F626" t="s">
        <v>82</v>
      </c>
      <c r="G626" t="s">
        <v>30</v>
      </c>
      <c r="H626" t="s">
        <v>24</v>
      </c>
      <c r="I626" t="s">
        <v>25</v>
      </c>
      <c r="J626" s="2">
        <v>45468</v>
      </c>
      <c r="K626" t="s">
        <v>25</v>
      </c>
      <c r="L626">
        <v>44081</v>
      </c>
      <c r="M626">
        <v>325</v>
      </c>
      <c r="N626">
        <v>375</v>
      </c>
      <c r="O626" s="4">
        <v>8600</v>
      </c>
      <c r="P626" s="4">
        <v>1323.585693359375</v>
      </c>
      <c r="Q626" s="5">
        <f t="shared" si="36"/>
        <v>-0.84609468681867739</v>
      </c>
      <c r="R626" s="4">
        <v>3983.2434939058462</v>
      </c>
      <c r="S626" s="5">
        <f t="shared" si="37"/>
        <v>-0.5368321518714132</v>
      </c>
      <c r="T626" s="4">
        <v>2225.1794532484091</v>
      </c>
      <c r="U626" s="5">
        <f t="shared" si="38"/>
        <v>-0.74125820311065005</v>
      </c>
      <c r="V626" s="4">
        <v>1340.735717773438</v>
      </c>
      <c r="W626" s="5">
        <f t="shared" si="39"/>
        <v>-0.8441004979333212</v>
      </c>
    </row>
    <row r="627" spans="1:23" x14ac:dyDescent="0.25">
      <c r="A627" t="s">
        <v>941</v>
      </c>
      <c r="B627">
        <v>2019</v>
      </c>
      <c r="C627" t="s">
        <v>185</v>
      </c>
      <c r="D627" t="s">
        <v>264</v>
      </c>
      <c r="E627">
        <v>143391</v>
      </c>
      <c r="F627" t="s">
        <v>98</v>
      </c>
      <c r="G627" t="s">
        <v>30</v>
      </c>
      <c r="H627" t="s">
        <v>24</v>
      </c>
      <c r="I627" t="s">
        <v>25</v>
      </c>
      <c r="J627" s="2">
        <v>45316</v>
      </c>
      <c r="K627" t="s">
        <v>25</v>
      </c>
      <c r="L627">
        <v>44081</v>
      </c>
      <c r="M627">
        <v>325</v>
      </c>
      <c r="N627">
        <v>375</v>
      </c>
      <c r="O627" s="4">
        <v>14100</v>
      </c>
      <c r="P627" s="4">
        <v>5440.236328125</v>
      </c>
      <c r="Q627" s="5">
        <f t="shared" si="36"/>
        <v>-0.61416763630319149</v>
      </c>
      <c r="R627" s="4">
        <v>8016.6594822218467</v>
      </c>
      <c r="S627" s="5">
        <f t="shared" si="37"/>
        <v>-0.43144258991334417</v>
      </c>
      <c r="T627" s="4">
        <v>5284.5336725739771</v>
      </c>
      <c r="U627" s="5">
        <f t="shared" si="38"/>
        <v>-0.6252103778316328</v>
      </c>
      <c r="V627" s="4">
        <v>4921.19921875</v>
      </c>
      <c r="W627" s="5">
        <f t="shared" si="39"/>
        <v>-0.65097877881205668</v>
      </c>
    </row>
    <row r="628" spans="1:23" x14ac:dyDescent="0.25">
      <c r="A628" t="s">
        <v>942</v>
      </c>
      <c r="B628">
        <v>2014</v>
      </c>
      <c r="C628" t="s">
        <v>269</v>
      </c>
      <c r="D628" t="s">
        <v>270</v>
      </c>
      <c r="E628">
        <v>60483</v>
      </c>
      <c r="F628" t="s">
        <v>98</v>
      </c>
      <c r="G628" t="s">
        <v>30</v>
      </c>
      <c r="H628" t="s">
        <v>24</v>
      </c>
      <c r="I628" t="s">
        <v>25</v>
      </c>
      <c r="J628" s="2">
        <v>45692</v>
      </c>
      <c r="K628" t="s">
        <v>25</v>
      </c>
      <c r="L628">
        <v>44081</v>
      </c>
      <c r="M628">
        <v>325</v>
      </c>
      <c r="N628">
        <v>375</v>
      </c>
      <c r="O628" s="4">
        <v>15000</v>
      </c>
      <c r="P628" s="4">
        <v>9867.09375</v>
      </c>
      <c r="Q628" s="5">
        <f t="shared" si="36"/>
        <v>-0.34219374999999996</v>
      </c>
      <c r="R628" s="4">
        <v>12319.042767982221</v>
      </c>
      <c r="S628" s="5">
        <f t="shared" si="37"/>
        <v>-0.17873048213451859</v>
      </c>
      <c r="T628" s="4">
        <v>16821.507625004298</v>
      </c>
      <c r="U628" s="5">
        <f t="shared" si="38"/>
        <v>0.12143384166695315</v>
      </c>
      <c r="V628" s="4">
        <v>8985.67578125</v>
      </c>
      <c r="W628" s="5">
        <f t="shared" si="39"/>
        <v>-0.40095494791666664</v>
      </c>
    </row>
    <row r="629" spans="1:23" x14ac:dyDescent="0.25">
      <c r="A629" t="s">
        <v>943</v>
      </c>
      <c r="B629">
        <v>2016</v>
      </c>
      <c r="C629" t="s">
        <v>167</v>
      </c>
      <c r="D629" t="s">
        <v>171</v>
      </c>
      <c r="E629">
        <v>151899</v>
      </c>
      <c r="F629" t="s">
        <v>79</v>
      </c>
      <c r="G629" t="s">
        <v>30</v>
      </c>
      <c r="H629" t="s">
        <v>24</v>
      </c>
      <c r="I629" t="s">
        <v>25</v>
      </c>
      <c r="J629" s="2">
        <v>45540</v>
      </c>
      <c r="K629" t="s">
        <v>25</v>
      </c>
      <c r="L629">
        <v>44081</v>
      </c>
      <c r="M629">
        <v>325</v>
      </c>
      <c r="N629">
        <v>375</v>
      </c>
      <c r="O629" s="4">
        <v>1400</v>
      </c>
      <c r="P629" s="4">
        <v>2075.642333984375</v>
      </c>
      <c r="Q629" s="5">
        <f t="shared" si="36"/>
        <v>0.48260166713169639</v>
      </c>
      <c r="R629" s="4">
        <v>1923.503474120394</v>
      </c>
      <c r="S629" s="5">
        <f t="shared" si="37"/>
        <v>0.37393105294313855</v>
      </c>
      <c r="T629" s="4">
        <v>2411.9859088301869</v>
      </c>
      <c r="U629" s="5">
        <f t="shared" si="38"/>
        <v>0.72284707773584778</v>
      </c>
      <c r="V629" s="4">
        <v>2027.951782226562</v>
      </c>
      <c r="W629" s="5">
        <f t="shared" si="39"/>
        <v>0.44853698730468716</v>
      </c>
    </row>
    <row r="630" spans="1:23" x14ac:dyDescent="0.25">
      <c r="A630" t="s">
        <v>944</v>
      </c>
      <c r="B630">
        <v>2016</v>
      </c>
      <c r="C630" t="s">
        <v>91</v>
      </c>
      <c r="D630" t="s">
        <v>287</v>
      </c>
      <c r="E630">
        <v>104447</v>
      </c>
      <c r="F630" t="s">
        <v>219</v>
      </c>
      <c r="G630" t="s">
        <v>34</v>
      </c>
      <c r="H630" t="s">
        <v>25</v>
      </c>
      <c r="I630" t="s">
        <v>24</v>
      </c>
      <c r="J630" s="2">
        <v>45566</v>
      </c>
      <c r="K630" t="s">
        <v>25</v>
      </c>
      <c r="L630">
        <v>44081</v>
      </c>
      <c r="M630">
        <v>325</v>
      </c>
      <c r="N630">
        <v>375</v>
      </c>
      <c r="O630" s="4">
        <v>6800</v>
      </c>
      <c r="P630" s="4">
        <v>6170.54931640625</v>
      </c>
      <c r="Q630" s="5">
        <f t="shared" si="36"/>
        <v>-9.2566276999080932E-2</v>
      </c>
      <c r="R630" s="4">
        <v>6955.0534051704244</v>
      </c>
      <c r="S630" s="5">
        <f t="shared" si="37"/>
        <v>2.2801971348591854E-2</v>
      </c>
      <c r="T630" s="4">
        <v>4688.9398820309143</v>
      </c>
      <c r="U630" s="5">
        <f t="shared" si="38"/>
        <v>-0.31045001734839495</v>
      </c>
      <c r="V630" s="4">
        <v>5942.8662109375</v>
      </c>
      <c r="W630" s="5">
        <f t="shared" si="39"/>
        <v>-0.12604908662683822</v>
      </c>
    </row>
    <row r="631" spans="1:23" x14ac:dyDescent="0.25">
      <c r="A631" t="s">
        <v>945</v>
      </c>
      <c r="B631">
        <v>2013</v>
      </c>
      <c r="C631" t="s">
        <v>167</v>
      </c>
      <c r="D631" t="s">
        <v>555</v>
      </c>
      <c r="E631">
        <v>138817</v>
      </c>
      <c r="F631" t="s">
        <v>22</v>
      </c>
      <c r="G631" t="s">
        <v>23</v>
      </c>
      <c r="H631" t="s">
        <v>24</v>
      </c>
      <c r="I631" t="s">
        <v>25</v>
      </c>
      <c r="J631" s="2">
        <v>45547</v>
      </c>
      <c r="K631" t="s">
        <v>25</v>
      </c>
      <c r="L631">
        <v>44081</v>
      </c>
      <c r="M631">
        <v>325</v>
      </c>
      <c r="N631">
        <v>375</v>
      </c>
      <c r="O631" s="4">
        <v>2800</v>
      </c>
      <c r="P631" s="4">
        <v>1532.662841796875</v>
      </c>
      <c r="Q631" s="5">
        <f t="shared" si="36"/>
        <v>-0.45262041364397321</v>
      </c>
      <c r="R631" s="4">
        <v>1675.614712601606</v>
      </c>
      <c r="S631" s="5">
        <f t="shared" si="37"/>
        <v>-0.40156617407085504</v>
      </c>
      <c r="T631" s="4">
        <v>1817.5874081460549</v>
      </c>
      <c r="U631" s="5">
        <f t="shared" si="38"/>
        <v>-0.35086163994783748</v>
      </c>
      <c r="V631" s="4">
        <v>1564.289916992188</v>
      </c>
      <c r="W631" s="5">
        <f t="shared" si="39"/>
        <v>-0.44132502964564713</v>
      </c>
    </row>
    <row r="632" spans="1:23" x14ac:dyDescent="0.25">
      <c r="A632" t="s">
        <v>946</v>
      </c>
      <c r="B632">
        <v>2015</v>
      </c>
      <c r="C632" t="s">
        <v>156</v>
      </c>
      <c r="D632" t="s">
        <v>196</v>
      </c>
      <c r="E632">
        <v>122028</v>
      </c>
      <c r="F632" t="s">
        <v>382</v>
      </c>
      <c r="G632" t="s">
        <v>30</v>
      </c>
      <c r="H632" t="s">
        <v>24</v>
      </c>
      <c r="I632" t="s">
        <v>25</v>
      </c>
      <c r="J632" s="2">
        <v>45482</v>
      </c>
      <c r="K632" t="s">
        <v>25</v>
      </c>
      <c r="L632">
        <v>44081</v>
      </c>
      <c r="M632">
        <v>325</v>
      </c>
      <c r="N632">
        <v>375</v>
      </c>
      <c r="O632" s="4">
        <v>5900</v>
      </c>
      <c r="P632" s="4">
        <v>1825.431518554688</v>
      </c>
      <c r="Q632" s="5">
        <f t="shared" si="36"/>
        <v>-0.69060482736361228</v>
      </c>
      <c r="R632" s="4">
        <v>2488.047802304749</v>
      </c>
      <c r="S632" s="5">
        <f t="shared" si="37"/>
        <v>-0.57829698266021201</v>
      </c>
      <c r="T632" s="4">
        <v>2894.5971542178499</v>
      </c>
      <c r="U632" s="5">
        <f t="shared" si="38"/>
        <v>-0.50939031284443215</v>
      </c>
      <c r="V632" s="4">
        <v>1787.351806640625</v>
      </c>
      <c r="W632" s="5">
        <f t="shared" si="39"/>
        <v>-0.69705901582362295</v>
      </c>
    </row>
    <row r="633" spans="1:23" x14ac:dyDescent="0.25">
      <c r="A633" t="s">
        <v>947</v>
      </c>
      <c r="B633">
        <v>2012</v>
      </c>
      <c r="C633" t="s">
        <v>558</v>
      </c>
      <c r="D633" t="s">
        <v>948</v>
      </c>
      <c r="E633">
        <v>13511</v>
      </c>
      <c r="F633" t="s">
        <v>174</v>
      </c>
      <c r="G633" t="s">
        <v>44</v>
      </c>
      <c r="H633" t="s">
        <v>25</v>
      </c>
      <c r="I633" t="s">
        <v>24</v>
      </c>
      <c r="J633" s="2">
        <v>45370</v>
      </c>
      <c r="K633" t="s">
        <v>25</v>
      </c>
      <c r="L633">
        <v>44081</v>
      </c>
      <c r="M633">
        <v>325</v>
      </c>
      <c r="N633">
        <v>375</v>
      </c>
      <c r="O633" s="4">
        <v>35500</v>
      </c>
      <c r="P633" s="4">
        <v>25477.486328125</v>
      </c>
      <c r="Q633" s="5">
        <f t="shared" si="36"/>
        <v>-0.2823243287852113</v>
      </c>
      <c r="R633" s="4">
        <v>32625.35665975594</v>
      </c>
      <c r="S633" s="5">
        <f t="shared" si="37"/>
        <v>-8.0975868739269319E-2</v>
      </c>
      <c r="T633" s="4">
        <v>44255.164564675797</v>
      </c>
      <c r="U633" s="5">
        <f t="shared" si="38"/>
        <v>0.24662435393452942</v>
      </c>
      <c r="V633" s="4">
        <v>23025.4609375</v>
      </c>
      <c r="W633" s="5">
        <f t="shared" si="39"/>
        <v>-0.35139546654929577</v>
      </c>
    </row>
    <row r="634" spans="1:23" x14ac:dyDescent="0.25">
      <c r="A634" t="s">
        <v>949</v>
      </c>
      <c r="B634">
        <v>2017</v>
      </c>
      <c r="C634" t="s">
        <v>266</v>
      </c>
      <c r="D634" t="s">
        <v>950</v>
      </c>
      <c r="E634">
        <v>84333</v>
      </c>
      <c r="F634" t="s">
        <v>79</v>
      </c>
      <c r="G634" t="s">
        <v>34</v>
      </c>
      <c r="H634" t="s">
        <v>25</v>
      </c>
      <c r="I634" t="s">
        <v>24</v>
      </c>
      <c r="J634" s="2">
        <v>45365</v>
      </c>
      <c r="K634" t="s">
        <v>25</v>
      </c>
      <c r="L634">
        <v>44081</v>
      </c>
      <c r="M634">
        <v>325</v>
      </c>
      <c r="N634">
        <v>375</v>
      </c>
      <c r="O634" s="4">
        <v>13000</v>
      </c>
      <c r="P634" s="4">
        <v>5289.78466796875</v>
      </c>
      <c r="Q634" s="5">
        <f t="shared" si="36"/>
        <v>-0.59309348707932696</v>
      </c>
      <c r="R634" s="4">
        <v>5992.0857156092334</v>
      </c>
      <c r="S634" s="5">
        <f t="shared" si="37"/>
        <v>-0.53907032956852052</v>
      </c>
      <c r="T634" s="4">
        <v>7514.708067436397</v>
      </c>
      <c r="U634" s="5">
        <f t="shared" si="38"/>
        <v>-0.42194553327412332</v>
      </c>
      <c r="V634" s="4">
        <v>5223.51904296875</v>
      </c>
      <c r="W634" s="5">
        <f t="shared" si="39"/>
        <v>-0.59819084284855761</v>
      </c>
    </row>
    <row r="635" spans="1:23" x14ac:dyDescent="0.25">
      <c r="A635" t="s">
        <v>951</v>
      </c>
      <c r="B635">
        <v>2021</v>
      </c>
      <c r="C635" t="s">
        <v>32</v>
      </c>
      <c r="D635" t="s">
        <v>563</v>
      </c>
      <c r="E635">
        <v>20142</v>
      </c>
      <c r="F635" t="s">
        <v>161</v>
      </c>
      <c r="G635" t="s">
        <v>44</v>
      </c>
      <c r="H635" t="s">
        <v>25</v>
      </c>
      <c r="I635" t="s">
        <v>24</v>
      </c>
      <c r="J635" s="2">
        <v>45300</v>
      </c>
      <c r="K635" t="s">
        <v>25</v>
      </c>
      <c r="L635">
        <v>44081</v>
      </c>
      <c r="M635">
        <v>325</v>
      </c>
      <c r="N635">
        <v>375</v>
      </c>
      <c r="O635" s="4">
        <v>16200</v>
      </c>
      <c r="P635" s="4">
        <v>23469.38671875</v>
      </c>
      <c r="Q635" s="5">
        <f t="shared" si="36"/>
        <v>0.44872757523148143</v>
      </c>
      <c r="R635" s="4">
        <v>24754.582132311782</v>
      </c>
      <c r="S635" s="5">
        <f t="shared" si="37"/>
        <v>0.52806062545134447</v>
      </c>
      <c r="T635" s="4">
        <v>21101.590507699231</v>
      </c>
      <c r="U635" s="5">
        <f t="shared" si="38"/>
        <v>0.30256731529007608</v>
      </c>
      <c r="V635" s="4">
        <v>23494.279296875</v>
      </c>
      <c r="W635" s="5">
        <f t="shared" si="39"/>
        <v>0.45026415412808651</v>
      </c>
    </row>
    <row r="636" spans="1:23" x14ac:dyDescent="0.25">
      <c r="A636" t="s">
        <v>952</v>
      </c>
      <c r="B636">
        <v>2014</v>
      </c>
      <c r="C636" t="s">
        <v>27</v>
      </c>
      <c r="D636" t="s">
        <v>28</v>
      </c>
      <c r="E636">
        <v>201084</v>
      </c>
      <c r="F636" t="s">
        <v>382</v>
      </c>
      <c r="G636" t="s">
        <v>23</v>
      </c>
      <c r="H636" t="s">
        <v>24</v>
      </c>
      <c r="I636" t="s">
        <v>25</v>
      </c>
      <c r="J636" s="2">
        <v>45484</v>
      </c>
      <c r="K636" t="s">
        <v>25</v>
      </c>
      <c r="L636">
        <v>44113</v>
      </c>
      <c r="M636">
        <v>264</v>
      </c>
      <c r="N636">
        <v>314</v>
      </c>
      <c r="O636" s="4">
        <v>6600</v>
      </c>
      <c r="P636" s="4">
        <v>2313.3876953125</v>
      </c>
      <c r="Q636" s="5">
        <f t="shared" si="36"/>
        <v>-0.64948671283143944</v>
      </c>
      <c r="R636" s="4">
        <v>2600.5658452009052</v>
      </c>
      <c r="S636" s="5">
        <f t="shared" si="37"/>
        <v>-0.60597487193925681</v>
      </c>
      <c r="T636" s="4">
        <v>2719.4662069940282</v>
      </c>
      <c r="U636" s="5">
        <f t="shared" si="38"/>
        <v>-0.58795966560696544</v>
      </c>
      <c r="V636" s="4">
        <v>2262.294677734375</v>
      </c>
      <c r="W636" s="5">
        <f t="shared" si="39"/>
        <v>-0.65722807913115533</v>
      </c>
    </row>
    <row r="637" spans="1:23" x14ac:dyDescent="0.25">
      <c r="A637" t="s">
        <v>953</v>
      </c>
      <c r="B637">
        <v>2014</v>
      </c>
      <c r="C637" t="s">
        <v>113</v>
      </c>
      <c r="D637" t="s">
        <v>701</v>
      </c>
      <c r="E637">
        <v>140572</v>
      </c>
      <c r="F637" t="s">
        <v>82</v>
      </c>
      <c r="G637" t="s">
        <v>34</v>
      </c>
      <c r="H637" t="s">
        <v>25</v>
      </c>
      <c r="I637" t="s">
        <v>24</v>
      </c>
      <c r="J637" s="2">
        <v>45484</v>
      </c>
      <c r="K637" t="s">
        <v>25</v>
      </c>
      <c r="L637">
        <v>44113</v>
      </c>
      <c r="M637">
        <v>264</v>
      </c>
      <c r="N637">
        <v>314</v>
      </c>
      <c r="O637" s="4">
        <v>8000</v>
      </c>
      <c r="P637" s="4">
        <v>3272.8671875</v>
      </c>
      <c r="Q637" s="5">
        <f t="shared" si="36"/>
        <v>-0.59089160156249998</v>
      </c>
      <c r="R637" s="4">
        <v>3395.5566910954171</v>
      </c>
      <c r="S637" s="5">
        <f t="shared" si="37"/>
        <v>-0.57555541361307283</v>
      </c>
      <c r="T637" s="4">
        <v>3892.6240629086942</v>
      </c>
      <c r="U637" s="5">
        <f t="shared" si="38"/>
        <v>-0.51342199213641315</v>
      </c>
      <c r="V637" s="4">
        <v>3261.7001953125</v>
      </c>
      <c r="W637" s="5">
        <f t="shared" si="39"/>
        <v>-0.59228747558593753</v>
      </c>
    </row>
    <row r="638" spans="1:23" x14ac:dyDescent="0.25">
      <c r="A638" t="s">
        <v>954</v>
      </c>
      <c r="B638">
        <v>2016</v>
      </c>
      <c r="C638" t="s">
        <v>113</v>
      </c>
      <c r="D638" t="s">
        <v>701</v>
      </c>
      <c r="E638">
        <v>113733</v>
      </c>
      <c r="F638" t="s">
        <v>111</v>
      </c>
      <c r="G638" t="s">
        <v>34</v>
      </c>
      <c r="H638" t="s">
        <v>25</v>
      </c>
      <c r="I638" t="s">
        <v>24</v>
      </c>
      <c r="J638" s="2">
        <v>45603</v>
      </c>
      <c r="K638" t="s">
        <v>25</v>
      </c>
      <c r="L638">
        <v>44113</v>
      </c>
      <c r="M638">
        <v>264</v>
      </c>
      <c r="N638">
        <v>314</v>
      </c>
      <c r="O638" s="4">
        <v>4800</v>
      </c>
      <c r="P638" s="4">
        <v>4832.60791015625</v>
      </c>
      <c r="Q638" s="5">
        <f t="shared" si="36"/>
        <v>6.793314615885393E-3</v>
      </c>
      <c r="R638" s="4">
        <v>5197.2886525204294</v>
      </c>
      <c r="S638" s="5">
        <f t="shared" si="37"/>
        <v>8.2768469275089407E-2</v>
      </c>
      <c r="T638" s="4">
        <v>6347.5003245317766</v>
      </c>
      <c r="U638" s="5">
        <f t="shared" si="38"/>
        <v>0.32239590094412018</v>
      </c>
      <c r="V638" s="4">
        <v>4666.51513671875</v>
      </c>
      <c r="W638" s="5">
        <f t="shared" si="39"/>
        <v>-2.7809346516927125E-2</v>
      </c>
    </row>
    <row r="639" spans="1:23" x14ac:dyDescent="0.25">
      <c r="A639" t="s">
        <v>955</v>
      </c>
      <c r="B639">
        <v>2012</v>
      </c>
      <c r="C639" t="s">
        <v>120</v>
      </c>
      <c r="D639" t="s">
        <v>956</v>
      </c>
      <c r="E639">
        <v>204412</v>
      </c>
      <c r="F639" t="s">
        <v>29</v>
      </c>
      <c r="G639" t="s">
        <v>30</v>
      </c>
      <c r="H639" t="s">
        <v>24</v>
      </c>
      <c r="I639" t="s">
        <v>25</v>
      </c>
      <c r="J639" s="2">
        <v>45365</v>
      </c>
      <c r="K639" t="s">
        <v>25</v>
      </c>
      <c r="L639">
        <v>44113</v>
      </c>
      <c r="M639">
        <v>264</v>
      </c>
      <c r="N639">
        <v>314</v>
      </c>
      <c r="O639" s="4">
        <v>7500</v>
      </c>
      <c r="P639" s="4">
        <v>1020.468872070312</v>
      </c>
      <c r="Q639" s="5">
        <f t="shared" si="36"/>
        <v>-0.8639374837239584</v>
      </c>
      <c r="R639" s="4">
        <v>1640.604084950859</v>
      </c>
      <c r="S639" s="5">
        <f t="shared" si="37"/>
        <v>-0.78125278867321879</v>
      </c>
      <c r="T639" s="4">
        <v>2200.5624641002828</v>
      </c>
      <c r="U639" s="5">
        <f t="shared" si="38"/>
        <v>-0.7065916714532956</v>
      </c>
      <c r="V639" s="4">
        <v>1205.018920898438</v>
      </c>
      <c r="W639" s="5">
        <f t="shared" si="39"/>
        <v>-0.83933081054687497</v>
      </c>
    </row>
    <row r="640" spans="1:23" x14ac:dyDescent="0.25">
      <c r="A640" t="s">
        <v>957</v>
      </c>
      <c r="B640">
        <v>2016</v>
      </c>
      <c r="C640" t="s">
        <v>120</v>
      </c>
      <c r="D640" t="s">
        <v>958</v>
      </c>
      <c r="E640">
        <v>109198</v>
      </c>
      <c r="F640" t="s">
        <v>77</v>
      </c>
      <c r="G640" t="s">
        <v>30</v>
      </c>
      <c r="H640" t="s">
        <v>24</v>
      </c>
      <c r="I640" t="s">
        <v>25</v>
      </c>
      <c r="J640" s="2">
        <v>45372</v>
      </c>
      <c r="K640" t="s">
        <v>25</v>
      </c>
      <c r="L640">
        <v>44113</v>
      </c>
      <c r="M640">
        <v>264</v>
      </c>
      <c r="N640">
        <v>314</v>
      </c>
      <c r="O640" s="4">
        <v>11000</v>
      </c>
      <c r="P640" s="4">
        <v>4041.89501953125</v>
      </c>
      <c r="Q640" s="5">
        <f t="shared" si="36"/>
        <v>-0.63255499822443184</v>
      </c>
      <c r="R640" s="4">
        <v>6636.0813000447124</v>
      </c>
      <c r="S640" s="5">
        <f t="shared" si="37"/>
        <v>-0.3967198818141171</v>
      </c>
      <c r="T640" s="4">
        <v>7265.5076756179933</v>
      </c>
      <c r="U640" s="5">
        <f t="shared" si="38"/>
        <v>-0.33949930221654612</v>
      </c>
      <c r="V640" s="4">
        <v>3603.960205078125</v>
      </c>
      <c r="W640" s="5">
        <f t="shared" si="39"/>
        <v>-0.67236725408380682</v>
      </c>
    </row>
    <row r="641" spans="1:23" x14ac:dyDescent="0.25">
      <c r="A641" t="s">
        <v>959</v>
      </c>
      <c r="B641">
        <v>2015</v>
      </c>
      <c r="C641" t="s">
        <v>32</v>
      </c>
      <c r="D641" t="s">
        <v>320</v>
      </c>
      <c r="E641">
        <v>87889</v>
      </c>
      <c r="F641" t="s">
        <v>29</v>
      </c>
      <c r="G641" t="s">
        <v>38</v>
      </c>
      <c r="H641" t="s">
        <v>25</v>
      </c>
      <c r="I641" t="s">
        <v>24</v>
      </c>
      <c r="J641" s="2">
        <v>45330</v>
      </c>
      <c r="K641" t="s">
        <v>25</v>
      </c>
      <c r="L641">
        <v>44113</v>
      </c>
      <c r="M641">
        <v>264</v>
      </c>
      <c r="N641">
        <v>314</v>
      </c>
      <c r="O641" s="4">
        <v>4300</v>
      </c>
      <c r="P641" s="4">
        <v>6286.9541015625</v>
      </c>
      <c r="Q641" s="5">
        <f t="shared" si="36"/>
        <v>0.46208234920058144</v>
      </c>
      <c r="R641" s="4">
        <v>8314.2874699573968</v>
      </c>
      <c r="S641" s="5">
        <f t="shared" si="37"/>
        <v>0.93355522557148762</v>
      </c>
      <c r="T641" s="4">
        <v>11801.693490878741</v>
      </c>
      <c r="U641" s="5">
        <f t="shared" si="38"/>
        <v>1.7445798815997073</v>
      </c>
      <c r="V641" s="4">
        <v>5583.82275390625</v>
      </c>
      <c r="W641" s="5">
        <f t="shared" si="39"/>
        <v>0.29856343114098838</v>
      </c>
    </row>
    <row r="642" spans="1:23" x14ac:dyDescent="0.25">
      <c r="A642" t="s">
        <v>960</v>
      </c>
      <c r="B642">
        <v>2015</v>
      </c>
      <c r="C642" t="s">
        <v>32</v>
      </c>
      <c r="D642" t="s">
        <v>318</v>
      </c>
      <c r="E642">
        <v>128042</v>
      </c>
      <c r="F642" t="s">
        <v>82</v>
      </c>
      <c r="G642" t="s">
        <v>30</v>
      </c>
      <c r="H642" t="s">
        <v>24</v>
      </c>
      <c r="I642" t="s">
        <v>25</v>
      </c>
      <c r="J642" s="2">
        <v>45664</v>
      </c>
      <c r="K642" t="s">
        <v>25</v>
      </c>
      <c r="L642">
        <v>44113</v>
      </c>
      <c r="M642">
        <v>264</v>
      </c>
      <c r="N642">
        <v>314</v>
      </c>
      <c r="O642" s="4">
        <v>8600</v>
      </c>
      <c r="P642" s="4">
        <v>3379.4951171875</v>
      </c>
      <c r="Q642" s="5">
        <f t="shared" si="36"/>
        <v>-0.60703545148982552</v>
      </c>
      <c r="R642" s="4">
        <v>3712.2872335631719</v>
      </c>
      <c r="S642" s="5">
        <f t="shared" si="37"/>
        <v>-0.56833869377172419</v>
      </c>
      <c r="T642" s="4">
        <v>2121.483697422384</v>
      </c>
      <c r="U642" s="5">
        <f t="shared" si="38"/>
        <v>-0.75331584913693206</v>
      </c>
      <c r="V642" s="4">
        <v>3196.093505859375</v>
      </c>
      <c r="W642" s="5">
        <f t="shared" si="39"/>
        <v>-0.62836122024890995</v>
      </c>
    </row>
    <row r="643" spans="1:23" x14ac:dyDescent="0.25">
      <c r="A643" t="s">
        <v>961</v>
      </c>
      <c r="B643">
        <v>2016</v>
      </c>
      <c r="C643" t="s">
        <v>32</v>
      </c>
      <c r="D643" t="s">
        <v>40</v>
      </c>
      <c r="E643">
        <v>52567</v>
      </c>
      <c r="F643" t="s">
        <v>48</v>
      </c>
      <c r="G643" t="s">
        <v>38</v>
      </c>
      <c r="H643" t="s">
        <v>25</v>
      </c>
      <c r="I643" t="s">
        <v>24</v>
      </c>
      <c r="J643" s="2">
        <v>45393</v>
      </c>
      <c r="K643" t="s">
        <v>25</v>
      </c>
      <c r="L643">
        <v>44113</v>
      </c>
      <c r="M643">
        <v>264</v>
      </c>
      <c r="N643">
        <v>314</v>
      </c>
      <c r="O643" s="4">
        <v>11500</v>
      </c>
      <c r="P643" s="4">
        <v>10453.8369140625</v>
      </c>
      <c r="Q643" s="5">
        <f t="shared" ref="Q643:Q706" si="40">(P643/$O643)-1</f>
        <v>-9.0970703124999996E-2</v>
      </c>
      <c r="R643" s="4">
        <v>13357.71770415675</v>
      </c>
      <c r="S643" s="5">
        <f t="shared" ref="S643:S706" si="41">(R643/$O643)-1</f>
        <v>0.16154066992667393</v>
      </c>
      <c r="T643" s="4">
        <v>17562.69986273233</v>
      </c>
      <c r="U643" s="5">
        <f t="shared" ref="U643:U706" si="42">(T643/$O643)-1</f>
        <v>0.52719129241150697</v>
      </c>
      <c r="V643" s="4">
        <v>10034.7548828125</v>
      </c>
      <c r="W643" s="5">
        <f t="shared" ref="W643:W706" si="43">(V643/$O643)-1</f>
        <v>-0.12741261888586952</v>
      </c>
    </row>
    <row r="644" spans="1:23" x14ac:dyDescent="0.25">
      <c r="A644" t="s">
        <v>962</v>
      </c>
      <c r="B644">
        <v>2016</v>
      </c>
      <c r="C644" t="s">
        <v>32</v>
      </c>
      <c r="D644" t="s">
        <v>40</v>
      </c>
      <c r="E644">
        <v>70607</v>
      </c>
      <c r="F644" t="s">
        <v>174</v>
      </c>
      <c r="G644" t="s">
        <v>44</v>
      </c>
      <c r="H644" t="s">
        <v>25</v>
      </c>
      <c r="I644" t="s">
        <v>24</v>
      </c>
      <c r="J644" s="2">
        <v>45400</v>
      </c>
      <c r="K644" t="s">
        <v>25</v>
      </c>
      <c r="L644">
        <v>44113</v>
      </c>
      <c r="M644">
        <v>264</v>
      </c>
      <c r="N644">
        <v>314</v>
      </c>
      <c r="O644" s="4">
        <v>11500</v>
      </c>
      <c r="P644" s="4">
        <v>12589.197265625</v>
      </c>
      <c r="Q644" s="5">
        <f t="shared" si="40"/>
        <v>9.471280570652163E-2</v>
      </c>
      <c r="R644" s="4">
        <v>14189.500434370029</v>
      </c>
      <c r="S644" s="5">
        <f t="shared" si="41"/>
        <v>0.23386960298869819</v>
      </c>
      <c r="T644" s="4">
        <v>16086.97875214564</v>
      </c>
      <c r="U644" s="5">
        <f t="shared" si="42"/>
        <v>0.39886771757788164</v>
      </c>
      <c r="V644" s="4">
        <v>11915.4111328125</v>
      </c>
      <c r="W644" s="5">
        <f t="shared" si="43"/>
        <v>3.6122707201087012E-2</v>
      </c>
    </row>
    <row r="645" spans="1:23" x14ac:dyDescent="0.25">
      <c r="A645" t="s">
        <v>963</v>
      </c>
      <c r="B645">
        <v>2019</v>
      </c>
      <c r="C645" t="s">
        <v>32</v>
      </c>
      <c r="D645" t="s">
        <v>40</v>
      </c>
      <c r="E645">
        <v>87750</v>
      </c>
      <c r="F645" t="s">
        <v>475</v>
      </c>
      <c r="G645" t="s">
        <v>44</v>
      </c>
      <c r="H645" t="s">
        <v>25</v>
      </c>
      <c r="I645" t="s">
        <v>24</v>
      </c>
      <c r="J645" s="2">
        <v>45470</v>
      </c>
      <c r="K645" t="s">
        <v>25</v>
      </c>
      <c r="L645">
        <v>44113</v>
      </c>
      <c r="M645">
        <v>264</v>
      </c>
      <c r="N645">
        <v>314</v>
      </c>
      <c r="O645" s="4">
        <v>13000</v>
      </c>
      <c r="P645" s="4">
        <v>13878.3701171875</v>
      </c>
      <c r="Q645" s="5">
        <f t="shared" si="40"/>
        <v>6.7566932091346121E-2</v>
      </c>
      <c r="R645" s="4">
        <v>13545.32720963113</v>
      </c>
      <c r="S645" s="5">
        <f t="shared" si="41"/>
        <v>4.1948246894702335E-2</v>
      </c>
      <c r="T645" s="4">
        <v>15374.70827414538</v>
      </c>
      <c r="U645" s="5">
        <f t="shared" si="42"/>
        <v>0.18266986724195222</v>
      </c>
      <c r="V645" s="4">
        <v>14097.345703125</v>
      </c>
      <c r="W645" s="5">
        <f t="shared" si="43"/>
        <v>8.4411207932692411E-2</v>
      </c>
    </row>
    <row r="646" spans="1:23" x14ac:dyDescent="0.25">
      <c r="A646" t="s">
        <v>964</v>
      </c>
      <c r="B646">
        <v>2016</v>
      </c>
      <c r="C646" t="s">
        <v>32</v>
      </c>
      <c r="D646" t="s">
        <v>322</v>
      </c>
      <c r="E646">
        <v>104647</v>
      </c>
      <c r="F646" t="s">
        <v>219</v>
      </c>
      <c r="G646" t="s">
        <v>38</v>
      </c>
      <c r="H646" t="s">
        <v>25</v>
      </c>
      <c r="I646" t="s">
        <v>24</v>
      </c>
      <c r="J646" s="2">
        <v>45636</v>
      </c>
      <c r="K646" t="s">
        <v>25</v>
      </c>
      <c r="L646">
        <v>44113</v>
      </c>
      <c r="M646">
        <v>264</v>
      </c>
      <c r="N646">
        <v>314</v>
      </c>
      <c r="O646" s="4">
        <v>3400</v>
      </c>
      <c r="P646" s="4">
        <v>7616.025390625</v>
      </c>
      <c r="Q646" s="5">
        <f t="shared" si="40"/>
        <v>1.2400074678308823</v>
      </c>
      <c r="R646" s="4">
        <v>7705.5728997326514</v>
      </c>
      <c r="S646" s="5">
        <f t="shared" si="41"/>
        <v>1.2663449705096035</v>
      </c>
      <c r="T646" s="4">
        <v>6276.6248894491646</v>
      </c>
      <c r="U646" s="5">
        <f t="shared" si="42"/>
        <v>0.84606614395563673</v>
      </c>
      <c r="V646" s="4">
        <v>7685.9873046875</v>
      </c>
      <c r="W646" s="5">
        <f t="shared" si="43"/>
        <v>1.2605845013786765</v>
      </c>
    </row>
    <row r="647" spans="1:23" x14ac:dyDescent="0.25">
      <c r="A647" t="s">
        <v>965</v>
      </c>
      <c r="B647">
        <v>2016</v>
      </c>
      <c r="C647" t="s">
        <v>32</v>
      </c>
      <c r="D647" t="s">
        <v>322</v>
      </c>
      <c r="E647">
        <v>118450</v>
      </c>
      <c r="F647" t="s">
        <v>79</v>
      </c>
      <c r="G647" t="s">
        <v>30</v>
      </c>
      <c r="H647" t="s">
        <v>24</v>
      </c>
      <c r="I647" t="s">
        <v>25</v>
      </c>
      <c r="J647" s="2">
        <v>45314</v>
      </c>
      <c r="K647" t="s">
        <v>25</v>
      </c>
      <c r="L647">
        <v>44113</v>
      </c>
      <c r="M647">
        <v>264</v>
      </c>
      <c r="N647">
        <v>314</v>
      </c>
      <c r="O647" s="4">
        <v>12400</v>
      </c>
      <c r="P647" s="4">
        <v>4695.81298828125</v>
      </c>
      <c r="Q647" s="5">
        <f t="shared" si="40"/>
        <v>-0.62130540417086699</v>
      </c>
      <c r="R647" s="4">
        <v>5034.7321983477668</v>
      </c>
      <c r="S647" s="5">
        <f t="shared" si="41"/>
        <v>-0.59397320981066404</v>
      </c>
      <c r="T647" s="4">
        <v>4309.5100056642841</v>
      </c>
      <c r="U647" s="5">
        <f t="shared" si="42"/>
        <v>-0.65245887051094487</v>
      </c>
      <c r="V647" s="4">
        <v>4575.224609375</v>
      </c>
      <c r="W647" s="5">
        <f t="shared" si="43"/>
        <v>-0.63103027343749996</v>
      </c>
    </row>
    <row r="648" spans="1:23" x14ac:dyDescent="0.25">
      <c r="A648" t="s">
        <v>966</v>
      </c>
      <c r="B648">
        <v>2014</v>
      </c>
      <c r="C648" t="s">
        <v>32</v>
      </c>
      <c r="D648" t="s">
        <v>967</v>
      </c>
      <c r="E648">
        <v>150042</v>
      </c>
      <c r="F648" t="s">
        <v>48</v>
      </c>
      <c r="G648" t="s">
        <v>30</v>
      </c>
      <c r="H648" t="s">
        <v>24</v>
      </c>
      <c r="I648" t="s">
        <v>25</v>
      </c>
      <c r="J648" s="2">
        <v>45505</v>
      </c>
      <c r="K648" t="s">
        <v>25</v>
      </c>
      <c r="L648">
        <v>44113</v>
      </c>
      <c r="M648">
        <v>264</v>
      </c>
      <c r="N648">
        <v>314</v>
      </c>
      <c r="O648" s="4">
        <v>1100</v>
      </c>
      <c r="P648" s="4">
        <v>2893.977294921875</v>
      </c>
      <c r="Q648" s="5">
        <f t="shared" si="40"/>
        <v>1.6308884499289773</v>
      </c>
      <c r="R648" s="4">
        <v>4250.2845855647311</v>
      </c>
      <c r="S648" s="5">
        <f t="shared" si="41"/>
        <v>2.8638950777861192</v>
      </c>
      <c r="T648" s="4">
        <v>5283.8005362702897</v>
      </c>
      <c r="U648" s="5">
        <f t="shared" si="42"/>
        <v>3.803455032972991</v>
      </c>
      <c r="V648" s="4">
        <v>2621.19091796875</v>
      </c>
      <c r="W648" s="5">
        <f t="shared" si="43"/>
        <v>1.3829008345170455</v>
      </c>
    </row>
    <row r="649" spans="1:23" x14ac:dyDescent="0.25">
      <c r="A649" t="s">
        <v>968</v>
      </c>
      <c r="B649">
        <v>2016</v>
      </c>
      <c r="C649" t="s">
        <v>32</v>
      </c>
      <c r="D649" t="s">
        <v>212</v>
      </c>
      <c r="E649">
        <v>122279</v>
      </c>
      <c r="F649" t="s">
        <v>55</v>
      </c>
      <c r="G649" t="s">
        <v>30</v>
      </c>
      <c r="H649" t="s">
        <v>24</v>
      </c>
      <c r="I649" t="s">
        <v>25</v>
      </c>
      <c r="J649" s="2">
        <v>45701</v>
      </c>
      <c r="K649" t="s">
        <v>25</v>
      </c>
      <c r="L649">
        <v>44113</v>
      </c>
      <c r="M649">
        <v>264</v>
      </c>
      <c r="N649">
        <v>314</v>
      </c>
      <c r="O649" s="4">
        <v>11100</v>
      </c>
      <c r="P649" s="4">
        <v>4602.68701171875</v>
      </c>
      <c r="Q649" s="5">
        <f t="shared" si="40"/>
        <v>-0.58534351245777028</v>
      </c>
      <c r="R649" s="4">
        <v>4744.7430137404244</v>
      </c>
      <c r="S649" s="5">
        <f t="shared" si="41"/>
        <v>-0.57254567443779958</v>
      </c>
      <c r="T649" s="4">
        <v>7874.3442893985348</v>
      </c>
      <c r="U649" s="5">
        <f t="shared" si="42"/>
        <v>-0.29059961356769959</v>
      </c>
      <c r="V649" s="4">
        <v>4585.2236328125</v>
      </c>
      <c r="W649" s="5">
        <f t="shared" si="43"/>
        <v>-0.58691678983671169</v>
      </c>
    </row>
    <row r="650" spans="1:23" x14ac:dyDescent="0.25">
      <c r="A650" t="s">
        <v>969</v>
      </c>
      <c r="B650">
        <v>2019</v>
      </c>
      <c r="C650" t="s">
        <v>32</v>
      </c>
      <c r="D650" t="s">
        <v>42</v>
      </c>
      <c r="E650">
        <v>51847</v>
      </c>
      <c r="F650" t="s">
        <v>63</v>
      </c>
      <c r="G650" t="s">
        <v>44</v>
      </c>
      <c r="H650" t="s">
        <v>25</v>
      </c>
      <c r="I650" t="s">
        <v>24</v>
      </c>
      <c r="J650" s="2">
        <v>45666</v>
      </c>
      <c r="K650" t="s">
        <v>25</v>
      </c>
      <c r="L650">
        <v>44113</v>
      </c>
      <c r="M650">
        <v>264</v>
      </c>
      <c r="N650">
        <v>314</v>
      </c>
      <c r="O650" s="4">
        <v>16200</v>
      </c>
      <c r="P650" s="4">
        <v>18906.177734375</v>
      </c>
      <c r="Q650" s="5">
        <f t="shared" si="40"/>
        <v>0.16704800829475319</v>
      </c>
      <c r="R650" s="4">
        <v>18223.140639412239</v>
      </c>
      <c r="S650" s="5">
        <f t="shared" si="41"/>
        <v>0.12488522465507645</v>
      </c>
      <c r="T650" s="4">
        <v>22878.185794259061</v>
      </c>
      <c r="U650" s="5">
        <f t="shared" si="42"/>
        <v>0.41223369100364571</v>
      </c>
      <c r="V650" s="4">
        <v>19222.34765625</v>
      </c>
      <c r="W650" s="5">
        <f t="shared" si="43"/>
        <v>0.186564670138889</v>
      </c>
    </row>
    <row r="651" spans="1:23" x14ac:dyDescent="0.25">
      <c r="A651" t="s">
        <v>970</v>
      </c>
      <c r="B651">
        <v>2017</v>
      </c>
      <c r="C651" t="s">
        <v>53</v>
      </c>
      <c r="D651" t="s">
        <v>971</v>
      </c>
      <c r="E651">
        <v>100617</v>
      </c>
      <c r="F651" t="s">
        <v>37</v>
      </c>
      <c r="G651" t="s">
        <v>38</v>
      </c>
      <c r="H651" t="s">
        <v>25</v>
      </c>
      <c r="I651" t="s">
        <v>24</v>
      </c>
      <c r="J651" s="2">
        <v>45302</v>
      </c>
      <c r="K651" t="s">
        <v>25</v>
      </c>
      <c r="L651">
        <v>44113</v>
      </c>
      <c r="M651">
        <v>264</v>
      </c>
      <c r="N651">
        <v>314</v>
      </c>
      <c r="O651" s="4">
        <v>2900</v>
      </c>
      <c r="P651" s="4">
        <v>6336.482421875</v>
      </c>
      <c r="Q651" s="5">
        <f t="shared" si="40"/>
        <v>1.1849939385775863</v>
      </c>
      <c r="R651" s="4">
        <v>9175.0503708944816</v>
      </c>
      <c r="S651" s="5">
        <f t="shared" si="41"/>
        <v>2.1638104727222349</v>
      </c>
      <c r="T651" s="4">
        <v>12053.12811200147</v>
      </c>
      <c r="U651" s="5">
        <f t="shared" si="42"/>
        <v>3.156251073103955</v>
      </c>
      <c r="V651" s="4">
        <v>5557.73583984375</v>
      </c>
      <c r="W651" s="5">
        <f t="shared" si="43"/>
        <v>0.91646063442887926</v>
      </c>
    </row>
    <row r="652" spans="1:23" x14ac:dyDescent="0.25">
      <c r="A652" t="s">
        <v>972</v>
      </c>
      <c r="B652">
        <v>2017</v>
      </c>
      <c r="C652" t="s">
        <v>53</v>
      </c>
      <c r="D652" t="s">
        <v>971</v>
      </c>
      <c r="E652">
        <v>82193</v>
      </c>
      <c r="F652" t="s">
        <v>22</v>
      </c>
      <c r="G652" t="s">
        <v>23</v>
      </c>
      <c r="H652" t="s">
        <v>24</v>
      </c>
      <c r="I652" t="s">
        <v>25</v>
      </c>
      <c r="J652" s="2">
        <v>45729</v>
      </c>
      <c r="K652" t="s">
        <v>25</v>
      </c>
      <c r="L652">
        <v>44113</v>
      </c>
      <c r="M652">
        <v>264</v>
      </c>
      <c r="N652">
        <v>314</v>
      </c>
      <c r="O652" s="4">
        <v>7500</v>
      </c>
      <c r="P652" s="4">
        <v>7692.77099609375</v>
      </c>
      <c r="Q652" s="5">
        <f t="shared" si="40"/>
        <v>2.570279947916676E-2</v>
      </c>
      <c r="R652" s="4">
        <v>7584.9692298505524</v>
      </c>
      <c r="S652" s="5">
        <f t="shared" si="41"/>
        <v>1.1329230646740296E-2</v>
      </c>
      <c r="T652" s="4">
        <v>12800.912272901091</v>
      </c>
      <c r="U652" s="5">
        <f t="shared" si="42"/>
        <v>0.70678830305347873</v>
      </c>
      <c r="V652" s="4">
        <v>7685.9873046875</v>
      </c>
      <c r="W652" s="5">
        <f t="shared" si="43"/>
        <v>2.4798307291666655E-2</v>
      </c>
    </row>
    <row r="653" spans="1:23" x14ac:dyDescent="0.25">
      <c r="A653" t="s">
        <v>973</v>
      </c>
      <c r="B653">
        <v>2015</v>
      </c>
      <c r="C653" t="s">
        <v>53</v>
      </c>
      <c r="D653" t="s">
        <v>57</v>
      </c>
      <c r="E653">
        <v>91397</v>
      </c>
      <c r="F653" t="s">
        <v>79</v>
      </c>
      <c r="G653" t="s">
        <v>34</v>
      </c>
      <c r="H653" t="s">
        <v>25</v>
      </c>
      <c r="I653" t="s">
        <v>24</v>
      </c>
      <c r="J653" s="2">
        <v>45664</v>
      </c>
      <c r="K653" t="s">
        <v>25</v>
      </c>
      <c r="L653">
        <v>44113</v>
      </c>
      <c r="M653">
        <v>264</v>
      </c>
      <c r="N653">
        <v>314</v>
      </c>
      <c r="O653" s="4">
        <v>2300</v>
      </c>
      <c r="P653" s="4">
        <v>5680.1123046875</v>
      </c>
      <c r="Q653" s="5">
        <f t="shared" si="40"/>
        <v>1.4696140455163045</v>
      </c>
      <c r="R653" s="4">
        <v>5823.4974969268751</v>
      </c>
      <c r="S653" s="5">
        <f t="shared" si="41"/>
        <v>1.5319554334464676</v>
      </c>
      <c r="T653" s="4">
        <v>3370.3278967862102</v>
      </c>
      <c r="U653" s="5">
        <f t="shared" si="42"/>
        <v>0.46535995512443917</v>
      </c>
      <c r="V653" s="4">
        <v>5735.4384765625</v>
      </c>
      <c r="W653" s="5">
        <f t="shared" si="43"/>
        <v>1.493668902853261</v>
      </c>
    </row>
    <row r="654" spans="1:23" x14ac:dyDescent="0.25">
      <c r="A654" t="s">
        <v>974</v>
      </c>
      <c r="B654">
        <v>2014</v>
      </c>
      <c r="C654" t="s">
        <v>53</v>
      </c>
      <c r="D654" t="s">
        <v>57</v>
      </c>
      <c r="E654">
        <v>78290</v>
      </c>
      <c r="F654" t="s">
        <v>102</v>
      </c>
      <c r="G654" t="s">
        <v>44</v>
      </c>
      <c r="H654" t="s">
        <v>25</v>
      </c>
      <c r="I654" t="s">
        <v>24</v>
      </c>
      <c r="J654" s="2">
        <v>45566</v>
      </c>
      <c r="K654" t="s">
        <v>25</v>
      </c>
      <c r="L654">
        <v>44113</v>
      </c>
      <c r="M654">
        <v>264</v>
      </c>
      <c r="N654">
        <v>314</v>
      </c>
      <c r="O654" s="4">
        <v>3600</v>
      </c>
      <c r="P654" s="4">
        <v>9163.7236328125</v>
      </c>
      <c r="Q654" s="5">
        <f t="shared" si="40"/>
        <v>1.5454787868923612</v>
      </c>
      <c r="R654" s="4">
        <v>9193.573339430628</v>
      </c>
      <c r="S654" s="5">
        <f t="shared" si="41"/>
        <v>1.5537703720640632</v>
      </c>
      <c r="T654" s="4">
        <v>6593.8024905269722</v>
      </c>
      <c r="U654" s="5">
        <f t="shared" si="42"/>
        <v>0.83161180292415904</v>
      </c>
      <c r="V654" s="4">
        <v>9276.90625</v>
      </c>
      <c r="W654" s="5">
        <f t="shared" si="43"/>
        <v>1.5769184027777778</v>
      </c>
    </row>
    <row r="655" spans="1:23" x14ac:dyDescent="0.25">
      <c r="A655" t="s">
        <v>975</v>
      </c>
      <c r="B655">
        <v>2018</v>
      </c>
      <c r="C655" t="s">
        <v>53</v>
      </c>
      <c r="D655" t="s">
        <v>976</v>
      </c>
      <c r="E655">
        <v>84906</v>
      </c>
      <c r="F655" t="s">
        <v>29</v>
      </c>
      <c r="G655" t="s">
        <v>30</v>
      </c>
      <c r="H655" t="s">
        <v>24</v>
      </c>
      <c r="I655" t="s">
        <v>25</v>
      </c>
      <c r="J655" s="2">
        <v>45645</v>
      </c>
      <c r="K655" t="s">
        <v>25</v>
      </c>
      <c r="L655">
        <v>44113</v>
      </c>
      <c r="M655">
        <v>264</v>
      </c>
      <c r="N655">
        <v>314</v>
      </c>
      <c r="O655" s="4">
        <v>4502.1505376344103</v>
      </c>
      <c r="P655" s="4">
        <v>8627.462890625</v>
      </c>
      <c r="Q655" s="5">
        <f t="shared" si="40"/>
        <v>0.916298182059051</v>
      </c>
      <c r="R655" s="4">
        <v>12172.9386699719</v>
      </c>
      <c r="S655" s="5">
        <f t="shared" si="41"/>
        <v>1.7038053410732892</v>
      </c>
      <c r="T655" s="4">
        <v>15201.530248779971</v>
      </c>
      <c r="U655" s="5">
        <f t="shared" si="42"/>
        <v>2.3765042109781152</v>
      </c>
      <c r="V655" s="4">
        <v>7834.4013671875</v>
      </c>
      <c r="W655" s="5">
        <f t="shared" si="43"/>
        <v>0.74014647038079118</v>
      </c>
    </row>
    <row r="656" spans="1:23" x14ac:dyDescent="0.25">
      <c r="A656" t="s">
        <v>977</v>
      </c>
      <c r="B656">
        <v>2021</v>
      </c>
      <c r="C656" t="s">
        <v>53</v>
      </c>
      <c r="D656" t="s">
        <v>568</v>
      </c>
      <c r="E656">
        <v>55629</v>
      </c>
      <c r="F656" t="s">
        <v>72</v>
      </c>
      <c r="G656" t="s">
        <v>38</v>
      </c>
      <c r="H656" t="s">
        <v>25</v>
      </c>
      <c r="I656" t="s">
        <v>24</v>
      </c>
      <c r="J656" s="2">
        <v>45328</v>
      </c>
      <c r="K656" t="s">
        <v>25</v>
      </c>
      <c r="L656">
        <v>44113</v>
      </c>
      <c r="M656">
        <v>264</v>
      </c>
      <c r="N656">
        <v>314</v>
      </c>
      <c r="O656" s="4">
        <v>34250</v>
      </c>
      <c r="P656" s="4">
        <v>23701.349609375</v>
      </c>
      <c r="Q656" s="5">
        <f t="shared" si="40"/>
        <v>-0.3079897924270073</v>
      </c>
      <c r="R656" s="4">
        <v>22530.750161358701</v>
      </c>
      <c r="S656" s="5">
        <f t="shared" si="41"/>
        <v>-0.34216787850047592</v>
      </c>
      <c r="T656" s="4">
        <v>31679.04314800672</v>
      </c>
      <c r="U656" s="5">
        <f t="shared" si="42"/>
        <v>-7.5064433634840277E-2</v>
      </c>
      <c r="V656" s="4">
        <v>24216.7734375</v>
      </c>
      <c r="W656" s="5">
        <f t="shared" si="43"/>
        <v>-0.29294092153284668</v>
      </c>
    </row>
    <row r="657" spans="1:23" x14ac:dyDescent="0.25">
      <c r="A657" t="s">
        <v>978</v>
      </c>
      <c r="B657">
        <v>2015</v>
      </c>
      <c r="C657" t="s">
        <v>53</v>
      </c>
      <c r="D657" t="s">
        <v>979</v>
      </c>
      <c r="E657">
        <v>92873</v>
      </c>
      <c r="F657" t="s">
        <v>219</v>
      </c>
      <c r="G657" t="s">
        <v>34</v>
      </c>
      <c r="H657" t="s">
        <v>25</v>
      </c>
      <c r="I657" t="s">
        <v>24</v>
      </c>
      <c r="J657" s="2">
        <v>45519</v>
      </c>
      <c r="K657" t="s">
        <v>25</v>
      </c>
      <c r="L657">
        <v>44113</v>
      </c>
      <c r="M657">
        <v>264</v>
      </c>
      <c r="N657">
        <v>314</v>
      </c>
      <c r="O657" s="4">
        <v>1800</v>
      </c>
      <c r="P657" s="4">
        <v>8357.376953125</v>
      </c>
      <c r="Q657" s="5">
        <f t="shared" si="40"/>
        <v>3.642987196180556</v>
      </c>
      <c r="R657" s="4">
        <v>8003.2629162324592</v>
      </c>
      <c r="S657" s="5">
        <f t="shared" si="41"/>
        <v>3.4462571756846998</v>
      </c>
      <c r="T657" s="4">
        <v>11934.46855842962</v>
      </c>
      <c r="U657" s="5">
        <f t="shared" si="42"/>
        <v>5.6302603102386781</v>
      </c>
      <c r="V657" s="4">
        <v>8481.1162109375</v>
      </c>
      <c r="W657" s="5">
        <f t="shared" si="43"/>
        <v>3.7117312282986115</v>
      </c>
    </row>
    <row r="658" spans="1:23" x14ac:dyDescent="0.25">
      <c r="A658" t="s">
        <v>980</v>
      </c>
      <c r="B658">
        <v>2018</v>
      </c>
      <c r="C658" t="s">
        <v>53</v>
      </c>
      <c r="D658" t="s">
        <v>65</v>
      </c>
      <c r="E658">
        <v>92013</v>
      </c>
      <c r="F658" t="s">
        <v>22</v>
      </c>
      <c r="G658" t="s">
        <v>23</v>
      </c>
      <c r="H658" t="s">
        <v>24</v>
      </c>
      <c r="I658" t="s">
        <v>25</v>
      </c>
      <c r="J658" s="2">
        <v>45603</v>
      </c>
      <c r="K658" t="s">
        <v>25</v>
      </c>
      <c r="L658">
        <v>44113</v>
      </c>
      <c r="M658">
        <v>264</v>
      </c>
      <c r="N658">
        <v>314</v>
      </c>
      <c r="O658" s="4">
        <v>10600</v>
      </c>
      <c r="P658" s="4">
        <v>7993.91357421875</v>
      </c>
      <c r="Q658" s="5">
        <f t="shared" si="40"/>
        <v>-0.24585720997936322</v>
      </c>
      <c r="R658" s="4">
        <v>8123.7935770387367</v>
      </c>
      <c r="S658" s="5">
        <f t="shared" si="41"/>
        <v>-0.23360437952464752</v>
      </c>
      <c r="T658" s="4">
        <v>12202.012504183691</v>
      </c>
      <c r="U658" s="5">
        <f t="shared" si="42"/>
        <v>0.15113325511166886</v>
      </c>
      <c r="V658" s="4">
        <v>7923.41748046875</v>
      </c>
      <c r="W658" s="5">
        <f t="shared" si="43"/>
        <v>-0.25250778486143866</v>
      </c>
    </row>
    <row r="659" spans="1:23" x14ac:dyDescent="0.25">
      <c r="A659" t="s">
        <v>981</v>
      </c>
      <c r="B659">
        <v>2014</v>
      </c>
      <c r="C659" t="s">
        <v>53</v>
      </c>
      <c r="D659" t="s">
        <v>65</v>
      </c>
      <c r="E659">
        <v>138360</v>
      </c>
      <c r="F659" t="s">
        <v>79</v>
      </c>
      <c r="G659" t="s">
        <v>34</v>
      </c>
      <c r="H659" t="s">
        <v>25</v>
      </c>
      <c r="I659" t="s">
        <v>24</v>
      </c>
      <c r="J659" s="2">
        <v>45603</v>
      </c>
      <c r="K659" t="s">
        <v>25</v>
      </c>
      <c r="L659">
        <v>44113</v>
      </c>
      <c r="M659">
        <v>264</v>
      </c>
      <c r="N659">
        <v>314</v>
      </c>
      <c r="O659" s="4">
        <v>500</v>
      </c>
      <c r="P659" s="4">
        <v>3213.490478515625</v>
      </c>
      <c r="Q659" s="5">
        <f t="shared" si="40"/>
        <v>5.4269809570312502</v>
      </c>
      <c r="R659" s="4">
        <v>3424.532362784686</v>
      </c>
      <c r="S659" s="5">
        <f t="shared" si="41"/>
        <v>5.849064725569372</v>
      </c>
      <c r="T659" s="4">
        <v>4900.6903371857616</v>
      </c>
      <c r="U659" s="5">
        <f t="shared" si="42"/>
        <v>8.8013806743715239</v>
      </c>
      <c r="V659" s="4">
        <v>3167.9052734375</v>
      </c>
      <c r="W659" s="5">
        <f t="shared" si="43"/>
        <v>5.3358105468749999</v>
      </c>
    </row>
    <row r="660" spans="1:23" x14ac:dyDescent="0.25">
      <c r="A660" t="s">
        <v>982</v>
      </c>
      <c r="B660">
        <v>2019</v>
      </c>
      <c r="C660" t="s">
        <v>53</v>
      </c>
      <c r="D660" t="s">
        <v>69</v>
      </c>
      <c r="E660">
        <v>67374</v>
      </c>
      <c r="F660" t="s">
        <v>254</v>
      </c>
      <c r="G660" t="s">
        <v>23</v>
      </c>
      <c r="H660" t="s">
        <v>24</v>
      </c>
      <c r="I660" t="s">
        <v>25</v>
      </c>
      <c r="J660" s="2">
        <v>45337</v>
      </c>
      <c r="K660" t="s">
        <v>25</v>
      </c>
      <c r="L660">
        <v>44113</v>
      </c>
      <c r="M660">
        <v>264</v>
      </c>
      <c r="N660">
        <v>314</v>
      </c>
      <c r="O660" s="4">
        <v>12600</v>
      </c>
      <c r="P660" s="4">
        <v>16935.39453125</v>
      </c>
      <c r="Q660" s="5">
        <f t="shared" si="40"/>
        <v>0.34407893105158727</v>
      </c>
      <c r="R660" s="4">
        <v>15807.146117693899</v>
      </c>
      <c r="S660" s="5">
        <f t="shared" si="41"/>
        <v>0.25453540616618242</v>
      </c>
      <c r="T660" s="4">
        <v>18715.49169712752</v>
      </c>
      <c r="U660" s="5">
        <f t="shared" si="42"/>
        <v>0.48535648389900943</v>
      </c>
      <c r="V660" s="4">
        <v>17153.2265625</v>
      </c>
      <c r="W660" s="5">
        <f t="shared" si="43"/>
        <v>0.36136718749999996</v>
      </c>
    </row>
    <row r="661" spans="1:23" x14ac:dyDescent="0.25">
      <c r="A661" t="s">
        <v>983</v>
      </c>
      <c r="B661">
        <v>2018</v>
      </c>
      <c r="C661" t="s">
        <v>53</v>
      </c>
      <c r="D661" t="s">
        <v>60</v>
      </c>
      <c r="E661">
        <v>63965</v>
      </c>
      <c r="F661" t="s">
        <v>102</v>
      </c>
      <c r="G661" t="s">
        <v>44</v>
      </c>
      <c r="H661" t="s">
        <v>25</v>
      </c>
      <c r="I661" t="s">
        <v>24</v>
      </c>
      <c r="J661" s="2">
        <v>45664</v>
      </c>
      <c r="K661" t="s">
        <v>25</v>
      </c>
      <c r="L661">
        <v>44113</v>
      </c>
      <c r="M661">
        <v>264</v>
      </c>
      <c r="N661">
        <v>314</v>
      </c>
      <c r="O661" s="4">
        <v>8500</v>
      </c>
      <c r="P661" s="4">
        <v>13459.0361328125</v>
      </c>
      <c r="Q661" s="5">
        <f t="shared" si="40"/>
        <v>0.5834160156249999</v>
      </c>
      <c r="R661" s="4">
        <v>14638.522598635231</v>
      </c>
      <c r="S661" s="5">
        <f t="shared" si="41"/>
        <v>0.72217912925120364</v>
      </c>
      <c r="T661" s="4">
        <v>13187.650946123669</v>
      </c>
      <c r="U661" s="5">
        <f t="shared" si="42"/>
        <v>0.55148834660278467</v>
      </c>
      <c r="V661" s="4">
        <v>13561.5087890625</v>
      </c>
      <c r="W661" s="5">
        <f t="shared" si="43"/>
        <v>0.59547162224264705</v>
      </c>
    </row>
    <row r="662" spans="1:23" x14ac:dyDescent="0.25">
      <c r="A662" t="s">
        <v>984</v>
      </c>
      <c r="B662">
        <v>2015</v>
      </c>
      <c r="C662" t="s">
        <v>53</v>
      </c>
      <c r="D662" t="s">
        <v>69</v>
      </c>
      <c r="E662">
        <v>162188</v>
      </c>
      <c r="F662" t="s">
        <v>66</v>
      </c>
      <c r="G662" t="s">
        <v>23</v>
      </c>
      <c r="H662" t="s">
        <v>24</v>
      </c>
      <c r="I662" t="s">
        <v>25</v>
      </c>
      <c r="J662" s="2">
        <v>45337</v>
      </c>
      <c r="K662" t="s">
        <v>25</v>
      </c>
      <c r="L662">
        <v>44113</v>
      </c>
      <c r="M662">
        <v>264</v>
      </c>
      <c r="N662">
        <v>314</v>
      </c>
      <c r="O662" s="4">
        <v>8500</v>
      </c>
      <c r="P662" s="4">
        <v>2898.513671875</v>
      </c>
      <c r="Q662" s="5">
        <f t="shared" si="40"/>
        <v>-0.65899839154411766</v>
      </c>
      <c r="R662" s="4">
        <v>3115.4239588364949</v>
      </c>
      <c r="S662" s="5">
        <f t="shared" si="41"/>
        <v>-0.63347953425453007</v>
      </c>
      <c r="T662" s="4">
        <v>5087.9829151327276</v>
      </c>
      <c r="U662" s="5">
        <f t="shared" si="42"/>
        <v>-0.40141377469026729</v>
      </c>
      <c r="V662" s="4">
        <v>2852.677001953125</v>
      </c>
      <c r="W662" s="5">
        <f t="shared" si="43"/>
        <v>-0.66439094094669116</v>
      </c>
    </row>
    <row r="663" spans="1:23" x14ac:dyDescent="0.25">
      <c r="A663" t="s">
        <v>985</v>
      </c>
      <c r="B663">
        <v>2013</v>
      </c>
      <c r="C663" t="s">
        <v>53</v>
      </c>
      <c r="D663" t="s">
        <v>69</v>
      </c>
      <c r="E663">
        <v>172963</v>
      </c>
      <c r="F663" t="s">
        <v>382</v>
      </c>
      <c r="G663" t="s">
        <v>30</v>
      </c>
      <c r="H663" t="s">
        <v>24</v>
      </c>
      <c r="I663" t="s">
        <v>25</v>
      </c>
      <c r="J663" s="2">
        <v>45463</v>
      </c>
      <c r="K663" t="s">
        <v>25</v>
      </c>
      <c r="L663">
        <v>44113</v>
      </c>
      <c r="M663">
        <v>264</v>
      </c>
      <c r="N663">
        <v>314</v>
      </c>
      <c r="O663" s="4">
        <v>2200</v>
      </c>
      <c r="P663" s="4">
        <v>2079.793212890625</v>
      </c>
      <c r="Q663" s="5">
        <f t="shared" si="40"/>
        <v>-5.4639448686079506E-2</v>
      </c>
      <c r="R663" s="4">
        <v>2530.9421968975198</v>
      </c>
      <c r="S663" s="5">
        <f t="shared" si="41"/>
        <v>0.15042827131705439</v>
      </c>
      <c r="T663" s="4">
        <v>3678.117220594972</v>
      </c>
      <c r="U663" s="5">
        <f t="shared" si="42"/>
        <v>0.67187146390680552</v>
      </c>
      <c r="V663" s="4">
        <v>2012.723754882812</v>
      </c>
      <c r="W663" s="5">
        <f t="shared" si="43"/>
        <v>-8.5125565962358207E-2</v>
      </c>
    </row>
    <row r="664" spans="1:23" x14ac:dyDescent="0.25">
      <c r="A664" t="s">
        <v>986</v>
      </c>
      <c r="B664">
        <v>2015</v>
      </c>
      <c r="C664" t="s">
        <v>53</v>
      </c>
      <c r="D664" t="s">
        <v>684</v>
      </c>
      <c r="E664">
        <v>174650</v>
      </c>
      <c r="F664" t="s">
        <v>115</v>
      </c>
      <c r="G664" t="s">
        <v>30</v>
      </c>
      <c r="H664" t="s">
        <v>24</v>
      </c>
      <c r="I664" t="s">
        <v>25</v>
      </c>
      <c r="J664" s="2">
        <v>45715</v>
      </c>
      <c r="K664" t="s">
        <v>25</v>
      </c>
      <c r="L664">
        <v>44113</v>
      </c>
      <c r="M664">
        <v>264</v>
      </c>
      <c r="N664">
        <v>314</v>
      </c>
      <c r="O664" s="4">
        <v>18300</v>
      </c>
      <c r="P664" s="4">
        <v>3259.642822265625</v>
      </c>
      <c r="Q664" s="5">
        <f t="shared" si="40"/>
        <v>-0.82187744140624996</v>
      </c>
      <c r="R664" s="4">
        <v>3430.758223725154</v>
      </c>
      <c r="S664" s="5">
        <f t="shared" si="41"/>
        <v>-0.81252687302048332</v>
      </c>
      <c r="T664" s="4">
        <v>4987.6315715243281</v>
      </c>
      <c r="U664" s="5">
        <f t="shared" si="42"/>
        <v>-0.72745182669265973</v>
      </c>
      <c r="V664" s="4">
        <v>3203.70068359375</v>
      </c>
      <c r="W664" s="5">
        <f t="shared" si="43"/>
        <v>-0.82493438887465853</v>
      </c>
    </row>
    <row r="665" spans="1:23" x14ac:dyDescent="0.25">
      <c r="A665" t="s">
        <v>987</v>
      </c>
      <c r="B665">
        <v>2016</v>
      </c>
      <c r="C665" t="s">
        <v>20</v>
      </c>
      <c r="D665" t="s">
        <v>915</v>
      </c>
      <c r="E665">
        <v>92014</v>
      </c>
      <c r="F665" t="s">
        <v>246</v>
      </c>
      <c r="G665" t="s">
        <v>38</v>
      </c>
      <c r="H665" t="s">
        <v>25</v>
      </c>
      <c r="I665" t="s">
        <v>24</v>
      </c>
      <c r="J665" s="2">
        <v>45330</v>
      </c>
      <c r="K665" t="s">
        <v>25</v>
      </c>
      <c r="L665">
        <v>44113</v>
      </c>
      <c r="M665">
        <v>264</v>
      </c>
      <c r="N665">
        <v>314</v>
      </c>
      <c r="O665" s="4">
        <v>9200</v>
      </c>
      <c r="P665" s="4">
        <v>6037.48583984375</v>
      </c>
      <c r="Q665" s="5">
        <f t="shared" si="40"/>
        <v>-0.34375153914741852</v>
      </c>
      <c r="R665" s="4">
        <v>6175.6886804315327</v>
      </c>
      <c r="S665" s="5">
        <f t="shared" si="41"/>
        <v>-0.32872949125744211</v>
      </c>
      <c r="T665" s="4">
        <v>6626.1378437469148</v>
      </c>
      <c r="U665" s="5">
        <f t="shared" si="42"/>
        <v>-0.27976762567968316</v>
      </c>
      <c r="V665" s="4">
        <v>6124.21875</v>
      </c>
      <c r="W665" s="5">
        <f t="shared" si="43"/>
        <v>-0.33432404891304346</v>
      </c>
    </row>
    <row r="666" spans="1:23" x14ac:dyDescent="0.25">
      <c r="A666" t="s">
        <v>988</v>
      </c>
      <c r="B666">
        <v>2016</v>
      </c>
      <c r="C666" t="s">
        <v>20</v>
      </c>
      <c r="D666" t="s">
        <v>915</v>
      </c>
      <c r="E666">
        <v>136257</v>
      </c>
      <c r="F666" t="s">
        <v>55</v>
      </c>
      <c r="G666" t="s">
        <v>38</v>
      </c>
      <c r="H666" t="s">
        <v>25</v>
      </c>
      <c r="I666" t="s">
        <v>24</v>
      </c>
      <c r="J666" s="2">
        <v>45384</v>
      </c>
      <c r="K666" t="s">
        <v>25</v>
      </c>
      <c r="L666">
        <v>44113</v>
      </c>
      <c r="M666">
        <v>264</v>
      </c>
      <c r="N666">
        <v>314</v>
      </c>
      <c r="O666" s="4">
        <v>10000</v>
      </c>
      <c r="P666" s="4">
        <v>3580.173828125</v>
      </c>
      <c r="Q666" s="5">
        <f t="shared" si="40"/>
        <v>-0.64198261718750005</v>
      </c>
      <c r="R666" s="4">
        <v>4201.7843864265287</v>
      </c>
      <c r="S666" s="5">
        <f t="shared" si="41"/>
        <v>-0.57982156135734719</v>
      </c>
      <c r="T666" s="4">
        <v>3842.0137131109409</v>
      </c>
      <c r="U666" s="5">
        <f t="shared" si="42"/>
        <v>-0.61579862868890589</v>
      </c>
      <c r="V666" s="4">
        <v>3367.570068359375</v>
      </c>
      <c r="W666" s="5">
        <f t="shared" si="43"/>
        <v>-0.66324299316406243</v>
      </c>
    </row>
    <row r="667" spans="1:23" x14ac:dyDescent="0.25">
      <c r="A667" t="s">
        <v>989</v>
      </c>
      <c r="B667">
        <v>2019</v>
      </c>
      <c r="C667" t="s">
        <v>20</v>
      </c>
      <c r="D667" t="s">
        <v>74</v>
      </c>
      <c r="E667">
        <v>95157</v>
      </c>
      <c r="F667" t="s">
        <v>106</v>
      </c>
      <c r="G667" t="s">
        <v>38</v>
      </c>
      <c r="H667" t="s">
        <v>25</v>
      </c>
      <c r="I667" t="s">
        <v>24</v>
      </c>
      <c r="J667" s="2">
        <v>45631</v>
      </c>
      <c r="K667" t="s">
        <v>25</v>
      </c>
      <c r="L667">
        <v>44113</v>
      </c>
      <c r="M667">
        <v>264</v>
      </c>
      <c r="N667">
        <v>314</v>
      </c>
      <c r="O667" s="4">
        <v>3000</v>
      </c>
      <c r="P667" s="4">
        <v>12781.5234375</v>
      </c>
      <c r="Q667" s="5">
        <f t="shared" si="40"/>
        <v>3.2605078125000002</v>
      </c>
      <c r="R667" s="4">
        <v>13044.999650087981</v>
      </c>
      <c r="S667" s="5">
        <f t="shared" si="41"/>
        <v>3.3483332166959938</v>
      </c>
      <c r="T667" s="4">
        <v>6095.4162973655029</v>
      </c>
      <c r="U667" s="5">
        <f t="shared" si="42"/>
        <v>1.0318054324551675</v>
      </c>
      <c r="V667" s="4">
        <v>12849.728515625</v>
      </c>
      <c r="W667" s="5">
        <f t="shared" si="43"/>
        <v>3.2832428385416668</v>
      </c>
    </row>
    <row r="668" spans="1:23" x14ac:dyDescent="0.25">
      <c r="A668" t="s">
        <v>990</v>
      </c>
      <c r="B668">
        <v>2020</v>
      </c>
      <c r="C668" t="s">
        <v>20</v>
      </c>
      <c r="D668" t="s">
        <v>76</v>
      </c>
      <c r="E668">
        <v>86345</v>
      </c>
      <c r="F668" t="s">
        <v>334</v>
      </c>
      <c r="G668" t="s">
        <v>23</v>
      </c>
      <c r="H668" t="s">
        <v>24</v>
      </c>
      <c r="I668" t="s">
        <v>25</v>
      </c>
      <c r="J668" s="2">
        <v>45407</v>
      </c>
      <c r="K668" t="s">
        <v>25</v>
      </c>
      <c r="L668">
        <v>44113</v>
      </c>
      <c r="M668">
        <v>264</v>
      </c>
      <c r="N668">
        <v>314</v>
      </c>
      <c r="O668" s="4">
        <v>9200</v>
      </c>
      <c r="P668" s="4">
        <v>8280.001953125</v>
      </c>
      <c r="Q668" s="5">
        <f t="shared" si="40"/>
        <v>-9.9999787703804355E-2</v>
      </c>
      <c r="R668" s="4">
        <v>9986.2215261185411</v>
      </c>
      <c r="S668" s="5">
        <f t="shared" si="41"/>
        <v>8.545886153462412E-2</v>
      </c>
      <c r="T668" s="4">
        <v>4450.2749624039216</v>
      </c>
      <c r="U668" s="5">
        <f t="shared" si="42"/>
        <v>-0.51627446060826943</v>
      </c>
      <c r="V668" s="4">
        <v>7548.06689453125</v>
      </c>
      <c r="W668" s="5">
        <f t="shared" si="43"/>
        <v>-0.17955794624660326</v>
      </c>
    </row>
    <row r="669" spans="1:23" x14ac:dyDescent="0.25">
      <c r="A669" t="s">
        <v>991</v>
      </c>
      <c r="B669">
        <v>2016</v>
      </c>
      <c r="C669" t="s">
        <v>20</v>
      </c>
      <c r="D669" t="s">
        <v>218</v>
      </c>
      <c r="E669">
        <v>116066</v>
      </c>
      <c r="F669" t="s">
        <v>29</v>
      </c>
      <c r="G669" t="s">
        <v>23</v>
      </c>
      <c r="H669" t="s">
        <v>24</v>
      </c>
      <c r="I669" t="s">
        <v>25</v>
      </c>
      <c r="J669" s="2">
        <v>45300</v>
      </c>
      <c r="K669" t="s">
        <v>25</v>
      </c>
      <c r="L669">
        <v>44113</v>
      </c>
      <c r="M669">
        <v>264</v>
      </c>
      <c r="N669">
        <v>314</v>
      </c>
      <c r="O669" s="4">
        <v>5000</v>
      </c>
      <c r="P669" s="4">
        <v>4403.7958984375</v>
      </c>
      <c r="Q669" s="5">
        <f t="shared" si="40"/>
        <v>-0.11924082031250005</v>
      </c>
      <c r="R669" s="4">
        <v>7260.4545167168199</v>
      </c>
      <c r="S669" s="5">
        <f t="shared" si="41"/>
        <v>0.45209090334336399</v>
      </c>
      <c r="T669" s="4">
        <v>3038.0229468358152</v>
      </c>
      <c r="U669" s="5">
        <f t="shared" si="42"/>
        <v>-0.39239541063283701</v>
      </c>
      <c r="V669" s="4">
        <v>4358.45654296875</v>
      </c>
      <c r="W669" s="5">
        <f t="shared" si="43"/>
        <v>-0.12830869140625001</v>
      </c>
    </row>
    <row r="670" spans="1:23" x14ac:dyDescent="0.25">
      <c r="A670" t="s">
        <v>992</v>
      </c>
      <c r="B670">
        <v>2013</v>
      </c>
      <c r="C670" t="s">
        <v>20</v>
      </c>
      <c r="D670" t="s">
        <v>993</v>
      </c>
      <c r="E670">
        <v>61168</v>
      </c>
      <c r="F670" t="s">
        <v>79</v>
      </c>
      <c r="G670" t="s">
        <v>38</v>
      </c>
      <c r="H670" t="s">
        <v>25</v>
      </c>
      <c r="I670" t="s">
        <v>24</v>
      </c>
      <c r="J670" s="2">
        <v>45398</v>
      </c>
      <c r="K670" t="s">
        <v>25</v>
      </c>
      <c r="L670">
        <v>44113</v>
      </c>
      <c r="M670">
        <v>264</v>
      </c>
      <c r="N670">
        <v>314</v>
      </c>
      <c r="O670" s="4">
        <v>5600</v>
      </c>
      <c r="P670" s="4">
        <v>7017.58740234375</v>
      </c>
      <c r="Q670" s="5">
        <f t="shared" si="40"/>
        <v>0.25314060756138401</v>
      </c>
      <c r="R670" s="4">
        <v>6291.8697865116646</v>
      </c>
      <c r="S670" s="5">
        <f t="shared" si="41"/>
        <v>0.12354817616279723</v>
      </c>
      <c r="T670" s="4">
        <v>4440.5795314386114</v>
      </c>
      <c r="U670" s="5">
        <f t="shared" si="42"/>
        <v>-0.20703936938596224</v>
      </c>
      <c r="V670" s="4">
        <v>7270.94384765625</v>
      </c>
      <c r="W670" s="5">
        <f t="shared" si="43"/>
        <v>0.29838282993861598</v>
      </c>
    </row>
    <row r="671" spans="1:23" x14ac:dyDescent="0.25">
      <c r="A671" t="s">
        <v>994</v>
      </c>
      <c r="B671">
        <v>2021</v>
      </c>
      <c r="C671" t="s">
        <v>20</v>
      </c>
      <c r="D671" t="s">
        <v>81</v>
      </c>
      <c r="E671">
        <v>60802</v>
      </c>
      <c r="F671" t="s">
        <v>87</v>
      </c>
      <c r="G671" t="s">
        <v>34</v>
      </c>
      <c r="H671" t="s">
        <v>25</v>
      </c>
      <c r="I671" t="s">
        <v>24</v>
      </c>
      <c r="J671" s="2">
        <v>45454</v>
      </c>
      <c r="K671" t="s">
        <v>25</v>
      </c>
      <c r="L671">
        <v>44113</v>
      </c>
      <c r="M671">
        <v>264</v>
      </c>
      <c r="N671">
        <v>314</v>
      </c>
      <c r="O671" s="4">
        <v>13800</v>
      </c>
      <c r="P671" s="4">
        <v>18102.46875</v>
      </c>
      <c r="Q671" s="5">
        <f t="shared" si="40"/>
        <v>0.31177309782608686</v>
      </c>
      <c r="R671" s="4">
        <v>19734.224066668601</v>
      </c>
      <c r="S671" s="5">
        <f t="shared" si="41"/>
        <v>0.43001623671511613</v>
      </c>
      <c r="T671" s="4">
        <v>15268.49344111394</v>
      </c>
      <c r="U671" s="5">
        <f t="shared" si="42"/>
        <v>0.10641256819666234</v>
      </c>
      <c r="V671" s="4">
        <v>17616.197265625</v>
      </c>
      <c r="W671" s="5">
        <f t="shared" si="43"/>
        <v>0.27653603374094193</v>
      </c>
    </row>
    <row r="672" spans="1:23" x14ac:dyDescent="0.25">
      <c r="A672" t="s">
        <v>995</v>
      </c>
      <c r="B672">
        <v>2016</v>
      </c>
      <c r="C672" t="s">
        <v>20</v>
      </c>
      <c r="D672" t="s">
        <v>81</v>
      </c>
      <c r="E672">
        <v>136261</v>
      </c>
      <c r="F672" t="s">
        <v>82</v>
      </c>
      <c r="G672" t="s">
        <v>30</v>
      </c>
      <c r="H672" t="s">
        <v>24</v>
      </c>
      <c r="I672" t="s">
        <v>25</v>
      </c>
      <c r="J672" s="2">
        <v>45398</v>
      </c>
      <c r="K672" t="s">
        <v>25</v>
      </c>
      <c r="L672">
        <v>44113</v>
      </c>
      <c r="M672">
        <v>264</v>
      </c>
      <c r="N672">
        <v>314</v>
      </c>
      <c r="O672" s="4">
        <v>10300</v>
      </c>
      <c r="P672" s="4">
        <v>2165.345947265625</v>
      </c>
      <c r="Q672" s="5">
        <f t="shared" si="40"/>
        <v>-0.789772238129551</v>
      </c>
      <c r="R672" s="4">
        <v>3293.522837678498</v>
      </c>
      <c r="S672" s="5">
        <f t="shared" si="41"/>
        <v>-0.68024050119626234</v>
      </c>
      <c r="T672" s="4">
        <v>2320.8074621173091</v>
      </c>
      <c r="U672" s="5">
        <f t="shared" si="42"/>
        <v>-0.77467888717307676</v>
      </c>
      <c r="V672" s="4">
        <v>2082.657958984375</v>
      </c>
      <c r="W672" s="5">
        <f t="shared" si="43"/>
        <v>-0.79780019815685677</v>
      </c>
    </row>
    <row r="673" spans="1:23" x14ac:dyDescent="0.25">
      <c r="A673" t="s">
        <v>996</v>
      </c>
      <c r="B673">
        <v>2020</v>
      </c>
      <c r="C673" t="s">
        <v>20</v>
      </c>
      <c r="D673" t="s">
        <v>81</v>
      </c>
      <c r="E673">
        <v>79304</v>
      </c>
      <c r="F673" t="s">
        <v>141</v>
      </c>
      <c r="G673" t="s">
        <v>38</v>
      </c>
      <c r="H673" t="s">
        <v>25</v>
      </c>
      <c r="I673" t="s">
        <v>24</v>
      </c>
      <c r="J673" s="2">
        <v>45482</v>
      </c>
      <c r="K673" t="s">
        <v>25</v>
      </c>
      <c r="L673">
        <v>44113</v>
      </c>
      <c r="M673">
        <v>264</v>
      </c>
      <c r="N673">
        <v>314</v>
      </c>
      <c r="O673" s="4">
        <v>8200</v>
      </c>
      <c r="P673" s="4">
        <v>13124.9970703125</v>
      </c>
      <c r="Q673" s="5">
        <f t="shared" si="40"/>
        <v>0.60060939881859765</v>
      </c>
      <c r="R673" s="4">
        <v>14898.536989487029</v>
      </c>
      <c r="S673" s="5">
        <f t="shared" si="41"/>
        <v>0.81689475481549145</v>
      </c>
      <c r="T673" s="4">
        <v>9305.088854543339</v>
      </c>
      <c r="U673" s="5">
        <f t="shared" si="42"/>
        <v>0.13476693348089497</v>
      </c>
      <c r="V673" s="4">
        <v>12646.7509765625</v>
      </c>
      <c r="W673" s="5">
        <f t="shared" si="43"/>
        <v>0.54228670445884153</v>
      </c>
    </row>
    <row r="674" spans="1:23" x14ac:dyDescent="0.25">
      <c r="A674" t="s">
        <v>997</v>
      </c>
      <c r="B674">
        <v>2020</v>
      </c>
      <c r="C674" t="s">
        <v>20</v>
      </c>
      <c r="D674" t="s">
        <v>81</v>
      </c>
      <c r="E674">
        <v>58992</v>
      </c>
      <c r="F674" t="s">
        <v>66</v>
      </c>
      <c r="G674" t="s">
        <v>85</v>
      </c>
      <c r="H674" t="s">
        <v>24</v>
      </c>
      <c r="I674" t="s">
        <v>25</v>
      </c>
      <c r="J674" s="2">
        <v>45519</v>
      </c>
      <c r="K674" t="s">
        <v>25</v>
      </c>
      <c r="L674">
        <v>44113</v>
      </c>
      <c r="M674">
        <v>264</v>
      </c>
      <c r="N674">
        <v>314</v>
      </c>
      <c r="O674" s="4">
        <v>13300</v>
      </c>
      <c r="P674" s="4">
        <v>8808.923828125</v>
      </c>
      <c r="Q674" s="5">
        <f t="shared" si="40"/>
        <v>-0.33767490014097745</v>
      </c>
      <c r="R674" s="4">
        <v>9928.5555539278957</v>
      </c>
      <c r="S674" s="5">
        <f t="shared" si="41"/>
        <v>-0.25349206361444387</v>
      </c>
      <c r="T674" s="4">
        <v>7896.6004349727336</v>
      </c>
      <c r="U674" s="5">
        <f t="shared" si="42"/>
        <v>-0.40627064398701251</v>
      </c>
      <c r="V674" s="4">
        <v>8251.9873046875</v>
      </c>
      <c r="W674" s="5">
        <f t="shared" si="43"/>
        <v>-0.37954982671522552</v>
      </c>
    </row>
    <row r="675" spans="1:23" x14ac:dyDescent="0.25">
      <c r="A675" t="s">
        <v>998</v>
      </c>
      <c r="B675">
        <v>2022</v>
      </c>
      <c r="C675" t="s">
        <v>20</v>
      </c>
      <c r="D675" t="s">
        <v>81</v>
      </c>
      <c r="E675">
        <v>40700</v>
      </c>
      <c r="F675" t="s">
        <v>63</v>
      </c>
      <c r="G675" t="s">
        <v>44</v>
      </c>
      <c r="H675" t="s">
        <v>25</v>
      </c>
      <c r="I675" t="s">
        <v>24</v>
      </c>
      <c r="J675" s="2">
        <v>45538</v>
      </c>
      <c r="K675" t="s">
        <v>25</v>
      </c>
      <c r="L675">
        <v>44113</v>
      </c>
      <c r="M675">
        <v>264</v>
      </c>
      <c r="N675">
        <v>314</v>
      </c>
      <c r="O675" s="4">
        <v>21800</v>
      </c>
      <c r="P675" s="4">
        <v>21552.3125</v>
      </c>
      <c r="Q675" s="5">
        <f t="shared" si="40"/>
        <v>-1.1361811926605458E-2</v>
      </c>
      <c r="R675" s="4">
        <v>23540.372431817839</v>
      </c>
      <c r="S675" s="5">
        <f t="shared" si="41"/>
        <v>7.983359778980903E-2</v>
      </c>
      <c r="T675" s="4">
        <v>17981.094285273371</v>
      </c>
      <c r="U675" s="5">
        <f t="shared" si="42"/>
        <v>-0.17517916122599209</v>
      </c>
      <c r="V675" s="4">
        <v>21163.787109375</v>
      </c>
      <c r="W675" s="5">
        <f t="shared" si="43"/>
        <v>-2.9184077551605458E-2</v>
      </c>
    </row>
    <row r="676" spans="1:23" x14ac:dyDescent="0.25">
      <c r="A676" t="s">
        <v>999</v>
      </c>
      <c r="B676">
        <v>2016</v>
      </c>
      <c r="C676" t="s">
        <v>20</v>
      </c>
      <c r="D676" t="s">
        <v>81</v>
      </c>
      <c r="E676">
        <v>100084</v>
      </c>
      <c r="F676" t="s">
        <v>106</v>
      </c>
      <c r="G676" t="s">
        <v>38</v>
      </c>
      <c r="H676" t="s">
        <v>25</v>
      </c>
      <c r="I676" t="s">
        <v>24</v>
      </c>
      <c r="J676" s="2">
        <v>45566</v>
      </c>
      <c r="K676" t="s">
        <v>25</v>
      </c>
      <c r="L676">
        <v>44113</v>
      </c>
      <c r="M676">
        <v>264</v>
      </c>
      <c r="N676">
        <v>314</v>
      </c>
      <c r="O676" s="4">
        <v>7000</v>
      </c>
      <c r="P676" s="4">
        <v>6998.7578125</v>
      </c>
      <c r="Q676" s="5">
        <f t="shared" si="40"/>
        <v>-1.7745535714286387E-4</v>
      </c>
      <c r="R676" s="4">
        <v>7942.6987648496033</v>
      </c>
      <c r="S676" s="5">
        <f t="shared" si="41"/>
        <v>0.13467125212137199</v>
      </c>
      <c r="T676" s="4">
        <v>5206.0445033085834</v>
      </c>
      <c r="U676" s="5">
        <f t="shared" si="42"/>
        <v>-0.25627935667020241</v>
      </c>
      <c r="V676" s="4">
        <v>6775.818359375</v>
      </c>
      <c r="W676" s="5">
        <f t="shared" si="43"/>
        <v>-3.2025948660714287E-2</v>
      </c>
    </row>
    <row r="677" spans="1:23" x14ac:dyDescent="0.25">
      <c r="A677" t="s">
        <v>1000</v>
      </c>
      <c r="B677">
        <v>2013</v>
      </c>
      <c r="C677" t="s">
        <v>91</v>
      </c>
      <c r="D677" t="s">
        <v>364</v>
      </c>
      <c r="E677">
        <v>116272</v>
      </c>
      <c r="F677" t="s">
        <v>382</v>
      </c>
      <c r="G677" t="s">
        <v>34</v>
      </c>
      <c r="H677" t="s">
        <v>25</v>
      </c>
      <c r="I677" t="s">
        <v>24</v>
      </c>
      <c r="J677" s="2">
        <v>45664</v>
      </c>
      <c r="K677" t="s">
        <v>25</v>
      </c>
      <c r="L677">
        <v>44113</v>
      </c>
      <c r="M677">
        <v>264</v>
      </c>
      <c r="N677">
        <v>314</v>
      </c>
      <c r="O677" s="4">
        <v>1500</v>
      </c>
      <c r="P677" s="4">
        <v>2248.56494140625</v>
      </c>
      <c r="Q677" s="5">
        <f t="shared" si="40"/>
        <v>0.49904329427083338</v>
      </c>
      <c r="R677" s="4">
        <v>3076.6110767183368</v>
      </c>
      <c r="S677" s="5">
        <f t="shared" si="41"/>
        <v>1.0510740511455579</v>
      </c>
      <c r="T677" s="4">
        <v>2065.381553047926</v>
      </c>
      <c r="U677" s="5">
        <f t="shared" si="42"/>
        <v>0.3769210353652841</v>
      </c>
      <c r="V677" s="4">
        <v>2138.187255859375</v>
      </c>
      <c r="W677" s="5">
        <f t="shared" si="43"/>
        <v>0.42545817057291657</v>
      </c>
    </row>
    <row r="678" spans="1:23" x14ac:dyDescent="0.25">
      <c r="A678" t="s">
        <v>1001</v>
      </c>
      <c r="B678">
        <v>2018</v>
      </c>
      <c r="C678" t="s">
        <v>94</v>
      </c>
      <c r="D678" t="s">
        <v>223</v>
      </c>
      <c r="E678">
        <v>29421</v>
      </c>
      <c r="F678" t="s">
        <v>43</v>
      </c>
      <c r="G678" t="s">
        <v>44</v>
      </c>
      <c r="H678" t="s">
        <v>25</v>
      </c>
      <c r="I678" t="s">
        <v>24</v>
      </c>
      <c r="J678" s="2">
        <v>45580</v>
      </c>
      <c r="K678" t="s">
        <v>25</v>
      </c>
      <c r="L678">
        <v>44113</v>
      </c>
      <c r="M678">
        <v>264</v>
      </c>
      <c r="N678">
        <v>314</v>
      </c>
      <c r="O678" s="4">
        <v>9000</v>
      </c>
      <c r="P678" s="4">
        <v>19352.57421875</v>
      </c>
      <c r="Q678" s="5">
        <f t="shared" si="40"/>
        <v>1.1502860243055557</v>
      </c>
      <c r="R678" s="4">
        <v>20287.057544839801</v>
      </c>
      <c r="S678" s="5">
        <f t="shared" si="41"/>
        <v>1.2541175049822</v>
      </c>
      <c r="T678" s="4">
        <v>16457.055463394288</v>
      </c>
      <c r="U678" s="5">
        <f t="shared" si="42"/>
        <v>0.82856171815492097</v>
      </c>
      <c r="V678" s="4">
        <v>19353.599609375</v>
      </c>
      <c r="W678" s="5">
        <f t="shared" si="43"/>
        <v>1.1503999565972221</v>
      </c>
    </row>
    <row r="679" spans="1:23" x14ac:dyDescent="0.25">
      <c r="A679" t="s">
        <v>1002</v>
      </c>
      <c r="B679">
        <v>2019</v>
      </c>
      <c r="C679" t="s">
        <v>20</v>
      </c>
      <c r="D679" t="s">
        <v>97</v>
      </c>
      <c r="E679">
        <v>46858</v>
      </c>
      <c r="F679" t="s">
        <v>89</v>
      </c>
      <c r="G679" t="s">
        <v>34</v>
      </c>
      <c r="H679" t="s">
        <v>25</v>
      </c>
      <c r="I679" t="s">
        <v>24</v>
      </c>
      <c r="J679" s="2">
        <v>45664</v>
      </c>
      <c r="K679" t="s">
        <v>25</v>
      </c>
      <c r="L679">
        <v>44113</v>
      </c>
      <c r="M679">
        <v>264</v>
      </c>
      <c r="N679">
        <v>314</v>
      </c>
      <c r="O679" s="4">
        <v>31500</v>
      </c>
      <c r="P679" s="4">
        <v>16898.59765625</v>
      </c>
      <c r="Q679" s="5">
        <f t="shared" si="40"/>
        <v>-0.46353658234126982</v>
      </c>
      <c r="R679" s="4">
        <v>12544.280747498829</v>
      </c>
      <c r="S679" s="5">
        <f t="shared" si="41"/>
        <v>-0.60176886515876737</v>
      </c>
      <c r="T679" s="4">
        <v>20396.277139469021</v>
      </c>
      <c r="U679" s="5">
        <f t="shared" si="42"/>
        <v>-0.35249913842955494</v>
      </c>
      <c r="V679" s="4">
        <v>17419.765625</v>
      </c>
      <c r="W679" s="5">
        <f t="shared" si="43"/>
        <v>-0.44699156746031743</v>
      </c>
    </row>
    <row r="680" spans="1:23" x14ac:dyDescent="0.25">
      <c r="A680" t="s">
        <v>1003</v>
      </c>
      <c r="B680">
        <v>2011</v>
      </c>
      <c r="C680" t="s">
        <v>104</v>
      </c>
      <c r="D680" t="s">
        <v>1004</v>
      </c>
      <c r="E680">
        <v>159369</v>
      </c>
      <c r="F680" t="s">
        <v>77</v>
      </c>
      <c r="G680" t="s">
        <v>30</v>
      </c>
      <c r="H680" t="s">
        <v>24</v>
      </c>
      <c r="I680" t="s">
        <v>25</v>
      </c>
      <c r="J680" s="2">
        <v>45659</v>
      </c>
      <c r="K680" t="s">
        <v>25</v>
      </c>
      <c r="L680">
        <v>44113</v>
      </c>
      <c r="M680">
        <v>264</v>
      </c>
      <c r="N680">
        <v>314</v>
      </c>
      <c r="O680" s="4">
        <v>500</v>
      </c>
      <c r="P680" s="4">
        <v>3447.66162109375</v>
      </c>
      <c r="Q680" s="5">
        <f t="shared" si="40"/>
        <v>5.8953232421874997</v>
      </c>
      <c r="R680" s="4">
        <v>4038.0373048540869</v>
      </c>
      <c r="S680" s="5">
        <f t="shared" si="41"/>
        <v>7.0760746097081739</v>
      </c>
      <c r="T680" s="4">
        <v>4705.5195197229632</v>
      </c>
      <c r="U680" s="5">
        <f t="shared" si="42"/>
        <v>8.4110390394459262</v>
      </c>
      <c r="V680" s="4">
        <v>3195.258056640625</v>
      </c>
      <c r="W680" s="5">
        <f t="shared" si="43"/>
        <v>5.39051611328125</v>
      </c>
    </row>
    <row r="681" spans="1:23" x14ac:dyDescent="0.25">
      <c r="A681" t="s">
        <v>1005</v>
      </c>
      <c r="B681">
        <v>2015</v>
      </c>
      <c r="C681" t="s">
        <v>104</v>
      </c>
      <c r="D681" t="s">
        <v>1006</v>
      </c>
      <c r="E681">
        <v>118714</v>
      </c>
      <c r="F681" t="s">
        <v>63</v>
      </c>
      <c r="G681" t="s">
        <v>30</v>
      </c>
      <c r="H681" t="s">
        <v>24</v>
      </c>
      <c r="I681" t="s">
        <v>25</v>
      </c>
      <c r="J681" s="2">
        <v>45678</v>
      </c>
      <c r="K681" t="s">
        <v>25</v>
      </c>
      <c r="L681">
        <v>44113</v>
      </c>
      <c r="M681">
        <v>264</v>
      </c>
      <c r="N681">
        <v>314</v>
      </c>
      <c r="O681" s="4">
        <v>22500</v>
      </c>
      <c r="P681" s="4">
        <v>13291.3408203125</v>
      </c>
      <c r="Q681" s="5">
        <f t="shared" si="40"/>
        <v>-0.4092737413194445</v>
      </c>
      <c r="R681" s="4">
        <v>11286.494827173319</v>
      </c>
      <c r="S681" s="5">
        <f t="shared" si="41"/>
        <v>-0.49837800768118579</v>
      </c>
      <c r="T681" s="4">
        <v>12238.247485315689</v>
      </c>
      <c r="U681" s="5">
        <f t="shared" si="42"/>
        <v>-0.45607788954152495</v>
      </c>
      <c r="V681" s="4">
        <v>13454.2236328125</v>
      </c>
      <c r="W681" s="5">
        <f t="shared" si="43"/>
        <v>-0.40203450520833328</v>
      </c>
    </row>
    <row r="682" spans="1:23" x14ac:dyDescent="0.25">
      <c r="A682" t="s">
        <v>1007</v>
      </c>
      <c r="B682">
        <v>2015</v>
      </c>
      <c r="C682" t="s">
        <v>20</v>
      </c>
      <c r="D682" t="s">
        <v>134</v>
      </c>
      <c r="E682">
        <v>98212</v>
      </c>
      <c r="F682" t="s">
        <v>98</v>
      </c>
      <c r="G682" t="s">
        <v>34</v>
      </c>
      <c r="H682" t="s">
        <v>25</v>
      </c>
      <c r="I682" t="s">
        <v>24</v>
      </c>
      <c r="J682" s="2">
        <v>45617</v>
      </c>
      <c r="K682" t="s">
        <v>25</v>
      </c>
      <c r="L682">
        <v>44113</v>
      </c>
      <c r="M682">
        <v>264</v>
      </c>
      <c r="N682">
        <v>314</v>
      </c>
      <c r="O682" s="4">
        <v>5400</v>
      </c>
      <c r="P682" s="4">
        <v>7720.27490234375</v>
      </c>
      <c r="Q682" s="5">
        <f t="shared" si="40"/>
        <v>0.42968053747106483</v>
      </c>
      <c r="R682" s="4">
        <v>9368.9649514334887</v>
      </c>
      <c r="S682" s="5">
        <f t="shared" si="41"/>
        <v>0.7349935095247202</v>
      </c>
      <c r="T682" s="4">
        <v>11794.784876655451</v>
      </c>
      <c r="U682" s="5">
        <f t="shared" si="42"/>
        <v>1.1842194216028612</v>
      </c>
      <c r="V682" s="4">
        <v>7223.81787109375</v>
      </c>
      <c r="W682" s="5">
        <f t="shared" si="43"/>
        <v>0.33774405020254639</v>
      </c>
    </row>
    <row r="683" spans="1:23" x14ac:dyDescent="0.25">
      <c r="A683" t="s">
        <v>1008</v>
      </c>
      <c r="B683">
        <v>2017</v>
      </c>
      <c r="C683" t="s">
        <v>20</v>
      </c>
      <c r="D683" t="s">
        <v>372</v>
      </c>
      <c r="E683">
        <v>112007</v>
      </c>
      <c r="F683" t="s">
        <v>115</v>
      </c>
      <c r="G683" t="s">
        <v>34</v>
      </c>
      <c r="H683" t="s">
        <v>25</v>
      </c>
      <c r="I683" t="s">
        <v>24</v>
      </c>
      <c r="J683" s="2">
        <v>45568</v>
      </c>
      <c r="K683" t="s">
        <v>25</v>
      </c>
      <c r="L683">
        <v>44113</v>
      </c>
      <c r="M683">
        <v>264</v>
      </c>
      <c r="N683">
        <v>314</v>
      </c>
      <c r="O683" s="4">
        <v>11500</v>
      </c>
      <c r="P683" s="4">
        <v>5320.89697265625</v>
      </c>
      <c r="Q683" s="5">
        <f t="shared" si="40"/>
        <v>-0.53731330672554356</v>
      </c>
      <c r="R683" s="4">
        <v>5879.7359508200243</v>
      </c>
      <c r="S683" s="5">
        <f t="shared" si="41"/>
        <v>-0.48871861297217178</v>
      </c>
      <c r="T683" s="4">
        <v>7871.2342269893861</v>
      </c>
      <c r="U683" s="5">
        <f t="shared" si="42"/>
        <v>-0.31554484982700992</v>
      </c>
      <c r="V683" s="4">
        <v>5236.423828125</v>
      </c>
      <c r="W683" s="5">
        <f t="shared" si="43"/>
        <v>-0.54465879755434776</v>
      </c>
    </row>
    <row r="684" spans="1:23" x14ac:dyDescent="0.25">
      <c r="A684" t="s">
        <v>1009</v>
      </c>
      <c r="B684">
        <v>2017</v>
      </c>
      <c r="C684" t="s">
        <v>20</v>
      </c>
      <c r="D684" t="s">
        <v>374</v>
      </c>
      <c r="E684">
        <v>115506</v>
      </c>
      <c r="F684" t="s">
        <v>115</v>
      </c>
      <c r="G684" t="s">
        <v>30</v>
      </c>
      <c r="H684" t="s">
        <v>24</v>
      </c>
      <c r="I684" t="s">
        <v>25</v>
      </c>
      <c r="J684" s="2">
        <v>45645</v>
      </c>
      <c r="K684" t="s">
        <v>25</v>
      </c>
      <c r="L684">
        <v>44113</v>
      </c>
      <c r="M684">
        <v>264</v>
      </c>
      <c r="N684">
        <v>314</v>
      </c>
      <c r="O684" s="4">
        <v>12000</v>
      </c>
      <c r="P684" s="4">
        <v>5251.3701171875</v>
      </c>
      <c r="Q684" s="5">
        <f t="shared" si="40"/>
        <v>-0.56238582356770839</v>
      </c>
      <c r="R684" s="4">
        <v>5756.1272914936908</v>
      </c>
      <c r="S684" s="5">
        <f t="shared" si="41"/>
        <v>-0.52032272570885918</v>
      </c>
      <c r="T684" s="4">
        <v>7609.0447559838494</v>
      </c>
      <c r="U684" s="5">
        <f t="shared" si="42"/>
        <v>-0.36591293700134586</v>
      </c>
      <c r="V684" s="4">
        <v>5102.4033203125</v>
      </c>
      <c r="W684" s="5">
        <f t="shared" si="43"/>
        <v>-0.57479972330729168</v>
      </c>
    </row>
    <row r="685" spans="1:23" x14ac:dyDescent="0.25">
      <c r="A685" t="s">
        <v>1010</v>
      </c>
      <c r="B685">
        <v>2015</v>
      </c>
      <c r="C685" t="s">
        <v>185</v>
      </c>
      <c r="D685" t="s">
        <v>536</v>
      </c>
      <c r="E685">
        <v>103624</v>
      </c>
      <c r="F685" t="s">
        <v>102</v>
      </c>
      <c r="G685" t="s">
        <v>44</v>
      </c>
      <c r="H685" t="s">
        <v>25</v>
      </c>
      <c r="I685" t="s">
        <v>24</v>
      </c>
      <c r="J685" s="2">
        <v>45512</v>
      </c>
      <c r="K685" t="s">
        <v>25</v>
      </c>
      <c r="L685">
        <v>44113</v>
      </c>
      <c r="M685">
        <v>264</v>
      </c>
      <c r="N685">
        <v>314</v>
      </c>
      <c r="O685" s="4">
        <v>8600</v>
      </c>
      <c r="P685" s="4">
        <v>7643.43115234375</v>
      </c>
      <c r="Q685" s="5">
        <f t="shared" si="40"/>
        <v>-0.11122893577398252</v>
      </c>
      <c r="R685" s="4">
        <v>6656.3924878898888</v>
      </c>
      <c r="S685" s="5">
        <f t="shared" si="41"/>
        <v>-0.2260008735011757</v>
      </c>
      <c r="T685" s="4">
        <v>7760.7807574745366</v>
      </c>
      <c r="U685" s="5">
        <f t="shared" si="42"/>
        <v>-9.7583632851798052E-2</v>
      </c>
      <c r="V685" s="4">
        <v>7705.27783203125</v>
      </c>
      <c r="W685" s="5">
        <f t="shared" si="43"/>
        <v>-0.1040374613917151</v>
      </c>
    </row>
    <row r="686" spans="1:23" x14ac:dyDescent="0.25">
      <c r="A686" t="s">
        <v>1011</v>
      </c>
      <c r="B686">
        <v>2015</v>
      </c>
      <c r="C686" t="s">
        <v>185</v>
      </c>
      <c r="D686" t="s">
        <v>536</v>
      </c>
      <c r="E686">
        <v>114480</v>
      </c>
      <c r="F686" t="s">
        <v>106</v>
      </c>
      <c r="G686" t="s">
        <v>34</v>
      </c>
      <c r="H686" t="s">
        <v>25</v>
      </c>
      <c r="I686" t="s">
        <v>24</v>
      </c>
      <c r="J686" s="2">
        <v>45645</v>
      </c>
      <c r="K686" t="s">
        <v>25</v>
      </c>
      <c r="L686">
        <v>44113</v>
      </c>
      <c r="M686">
        <v>264</v>
      </c>
      <c r="N686">
        <v>314</v>
      </c>
      <c r="O686" s="4">
        <v>3500</v>
      </c>
      <c r="P686" s="4">
        <v>4553.3154296875</v>
      </c>
      <c r="Q686" s="5">
        <f t="shared" si="40"/>
        <v>0.30094726562500007</v>
      </c>
      <c r="R686" s="4">
        <v>4875.8312193054398</v>
      </c>
      <c r="S686" s="5">
        <f t="shared" si="41"/>
        <v>0.39309463408726852</v>
      </c>
      <c r="T686" s="4">
        <v>6225.6220373956794</v>
      </c>
      <c r="U686" s="5">
        <f t="shared" si="42"/>
        <v>0.77874915354162266</v>
      </c>
      <c r="V686" s="4">
        <v>4486.13818359375</v>
      </c>
      <c r="W686" s="5">
        <f t="shared" si="43"/>
        <v>0.28175376674107144</v>
      </c>
    </row>
    <row r="687" spans="1:23" x14ac:dyDescent="0.25">
      <c r="A687" t="s">
        <v>1012</v>
      </c>
      <c r="B687">
        <v>2018</v>
      </c>
      <c r="C687" t="s">
        <v>185</v>
      </c>
      <c r="D687" t="s">
        <v>536</v>
      </c>
      <c r="E687">
        <v>169689</v>
      </c>
      <c r="F687" t="s">
        <v>37</v>
      </c>
      <c r="G687" t="s">
        <v>30</v>
      </c>
      <c r="H687" t="s">
        <v>24</v>
      </c>
      <c r="I687" t="s">
        <v>25</v>
      </c>
      <c r="J687" s="2">
        <v>45484</v>
      </c>
      <c r="K687" t="s">
        <v>25</v>
      </c>
      <c r="L687">
        <v>44113</v>
      </c>
      <c r="M687">
        <v>264</v>
      </c>
      <c r="N687">
        <v>314</v>
      </c>
      <c r="O687" s="4">
        <v>11400</v>
      </c>
      <c r="P687" s="4">
        <v>2295.12890625</v>
      </c>
      <c r="Q687" s="5">
        <f t="shared" si="40"/>
        <v>-0.79867290296052629</v>
      </c>
      <c r="R687" s="4">
        <v>4660.0589640700309</v>
      </c>
      <c r="S687" s="5">
        <f t="shared" si="41"/>
        <v>-0.59122289788859383</v>
      </c>
      <c r="T687" s="4">
        <v>5420.2598649422807</v>
      </c>
      <c r="U687" s="5">
        <f t="shared" si="42"/>
        <v>-0.52453860833839649</v>
      </c>
      <c r="V687" s="4">
        <v>2132.644775390625</v>
      </c>
      <c r="W687" s="5">
        <f t="shared" si="43"/>
        <v>-0.81292589689555927</v>
      </c>
    </row>
    <row r="688" spans="1:23" x14ac:dyDescent="0.25">
      <c r="A688" t="s">
        <v>1013</v>
      </c>
      <c r="B688">
        <v>2016</v>
      </c>
      <c r="C688" t="s">
        <v>185</v>
      </c>
      <c r="D688" t="s">
        <v>1014</v>
      </c>
      <c r="E688">
        <v>121665</v>
      </c>
      <c r="F688" t="s">
        <v>37</v>
      </c>
      <c r="G688" t="s">
        <v>38</v>
      </c>
      <c r="H688" t="s">
        <v>25</v>
      </c>
      <c r="I688" t="s">
        <v>24</v>
      </c>
      <c r="J688" s="2">
        <v>45575</v>
      </c>
      <c r="K688" t="s">
        <v>25</v>
      </c>
      <c r="L688">
        <v>44113</v>
      </c>
      <c r="M688">
        <v>264</v>
      </c>
      <c r="N688">
        <v>314</v>
      </c>
      <c r="O688" s="4">
        <v>17300</v>
      </c>
      <c r="P688" s="4">
        <v>3158.804443359375</v>
      </c>
      <c r="Q688" s="5">
        <f t="shared" si="40"/>
        <v>-0.81741014778269505</v>
      </c>
      <c r="R688" s="4">
        <v>4785.3028304802538</v>
      </c>
      <c r="S688" s="5">
        <f t="shared" si="41"/>
        <v>-0.72339289997223966</v>
      </c>
      <c r="T688" s="4">
        <v>5977.6387846352509</v>
      </c>
      <c r="U688" s="5">
        <f t="shared" si="42"/>
        <v>-0.65447174655287566</v>
      </c>
      <c r="V688" s="4">
        <v>2796.208984375</v>
      </c>
      <c r="W688" s="5">
        <f t="shared" si="43"/>
        <v>-0.83836942286849714</v>
      </c>
    </row>
    <row r="689" spans="1:23" x14ac:dyDescent="0.25">
      <c r="A689" t="s">
        <v>1015</v>
      </c>
      <c r="B689">
        <v>2015</v>
      </c>
      <c r="C689" t="s">
        <v>266</v>
      </c>
      <c r="D689" t="s">
        <v>755</v>
      </c>
      <c r="E689">
        <v>117781</v>
      </c>
      <c r="F689" t="s">
        <v>37</v>
      </c>
      <c r="G689" t="s">
        <v>38</v>
      </c>
      <c r="H689" t="s">
        <v>25</v>
      </c>
      <c r="I689" t="s">
        <v>24</v>
      </c>
      <c r="J689" s="2">
        <v>45300</v>
      </c>
      <c r="K689" t="s">
        <v>25</v>
      </c>
      <c r="L689">
        <v>44113</v>
      </c>
      <c r="M689">
        <v>264</v>
      </c>
      <c r="N689">
        <v>314</v>
      </c>
      <c r="O689" s="4">
        <v>6800</v>
      </c>
      <c r="P689" s="4">
        <v>2500.618408203125</v>
      </c>
      <c r="Q689" s="5">
        <f t="shared" si="40"/>
        <v>-0.63226199879365808</v>
      </c>
      <c r="R689" s="4">
        <v>5048.475908553266</v>
      </c>
      <c r="S689" s="5">
        <f t="shared" si="41"/>
        <v>-0.25757707227157856</v>
      </c>
      <c r="T689" s="4">
        <v>3563.888874494095</v>
      </c>
      <c r="U689" s="5">
        <f t="shared" si="42"/>
        <v>-0.47589869492733894</v>
      </c>
      <c r="V689" s="4">
        <v>2343.707763671875</v>
      </c>
      <c r="W689" s="5">
        <f t="shared" si="43"/>
        <v>-0.65533709357766545</v>
      </c>
    </row>
    <row r="690" spans="1:23" x14ac:dyDescent="0.25">
      <c r="A690" t="s">
        <v>1016</v>
      </c>
      <c r="B690">
        <v>2014</v>
      </c>
      <c r="C690" t="s">
        <v>266</v>
      </c>
      <c r="D690" t="s">
        <v>512</v>
      </c>
      <c r="E690">
        <v>194371</v>
      </c>
      <c r="F690" t="s">
        <v>475</v>
      </c>
      <c r="G690" t="s">
        <v>23</v>
      </c>
      <c r="H690" t="s">
        <v>24</v>
      </c>
      <c r="I690" t="s">
        <v>25</v>
      </c>
      <c r="J690" s="2">
        <v>45568</v>
      </c>
      <c r="K690" t="s">
        <v>25</v>
      </c>
      <c r="L690">
        <v>44113</v>
      </c>
      <c r="M690">
        <v>264</v>
      </c>
      <c r="N690">
        <v>314</v>
      </c>
      <c r="O690" s="4">
        <v>3000</v>
      </c>
      <c r="P690" s="4">
        <v>2230.2587890625</v>
      </c>
      <c r="Q690" s="5">
        <f t="shared" si="40"/>
        <v>-0.25658040364583334</v>
      </c>
      <c r="R690" s="4">
        <v>2130.3824056217582</v>
      </c>
      <c r="S690" s="5">
        <f t="shared" si="41"/>
        <v>-0.28987253145941394</v>
      </c>
      <c r="T690" s="4">
        <v>2475.5147519971761</v>
      </c>
      <c r="U690" s="5">
        <f t="shared" si="42"/>
        <v>-0.17482841600094134</v>
      </c>
      <c r="V690" s="4">
        <v>2185.947998046875</v>
      </c>
      <c r="W690" s="5">
        <f t="shared" si="43"/>
        <v>-0.27135066731770829</v>
      </c>
    </row>
    <row r="691" spans="1:23" x14ac:dyDescent="0.25">
      <c r="A691" t="s">
        <v>1017</v>
      </c>
      <c r="B691">
        <v>2015</v>
      </c>
      <c r="C691" t="s">
        <v>266</v>
      </c>
      <c r="D691" t="s">
        <v>755</v>
      </c>
      <c r="E691">
        <v>85586</v>
      </c>
      <c r="F691" t="s">
        <v>82</v>
      </c>
      <c r="G691" t="s">
        <v>30</v>
      </c>
      <c r="H691" t="s">
        <v>24</v>
      </c>
      <c r="I691" t="s">
        <v>25</v>
      </c>
      <c r="J691" s="2">
        <v>45342</v>
      </c>
      <c r="K691" t="s">
        <v>25</v>
      </c>
      <c r="L691">
        <v>44113</v>
      </c>
      <c r="M691">
        <v>264</v>
      </c>
      <c r="N691">
        <v>314</v>
      </c>
      <c r="O691" s="4">
        <v>9500</v>
      </c>
      <c r="P691" s="4">
        <v>3077.62890625</v>
      </c>
      <c r="Q691" s="5">
        <f t="shared" si="40"/>
        <v>-0.67603906250000001</v>
      </c>
      <c r="R691" s="4">
        <v>4231.7189366582397</v>
      </c>
      <c r="S691" s="5">
        <f t="shared" si="41"/>
        <v>-0.55455590140439581</v>
      </c>
      <c r="T691" s="4">
        <v>3346.9941754000301</v>
      </c>
      <c r="U691" s="5">
        <f t="shared" si="42"/>
        <v>-0.64768482364210211</v>
      </c>
      <c r="V691" s="4">
        <v>2777.374755859375</v>
      </c>
      <c r="W691" s="5">
        <f t="shared" si="43"/>
        <v>-0.70764476254111841</v>
      </c>
    </row>
    <row r="692" spans="1:23" x14ac:dyDescent="0.25">
      <c r="A692" t="s">
        <v>1018</v>
      </c>
      <c r="B692">
        <v>2014</v>
      </c>
      <c r="C692" t="s">
        <v>266</v>
      </c>
      <c r="D692" t="s">
        <v>512</v>
      </c>
      <c r="E692">
        <v>146363</v>
      </c>
      <c r="F692" t="s">
        <v>77</v>
      </c>
      <c r="G692" t="s">
        <v>23</v>
      </c>
      <c r="H692" t="s">
        <v>24</v>
      </c>
      <c r="I692" t="s">
        <v>25</v>
      </c>
      <c r="J692" s="2">
        <v>45631</v>
      </c>
      <c r="K692" t="s">
        <v>25</v>
      </c>
      <c r="L692">
        <v>44113</v>
      </c>
      <c r="M692">
        <v>264</v>
      </c>
      <c r="N692">
        <v>314</v>
      </c>
      <c r="O692" s="4">
        <v>3000</v>
      </c>
      <c r="P692" s="4">
        <v>1840.769775390625</v>
      </c>
      <c r="Q692" s="5">
        <f t="shared" si="40"/>
        <v>-0.38641007486979162</v>
      </c>
      <c r="R692" s="4">
        <v>2821.3632572769088</v>
      </c>
      <c r="S692" s="5">
        <f t="shared" si="41"/>
        <v>-5.9545580907697016E-2</v>
      </c>
      <c r="T692" s="4">
        <v>3284.8954417333248</v>
      </c>
      <c r="U692" s="5">
        <f t="shared" si="42"/>
        <v>9.4965147244441495E-2</v>
      </c>
      <c r="V692" s="4">
        <v>1792.879272460938</v>
      </c>
      <c r="W692" s="5">
        <f t="shared" si="43"/>
        <v>-0.40237357584635403</v>
      </c>
    </row>
    <row r="693" spans="1:23" x14ac:dyDescent="0.25">
      <c r="A693" t="s">
        <v>1019</v>
      </c>
      <c r="B693">
        <v>2020</v>
      </c>
      <c r="C693" t="s">
        <v>266</v>
      </c>
      <c r="D693" t="s">
        <v>755</v>
      </c>
      <c r="E693">
        <v>92600</v>
      </c>
      <c r="F693" t="s">
        <v>48</v>
      </c>
      <c r="G693" t="s">
        <v>38</v>
      </c>
      <c r="H693" t="s">
        <v>25</v>
      </c>
      <c r="I693" t="s">
        <v>24</v>
      </c>
      <c r="J693" s="2">
        <v>45603</v>
      </c>
      <c r="K693" t="s">
        <v>25</v>
      </c>
      <c r="L693">
        <v>44113</v>
      </c>
      <c r="M693">
        <v>264</v>
      </c>
      <c r="N693">
        <v>314</v>
      </c>
      <c r="O693" s="4">
        <v>15400</v>
      </c>
      <c r="P693" s="4">
        <v>7547.67822265625</v>
      </c>
      <c r="Q693" s="5">
        <f t="shared" si="40"/>
        <v>-0.50989102450284096</v>
      </c>
      <c r="R693" s="4">
        <v>12119.915103524751</v>
      </c>
      <c r="S693" s="5">
        <f t="shared" si="41"/>
        <v>-0.21299252574514604</v>
      </c>
      <c r="T693" s="4">
        <v>7516.404696266125</v>
      </c>
      <c r="U693" s="5">
        <f t="shared" si="42"/>
        <v>-0.51192177296973207</v>
      </c>
      <c r="V693" s="4">
        <v>8330.8359375</v>
      </c>
      <c r="W693" s="5">
        <f t="shared" si="43"/>
        <v>-0.4590366274350649</v>
      </c>
    </row>
    <row r="694" spans="1:23" x14ac:dyDescent="0.25">
      <c r="A694" t="s">
        <v>1020</v>
      </c>
      <c r="B694">
        <v>2015</v>
      </c>
      <c r="C694" t="s">
        <v>46</v>
      </c>
      <c r="D694" t="s">
        <v>124</v>
      </c>
      <c r="E694">
        <v>73301</v>
      </c>
      <c r="F694" t="s">
        <v>246</v>
      </c>
      <c r="G694" t="s">
        <v>34</v>
      </c>
      <c r="H694" t="s">
        <v>25</v>
      </c>
      <c r="I694" t="s">
        <v>24</v>
      </c>
      <c r="J694" s="2">
        <v>45664</v>
      </c>
      <c r="K694" t="s">
        <v>25</v>
      </c>
      <c r="L694">
        <v>44113</v>
      </c>
      <c r="M694">
        <v>264</v>
      </c>
      <c r="N694">
        <v>314</v>
      </c>
      <c r="O694" s="4">
        <v>15400</v>
      </c>
      <c r="P694" s="4">
        <v>7721.9990234375</v>
      </c>
      <c r="Q694" s="5">
        <f t="shared" si="40"/>
        <v>-0.49857149198457795</v>
      </c>
      <c r="R694" s="4">
        <v>7102.9470268894747</v>
      </c>
      <c r="S694" s="5">
        <f t="shared" si="41"/>
        <v>-0.53876967357860561</v>
      </c>
      <c r="T694" s="4">
        <v>11039.87214835283</v>
      </c>
      <c r="U694" s="5">
        <f t="shared" si="42"/>
        <v>-0.28312518517189422</v>
      </c>
      <c r="V694" s="4">
        <v>7685.9873046875</v>
      </c>
      <c r="W694" s="5">
        <f t="shared" si="43"/>
        <v>-0.50090991528003248</v>
      </c>
    </row>
    <row r="695" spans="1:23" x14ac:dyDescent="0.25">
      <c r="A695" t="s">
        <v>1021</v>
      </c>
      <c r="B695">
        <v>2018</v>
      </c>
      <c r="C695" t="s">
        <v>46</v>
      </c>
      <c r="D695" t="s">
        <v>234</v>
      </c>
      <c r="E695">
        <v>98169</v>
      </c>
      <c r="F695" t="s">
        <v>37</v>
      </c>
      <c r="G695" t="s">
        <v>44</v>
      </c>
      <c r="H695" t="s">
        <v>25</v>
      </c>
      <c r="I695" t="s">
        <v>24</v>
      </c>
      <c r="J695" s="2">
        <v>45538</v>
      </c>
      <c r="K695" t="s">
        <v>25</v>
      </c>
      <c r="L695">
        <v>44113</v>
      </c>
      <c r="M695">
        <v>264</v>
      </c>
      <c r="N695">
        <v>314</v>
      </c>
      <c r="O695" s="4">
        <v>11000</v>
      </c>
      <c r="P695" s="4">
        <v>7428.0078125</v>
      </c>
      <c r="Q695" s="5">
        <f t="shared" si="40"/>
        <v>-0.32472656249999998</v>
      </c>
      <c r="R695" s="4">
        <v>11247.25225728642</v>
      </c>
      <c r="S695" s="5">
        <f t="shared" si="41"/>
        <v>2.2477477935129109E-2</v>
      </c>
      <c r="T695" s="4">
        <v>6065.7015733530379</v>
      </c>
      <c r="U695" s="5">
        <f t="shared" si="42"/>
        <v>-0.44857258424063295</v>
      </c>
      <c r="V695" s="4">
        <v>9915.5302734375</v>
      </c>
      <c r="W695" s="5">
        <f t="shared" si="43"/>
        <v>-9.8588156960227269E-2</v>
      </c>
    </row>
    <row r="696" spans="1:23" x14ac:dyDescent="0.25">
      <c r="A696" t="s">
        <v>1022</v>
      </c>
      <c r="B696">
        <v>2014</v>
      </c>
      <c r="C696" t="s">
        <v>20</v>
      </c>
      <c r="D696" t="s">
        <v>1023</v>
      </c>
      <c r="E696">
        <v>201563</v>
      </c>
      <c r="F696" t="s">
        <v>66</v>
      </c>
      <c r="G696" t="s">
        <v>23</v>
      </c>
      <c r="H696" t="s">
        <v>24</v>
      </c>
      <c r="I696" t="s">
        <v>25</v>
      </c>
      <c r="J696" s="2">
        <v>45344</v>
      </c>
      <c r="K696" t="s">
        <v>25</v>
      </c>
      <c r="L696">
        <v>44113</v>
      </c>
      <c r="M696">
        <v>264</v>
      </c>
      <c r="N696">
        <v>314</v>
      </c>
      <c r="O696" s="4">
        <v>10000</v>
      </c>
      <c r="P696" s="4">
        <v>1964.58203125</v>
      </c>
      <c r="Q696" s="5">
        <f t="shared" si="40"/>
        <v>-0.80354179687500005</v>
      </c>
      <c r="R696" s="4">
        <v>2219.1797063621402</v>
      </c>
      <c r="S696" s="5">
        <f t="shared" si="41"/>
        <v>-0.77808202936378601</v>
      </c>
      <c r="T696" s="4">
        <v>2926.0954713514798</v>
      </c>
      <c r="U696" s="5">
        <f t="shared" si="42"/>
        <v>-0.70739045286485203</v>
      </c>
      <c r="V696" s="4">
        <v>1939.451049804688</v>
      </c>
      <c r="W696" s="5">
        <f t="shared" si="43"/>
        <v>-0.8060548950195312</v>
      </c>
    </row>
    <row r="697" spans="1:23" x14ac:dyDescent="0.25">
      <c r="A697" t="s">
        <v>1024</v>
      </c>
      <c r="B697">
        <v>2017</v>
      </c>
      <c r="C697" t="s">
        <v>104</v>
      </c>
      <c r="D697" t="s">
        <v>126</v>
      </c>
      <c r="E697">
        <v>72363</v>
      </c>
      <c r="F697" t="s">
        <v>63</v>
      </c>
      <c r="G697" t="s">
        <v>44</v>
      </c>
      <c r="H697" t="s">
        <v>25</v>
      </c>
      <c r="I697" t="s">
        <v>24</v>
      </c>
      <c r="J697" s="2">
        <v>45454</v>
      </c>
      <c r="K697" t="s">
        <v>25</v>
      </c>
      <c r="L697">
        <v>44113</v>
      </c>
      <c r="M697">
        <v>264</v>
      </c>
      <c r="N697">
        <v>314</v>
      </c>
      <c r="O697" s="4">
        <v>7400</v>
      </c>
      <c r="P697" s="4">
        <v>12233.798828125</v>
      </c>
      <c r="Q697" s="5">
        <f t="shared" si="40"/>
        <v>0.65321605785472969</v>
      </c>
      <c r="R697" s="4">
        <v>17379.451287750671</v>
      </c>
      <c r="S697" s="5">
        <f t="shared" si="41"/>
        <v>1.3485744983446852</v>
      </c>
      <c r="T697" s="4">
        <v>15135.631890391011</v>
      </c>
      <c r="U697" s="5">
        <f t="shared" si="42"/>
        <v>1.0453556608636503</v>
      </c>
      <c r="V697" s="4">
        <v>12574.4189453125</v>
      </c>
      <c r="W697" s="5">
        <f t="shared" si="43"/>
        <v>0.69924580342060816</v>
      </c>
    </row>
    <row r="698" spans="1:23" x14ac:dyDescent="0.25">
      <c r="A698" t="s">
        <v>1025</v>
      </c>
      <c r="B698">
        <v>2013</v>
      </c>
      <c r="C698" t="s">
        <v>369</v>
      </c>
      <c r="D698" t="s">
        <v>132</v>
      </c>
      <c r="E698">
        <v>158543</v>
      </c>
      <c r="F698" t="s">
        <v>250</v>
      </c>
      <c r="G698" t="s">
        <v>23</v>
      </c>
      <c r="H698" t="s">
        <v>24</v>
      </c>
      <c r="I698" t="s">
        <v>25</v>
      </c>
      <c r="J698" s="2">
        <v>45344</v>
      </c>
      <c r="K698" t="s">
        <v>25</v>
      </c>
      <c r="L698">
        <v>44113</v>
      </c>
      <c r="M698">
        <v>264</v>
      </c>
      <c r="N698">
        <v>314</v>
      </c>
      <c r="O698" s="4">
        <v>2000</v>
      </c>
      <c r="P698" s="4">
        <v>3330.173095703125</v>
      </c>
      <c r="Q698" s="5">
        <f t="shared" si="40"/>
        <v>0.6650865478515624</v>
      </c>
      <c r="R698" s="4">
        <v>3468.2523135259489</v>
      </c>
      <c r="S698" s="5">
        <f t="shared" si="41"/>
        <v>0.73412615676297444</v>
      </c>
      <c r="T698" s="4">
        <v>11603.34456498128</v>
      </c>
      <c r="U698" s="5">
        <f t="shared" si="42"/>
        <v>4.8016722824906397</v>
      </c>
      <c r="V698" s="4">
        <v>3286.4150390625</v>
      </c>
      <c r="W698" s="5">
        <f t="shared" si="43"/>
        <v>0.6432075195312501</v>
      </c>
    </row>
    <row r="699" spans="1:23" x14ac:dyDescent="0.25">
      <c r="A699" t="s">
        <v>1026</v>
      </c>
      <c r="B699">
        <v>2014</v>
      </c>
      <c r="C699" t="s">
        <v>20</v>
      </c>
      <c r="D699" t="s">
        <v>134</v>
      </c>
      <c r="E699">
        <v>110653</v>
      </c>
      <c r="F699" t="s">
        <v>254</v>
      </c>
      <c r="G699" t="s">
        <v>30</v>
      </c>
      <c r="H699" t="s">
        <v>24</v>
      </c>
      <c r="I699" t="s">
        <v>25</v>
      </c>
      <c r="J699" s="2">
        <v>45638</v>
      </c>
      <c r="K699" t="s">
        <v>25</v>
      </c>
      <c r="L699">
        <v>44113</v>
      </c>
      <c r="M699">
        <v>264</v>
      </c>
      <c r="N699">
        <v>314</v>
      </c>
      <c r="O699" s="4">
        <v>3300</v>
      </c>
      <c r="P699" s="4">
        <v>5343.88916015625</v>
      </c>
      <c r="Q699" s="5">
        <f t="shared" si="40"/>
        <v>0.61936035156249991</v>
      </c>
      <c r="R699" s="4">
        <v>5673.5173528094556</v>
      </c>
      <c r="S699" s="5">
        <f t="shared" si="41"/>
        <v>0.71924768266953198</v>
      </c>
      <c r="T699" s="4">
        <v>7537.3175235301151</v>
      </c>
      <c r="U699" s="5">
        <f t="shared" si="42"/>
        <v>1.2840356131909441</v>
      </c>
      <c r="V699" s="4">
        <v>5260.42138671875</v>
      </c>
      <c r="W699" s="5">
        <f t="shared" si="43"/>
        <v>0.59406708688446974</v>
      </c>
    </row>
    <row r="700" spans="1:23" x14ac:dyDescent="0.25">
      <c r="A700" t="s">
        <v>1027</v>
      </c>
      <c r="B700">
        <v>2014</v>
      </c>
      <c r="C700" t="s">
        <v>20</v>
      </c>
      <c r="D700" t="s">
        <v>134</v>
      </c>
      <c r="E700">
        <v>169388</v>
      </c>
      <c r="F700" t="s">
        <v>55</v>
      </c>
      <c r="G700" t="s">
        <v>30</v>
      </c>
      <c r="H700" t="s">
        <v>24</v>
      </c>
      <c r="I700" t="s">
        <v>25</v>
      </c>
      <c r="J700" s="2">
        <v>45442</v>
      </c>
      <c r="K700" t="s">
        <v>25</v>
      </c>
      <c r="L700">
        <v>44113</v>
      </c>
      <c r="M700">
        <v>264</v>
      </c>
      <c r="N700">
        <v>314</v>
      </c>
      <c r="O700" s="4">
        <v>5000</v>
      </c>
      <c r="P700" s="4">
        <v>2230.594970703125</v>
      </c>
      <c r="Q700" s="5">
        <f t="shared" si="40"/>
        <v>-0.55388100585937505</v>
      </c>
      <c r="R700" s="4">
        <v>2737.9210956659958</v>
      </c>
      <c r="S700" s="5">
        <f t="shared" si="41"/>
        <v>-0.45241578086680079</v>
      </c>
      <c r="T700" s="4">
        <v>3496.3347993731159</v>
      </c>
      <c r="U700" s="5">
        <f t="shared" si="42"/>
        <v>-0.30073304012537683</v>
      </c>
      <c r="V700" s="4">
        <v>2162.22802734375</v>
      </c>
      <c r="W700" s="5">
        <f t="shared" si="43"/>
        <v>-0.56755439453125001</v>
      </c>
    </row>
    <row r="701" spans="1:23" x14ac:dyDescent="0.25">
      <c r="A701" t="s">
        <v>1028</v>
      </c>
      <c r="B701">
        <v>2017</v>
      </c>
      <c r="C701" t="s">
        <v>20</v>
      </c>
      <c r="D701" t="s">
        <v>134</v>
      </c>
      <c r="E701">
        <v>138303</v>
      </c>
      <c r="F701" t="s">
        <v>250</v>
      </c>
      <c r="G701" t="s">
        <v>30</v>
      </c>
      <c r="H701" t="s">
        <v>24</v>
      </c>
      <c r="I701" t="s">
        <v>25</v>
      </c>
      <c r="J701" s="2">
        <v>45435</v>
      </c>
      <c r="K701" t="s">
        <v>25</v>
      </c>
      <c r="L701">
        <v>44113</v>
      </c>
      <c r="M701">
        <v>264</v>
      </c>
      <c r="N701">
        <v>314</v>
      </c>
      <c r="O701" s="4">
        <v>6100</v>
      </c>
      <c r="P701" s="4">
        <v>6534.07177734375</v>
      </c>
      <c r="Q701" s="5">
        <f t="shared" si="40"/>
        <v>7.1159307761270441E-2</v>
      </c>
      <c r="R701" s="4">
        <v>7029.5519483806283</v>
      </c>
      <c r="S701" s="5">
        <f t="shared" si="41"/>
        <v>0.15238556530829972</v>
      </c>
      <c r="T701" s="4">
        <v>7683.1822489109727</v>
      </c>
      <c r="U701" s="5">
        <f t="shared" si="42"/>
        <v>0.25953807359196279</v>
      </c>
      <c r="V701" s="4">
        <v>6518.2314453125</v>
      </c>
      <c r="W701" s="5">
        <f t="shared" si="43"/>
        <v>6.8562532018442646E-2</v>
      </c>
    </row>
    <row r="702" spans="1:23" x14ac:dyDescent="0.25">
      <c r="A702" t="s">
        <v>1029</v>
      </c>
      <c r="B702">
        <v>2015</v>
      </c>
      <c r="C702" t="s">
        <v>20</v>
      </c>
      <c r="D702" t="s">
        <v>134</v>
      </c>
      <c r="E702">
        <v>88373</v>
      </c>
      <c r="F702" t="s">
        <v>89</v>
      </c>
      <c r="G702" t="s">
        <v>38</v>
      </c>
      <c r="H702" t="s">
        <v>25</v>
      </c>
      <c r="I702" t="s">
        <v>24</v>
      </c>
      <c r="J702" s="2">
        <v>45673</v>
      </c>
      <c r="K702" t="s">
        <v>25</v>
      </c>
      <c r="L702">
        <v>44113</v>
      </c>
      <c r="M702">
        <v>264</v>
      </c>
      <c r="N702">
        <v>314</v>
      </c>
      <c r="O702" s="4">
        <v>9500</v>
      </c>
      <c r="P702" s="4">
        <v>5994.93701171875</v>
      </c>
      <c r="Q702" s="5">
        <f t="shared" si="40"/>
        <v>-0.36895399876644741</v>
      </c>
      <c r="R702" s="4">
        <v>5895.9480696842838</v>
      </c>
      <c r="S702" s="5">
        <f t="shared" si="41"/>
        <v>-0.37937388740165434</v>
      </c>
      <c r="T702" s="4">
        <v>9379.3321086401975</v>
      </c>
      <c r="U702" s="5">
        <f t="shared" si="42"/>
        <v>-1.2701883301031835E-2</v>
      </c>
      <c r="V702" s="4">
        <v>5855.21337890625</v>
      </c>
      <c r="W702" s="5">
        <f t="shared" si="43"/>
        <v>-0.38366174958881583</v>
      </c>
    </row>
    <row r="703" spans="1:23" x14ac:dyDescent="0.25">
      <c r="A703" t="s">
        <v>1030</v>
      </c>
      <c r="B703">
        <v>2019</v>
      </c>
      <c r="C703" t="s">
        <v>20</v>
      </c>
      <c r="D703" t="s">
        <v>21</v>
      </c>
      <c r="E703">
        <v>89208</v>
      </c>
      <c r="F703" t="s">
        <v>48</v>
      </c>
      <c r="G703" t="s">
        <v>38</v>
      </c>
      <c r="H703" t="s">
        <v>25</v>
      </c>
      <c r="I703" t="s">
        <v>24</v>
      </c>
      <c r="J703" s="2">
        <v>45566</v>
      </c>
      <c r="K703" t="s">
        <v>25</v>
      </c>
      <c r="L703">
        <v>44113</v>
      </c>
      <c r="M703">
        <v>264</v>
      </c>
      <c r="N703">
        <v>314</v>
      </c>
      <c r="O703" s="4">
        <v>14200</v>
      </c>
      <c r="P703" s="4">
        <v>7904.7978515625</v>
      </c>
      <c r="Q703" s="5">
        <f t="shared" si="40"/>
        <v>-0.44332409496038727</v>
      </c>
      <c r="R703" s="4">
        <v>13248.998583950181</v>
      </c>
      <c r="S703" s="5">
        <f t="shared" si="41"/>
        <v>-6.6971930707733773E-2</v>
      </c>
      <c r="T703" s="4">
        <v>9677.2821891455696</v>
      </c>
      <c r="U703" s="5">
        <f t="shared" si="42"/>
        <v>-0.31850125428552323</v>
      </c>
      <c r="V703" s="4">
        <v>6167.60498046875</v>
      </c>
      <c r="W703" s="5">
        <f t="shared" si="43"/>
        <v>-0.56566162109374996</v>
      </c>
    </row>
    <row r="704" spans="1:23" x14ac:dyDescent="0.25">
      <c r="A704" t="s">
        <v>1031</v>
      </c>
      <c r="B704">
        <v>2016</v>
      </c>
      <c r="C704" t="s">
        <v>20</v>
      </c>
      <c r="D704" t="s">
        <v>21</v>
      </c>
      <c r="E704">
        <v>133130</v>
      </c>
      <c r="F704" t="s">
        <v>29</v>
      </c>
      <c r="G704" t="s">
        <v>38</v>
      </c>
      <c r="H704" t="s">
        <v>25</v>
      </c>
      <c r="I704" t="s">
        <v>24</v>
      </c>
      <c r="J704" s="2">
        <v>45664</v>
      </c>
      <c r="K704" t="s">
        <v>25</v>
      </c>
      <c r="L704">
        <v>44113</v>
      </c>
      <c r="M704">
        <v>264</v>
      </c>
      <c r="N704">
        <v>314</v>
      </c>
      <c r="O704" s="4">
        <v>2000</v>
      </c>
      <c r="P704" s="4">
        <v>2878.7861328125</v>
      </c>
      <c r="Q704" s="5">
        <f t="shared" si="40"/>
        <v>0.43939306640624998</v>
      </c>
      <c r="R704" s="4">
        <v>6082.6985307172536</v>
      </c>
      <c r="S704" s="5">
        <f t="shared" si="41"/>
        <v>2.0413492653586269</v>
      </c>
      <c r="T704" s="4">
        <v>5036.8746508730073</v>
      </c>
      <c r="U704" s="5">
        <f t="shared" si="42"/>
        <v>1.5184373254365036</v>
      </c>
      <c r="V704" s="4">
        <v>2642.55615234375</v>
      </c>
      <c r="W704" s="5">
        <f t="shared" si="43"/>
        <v>0.32127807617187498</v>
      </c>
    </row>
    <row r="705" spans="1:23" x14ac:dyDescent="0.25">
      <c r="A705" t="s">
        <v>1032</v>
      </c>
      <c r="B705">
        <v>2016</v>
      </c>
      <c r="C705" t="s">
        <v>20</v>
      </c>
      <c r="D705" t="s">
        <v>108</v>
      </c>
      <c r="E705">
        <v>112564</v>
      </c>
      <c r="F705" t="s">
        <v>79</v>
      </c>
      <c r="G705" t="s">
        <v>34</v>
      </c>
      <c r="H705" t="s">
        <v>25</v>
      </c>
      <c r="I705" t="s">
        <v>24</v>
      </c>
      <c r="J705" s="2">
        <v>45701</v>
      </c>
      <c r="K705" t="s">
        <v>25</v>
      </c>
      <c r="L705">
        <v>44113</v>
      </c>
      <c r="M705">
        <v>264</v>
      </c>
      <c r="N705">
        <v>314</v>
      </c>
      <c r="O705" s="4">
        <v>10600</v>
      </c>
      <c r="P705" s="4">
        <v>4507.23486328125</v>
      </c>
      <c r="Q705" s="5">
        <f t="shared" si="40"/>
        <v>-0.57478916384139156</v>
      </c>
      <c r="R705" s="4">
        <v>5200.102497073206</v>
      </c>
      <c r="S705" s="5">
        <f t="shared" si="41"/>
        <v>-0.50942429272894285</v>
      </c>
      <c r="T705" s="4">
        <v>7412.6617013470541</v>
      </c>
      <c r="U705" s="5">
        <f t="shared" si="42"/>
        <v>-0.30069229232574957</v>
      </c>
      <c r="V705" s="4">
        <v>4293.52099609375</v>
      </c>
      <c r="W705" s="5">
        <f t="shared" si="43"/>
        <v>-0.59495084942511789</v>
      </c>
    </row>
    <row r="706" spans="1:23" x14ac:dyDescent="0.25">
      <c r="A706" t="s">
        <v>1033</v>
      </c>
      <c r="B706">
        <v>2020</v>
      </c>
      <c r="C706" t="s">
        <v>113</v>
      </c>
      <c r="D706" t="s">
        <v>701</v>
      </c>
      <c r="E706">
        <v>54882</v>
      </c>
      <c r="F706" t="s">
        <v>621</v>
      </c>
      <c r="G706" t="s">
        <v>44</v>
      </c>
      <c r="H706" t="s">
        <v>25</v>
      </c>
      <c r="I706" t="s">
        <v>24</v>
      </c>
      <c r="J706" s="2">
        <v>45386</v>
      </c>
      <c r="K706" t="s">
        <v>25</v>
      </c>
      <c r="L706">
        <v>44113</v>
      </c>
      <c r="M706">
        <v>264</v>
      </c>
      <c r="N706">
        <v>314</v>
      </c>
      <c r="O706" s="4">
        <v>18800</v>
      </c>
      <c r="P706" s="4">
        <v>19430.419921875</v>
      </c>
      <c r="Q706" s="5">
        <f t="shared" si="40"/>
        <v>3.3532974567819229E-2</v>
      </c>
      <c r="R706" s="4">
        <v>21569.506677892499</v>
      </c>
      <c r="S706" s="5">
        <f t="shared" si="41"/>
        <v>0.14731418499428184</v>
      </c>
      <c r="T706" s="4">
        <v>21911.13556721414</v>
      </c>
      <c r="U706" s="5">
        <f t="shared" si="42"/>
        <v>0.16548593442628401</v>
      </c>
      <c r="V706" s="4">
        <v>19291.7109375</v>
      </c>
      <c r="W706" s="5">
        <f t="shared" si="43"/>
        <v>2.615483710106381E-2</v>
      </c>
    </row>
    <row r="707" spans="1:23" x14ac:dyDescent="0.25">
      <c r="A707" t="s">
        <v>1034</v>
      </c>
      <c r="B707">
        <v>2011</v>
      </c>
      <c r="C707" t="s">
        <v>159</v>
      </c>
      <c r="D707" t="s">
        <v>406</v>
      </c>
      <c r="E707">
        <v>118116</v>
      </c>
      <c r="F707" t="s">
        <v>696</v>
      </c>
      <c r="G707" t="s">
        <v>23</v>
      </c>
      <c r="H707" t="s">
        <v>24</v>
      </c>
      <c r="I707" t="s">
        <v>25</v>
      </c>
      <c r="J707" s="2">
        <v>45482</v>
      </c>
      <c r="K707" t="s">
        <v>25</v>
      </c>
      <c r="L707">
        <v>44113</v>
      </c>
      <c r="M707">
        <v>264</v>
      </c>
      <c r="N707">
        <v>314</v>
      </c>
      <c r="O707" s="4">
        <v>7681.8181818181802</v>
      </c>
      <c r="P707" s="4">
        <v>2907.90576171875</v>
      </c>
      <c r="Q707" s="5">
        <f t="shared" ref="Q707:Q770" si="44">(P707/$O707)-1</f>
        <v>-0.62145605468749987</v>
      </c>
      <c r="R707" s="4">
        <v>2537.482351837863</v>
      </c>
      <c r="S707" s="5">
        <f t="shared" ref="S707:S770" si="45">(R707/$O707)-1</f>
        <v>-0.66967685360690532</v>
      </c>
      <c r="T707" s="4">
        <v>2420.7704683789138</v>
      </c>
      <c r="U707" s="5">
        <f t="shared" ref="U707:U770" si="46">(T707/$O707)-1</f>
        <v>-0.68487011654238983</v>
      </c>
      <c r="V707" s="4">
        <v>2889.32373046875</v>
      </c>
      <c r="W707" s="5">
        <f t="shared" ref="W707:W770" si="47">(V707/$O707)-1</f>
        <v>-0.62387501733542894</v>
      </c>
    </row>
    <row r="708" spans="1:23" x14ac:dyDescent="0.25">
      <c r="A708" t="s">
        <v>1035</v>
      </c>
      <c r="B708">
        <v>2013</v>
      </c>
      <c r="C708" t="s">
        <v>139</v>
      </c>
      <c r="D708" t="s">
        <v>283</v>
      </c>
      <c r="E708">
        <v>73376</v>
      </c>
      <c r="F708" t="s">
        <v>77</v>
      </c>
      <c r="G708" t="s">
        <v>38</v>
      </c>
      <c r="H708" t="s">
        <v>25</v>
      </c>
      <c r="I708" t="s">
        <v>24</v>
      </c>
      <c r="J708" s="2">
        <v>45659</v>
      </c>
      <c r="K708" t="s">
        <v>25</v>
      </c>
      <c r="L708">
        <v>44113</v>
      </c>
      <c r="M708">
        <v>264</v>
      </c>
      <c r="N708">
        <v>314</v>
      </c>
      <c r="O708" s="4">
        <v>6600</v>
      </c>
      <c r="P708" s="4">
        <v>6618.23095703125</v>
      </c>
      <c r="Q708" s="5">
        <f t="shared" si="44"/>
        <v>2.7622662168560463E-3</v>
      </c>
      <c r="R708" s="4">
        <v>8275.8548632929032</v>
      </c>
      <c r="S708" s="5">
        <f t="shared" si="45"/>
        <v>0.25391740352922776</v>
      </c>
      <c r="T708" s="4">
        <v>8096.1960787686012</v>
      </c>
      <c r="U708" s="5">
        <f t="shared" si="46"/>
        <v>0.22669637557100009</v>
      </c>
      <c r="V708" s="4">
        <v>6155.61328125</v>
      </c>
      <c r="W708" s="5">
        <f t="shared" si="47"/>
        <v>-6.733132102272732E-2</v>
      </c>
    </row>
    <row r="709" spans="1:23" x14ac:dyDescent="0.25">
      <c r="A709" t="s">
        <v>1036</v>
      </c>
      <c r="B709">
        <v>2014</v>
      </c>
      <c r="C709" t="s">
        <v>139</v>
      </c>
      <c r="D709" t="s">
        <v>1037</v>
      </c>
      <c r="E709">
        <v>113061</v>
      </c>
      <c r="F709" t="s">
        <v>72</v>
      </c>
      <c r="G709" t="s">
        <v>34</v>
      </c>
      <c r="H709" t="s">
        <v>25</v>
      </c>
      <c r="I709" t="s">
        <v>24</v>
      </c>
      <c r="J709" s="2">
        <v>45421</v>
      </c>
      <c r="K709" t="s">
        <v>25</v>
      </c>
      <c r="L709">
        <v>44113</v>
      </c>
      <c r="M709">
        <v>264</v>
      </c>
      <c r="N709">
        <v>314</v>
      </c>
      <c r="O709" s="4">
        <v>5400</v>
      </c>
      <c r="P709" s="4">
        <v>8798.1826171875</v>
      </c>
      <c r="Q709" s="5">
        <f t="shared" si="44"/>
        <v>0.6292930772569445</v>
      </c>
      <c r="R709" s="4">
        <v>8487.0883896007708</v>
      </c>
      <c r="S709" s="5">
        <f t="shared" si="45"/>
        <v>0.57168303511125385</v>
      </c>
      <c r="T709" s="4">
        <v>10526.279286319699</v>
      </c>
      <c r="U709" s="5">
        <f t="shared" si="46"/>
        <v>0.94931097894809247</v>
      </c>
      <c r="V709" s="4">
        <v>8808.11328125</v>
      </c>
      <c r="W709" s="5">
        <f t="shared" si="47"/>
        <v>0.63113208912037044</v>
      </c>
    </row>
    <row r="710" spans="1:23" x14ac:dyDescent="0.25">
      <c r="A710" t="s">
        <v>1038</v>
      </c>
      <c r="B710">
        <v>2019</v>
      </c>
      <c r="C710" t="s">
        <v>32</v>
      </c>
      <c r="D710" t="s">
        <v>143</v>
      </c>
      <c r="E710">
        <v>96526</v>
      </c>
      <c r="F710" t="s">
        <v>48</v>
      </c>
      <c r="G710" t="s">
        <v>38</v>
      </c>
      <c r="H710" t="s">
        <v>25</v>
      </c>
      <c r="I710" t="s">
        <v>24</v>
      </c>
      <c r="J710" s="2">
        <v>45426</v>
      </c>
      <c r="K710" t="s">
        <v>25</v>
      </c>
      <c r="L710">
        <v>44113</v>
      </c>
      <c r="M710">
        <v>264</v>
      </c>
      <c r="N710">
        <v>314</v>
      </c>
      <c r="O710" s="4">
        <v>13800</v>
      </c>
      <c r="P710" s="4">
        <v>8339.57421875</v>
      </c>
      <c r="Q710" s="5">
        <f t="shared" si="44"/>
        <v>-0.39568302762681162</v>
      </c>
      <c r="R710" s="4">
        <v>12800.66847015904</v>
      </c>
      <c r="S710" s="5">
        <f t="shared" si="45"/>
        <v>-7.2415328249344935E-2</v>
      </c>
      <c r="T710" s="4">
        <v>12083.929324918039</v>
      </c>
      <c r="U710" s="5">
        <f t="shared" si="46"/>
        <v>-0.12435294746970726</v>
      </c>
      <c r="V710" s="4">
        <v>7308.79248046875</v>
      </c>
      <c r="W710" s="5">
        <f t="shared" si="47"/>
        <v>-0.47037735648777179</v>
      </c>
    </row>
    <row r="711" spans="1:23" x14ac:dyDescent="0.25">
      <c r="A711" t="s">
        <v>1039</v>
      </c>
      <c r="B711">
        <v>2019</v>
      </c>
      <c r="C711" t="s">
        <v>32</v>
      </c>
      <c r="D711" t="s">
        <v>143</v>
      </c>
      <c r="E711">
        <v>76442</v>
      </c>
      <c r="F711" t="s">
        <v>161</v>
      </c>
      <c r="G711" t="s">
        <v>44</v>
      </c>
      <c r="H711" t="s">
        <v>25</v>
      </c>
      <c r="I711" t="s">
        <v>24</v>
      </c>
      <c r="J711" s="2">
        <v>45342</v>
      </c>
      <c r="K711" t="s">
        <v>25</v>
      </c>
      <c r="L711">
        <v>44113</v>
      </c>
      <c r="M711">
        <v>264</v>
      </c>
      <c r="N711">
        <v>314</v>
      </c>
      <c r="O711" s="4">
        <v>14300</v>
      </c>
      <c r="P711" s="4">
        <v>14520</v>
      </c>
      <c r="Q711" s="5">
        <f t="shared" si="44"/>
        <v>1.538461538461533E-2</v>
      </c>
      <c r="R711" s="4">
        <v>15347.095187783219</v>
      </c>
      <c r="S711" s="5">
        <f t="shared" si="45"/>
        <v>7.322343970512013E-2</v>
      </c>
      <c r="T711" s="4">
        <v>16341.12598409527</v>
      </c>
      <c r="U711" s="5">
        <f t="shared" si="46"/>
        <v>0.14273608280386507</v>
      </c>
      <c r="V711" s="4">
        <v>14535.794921875</v>
      </c>
      <c r="W711" s="5">
        <f t="shared" si="47"/>
        <v>1.6489155375874143E-2</v>
      </c>
    </row>
    <row r="712" spans="1:23" x14ac:dyDescent="0.25">
      <c r="A712" t="s">
        <v>1040</v>
      </c>
      <c r="B712">
        <v>2020</v>
      </c>
      <c r="C712" t="s">
        <v>32</v>
      </c>
      <c r="D712" t="s">
        <v>143</v>
      </c>
      <c r="E712">
        <v>57136</v>
      </c>
      <c r="F712" t="s">
        <v>87</v>
      </c>
      <c r="G712" t="s">
        <v>44</v>
      </c>
      <c r="H712" t="s">
        <v>25</v>
      </c>
      <c r="I712" t="s">
        <v>24</v>
      </c>
      <c r="J712" s="2">
        <v>45356</v>
      </c>
      <c r="K712" t="s">
        <v>25</v>
      </c>
      <c r="L712">
        <v>44113</v>
      </c>
      <c r="M712">
        <v>264</v>
      </c>
      <c r="N712">
        <v>314</v>
      </c>
      <c r="O712" s="4">
        <v>21600</v>
      </c>
      <c r="P712" s="4">
        <v>17479.22265625</v>
      </c>
      <c r="Q712" s="5">
        <f t="shared" si="44"/>
        <v>-0.19077672887731478</v>
      </c>
      <c r="R712" s="4">
        <v>18351.100374255391</v>
      </c>
      <c r="S712" s="5">
        <f t="shared" si="45"/>
        <v>-0.15041201971039853</v>
      </c>
      <c r="T712" s="4">
        <v>20520.290124355739</v>
      </c>
      <c r="U712" s="5">
        <f t="shared" si="46"/>
        <v>-4.9986568316863988E-2</v>
      </c>
      <c r="V712" s="4">
        <v>17400.09375</v>
      </c>
      <c r="W712" s="5">
        <f t="shared" si="47"/>
        <v>-0.19444010416666668</v>
      </c>
    </row>
    <row r="713" spans="1:23" x14ac:dyDescent="0.25">
      <c r="A713" t="s">
        <v>1041</v>
      </c>
      <c r="B713">
        <v>2019</v>
      </c>
      <c r="C713" t="s">
        <v>46</v>
      </c>
      <c r="D713" t="s">
        <v>145</v>
      </c>
      <c r="E713">
        <v>89517</v>
      </c>
      <c r="F713" t="s">
        <v>334</v>
      </c>
      <c r="G713" t="s">
        <v>23</v>
      </c>
      <c r="H713" t="s">
        <v>24</v>
      </c>
      <c r="I713" t="s">
        <v>25</v>
      </c>
      <c r="J713" s="2">
        <v>45538</v>
      </c>
      <c r="K713" t="s">
        <v>25</v>
      </c>
      <c r="L713">
        <v>44113</v>
      </c>
      <c r="M713">
        <v>264</v>
      </c>
      <c r="N713">
        <v>314</v>
      </c>
      <c r="O713" s="4">
        <v>13700</v>
      </c>
      <c r="P713" s="4">
        <v>7708.9091796875</v>
      </c>
      <c r="Q713" s="5">
        <f t="shared" si="44"/>
        <v>-0.43730589929288322</v>
      </c>
      <c r="R713" s="4">
        <v>9456.2041574952036</v>
      </c>
      <c r="S713" s="5">
        <f t="shared" si="45"/>
        <v>-0.309766119890861</v>
      </c>
      <c r="T713" s="4">
        <v>5749.5130848317667</v>
      </c>
      <c r="U713" s="5">
        <f t="shared" si="46"/>
        <v>-0.58032751205607536</v>
      </c>
      <c r="V713" s="4">
        <v>7223.81787109375</v>
      </c>
      <c r="W713" s="5">
        <f t="shared" si="47"/>
        <v>-0.47271402400775553</v>
      </c>
    </row>
    <row r="714" spans="1:23" x14ac:dyDescent="0.25">
      <c r="A714" t="s">
        <v>1042</v>
      </c>
      <c r="B714">
        <v>2016</v>
      </c>
      <c r="C714" t="s">
        <v>46</v>
      </c>
      <c r="D714" t="s">
        <v>145</v>
      </c>
      <c r="E714">
        <v>118999</v>
      </c>
      <c r="F714" t="s">
        <v>79</v>
      </c>
      <c r="G714" t="s">
        <v>30</v>
      </c>
      <c r="H714" t="s">
        <v>24</v>
      </c>
      <c r="I714" t="s">
        <v>25</v>
      </c>
      <c r="J714" s="2">
        <v>45720</v>
      </c>
      <c r="K714" t="s">
        <v>25</v>
      </c>
      <c r="L714">
        <v>44113</v>
      </c>
      <c r="M714">
        <v>264</v>
      </c>
      <c r="N714">
        <v>314</v>
      </c>
      <c r="O714" s="4">
        <v>7100</v>
      </c>
      <c r="P714" s="4">
        <v>4561.05615234375</v>
      </c>
      <c r="Q714" s="5">
        <f t="shared" si="44"/>
        <v>-0.35759772502200704</v>
      </c>
      <c r="R714" s="4">
        <v>5051.8431816414113</v>
      </c>
      <c r="S714" s="5">
        <f t="shared" si="45"/>
        <v>-0.2884727913181111</v>
      </c>
      <c r="T714" s="4">
        <v>2880.469944080352</v>
      </c>
      <c r="U714" s="5">
        <f t="shared" si="46"/>
        <v>-0.59430000787600679</v>
      </c>
      <c r="V714" s="4">
        <v>4307.61572265625</v>
      </c>
      <c r="W714" s="5">
        <f t="shared" si="47"/>
        <v>-0.39329356018926054</v>
      </c>
    </row>
    <row r="715" spans="1:23" x14ac:dyDescent="0.25">
      <c r="A715" t="s">
        <v>1043</v>
      </c>
      <c r="B715">
        <v>2015</v>
      </c>
      <c r="C715" t="s">
        <v>46</v>
      </c>
      <c r="D715" t="s">
        <v>1044</v>
      </c>
      <c r="E715">
        <v>119873</v>
      </c>
      <c r="F715" t="s">
        <v>77</v>
      </c>
      <c r="G715" t="s">
        <v>38</v>
      </c>
      <c r="H715" t="s">
        <v>25</v>
      </c>
      <c r="I715" t="s">
        <v>24</v>
      </c>
      <c r="J715" s="2">
        <v>45589</v>
      </c>
      <c r="K715" t="s">
        <v>25</v>
      </c>
      <c r="L715">
        <v>44113</v>
      </c>
      <c r="M715">
        <v>264</v>
      </c>
      <c r="N715">
        <v>314</v>
      </c>
      <c r="O715" s="4">
        <v>1400</v>
      </c>
      <c r="P715" s="4">
        <v>4180.31005859375</v>
      </c>
      <c r="Q715" s="5">
        <f t="shared" si="44"/>
        <v>1.9859357561383928</v>
      </c>
      <c r="R715" s="4">
        <v>6475.7515766473571</v>
      </c>
      <c r="S715" s="5">
        <f t="shared" si="45"/>
        <v>3.6255368404623978</v>
      </c>
      <c r="T715" s="4">
        <v>5991.1586579906407</v>
      </c>
      <c r="U715" s="5">
        <f t="shared" si="46"/>
        <v>3.2793990414218861</v>
      </c>
      <c r="V715" s="4">
        <v>3734.724609375</v>
      </c>
      <c r="W715" s="5">
        <f t="shared" si="47"/>
        <v>1.667660435267857</v>
      </c>
    </row>
    <row r="716" spans="1:23" x14ac:dyDescent="0.25">
      <c r="A716" t="s">
        <v>1045</v>
      </c>
      <c r="B716">
        <v>2017</v>
      </c>
      <c r="C716" t="s">
        <v>53</v>
      </c>
      <c r="D716" t="s">
        <v>148</v>
      </c>
      <c r="E716">
        <v>75536</v>
      </c>
      <c r="F716" t="s">
        <v>79</v>
      </c>
      <c r="G716" t="s">
        <v>30</v>
      </c>
      <c r="H716" t="s">
        <v>24</v>
      </c>
      <c r="I716" t="s">
        <v>25</v>
      </c>
      <c r="J716" s="2">
        <v>45470</v>
      </c>
      <c r="K716" t="s">
        <v>25</v>
      </c>
      <c r="L716">
        <v>44113</v>
      </c>
      <c r="M716">
        <v>264</v>
      </c>
      <c r="N716">
        <v>314</v>
      </c>
      <c r="O716" s="4">
        <v>8800</v>
      </c>
      <c r="P716" s="4">
        <v>8589.4765625</v>
      </c>
      <c r="Q716" s="5">
        <f t="shared" si="44"/>
        <v>-2.3923117897727275E-2</v>
      </c>
      <c r="R716" s="4">
        <v>7992.2663392784143</v>
      </c>
      <c r="S716" s="5">
        <f t="shared" si="45"/>
        <v>-9.1787915991089264E-2</v>
      </c>
      <c r="T716" s="4">
        <v>13199.73721678177</v>
      </c>
      <c r="U716" s="5">
        <f t="shared" si="46"/>
        <v>0.49997013827065562</v>
      </c>
      <c r="V716" s="4">
        <v>8625.7490234375</v>
      </c>
      <c r="W716" s="5">
        <f t="shared" si="47"/>
        <v>-1.9801247336647676E-2</v>
      </c>
    </row>
    <row r="717" spans="1:23" x14ac:dyDescent="0.25">
      <c r="A717" t="s">
        <v>1046</v>
      </c>
      <c r="B717">
        <v>2014</v>
      </c>
      <c r="C717" t="s">
        <v>53</v>
      </c>
      <c r="D717" t="s">
        <v>148</v>
      </c>
      <c r="E717">
        <v>134519</v>
      </c>
      <c r="F717" t="s">
        <v>246</v>
      </c>
      <c r="G717" t="s">
        <v>30</v>
      </c>
      <c r="H717" t="s">
        <v>24</v>
      </c>
      <c r="I717" t="s">
        <v>25</v>
      </c>
      <c r="J717" s="2">
        <v>45351</v>
      </c>
      <c r="K717" t="s">
        <v>25</v>
      </c>
      <c r="L717">
        <v>44113</v>
      </c>
      <c r="M717">
        <v>264</v>
      </c>
      <c r="N717">
        <v>314</v>
      </c>
      <c r="O717" s="4">
        <v>7800</v>
      </c>
      <c r="P717" s="4">
        <v>3368.53564453125</v>
      </c>
      <c r="Q717" s="5">
        <f t="shared" si="44"/>
        <v>-0.56813645582932693</v>
      </c>
      <c r="R717" s="4">
        <v>3516.8849590376071</v>
      </c>
      <c r="S717" s="5">
        <f t="shared" si="45"/>
        <v>-0.54911731294389654</v>
      </c>
      <c r="T717" s="4">
        <v>5440.3563088563087</v>
      </c>
      <c r="U717" s="5">
        <f t="shared" si="46"/>
        <v>-0.30251842194149892</v>
      </c>
      <c r="V717" s="4">
        <v>3286.4150390625</v>
      </c>
      <c r="W717" s="5">
        <f t="shared" si="47"/>
        <v>-0.57866473858173073</v>
      </c>
    </row>
    <row r="718" spans="1:23" x14ac:dyDescent="0.25">
      <c r="A718" t="s">
        <v>1047</v>
      </c>
      <c r="B718">
        <v>2018</v>
      </c>
      <c r="C718" t="s">
        <v>53</v>
      </c>
      <c r="D718" t="s">
        <v>148</v>
      </c>
      <c r="E718">
        <v>107753</v>
      </c>
      <c r="F718" t="s">
        <v>87</v>
      </c>
      <c r="G718" t="s">
        <v>34</v>
      </c>
      <c r="H718" t="s">
        <v>25</v>
      </c>
      <c r="I718" t="s">
        <v>24</v>
      </c>
      <c r="J718" s="2">
        <v>45358</v>
      </c>
      <c r="K718" t="s">
        <v>25</v>
      </c>
      <c r="L718">
        <v>44113</v>
      </c>
      <c r="M718">
        <v>264</v>
      </c>
      <c r="N718">
        <v>314</v>
      </c>
      <c r="O718" s="4">
        <v>12800</v>
      </c>
      <c r="P718" s="4">
        <v>9913.27734375</v>
      </c>
      <c r="Q718" s="5">
        <f t="shared" si="44"/>
        <v>-0.2255252075195312</v>
      </c>
      <c r="R718" s="4">
        <v>12136.01940851514</v>
      </c>
      <c r="S718" s="5">
        <f t="shared" si="45"/>
        <v>-5.1873483709754753E-2</v>
      </c>
      <c r="T718" s="4">
        <v>14994.154717389099</v>
      </c>
      <c r="U718" s="5">
        <f t="shared" si="46"/>
        <v>0.1714183372960234</v>
      </c>
      <c r="V718" s="4">
        <v>9147.365234375</v>
      </c>
      <c r="W718" s="5">
        <f t="shared" si="47"/>
        <v>-0.28536209106445309</v>
      </c>
    </row>
    <row r="719" spans="1:23" x14ac:dyDescent="0.25">
      <c r="A719" t="s">
        <v>1048</v>
      </c>
      <c r="B719">
        <v>2019</v>
      </c>
      <c r="C719" t="s">
        <v>53</v>
      </c>
      <c r="D719" t="s">
        <v>1049</v>
      </c>
      <c r="E719">
        <v>90853</v>
      </c>
      <c r="F719" t="s">
        <v>102</v>
      </c>
      <c r="G719" t="s">
        <v>44</v>
      </c>
      <c r="H719" t="s">
        <v>25</v>
      </c>
      <c r="I719" t="s">
        <v>24</v>
      </c>
      <c r="J719" s="2">
        <v>45594</v>
      </c>
      <c r="K719" t="s">
        <v>25</v>
      </c>
      <c r="L719">
        <v>44113</v>
      </c>
      <c r="M719">
        <v>264</v>
      </c>
      <c r="N719">
        <v>314</v>
      </c>
      <c r="O719" s="4">
        <v>11500</v>
      </c>
      <c r="P719" s="4">
        <v>14175.5966796875</v>
      </c>
      <c r="Q719" s="5">
        <f t="shared" si="44"/>
        <v>0.23266058084239138</v>
      </c>
      <c r="R719" s="4">
        <v>14821.91166039788</v>
      </c>
      <c r="S719" s="5">
        <f t="shared" si="45"/>
        <v>0.28886188351285913</v>
      </c>
      <c r="T719" s="4">
        <v>18711.464647569919</v>
      </c>
      <c r="U719" s="5">
        <f t="shared" si="46"/>
        <v>0.62708388239738433</v>
      </c>
      <c r="V719" s="4">
        <v>14174.01953125</v>
      </c>
      <c r="W719" s="5">
        <f t="shared" si="47"/>
        <v>0.23252343750000004</v>
      </c>
    </row>
    <row r="720" spans="1:23" x14ac:dyDescent="0.25">
      <c r="A720" t="s">
        <v>1050</v>
      </c>
      <c r="B720">
        <v>2013</v>
      </c>
      <c r="C720" t="s">
        <v>53</v>
      </c>
      <c r="D720" t="s">
        <v>148</v>
      </c>
      <c r="E720">
        <v>82908</v>
      </c>
      <c r="F720" t="s">
        <v>254</v>
      </c>
      <c r="G720" t="s">
        <v>30</v>
      </c>
      <c r="H720" t="s">
        <v>24</v>
      </c>
      <c r="I720" t="s">
        <v>25</v>
      </c>
      <c r="J720" s="2">
        <v>45407</v>
      </c>
      <c r="K720" t="s">
        <v>25</v>
      </c>
      <c r="L720">
        <v>44113</v>
      </c>
      <c r="M720">
        <v>264</v>
      </c>
      <c r="N720">
        <v>314</v>
      </c>
      <c r="O720" s="4">
        <v>8000</v>
      </c>
      <c r="P720" s="4">
        <v>6615.5341796875</v>
      </c>
      <c r="Q720" s="5">
        <f t="shared" si="44"/>
        <v>-0.17305822753906253</v>
      </c>
      <c r="R720" s="4">
        <v>6588.9201471472079</v>
      </c>
      <c r="S720" s="5">
        <f t="shared" si="45"/>
        <v>-0.17638498160659899</v>
      </c>
      <c r="T720" s="4">
        <v>9942.0507648899293</v>
      </c>
      <c r="U720" s="5">
        <f t="shared" si="46"/>
        <v>0.24275634561124115</v>
      </c>
      <c r="V720" s="4">
        <v>6665.5654296875</v>
      </c>
      <c r="W720" s="5">
        <f t="shared" si="47"/>
        <v>-0.16680432128906253</v>
      </c>
    </row>
    <row r="721" spans="1:23" x14ac:dyDescent="0.25">
      <c r="A721" t="s">
        <v>1051</v>
      </c>
      <c r="B721">
        <v>2017</v>
      </c>
      <c r="C721" t="s">
        <v>53</v>
      </c>
      <c r="D721" t="s">
        <v>150</v>
      </c>
      <c r="E721">
        <v>129687</v>
      </c>
      <c r="F721" t="s">
        <v>87</v>
      </c>
      <c r="G721" t="s">
        <v>38</v>
      </c>
      <c r="H721" t="s">
        <v>25</v>
      </c>
      <c r="I721" t="s">
        <v>24</v>
      </c>
      <c r="J721" s="2">
        <v>45328</v>
      </c>
      <c r="K721" t="s">
        <v>25</v>
      </c>
      <c r="L721">
        <v>44113</v>
      </c>
      <c r="M721">
        <v>264</v>
      </c>
      <c r="N721">
        <v>314</v>
      </c>
      <c r="O721" s="4">
        <v>4000</v>
      </c>
      <c r="P721" s="4">
        <v>7316.513671875</v>
      </c>
      <c r="Q721" s="5">
        <f t="shared" si="44"/>
        <v>0.82912841796874992</v>
      </c>
      <c r="R721" s="4">
        <v>9230.8612280883099</v>
      </c>
      <c r="S721" s="5">
        <f t="shared" si="45"/>
        <v>1.3077153070220775</v>
      </c>
      <c r="T721" s="4">
        <v>4756.0538970856187</v>
      </c>
      <c r="U721" s="5">
        <f t="shared" si="46"/>
        <v>0.18901347427140469</v>
      </c>
      <c r="V721" s="4">
        <v>6835.8486328125</v>
      </c>
      <c r="W721" s="5">
        <f t="shared" si="47"/>
        <v>0.70896215820312491</v>
      </c>
    </row>
    <row r="722" spans="1:23" x14ac:dyDescent="0.25">
      <c r="A722" t="s">
        <v>1052</v>
      </c>
      <c r="B722">
        <v>2011</v>
      </c>
      <c r="C722" t="s">
        <v>53</v>
      </c>
      <c r="D722" t="s">
        <v>590</v>
      </c>
      <c r="E722">
        <v>94400</v>
      </c>
      <c r="F722" t="s">
        <v>475</v>
      </c>
      <c r="G722" t="s">
        <v>30</v>
      </c>
      <c r="H722" t="s">
        <v>24</v>
      </c>
      <c r="I722" t="s">
        <v>25</v>
      </c>
      <c r="J722" s="2">
        <v>45706</v>
      </c>
      <c r="K722" t="s">
        <v>25</v>
      </c>
      <c r="L722">
        <v>44113</v>
      </c>
      <c r="M722">
        <v>264</v>
      </c>
      <c r="N722">
        <v>314</v>
      </c>
      <c r="O722" s="4">
        <v>800</v>
      </c>
      <c r="P722" s="4">
        <v>5405.5673828125</v>
      </c>
      <c r="Q722" s="5">
        <f t="shared" si="44"/>
        <v>5.7569592285156252</v>
      </c>
      <c r="R722" s="4">
        <v>5108.9287916923768</v>
      </c>
      <c r="S722" s="5">
        <f t="shared" si="45"/>
        <v>5.3861609896154707</v>
      </c>
      <c r="T722" s="4">
        <v>3252.0349937991032</v>
      </c>
      <c r="U722" s="5">
        <f t="shared" si="46"/>
        <v>3.0650437422488785</v>
      </c>
      <c r="V722" s="4">
        <v>5372.56787109375</v>
      </c>
      <c r="W722" s="5">
        <f t="shared" si="47"/>
        <v>5.7157098388671876</v>
      </c>
    </row>
    <row r="723" spans="1:23" x14ac:dyDescent="0.25">
      <c r="A723" t="s">
        <v>1053</v>
      </c>
      <c r="B723">
        <v>2018</v>
      </c>
      <c r="C723" t="s">
        <v>104</v>
      </c>
      <c r="D723" t="s">
        <v>126</v>
      </c>
      <c r="E723">
        <v>88587</v>
      </c>
      <c r="F723" t="s">
        <v>174</v>
      </c>
      <c r="G723" t="s">
        <v>44</v>
      </c>
      <c r="H723" t="s">
        <v>25</v>
      </c>
      <c r="I723" t="s">
        <v>24</v>
      </c>
      <c r="J723" s="2">
        <v>45356</v>
      </c>
      <c r="K723" t="s">
        <v>25</v>
      </c>
      <c r="L723">
        <v>44113</v>
      </c>
      <c r="M723">
        <v>264</v>
      </c>
      <c r="N723">
        <v>314</v>
      </c>
      <c r="O723" s="4">
        <v>17000</v>
      </c>
      <c r="P723" s="4">
        <v>17070.099609375</v>
      </c>
      <c r="Q723" s="5">
        <f t="shared" si="44"/>
        <v>4.1235064338234206E-3</v>
      </c>
      <c r="R723" s="4">
        <v>20670.7562218616</v>
      </c>
      <c r="S723" s="5">
        <f t="shared" si="45"/>
        <v>0.21592683658009415</v>
      </c>
      <c r="T723" s="4">
        <v>15776.148316935591</v>
      </c>
      <c r="U723" s="5">
        <f t="shared" si="46"/>
        <v>-7.1991275474377003E-2</v>
      </c>
      <c r="V723" s="4">
        <v>16592.154296875</v>
      </c>
      <c r="W723" s="5">
        <f t="shared" si="47"/>
        <v>-2.3990923713235301E-2</v>
      </c>
    </row>
    <row r="724" spans="1:23" x14ac:dyDescent="0.25">
      <c r="A724" t="s">
        <v>1054</v>
      </c>
      <c r="B724">
        <v>2017</v>
      </c>
      <c r="C724" t="s">
        <v>20</v>
      </c>
      <c r="D724" t="s">
        <v>258</v>
      </c>
      <c r="E724">
        <v>87788</v>
      </c>
      <c r="F724" t="s">
        <v>43</v>
      </c>
      <c r="G724" t="s">
        <v>44</v>
      </c>
      <c r="H724" t="s">
        <v>25</v>
      </c>
      <c r="I724" t="s">
        <v>24</v>
      </c>
      <c r="J724" s="2">
        <v>45428</v>
      </c>
      <c r="K724" t="s">
        <v>25</v>
      </c>
      <c r="L724">
        <v>44113</v>
      </c>
      <c r="M724">
        <v>264</v>
      </c>
      <c r="N724">
        <v>314</v>
      </c>
      <c r="O724" s="4">
        <v>9600</v>
      </c>
      <c r="P724" s="4">
        <v>11669.984375</v>
      </c>
      <c r="Q724" s="5">
        <f t="shared" si="44"/>
        <v>0.2156233723958334</v>
      </c>
      <c r="R724" s="4">
        <v>11662.445891188079</v>
      </c>
      <c r="S724" s="5">
        <f t="shared" si="45"/>
        <v>0.21483811366542493</v>
      </c>
      <c r="T724" s="4">
        <v>14236.795276602819</v>
      </c>
      <c r="U724" s="5">
        <f t="shared" si="46"/>
        <v>0.48299950797946045</v>
      </c>
      <c r="V724" s="4">
        <v>11509.9228515625</v>
      </c>
      <c r="W724" s="5">
        <f t="shared" si="47"/>
        <v>0.19895029703776035</v>
      </c>
    </row>
    <row r="725" spans="1:23" x14ac:dyDescent="0.25">
      <c r="A725" t="s">
        <v>1055</v>
      </c>
      <c r="B725">
        <v>2021</v>
      </c>
      <c r="C725" t="s">
        <v>156</v>
      </c>
      <c r="D725" t="s">
        <v>615</v>
      </c>
      <c r="E725">
        <v>39816</v>
      </c>
      <c r="F725" t="s">
        <v>135</v>
      </c>
      <c r="G725" t="s">
        <v>44</v>
      </c>
      <c r="H725" t="s">
        <v>25</v>
      </c>
      <c r="I725" t="s">
        <v>24</v>
      </c>
      <c r="J725" s="2">
        <v>45540</v>
      </c>
      <c r="K725" t="s">
        <v>25</v>
      </c>
      <c r="L725">
        <v>44113</v>
      </c>
      <c r="M725">
        <v>264</v>
      </c>
      <c r="N725">
        <v>314</v>
      </c>
      <c r="O725" s="4">
        <v>12600</v>
      </c>
      <c r="P725" s="4">
        <v>17328.34375</v>
      </c>
      <c r="Q725" s="5">
        <f t="shared" si="44"/>
        <v>0.37526537698412699</v>
      </c>
      <c r="R725" s="4">
        <v>20711.786718177209</v>
      </c>
      <c r="S725" s="5">
        <f t="shared" si="45"/>
        <v>0.64379259668073097</v>
      </c>
      <c r="T725" s="4">
        <v>18614.17599220308</v>
      </c>
      <c r="U725" s="5">
        <f t="shared" si="46"/>
        <v>0.47731555493675226</v>
      </c>
      <c r="V725" s="4">
        <v>16611.892578125</v>
      </c>
      <c r="W725" s="5">
        <f t="shared" si="47"/>
        <v>0.31840417286706346</v>
      </c>
    </row>
    <row r="726" spans="1:23" x14ac:dyDescent="0.25">
      <c r="A726" t="s">
        <v>1056</v>
      </c>
      <c r="B726">
        <v>2013</v>
      </c>
      <c r="C726" t="s">
        <v>159</v>
      </c>
      <c r="D726" t="s">
        <v>260</v>
      </c>
      <c r="E726">
        <v>111943</v>
      </c>
      <c r="F726" t="s">
        <v>214</v>
      </c>
      <c r="G726" t="s">
        <v>38</v>
      </c>
      <c r="H726" t="s">
        <v>25</v>
      </c>
      <c r="I726" t="s">
        <v>24</v>
      </c>
      <c r="J726" s="2">
        <v>45468</v>
      </c>
      <c r="K726" t="s">
        <v>25</v>
      </c>
      <c r="L726">
        <v>44113</v>
      </c>
      <c r="M726">
        <v>264</v>
      </c>
      <c r="N726">
        <v>314</v>
      </c>
      <c r="O726" s="4">
        <v>3100</v>
      </c>
      <c r="P726" s="4">
        <v>4806.22216796875</v>
      </c>
      <c r="Q726" s="5">
        <f t="shared" si="44"/>
        <v>0.55039424773185486</v>
      </c>
      <c r="R726" s="4">
        <v>6230.5546689649582</v>
      </c>
      <c r="S726" s="5">
        <f t="shared" si="45"/>
        <v>1.0098563448274058</v>
      </c>
      <c r="T726" s="4">
        <v>4870.3766340315487</v>
      </c>
      <c r="U726" s="5">
        <f t="shared" si="46"/>
        <v>0.57108923678437051</v>
      </c>
      <c r="V726" s="4">
        <v>4423.2705078125</v>
      </c>
      <c r="W726" s="5">
        <f t="shared" si="47"/>
        <v>0.42686145413306442</v>
      </c>
    </row>
    <row r="727" spans="1:23" x14ac:dyDescent="0.25">
      <c r="A727" t="s">
        <v>1057</v>
      </c>
      <c r="B727">
        <v>2019</v>
      </c>
      <c r="C727" t="s">
        <v>185</v>
      </c>
      <c r="D727" t="s">
        <v>264</v>
      </c>
      <c r="E727">
        <v>124798</v>
      </c>
      <c r="F727" t="s">
        <v>37</v>
      </c>
      <c r="G727" t="s">
        <v>30</v>
      </c>
      <c r="H727" t="s">
        <v>24</v>
      </c>
      <c r="I727" t="s">
        <v>25</v>
      </c>
      <c r="J727" s="2">
        <v>45610</v>
      </c>
      <c r="K727" t="s">
        <v>25</v>
      </c>
      <c r="L727">
        <v>44113</v>
      </c>
      <c r="M727">
        <v>264</v>
      </c>
      <c r="N727">
        <v>314</v>
      </c>
      <c r="O727" s="4">
        <v>10500</v>
      </c>
      <c r="P727" s="4">
        <v>4453.3095703125</v>
      </c>
      <c r="Q727" s="5">
        <f t="shared" si="44"/>
        <v>-0.57587527901785718</v>
      </c>
      <c r="R727" s="4">
        <v>7138.9220311812651</v>
      </c>
      <c r="S727" s="5">
        <f t="shared" si="45"/>
        <v>-0.32010266369702234</v>
      </c>
      <c r="T727" s="4">
        <v>4704.1554967383654</v>
      </c>
      <c r="U727" s="5">
        <f t="shared" si="46"/>
        <v>-0.55198519078682229</v>
      </c>
      <c r="V727" s="4">
        <v>4066.827392578125</v>
      </c>
      <c r="W727" s="5">
        <f t="shared" si="47"/>
        <v>-0.61268310546875004</v>
      </c>
    </row>
    <row r="728" spans="1:23" x14ac:dyDescent="0.25">
      <c r="A728" t="s">
        <v>1058</v>
      </c>
      <c r="B728">
        <v>2018</v>
      </c>
      <c r="C728" t="s">
        <v>185</v>
      </c>
      <c r="D728" t="s">
        <v>264</v>
      </c>
      <c r="E728">
        <v>103450</v>
      </c>
      <c r="F728" t="s">
        <v>106</v>
      </c>
      <c r="G728" t="s">
        <v>30</v>
      </c>
      <c r="H728" t="s">
        <v>24</v>
      </c>
      <c r="I728" t="s">
        <v>25</v>
      </c>
      <c r="J728" s="2">
        <v>45330</v>
      </c>
      <c r="K728" t="s">
        <v>25</v>
      </c>
      <c r="L728">
        <v>44113</v>
      </c>
      <c r="M728">
        <v>264</v>
      </c>
      <c r="N728">
        <v>314</v>
      </c>
      <c r="O728" s="4">
        <v>8800</v>
      </c>
      <c r="P728" s="4">
        <v>6699.4931640625</v>
      </c>
      <c r="Q728" s="5">
        <f t="shared" si="44"/>
        <v>-0.23869395862926135</v>
      </c>
      <c r="R728" s="4">
        <v>7124.7513114550466</v>
      </c>
      <c r="S728" s="5">
        <f t="shared" si="45"/>
        <v>-0.19036916915283564</v>
      </c>
      <c r="T728" s="4">
        <v>5132.9771832960314</v>
      </c>
      <c r="U728" s="5">
        <f t="shared" si="46"/>
        <v>-0.4167071382618146</v>
      </c>
      <c r="V728" s="4">
        <v>6519.13818359375</v>
      </c>
      <c r="W728" s="5">
        <f t="shared" si="47"/>
        <v>-0.25918884277343746</v>
      </c>
    </row>
    <row r="729" spans="1:23" x14ac:dyDescent="0.25">
      <c r="A729" t="s">
        <v>1059</v>
      </c>
      <c r="B729">
        <v>2017</v>
      </c>
      <c r="C729" t="s">
        <v>185</v>
      </c>
      <c r="D729" t="s">
        <v>264</v>
      </c>
      <c r="E729">
        <v>124047</v>
      </c>
      <c r="F729" t="s">
        <v>89</v>
      </c>
      <c r="G729" t="s">
        <v>34</v>
      </c>
      <c r="H729" t="s">
        <v>25</v>
      </c>
      <c r="I729" t="s">
        <v>24</v>
      </c>
      <c r="J729" s="2">
        <v>45484</v>
      </c>
      <c r="K729" t="s">
        <v>25</v>
      </c>
      <c r="L729">
        <v>44113</v>
      </c>
      <c r="M729">
        <v>264</v>
      </c>
      <c r="N729">
        <v>314</v>
      </c>
      <c r="O729" s="4">
        <v>3800</v>
      </c>
      <c r="P729" s="4">
        <v>3842.69580078125</v>
      </c>
      <c r="Q729" s="5">
        <f t="shared" si="44"/>
        <v>1.1235737047697425E-2</v>
      </c>
      <c r="R729" s="4">
        <v>3416.7899140343352</v>
      </c>
      <c r="S729" s="5">
        <f t="shared" si="45"/>
        <v>-0.10084475946464866</v>
      </c>
      <c r="T729" s="4">
        <v>2921.5856214766059</v>
      </c>
      <c r="U729" s="5">
        <f t="shared" si="46"/>
        <v>-0.23116167855878789</v>
      </c>
      <c r="V729" s="4">
        <v>3782.660888671875</v>
      </c>
      <c r="W729" s="5">
        <f t="shared" si="47"/>
        <v>-4.5629240337170529E-3</v>
      </c>
    </row>
    <row r="730" spans="1:23" x14ac:dyDescent="0.25">
      <c r="A730" t="s">
        <v>1060</v>
      </c>
      <c r="B730">
        <v>2017</v>
      </c>
      <c r="C730" t="s">
        <v>185</v>
      </c>
      <c r="D730" t="s">
        <v>264</v>
      </c>
      <c r="E730">
        <v>116854</v>
      </c>
      <c r="F730" t="s">
        <v>334</v>
      </c>
      <c r="G730" t="s">
        <v>30</v>
      </c>
      <c r="H730" t="s">
        <v>24</v>
      </c>
      <c r="I730" t="s">
        <v>25</v>
      </c>
      <c r="J730" s="2">
        <v>45356</v>
      </c>
      <c r="K730" t="s">
        <v>25</v>
      </c>
      <c r="L730">
        <v>44113</v>
      </c>
      <c r="M730">
        <v>264</v>
      </c>
      <c r="N730">
        <v>314</v>
      </c>
      <c r="O730" s="4">
        <v>9300</v>
      </c>
      <c r="P730" s="4">
        <v>3717.53564453125</v>
      </c>
      <c r="Q730" s="5">
        <f t="shared" si="44"/>
        <v>-0.60026498445900534</v>
      </c>
      <c r="R730" s="4">
        <v>3809.7898535766481</v>
      </c>
      <c r="S730" s="5">
        <f t="shared" si="45"/>
        <v>-0.59034517703476896</v>
      </c>
      <c r="T730" s="4">
        <v>3360.127764360192</v>
      </c>
      <c r="U730" s="5">
        <f t="shared" si="46"/>
        <v>-0.63869593931610846</v>
      </c>
      <c r="V730" s="4">
        <v>3596.693115234375</v>
      </c>
      <c r="W730" s="5">
        <f t="shared" si="47"/>
        <v>-0.61325880481350814</v>
      </c>
    </row>
    <row r="731" spans="1:23" x14ac:dyDescent="0.25">
      <c r="A731" t="s">
        <v>1061</v>
      </c>
      <c r="B731">
        <v>2016</v>
      </c>
      <c r="C731" t="s">
        <v>266</v>
      </c>
      <c r="D731" t="s">
        <v>267</v>
      </c>
      <c r="E731">
        <v>123465</v>
      </c>
      <c r="F731" t="s">
        <v>66</v>
      </c>
      <c r="G731" t="s">
        <v>85</v>
      </c>
      <c r="H731" t="s">
        <v>24</v>
      </c>
      <c r="I731" t="s">
        <v>25</v>
      </c>
      <c r="J731" s="2">
        <v>45561</v>
      </c>
      <c r="K731" t="s">
        <v>25</v>
      </c>
      <c r="L731">
        <v>44113</v>
      </c>
      <c r="M731">
        <v>264</v>
      </c>
      <c r="N731">
        <v>314</v>
      </c>
      <c r="O731" s="4">
        <v>13400</v>
      </c>
      <c r="P731" s="4">
        <v>1916.91064453125</v>
      </c>
      <c r="Q731" s="5">
        <f t="shared" si="44"/>
        <v>-0.85694696682602611</v>
      </c>
      <c r="R731" s="4">
        <v>2680.5759927881059</v>
      </c>
      <c r="S731" s="5">
        <f t="shared" si="45"/>
        <v>-0.79995701546357423</v>
      </c>
      <c r="T731" s="4">
        <v>2308.7091386904608</v>
      </c>
      <c r="U731" s="5">
        <f t="shared" si="46"/>
        <v>-0.8277082732320552</v>
      </c>
      <c r="V731" s="4">
        <v>1813.12353515625</v>
      </c>
      <c r="W731" s="5">
        <f t="shared" si="47"/>
        <v>-0.86469227349580224</v>
      </c>
    </row>
    <row r="732" spans="1:23" x14ac:dyDescent="0.25">
      <c r="A732" t="s">
        <v>1062</v>
      </c>
      <c r="B732">
        <v>2014</v>
      </c>
      <c r="C732" t="s">
        <v>266</v>
      </c>
      <c r="D732" t="s">
        <v>267</v>
      </c>
      <c r="E732">
        <v>87093</v>
      </c>
      <c r="F732" t="s">
        <v>72</v>
      </c>
      <c r="G732" t="s">
        <v>23</v>
      </c>
      <c r="H732" t="s">
        <v>24</v>
      </c>
      <c r="I732" t="s">
        <v>25</v>
      </c>
      <c r="J732" s="2">
        <v>45524</v>
      </c>
      <c r="K732" t="s">
        <v>25</v>
      </c>
      <c r="L732">
        <v>44113</v>
      </c>
      <c r="M732">
        <v>264</v>
      </c>
      <c r="N732">
        <v>314</v>
      </c>
      <c r="O732" s="4">
        <v>3800</v>
      </c>
      <c r="P732" s="4">
        <v>5151.51171875</v>
      </c>
      <c r="Q732" s="5">
        <f t="shared" si="44"/>
        <v>0.35566097861842105</v>
      </c>
      <c r="R732" s="4">
        <v>6826.87049018998</v>
      </c>
      <c r="S732" s="5">
        <f t="shared" si="45"/>
        <v>0.79654486583946849</v>
      </c>
      <c r="T732" s="4">
        <v>5476.1911291257438</v>
      </c>
      <c r="U732" s="5">
        <f t="shared" si="46"/>
        <v>0.44110292871730095</v>
      </c>
      <c r="V732" s="4">
        <v>4627.06005859375</v>
      </c>
      <c r="W732" s="5">
        <f t="shared" si="47"/>
        <v>0.21764738384046045</v>
      </c>
    </row>
    <row r="733" spans="1:23" x14ac:dyDescent="0.25">
      <c r="A733" t="s">
        <v>1063</v>
      </c>
      <c r="B733">
        <v>2018</v>
      </c>
      <c r="C733" t="s">
        <v>266</v>
      </c>
      <c r="D733" t="s">
        <v>440</v>
      </c>
      <c r="E733">
        <v>71953</v>
      </c>
      <c r="F733" t="s">
        <v>79</v>
      </c>
      <c r="G733" t="s">
        <v>38</v>
      </c>
      <c r="H733" t="s">
        <v>25</v>
      </c>
      <c r="I733" t="s">
        <v>24</v>
      </c>
      <c r="J733" s="2">
        <v>45538</v>
      </c>
      <c r="K733" t="s">
        <v>25</v>
      </c>
      <c r="L733">
        <v>44113</v>
      </c>
      <c r="M733">
        <v>264</v>
      </c>
      <c r="N733">
        <v>314</v>
      </c>
      <c r="O733" s="4">
        <v>15000</v>
      </c>
      <c r="P733" s="4">
        <v>7533.99755859375</v>
      </c>
      <c r="Q733" s="5">
        <f t="shared" si="44"/>
        <v>-0.49773349609374995</v>
      </c>
      <c r="R733" s="4">
        <v>7566.6973754820156</v>
      </c>
      <c r="S733" s="5">
        <f t="shared" si="45"/>
        <v>-0.49555350830119893</v>
      </c>
      <c r="T733" s="4">
        <v>8873.7584978004434</v>
      </c>
      <c r="U733" s="5">
        <f t="shared" si="46"/>
        <v>-0.4084161001466371</v>
      </c>
      <c r="V733" s="4">
        <v>7483.61669921875</v>
      </c>
      <c r="W733" s="5">
        <f t="shared" si="47"/>
        <v>-0.50109222005208331</v>
      </c>
    </row>
    <row r="734" spans="1:23" x14ac:dyDescent="0.25">
      <c r="A734" t="s">
        <v>1064</v>
      </c>
      <c r="B734">
        <v>2015</v>
      </c>
      <c r="C734" t="s">
        <v>266</v>
      </c>
      <c r="D734" t="s">
        <v>267</v>
      </c>
      <c r="E734">
        <v>178281</v>
      </c>
      <c r="F734" t="s">
        <v>22</v>
      </c>
      <c r="G734" t="s">
        <v>23</v>
      </c>
      <c r="H734" t="s">
        <v>24</v>
      </c>
      <c r="I734" t="s">
        <v>25</v>
      </c>
      <c r="J734" s="2">
        <v>45344</v>
      </c>
      <c r="K734" t="s">
        <v>25</v>
      </c>
      <c r="L734">
        <v>44113</v>
      </c>
      <c r="M734">
        <v>264</v>
      </c>
      <c r="N734">
        <v>314</v>
      </c>
      <c r="O734" s="4">
        <v>2100</v>
      </c>
      <c r="P734" s="4">
        <v>1757.7998046875</v>
      </c>
      <c r="Q734" s="5">
        <f t="shared" si="44"/>
        <v>-0.16295247395833334</v>
      </c>
      <c r="R734" s="4">
        <v>1992.9259749166411</v>
      </c>
      <c r="S734" s="5">
        <f t="shared" si="45"/>
        <v>-5.0987630992075705E-2</v>
      </c>
      <c r="T734" s="4">
        <v>1669.121732456053</v>
      </c>
      <c r="U734" s="5">
        <f t="shared" si="46"/>
        <v>-0.20518012740187952</v>
      </c>
      <c r="V734" s="4">
        <v>1702.28759765625</v>
      </c>
      <c r="W734" s="5">
        <f t="shared" si="47"/>
        <v>-0.18938685825892854</v>
      </c>
    </row>
    <row r="735" spans="1:23" x14ac:dyDescent="0.25">
      <c r="A735" t="s">
        <v>1065</v>
      </c>
      <c r="B735">
        <v>2013</v>
      </c>
      <c r="C735" t="s">
        <v>266</v>
      </c>
      <c r="D735" t="s">
        <v>267</v>
      </c>
      <c r="E735">
        <v>88891</v>
      </c>
      <c r="F735" t="s">
        <v>87</v>
      </c>
      <c r="G735" t="s">
        <v>38</v>
      </c>
      <c r="H735" t="s">
        <v>25</v>
      </c>
      <c r="I735" t="s">
        <v>24</v>
      </c>
      <c r="J735" s="2">
        <v>45328</v>
      </c>
      <c r="K735" t="s">
        <v>25</v>
      </c>
      <c r="L735">
        <v>44113</v>
      </c>
      <c r="M735">
        <v>264</v>
      </c>
      <c r="N735">
        <v>314</v>
      </c>
      <c r="O735" s="4">
        <v>2200</v>
      </c>
      <c r="P735" s="4">
        <v>4561.3427734375</v>
      </c>
      <c r="Q735" s="5">
        <f t="shared" si="44"/>
        <v>1.0733376242897728</v>
      </c>
      <c r="R735" s="4">
        <v>6008.0796707297404</v>
      </c>
      <c r="S735" s="5">
        <f t="shared" si="45"/>
        <v>1.7309453048771548</v>
      </c>
      <c r="T735" s="4">
        <v>4845.7430481255351</v>
      </c>
      <c r="U735" s="5">
        <f t="shared" si="46"/>
        <v>1.202610476420698</v>
      </c>
      <c r="V735" s="4">
        <v>4095.42578125</v>
      </c>
      <c r="W735" s="5">
        <f t="shared" si="47"/>
        <v>0.86155717329545456</v>
      </c>
    </row>
    <row r="736" spans="1:23" x14ac:dyDescent="0.25">
      <c r="A736" t="s">
        <v>1066</v>
      </c>
      <c r="B736">
        <v>2012</v>
      </c>
      <c r="C736" t="s">
        <v>266</v>
      </c>
      <c r="D736" t="s">
        <v>1067</v>
      </c>
      <c r="E736">
        <v>171246</v>
      </c>
      <c r="F736" t="s">
        <v>77</v>
      </c>
      <c r="G736" t="s">
        <v>30</v>
      </c>
      <c r="H736" t="s">
        <v>24</v>
      </c>
      <c r="I736" t="s">
        <v>25</v>
      </c>
      <c r="J736" s="2">
        <v>45302</v>
      </c>
      <c r="K736" t="s">
        <v>25</v>
      </c>
      <c r="L736">
        <v>44113</v>
      </c>
      <c r="M736">
        <v>264</v>
      </c>
      <c r="N736">
        <v>314</v>
      </c>
      <c r="O736" s="4">
        <v>11510.593220339</v>
      </c>
      <c r="P736" s="4">
        <v>1191.766845703125</v>
      </c>
      <c r="Q736" s="5">
        <f t="shared" si="44"/>
        <v>-0.89646347300352036</v>
      </c>
      <c r="R736" s="4">
        <v>1556.387040853471</v>
      </c>
      <c r="S736" s="5">
        <f t="shared" si="45"/>
        <v>-0.86478654826378842</v>
      </c>
      <c r="T736" s="4">
        <v>2128.7322744999842</v>
      </c>
      <c r="U736" s="5">
        <f t="shared" si="46"/>
        <v>-0.81506320015387612</v>
      </c>
      <c r="V736" s="4">
        <v>1266.311401367188</v>
      </c>
      <c r="W736" s="5">
        <f t="shared" si="47"/>
        <v>-0.88998730324952846</v>
      </c>
    </row>
    <row r="737" spans="1:23" x14ac:dyDescent="0.25">
      <c r="A737" t="s">
        <v>1068</v>
      </c>
      <c r="B737">
        <v>2012</v>
      </c>
      <c r="C737" t="s">
        <v>266</v>
      </c>
      <c r="D737" t="s">
        <v>1067</v>
      </c>
      <c r="E737">
        <v>128112</v>
      </c>
      <c r="F737" t="s">
        <v>22</v>
      </c>
      <c r="G737" t="s">
        <v>30</v>
      </c>
      <c r="H737" t="s">
        <v>24</v>
      </c>
      <c r="I737" t="s">
        <v>25</v>
      </c>
      <c r="J737" s="2">
        <v>45463</v>
      </c>
      <c r="K737" t="s">
        <v>25</v>
      </c>
      <c r="L737">
        <v>44113</v>
      </c>
      <c r="M737">
        <v>264</v>
      </c>
      <c r="N737">
        <v>314</v>
      </c>
      <c r="O737" s="4">
        <v>500</v>
      </c>
      <c r="P737" s="4">
        <v>1920.25537109375</v>
      </c>
      <c r="Q737" s="5">
        <f t="shared" si="44"/>
        <v>2.8405107421875</v>
      </c>
      <c r="R737" s="4">
        <v>1535.1881069045121</v>
      </c>
      <c r="S737" s="5">
        <f t="shared" si="45"/>
        <v>2.0703762138090243</v>
      </c>
      <c r="T737" s="4">
        <v>2790.1357282468739</v>
      </c>
      <c r="U737" s="5">
        <f t="shared" si="46"/>
        <v>4.5802714564937475</v>
      </c>
      <c r="V737" s="4">
        <v>1838.3515625</v>
      </c>
      <c r="W737" s="5">
        <f t="shared" si="47"/>
        <v>2.676703125</v>
      </c>
    </row>
    <row r="738" spans="1:23" x14ac:dyDescent="0.25">
      <c r="A738" t="s">
        <v>1069</v>
      </c>
      <c r="B738">
        <v>2018</v>
      </c>
      <c r="C738" t="s">
        <v>139</v>
      </c>
      <c r="D738" t="s">
        <v>163</v>
      </c>
      <c r="E738">
        <v>70988</v>
      </c>
      <c r="F738" t="s">
        <v>55</v>
      </c>
      <c r="G738" t="s">
        <v>38</v>
      </c>
      <c r="H738" t="s">
        <v>25</v>
      </c>
      <c r="I738" t="s">
        <v>24</v>
      </c>
      <c r="J738" s="2">
        <v>45622</v>
      </c>
      <c r="K738" t="s">
        <v>25</v>
      </c>
      <c r="L738">
        <v>44113</v>
      </c>
      <c r="M738">
        <v>264</v>
      </c>
      <c r="N738">
        <v>314</v>
      </c>
      <c r="O738" s="4">
        <v>11300</v>
      </c>
      <c r="P738" s="4">
        <v>9831.9033203125</v>
      </c>
      <c r="Q738" s="5">
        <f t="shared" si="44"/>
        <v>-0.12992006014933632</v>
      </c>
      <c r="R738" s="4">
        <v>10628.829689702119</v>
      </c>
      <c r="S738" s="5">
        <f t="shared" si="45"/>
        <v>-5.9395602681228343E-2</v>
      </c>
      <c r="T738" s="4">
        <v>14626.190492567939</v>
      </c>
      <c r="U738" s="5">
        <f t="shared" si="46"/>
        <v>0.29435314093521581</v>
      </c>
      <c r="V738" s="4">
        <v>9473.7060546875</v>
      </c>
      <c r="W738" s="5">
        <f t="shared" si="47"/>
        <v>-0.16161893321349563</v>
      </c>
    </row>
    <row r="739" spans="1:23" x14ac:dyDescent="0.25">
      <c r="A739" t="s">
        <v>1070</v>
      </c>
      <c r="B739">
        <v>2019</v>
      </c>
      <c r="C739" t="s">
        <v>139</v>
      </c>
      <c r="D739" t="s">
        <v>273</v>
      </c>
      <c r="E739">
        <v>91469</v>
      </c>
      <c r="F739" t="s">
        <v>250</v>
      </c>
      <c r="G739" t="s">
        <v>44</v>
      </c>
      <c r="H739" t="s">
        <v>25</v>
      </c>
      <c r="I739" t="s">
        <v>24</v>
      </c>
      <c r="J739" s="2">
        <v>45736</v>
      </c>
      <c r="K739" t="s">
        <v>25</v>
      </c>
      <c r="L739">
        <v>44113</v>
      </c>
      <c r="M739">
        <v>264</v>
      </c>
      <c r="N739">
        <v>314</v>
      </c>
      <c r="O739" s="4">
        <v>20800</v>
      </c>
      <c r="P739" s="4">
        <v>14129.9814453125</v>
      </c>
      <c r="Q739" s="5">
        <f t="shared" si="44"/>
        <v>-0.3206739689753606</v>
      </c>
      <c r="R739" s="4">
        <v>14599.460245527451</v>
      </c>
      <c r="S739" s="5">
        <f t="shared" si="45"/>
        <v>-0.2981028728111802</v>
      </c>
      <c r="T739" s="4">
        <v>16123.519538228929</v>
      </c>
      <c r="U739" s="5">
        <f t="shared" si="46"/>
        <v>-0.22483079143130147</v>
      </c>
      <c r="V739" s="4">
        <v>14158.78125</v>
      </c>
      <c r="W739" s="5">
        <f t="shared" si="47"/>
        <v>-0.31928936298076926</v>
      </c>
    </row>
    <row r="740" spans="1:23" x14ac:dyDescent="0.25">
      <c r="A740" t="s">
        <v>1071</v>
      </c>
      <c r="B740">
        <v>2015</v>
      </c>
      <c r="C740" t="s">
        <v>113</v>
      </c>
      <c r="D740" t="s">
        <v>1072</v>
      </c>
      <c r="E740">
        <v>120102</v>
      </c>
      <c r="F740" t="s">
        <v>254</v>
      </c>
      <c r="G740" t="s">
        <v>38</v>
      </c>
      <c r="H740" t="s">
        <v>25</v>
      </c>
      <c r="I740" t="s">
        <v>24</v>
      </c>
      <c r="J740" s="2">
        <v>45384</v>
      </c>
      <c r="K740" t="s">
        <v>25</v>
      </c>
      <c r="L740">
        <v>44113</v>
      </c>
      <c r="M740">
        <v>264</v>
      </c>
      <c r="N740">
        <v>314</v>
      </c>
      <c r="O740" s="4">
        <v>2100</v>
      </c>
      <c r="P740" s="4">
        <v>6778.34619140625</v>
      </c>
      <c r="Q740" s="5">
        <f t="shared" si="44"/>
        <v>2.2277839006696429</v>
      </c>
      <c r="R740" s="4">
        <v>7087.7032955291943</v>
      </c>
      <c r="S740" s="5">
        <f t="shared" si="45"/>
        <v>2.3750968073948546</v>
      </c>
      <c r="T740" s="4">
        <v>8830.6955455297339</v>
      </c>
      <c r="U740" s="5">
        <f t="shared" si="46"/>
        <v>3.2050931169189205</v>
      </c>
      <c r="V740" s="4">
        <v>6647.9326171875</v>
      </c>
      <c r="W740" s="5">
        <f t="shared" si="47"/>
        <v>2.1656821986607144</v>
      </c>
    </row>
    <row r="741" spans="1:23" x14ac:dyDescent="0.25">
      <c r="A741" t="s">
        <v>1073</v>
      </c>
      <c r="B741">
        <v>2013</v>
      </c>
      <c r="C741" t="s">
        <v>113</v>
      </c>
      <c r="D741" t="s">
        <v>1074</v>
      </c>
      <c r="E741">
        <v>93719</v>
      </c>
      <c r="F741" t="s">
        <v>254</v>
      </c>
      <c r="G741" t="s">
        <v>44</v>
      </c>
      <c r="H741" t="s">
        <v>25</v>
      </c>
      <c r="I741" t="s">
        <v>24</v>
      </c>
      <c r="J741" s="2">
        <v>45645</v>
      </c>
      <c r="K741" t="s">
        <v>25</v>
      </c>
      <c r="L741">
        <v>44113</v>
      </c>
      <c r="M741">
        <v>264</v>
      </c>
      <c r="N741">
        <v>314</v>
      </c>
      <c r="O741" s="4">
        <v>14500</v>
      </c>
      <c r="P741" s="4">
        <v>6798.8564453125</v>
      </c>
      <c r="Q741" s="5">
        <f t="shared" si="44"/>
        <v>-0.53111334859913795</v>
      </c>
      <c r="R741" s="4">
        <v>6365.487117599333</v>
      </c>
      <c r="S741" s="5">
        <f t="shared" si="45"/>
        <v>-0.56100088844142526</v>
      </c>
      <c r="T741" s="4">
        <v>6774.0270917186426</v>
      </c>
      <c r="U741" s="5">
        <f t="shared" si="46"/>
        <v>-0.53282571781250743</v>
      </c>
      <c r="V741" s="4">
        <v>6863.396484375</v>
      </c>
      <c r="W741" s="5">
        <f t="shared" si="47"/>
        <v>-0.52666231142241382</v>
      </c>
    </row>
    <row r="742" spans="1:23" x14ac:dyDescent="0.25">
      <c r="A742" t="s">
        <v>1075</v>
      </c>
      <c r="B742">
        <v>2014</v>
      </c>
      <c r="C742" t="s">
        <v>113</v>
      </c>
      <c r="D742" t="s">
        <v>1076</v>
      </c>
      <c r="E742">
        <v>131189</v>
      </c>
      <c r="F742" t="s">
        <v>22</v>
      </c>
      <c r="G742" t="s">
        <v>30</v>
      </c>
      <c r="H742" t="s">
        <v>24</v>
      </c>
      <c r="I742" t="s">
        <v>25</v>
      </c>
      <c r="J742" s="2">
        <v>45398</v>
      </c>
      <c r="K742" t="s">
        <v>25</v>
      </c>
      <c r="L742">
        <v>44113</v>
      </c>
      <c r="M742">
        <v>264</v>
      </c>
      <c r="N742">
        <v>314</v>
      </c>
      <c r="O742" s="4">
        <v>12400</v>
      </c>
      <c r="P742" s="4">
        <v>4949.48583984375</v>
      </c>
      <c r="Q742" s="5">
        <f t="shared" si="44"/>
        <v>-0.60084791614163313</v>
      </c>
      <c r="R742" s="4">
        <v>4119.7774955437362</v>
      </c>
      <c r="S742" s="5">
        <f t="shared" si="45"/>
        <v>-0.66775987939163417</v>
      </c>
      <c r="T742" s="4">
        <v>5979.7811929780728</v>
      </c>
      <c r="U742" s="5">
        <f t="shared" si="46"/>
        <v>-0.51775958121144572</v>
      </c>
      <c r="V742" s="4">
        <v>4910.9453125</v>
      </c>
      <c r="W742" s="5">
        <f t="shared" si="47"/>
        <v>-0.60395602318548391</v>
      </c>
    </row>
    <row r="743" spans="1:23" x14ac:dyDescent="0.25">
      <c r="A743" t="s">
        <v>1077</v>
      </c>
      <c r="B743">
        <v>2014</v>
      </c>
      <c r="C743" t="s">
        <v>27</v>
      </c>
      <c r="D743" t="s">
        <v>1078</v>
      </c>
      <c r="E743">
        <v>116341</v>
      </c>
      <c r="F743" t="s">
        <v>77</v>
      </c>
      <c r="G743" t="s">
        <v>34</v>
      </c>
      <c r="H743" t="s">
        <v>25</v>
      </c>
      <c r="I743" t="s">
        <v>24</v>
      </c>
      <c r="J743" s="2">
        <v>45720</v>
      </c>
      <c r="K743" t="s">
        <v>25</v>
      </c>
      <c r="L743">
        <v>44113</v>
      </c>
      <c r="M743">
        <v>264</v>
      </c>
      <c r="N743">
        <v>314</v>
      </c>
      <c r="O743" s="4">
        <v>10300</v>
      </c>
      <c r="P743" s="4">
        <v>4360.7451171875</v>
      </c>
      <c r="Q743" s="5">
        <f t="shared" si="44"/>
        <v>-0.576626687651699</v>
      </c>
      <c r="R743" s="4">
        <v>5624.2078821225332</v>
      </c>
      <c r="S743" s="5">
        <f t="shared" si="45"/>
        <v>-0.45396039979392877</v>
      </c>
      <c r="T743" s="4">
        <v>7254.1077158835487</v>
      </c>
      <c r="U743" s="5">
        <f t="shared" si="46"/>
        <v>-0.29571769748703414</v>
      </c>
      <c r="V743" s="4">
        <v>3905.976806640625</v>
      </c>
      <c r="W743" s="5">
        <f t="shared" si="47"/>
        <v>-0.62077895081158974</v>
      </c>
    </row>
    <row r="744" spans="1:23" x14ac:dyDescent="0.25">
      <c r="A744" t="s">
        <v>1079</v>
      </c>
      <c r="B744">
        <v>2017</v>
      </c>
      <c r="C744" t="s">
        <v>167</v>
      </c>
      <c r="D744" t="s">
        <v>462</v>
      </c>
      <c r="E744">
        <v>130093</v>
      </c>
      <c r="F744" t="s">
        <v>22</v>
      </c>
      <c r="G744" t="s">
        <v>34</v>
      </c>
      <c r="H744" t="s">
        <v>25</v>
      </c>
      <c r="I744" t="s">
        <v>24</v>
      </c>
      <c r="J744" s="2">
        <v>45722</v>
      </c>
      <c r="K744" t="s">
        <v>25</v>
      </c>
      <c r="L744">
        <v>44113</v>
      </c>
      <c r="M744">
        <v>264</v>
      </c>
      <c r="N744">
        <v>314</v>
      </c>
      <c r="O744" s="4">
        <v>4300</v>
      </c>
      <c r="P744" s="4">
        <v>2676.953125</v>
      </c>
      <c r="Q744" s="5">
        <f t="shared" si="44"/>
        <v>-0.37745276162790697</v>
      </c>
      <c r="R744" s="4">
        <v>2730.939909632224</v>
      </c>
      <c r="S744" s="5">
        <f t="shared" si="45"/>
        <v>-0.36489769543436645</v>
      </c>
      <c r="T744" s="4">
        <v>4286.4026504087542</v>
      </c>
      <c r="U744" s="5">
        <f t="shared" si="46"/>
        <v>-3.1621743235454858E-3</v>
      </c>
      <c r="V744" s="4">
        <v>2569.691650390625</v>
      </c>
      <c r="W744" s="5">
        <f t="shared" si="47"/>
        <v>-0.40239729060683138</v>
      </c>
    </row>
    <row r="745" spans="1:23" x14ac:dyDescent="0.25">
      <c r="A745" t="s">
        <v>1080</v>
      </c>
      <c r="B745">
        <v>2017</v>
      </c>
      <c r="C745" t="s">
        <v>167</v>
      </c>
      <c r="D745" t="s">
        <v>168</v>
      </c>
      <c r="E745">
        <v>103666</v>
      </c>
      <c r="F745" t="s">
        <v>79</v>
      </c>
      <c r="G745" t="s">
        <v>30</v>
      </c>
      <c r="H745" t="s">
        <v>24</v>
      </c>
      <c r="I745" t="s">
        <v>25</v>
      </c>
      <c r="J745" s="2">
        <v>45547</v>
      </c>
      <c r="K745" t="s">
        <v>25</v>
      </c>
      <c r="L745">
        <v>44113</v>
      </c>
      <c r="M745">
        <v>264</v>
      </c>
      <c r="N745">
        <v>314</v>
      </c>
      <c r="O745" s="4">
        <v>3400</v>
      </c>
      <c r="P745" s="4">
        <v>4020.1708984375</v>
      </c>
      <c r="Q745" s="5">
        <f t="shared" si="44"/>
        <v>0.1824032054227942</v>
      </c>
      <c r="R745" s="4">
        <v>3619.8090431986052</v>
      </c>
      <c r="S745" s="5">
        <f t="shared" si="45"/>
        <v>6.4649718587824978E-2</v>
      </c>
      <c r="T745" s="4">
        <v>3624.1623903420582</v>
      </c>
      <c r="U745" s="5">
        <f t="shared" si="46"/>
        <v>6.5930114806487694E-2</v>
      </c>
      <c r="V745" s="4">
        <v>4080.486572265625</v>
      </c>
      <c r="W745" s="5">
        <f t="shared" si="47"/>
        <v>0.20014310948988978</v>
      </c>
    </row>
    <row r="746" spans="1:23" x14ac:dyDescent="0.25">
      <c r="A746" t="s">
        <v>1081</v>
      </c>
      <c r="B746">
        <v>2020</v>
      </c>
      <c r="C746" t="s">
        <v>167</v>
      </c>
      <c r="D746" t="s">
        <v>168</v>
      </c>
      <c r="E746">
        <v>30728</v>
      </c>
      <c r="F746" t="s">
        <v>219</v>
      </c>
      <c r="G746" t="s">
        <v>38</v>
      </c>
      <c r="H746" t="s">
        <v>25</v>
      </c>
      <c r="I746" t="s">
        <v>24</v>
      </c>
      <c r="J746" s="2">
        <v>45323</v>
      </c>
      <c r="K746" t="s">
        <v>25</v>
      </c>
      <c r="L746">
        <v>44113</v>
      </c>
      <c r="M746">
        <v>264</v>
      </c>
      <c r="N746">
        <v>314</v>
      </c>
      <c r="O746" s="4">
        <v>11900</v>
      </c>
      <c r="P746" s="4">
        <v>16558.642578125</v>
      </c>
      <c r="Q746" s="5">
        <f t="shared" si="44"/>
        <v>0.39148256959033612</v>
      </c>
      <c r="R746" s="4">
        <v>17926.1866414539</v>
      </c>
      <c r="S746" s="5">
        <f t="shared" si="45"/>
        <v>0.50640223877763857</v>
      </c>
      <c r="T746" s="4">
        <v>11798.714814873571</v>
      </c>
      <c r="U746" s="5">
        <f t="shared" si="46"/>
        <v>-8.511360094657916E-3</v>
      </c>
      <c r="V746" s="4">
        <v>16276.4736328125</v>
      </c>
      <c r="W746" s="5">
        <f t="shared" si="47"/>
        <v>0.36777089351365544</v>
      </c>
    </row>
    <row r="747" spans="1:23" x14ac:dyDescent="0.25">
      <c r="A747" t="s">
        <v>1082</v>
      </c>
      <c r="B747">
        <v>2017</v>
      </c>
      <c r="C747" t="s">
        <v>167</v>
      </c>
      <c r="D747" t="s">
        <v>168</v>
      </c>
      <c r="E747">
        <v>80228</v>
      </c>
      <c r="F747" t="s">
        <v>55</v>
      </c>
      <c r="G747" t="s">
        <v>34</v>
      </c>
      <c r="H747" t="s">
        <v>25</v>
      </c>
      <c r="I747" t="s">
        <v>24</v>
      </c>
      <c r="J747" s="2">
        <v>45449</v>
      </c>
      <c r="K747" t="s">
        <v>25</v>
      </c>
      <c r="L747">
        <v>44113</v>
      </c>
      <c r="M747">
        <v>264</v>
      </c>
      <c r="N747">
        <v>314</v>
      </c>
      <c r="O747" s="4">
        <v>7200</v>
      </c>
      <c r="P747" s="4">
        <v>5683.70556640625</v>
      </c>
      <c r="Q747" s="5">
        <f t="shared" si="44"/>
        <v>-0.210596449110243</v>
      </c>
      <c r="R747" s="4">
        <v>5048.7628257537672</v>
      </c>
      <c r="S747" s="5">
        <f t="shared" si="45"/>
        <v>-0.29878294086753232</v>
      </c>
      <c r="T747" s="4">
        <v>4937.1779257544822</v>
      </c>
      <c r="U747" s="5">
        <f t="shared" si="46"/>
        <v>-0.31428084364521081</v>
      </c>
      <c r="V747" s="4">
        <v>5761.9912109375</v>
      </c>
      <c r="W747" s="5">
        <f t="shared" si="47"/>
        <v>-0.19972344292534727</v>
      </c>
    </row>
    <row r="748" spans="1:23" x14ac:dyDescent="0.25">
      <c r="A748" t="s">
        <v>1083</v>
      </c>
      <c r="B748">
        <v>2016</v>
      </c>
      <c r="C748" t="s">
        <v>167</v>
      </c>
      <c r="D748" t="s">
        <v>168</v>
      </c>
      <c r="E748">
        <v>109120</v>
      </c>
      <c r="F748" t="s">
        <v>382</v>
      </c>
      <c r="G748" t="s">
        <v>38</v>
      </c>
      <c r="H748" t="s">
        <v>25</v>
      </c>
      <c r="I748" t="s">
        <v>24</v>
      </c>
      <c r="J748" s="2">
        <v>45454</v>
      </c>
      <c r="K748" t="s">
        <v>25</v>
      </c>
      <c r="L748">
        <v>44113</v>
      </c>
      <c r="M748">
        <v>264</v>
      </c>
      <c r="N748">
        <v>314</v>
      </c>
      <c r="O748" s="4">
        <v>6100</v>
      </c>
      <c r="P748" s="4">
        <v>3031.43310546875</v>
      </c>
      <c r="Q748" s="5">
        <f t="shared" si="44"/>
        <v>-0.50304375320184425</v>
      </c>
      <c r="R748" s="4">
        <v>3331.4119974354489</v>
      </c>
      <c r="S748" s="5">
        <f t="shared" si="45"/>
        <v>-0.45386688566631983</v>
      </c>
      <c r="T748" s="4">
        <v>3142.3568294306101</v>
      </c>
      <c r="U748" s="5">
        <f t="shared" si="46"/>
        <v>-0.48485953615891642</v>
      </c>
      <c r="V748" s="4">
        <v>2921.544677734375</v>
      </c>
      <c r="W748" s="5">
        <f t="shared" si="47"/>
        <v>-0.52105824955174174</v>
      </c>
    </row>
    <row r="749" spans="1:23" x14ac:dyDescent="0.25">
      <c r="A749" t="s">
        <v>1084</v>
      </c>
      <c r="B749">
        <v>2013</v>
      </c>
      <c r="C749" t="s">
        <v>167</v>
      </c>
      <c r="D749" t="s">
        <v>168</v>
      </c>
      <c r="E749">
        <v>107381</v>
      </c>
      <c r="F749" t="s">
        <v>77</v>
      </c>
      <c r="G749" t="s">
        <v>34</v>
      </c>
      <c r="H749" t="s">
        <v>25</v>
      </c>
      <c r="I749" t="s">
        <v>24</v>
      </c>
      <c r="J749" s="2">
        <v>45456</v>
      </c>
      <c r="K749" t="s">
        <v>25</v>
      </c>
      <c r="L749">
        <v>44113</v>
      </c>
      <c r="M749">
        <v>264</v>
      </c>
      <c r="N749">
        <v>314</v>
      </c>
      <c r="O749" s="4">
        <v>2700</v>
      </c>
      <c r="P749" s="4">
        <v>2406.348388671875</v>
      </c>
      <c r="Q749" s="5">
        <f t="shared" si="44"/>
        <v>-0.10875985604745375</v>
      </c>
      <c r="R749" s="4">
        <v>3518.419883999763</v>
      </c>
      <c r="S749" s="5">
        <f t="shared" si="45"/>
        <v>0.30311847555546767</v>
      </c>
      <c r="T749" s="4">
        <v>3085.4390160714752</v>
      </c>
      <c r="U749" s="5">
        <f t="shared" si="46"/>
        <v>0.1427551911375835</v>
      </c>
      <c r="V749" s="4">
        <v>2292.2021484375</v>
      </c>
      <c r="W749" s="5">
        <f t="shared" si="47"/>
        <v>-0.15103624131944449</v>
      </c>
    </row>
    <row r="750" spans="1:23" x14ac:dyDescent="0.25">
      <c r="A750" t="s">
        <v>1085</v>
      </c>
      <c r="B750">
        <v>2017</v>
      </c>
      <c r="C750" t="s">
        <v>167</v>
      </c>
      <c r="D750" t="s">
        <v>171</v>
      </c>
      <c r="E750">
        <v>108107</v>
      </c>
      <c r="F750" t="s">
        <v>82</v>
      </c>
      <c r="G750" t="s">
        <v>30</v>
      </c>
      <c r="H750" t="s">
        <v>24</v>
      </c>
      <c r="I750" t="s">
        <v>25</v>
      </c>
      <c r="J750" s="2">
        <v>45365</v>
      </c>
      <c r="K750" t="s">
        <v>25</v>
      </c>
      <c r="L750">
        <v>44113</v>
      </c>
      <c r="M750">
        <v>264</v>
      </c>
      <c r="N750">
        <v>314</v>
      </c>
      <c r="O750" s="4">
        <v>11200</v>
      </c>
      <c r="P750" s="4">
        <v>3361.73046875</v>
      </c>
      <c r="Q750" s="5">
        <f t="shared" si="44"/>
        <v>-0.69984549386160722</v>
      </c>
      <c r="R750" s="4">
        <v>3505.079472491313</v>
      </c>
      <c r="S750" s="5">
        <f t="shared" si="45"/>
        <v>-0.68704647567041843</v>
      </c>
      <c r="T750" s="4">
        <v>3616.5230929059071</v>
      </c>
      <c r="U750" s="5">
        <f t="shared" si="46"/>
        <v>-0.67709615241911547</v>
      </c>
      <c r="V750" s="4">
        <v>3286.4150390625</v>
      </c>
      <c r="W750" s="5">
        <f t="shared" si="47"/>
        <v>-0.70657008579799108</v>
      </c>
    </row>
    <row r="751" spans="1:23" x14ac:dyDescent="0.25">
      <c r="A751" t="s">
        <v>1086</v>
      </c>
      <c r="B751">
        <v>2017</v>
      </c>
      <c r="C751" t="s">
        <v>167</v>
      </c>
      <c r="D751" t="s">
        <v>171</v>
      </c>
      <c r="E751">
        <v>92208</v>
      </c>
      <c r="F751" t="s">
        <v>98</v>
      </c>
      <c r="G751" t="s">
        <v>38</v>
      </c>
      <c r="H751" t="s">
        <v>25</v>
      </c>
      <c r="I751" t="s">
        <v>24</v>
      </c>
      <c r="J751" s="2">
        <v>45715</v>
      </c>
      <c r="K751" t="s">
        <v>25</v>
      </c>
      <c r="L751">
        <v>44113</v>
      </c>
      <c r="M751">
        <v>264</v>
      </c>
      <c r="N751">
        <v>314</v>
      </c>
      <c r="O751" s="4">
        <v>8100</v>
      </c>
      <c r="P751" s="4">
        <v>5940.3759765625</v>
      </c>
      <c r="Q751" s="5">
        <f t="shared" si="44"/>
        <v>-0.26662024980709875</v>
      </c>
      <c r="R751" s="4">
        <v>8048.7731861467237</v>
      </c>
      <c r="S751" s="5">
        <f t="shared" si="45"/>
        <v>-6.3242980065773002E-3</v>
      </c>
      <c r="T751" s="4">
        <v>7999.1762870524381</v>
      </c>
      <c r="U751" s="5">
        <f t="shared" si="46"/>
        <v>-1.2447371968834831E-2</v>
      </c>
      <c r="V751" s="4">
        <v>5280.5537109375</v>
      </c>
      <c r="W751" s="5">
        <f t="shared" si="47"/>
        <v>-0.34807978877314816</v>
      </c>
    </row>
    <row r="752" spans="1:23" x14ac:dyDescent="0.25">
      <c r="A752" t="s">
        <v>1087</v>
      </c>
      <c r="B752">
        <v>2016</v>
      </c>
      <c r="C752" t="s">
        <v>167</v>
      </c>
      <c r="D752" t="s">
        <v>171</v>
      </c>
      <c r="E752">
        <v>175378</v>
      </c>
      <c r="F752" t="s">
        <v>66</v>
      </c>
      <c r="G752" t="s">
        <v>23</v>
      </c>
      <c r="H752" t="s">
        <v>24</v>
      </c>
      <c r="I752" t="s">
        <v>25</v>
      </c>
      <c r="J752" s="2">
        <v>45512</v>
      </c>
      <c r="K752" t="s">
        <v>25</v>
      </c>
      <c r="L752">
        <v>44113</v>
      </c>
      <c r="M752">
        <v>264</v>
      </c>
      <c r="N752">
        <v>314</v>
      </c>
      <c r="O752" s="4">
        <v>3000</v>
      </c>
      <c r="P752" s="4">
        <v>1795.244262695312</v>
      </c>
      <c r="Q752" s="5">
        <f t="shared" si="44"/>
        <v>-0.40158524576822929</v>
      </c>
      <c r="R752" s="4">
        <v>1667.321538370679</v>
      </c>
      <c r="S752" s="5">
        <f t="shared" si="45"/>
        <v>-0.44422615387644027</v>
      </c>
      <c r="T752" s="4">
        <v>1805.762561183192</v>
      </c>
      <c r="U752" s="5">
        <f t="shared" si="46"/>
        <v>-0.39807914627226937</v>
      </c>
      <c r="V752" s="4">
        <v>1802.579833984375</v>
      </c>
      <c r="W752" s="5">
        <f t="shared" si="47"/>
        <v>-0.39914005533854169</v>
      </c>
    </row>
    <row r="753" spans="1:23" x14ac:dyDescent="0.25">
      <c r="A753" t="s">
        <v>1088</v>
      </c>
      <c r="B753">
        <v>2019</v>
      </c>
      <c r="C753" t="s">
        <v>167</v>
      </c>
      <c r="D753" t="s">
        <v>171</v>
      </c>
      <c r="E753">
        <v>70755</v>
      </c>
      <c r="F753" t="s">
        <v>334</v>
      </c>
      <c r="G753" t="s">
        <v>34</v>
      </c>
      <c r="H753" t="s">
        <v>25</v>
      </c>
      <c r="I753" t="s">
        <v>24</v>
      </c>
      <c r="J753" s="2">
        <v>45645</v>
      </c>
      <c r="K753" t="s">
        <v>25</v>
      </c>
      <c r="L753">
        <v>44113</v>
      </c>
      <c r="M753">
        <v>264</v>
      </c>
      <c r="N753">
        <v>314</v>
      </c>
      <c r="O753" s="4">
        <v>12600</v>
      </c>
      <c r="P753" s="4">
        <v>6440.7099609375</v>
      </c>
      <c r="Q753" s="5">
        <f t="shared" si="44"/>
        <v>-0.48883254278273813</v>
      </c>
      <c r="R753" s="4">
        <v>6940.8948509464144</v>
      </c>
      <c r="S753" s="5">
        <f t="shared" si="45"/>
        <v>-0.44913532928996713</v>
      </c>
      <c r="T753" s="4">
        <v>7640.5408934382594</v>
      </c>
      <c r="U753" s="5">
        <f t="shared" si="46"/>
        <v>-0.39360786560013816</v>
      </c>
      <c r="V753" s="4">
        <v>6292.732421875</v>
      </c>
      <c r="W753" s="5">
        <f t="shared" si="47"/>
        <v>-0.50057679191468252</v>
      </c>
    </row>
    <row r="754" spans="1:23" x14ac:dyDescent="0.25">
      <c r="A754" t="s">
        <v>1089</v>
      </c>
      <c r="B754">
        <v>2015</v>
      </c>
      <c r="C754" t="s">
        <v>167</v>
      </c>
      <c r="D754" t="s">
        <v>171</v>
      </c>
      <c r="E754">
        <v>170307</v>
      </c>
      <c r="F754" t="s">
        <v>22</v>
      </c>
      <c r="G754" t="s">
        <v>23</v>
      </c>
      <c r="H754" t="s">
        <v>24</v>
      </c>
      <c r="I754" t="s">
        <v>25</v>
      </c>
      <c r="J754" s="2">
        <v>45526</v>
      </c>
      <c r="K754" t="s">
        <v>25</v>
      </c>
      <c r="L754">
        <v>44113</v>
      </c>
      <c r="M754">
        <v>264</v>
      </c>
      <c r="N754">
        <v>314</v>
      </c>
      <c r="O754" s="4">
        <v>8500</v>
      </c>
      <c r="P754" s="4">
        <v>1891.584594726562</v>
      </c>
      <c r="Q754" s="5">
        <f t="shared" si="44"/>
        <v>-0.77746063591452208</v>
      </c>
      <c r="R754" s="4">
        <v>1614.219567160284</v>
      </c>
      <c r="S754" s="5">
        <f t="shared" si="45"/>
        <v>-0.81009181562820187</v>
      </c>
      <c r="T754" s="4">
        <v>1977.822416696861</v>
      </c>
      <c r="U754" s="5">
        <f t="shared" si="46"/>
        <v>-0.76731500980036926</v>
      </c>
      <c r="V754" s="4">
        <v>1838.3515625</v>
      </c>
      <c r="W754" s="5">
        <f t="shared" si="47"/>
        <v>-0.78372334558823531</v>
      </c>
    </row>
    <row r="755" spans="1:23" x14ac:dyDescent="0.25">
      <c r="A755" t="s">
        <v>1090</v>
      </c>
      <c r="B755">
        <v>2015</v>
      </c>
      <c r="C755" t="s">
        <v>167</v>
      </c>
      <c r="D755" t="s">
        <v>171</v>
      </c>
      <c r="E755">
        <v>102203</v>
      </c>
      <c r="F755" t="s">
        <v>66</v>
      </c>
      <c r="G755" t="s">
        <v>23</v>
      </c>
      <c r="H755" t="s">
        <v>24</v>
      </c>
      <c r="I755" t="s">
        <v>25</v>
      </c>
      <c r="J755" s="2">
        <v>45617</v>
      </c>
      <c r="K755" t="s">
        <v>25</v>
      </c>
      <c r="L755">
        <v>44113</v>
      </c>
      <c r="M755">
        <v>264</v>
      </c>
      <c r="N755">
        <v>314</v>
      </c>
      <c r="O755" s="4">
        <v>2800</v>
      </c>
      <c r="P755" s="4">
        <v>2909.1982421875</v>
      </c>
      <c r="Q755" s="5">
        <f t="shared" si="44"/>
        <v>3.8999372209821415E-2</v>
      </c>
      <c r="R755" s="4">
        <v>2995.5781233035009</v>
      </c>
      <c r="S755" s="5">
        <f t="shared" si="45"/>
        <v>6.9849329751250355E-2</v>
      </c>
      <c r="T755" s="4">
        <v>3056.8515337169761</v>
      </c>
      <c r="U755" s="5">
        <f t="shared" si="46"/>
        <v>9.1732690613205659E-2</v>
      </c>
      <c r="V755" s="4">
        <v>2882.689697265625</v>
      </c>
      <c r="W755" s="5">
        <f t="shared" si="47"/>
        <v>2.9532034737723256E-2</v>
      </c>
    </row>
    <row r="756" spans="1:23" x14ac:dyDescent="0.25">
      <c r="A756" t="s">
        <v>1091</v>
      </c>
      <c r="B756">
        <v>2016</v>
      </c>
      <c r="C756" t="s">
        <v>167</v>
      </c>
      <c r="D756" t="s">
        <v>171</v>
      </c>
      <c r="E756">
        <v>116298</v>
      </c>
      <c r="F756" t="s">
        <v>29</v>
      </c>
      <c r="G756" t="s">
        <v>34</v>
      </c>
      <c r="H756" t="s">
        <v>25</v>
      </c>
      <c r="I756" t="s">
        <v>24</v>
      </c>
      <c r="J756" s="2">
        <v>45701</v>
      </c>
      <c r="K756" t="s">
        <v>25</v>
      </c>
      <c r="L756">
        <v>44113</v>
      </c>
      <c r="M756">
        <v>264</v>
      </c>
      <c r="N756">
        <v>314</v>
      </c>
      <c r="O756" s="4">
        <v>4400</v>
      </c>
      <c r="P756" s="4">
        <v>3334.951171875</v>
      </c>
      <c r="Q756" s="5">
        <f t="shared" si="44"/>
        <v>-0.24205655184659092</v>
      </c>
      <c r="R756" s="4">
        <v>5131.1525835505172</v>
      </c>
      <c r="S756" s="5">
        <f t="shared" si="45"/>
        <v>0.1661710417160267</v>
      </c>
      <c r="T756" s="4">
        <v>4604.9029410943276</v>
      </c>
      <c r="U756" s="5">
        <f t="shared" si="46"/>
        <v>4.6568850248710714E-2</v>
      </c>
      <c r="V756" s="4">
        <v>2976.114501953125</v>
      </c>
      <c r="W756" s="5">
        <f t="shared" si="47"/>
        <v>-0.32361034046519888</v>
      </c>
    </row>
    <row r="757" spans="1:23" x14ac:dyDescent="0.25">
      <c r="A757" t="s">
        <v>1092</v>
      </c>
      <c r="B757">
        <v>2011</v>
      </c>
      <c r="C757" t="s">
        <v>167</v>
      </c>
      <c r="D757" t="s">
        <v>171</v>
      </c>
      <c r="E757">
        <v>187031</v>
      </c>
      <c r="F757" t="s">
        <v>115</v>
      </c>
      <c r="G757" t="s">
        <v>30</v>
      </c>
      <c r="H757" t="s">
        <v>24</v>
      </c>
      <c r="I757" t="s">
        <v>25</v>
      </c>
      <c r="J757" s="2">
        <v>45510</v>
      </c>
      <c r="K757" t="s">
        <v>25</v>
      </c>
      <c r="L757">
        <v>44113</v>
      </c>
      <c r="M757">
        <v>264</v>
      </c>
      <c r="N757">
        <v>314</v>
      </c>
      <c r="O757" s="4">
        <v>2600</v>
      </c>
      <c r="P757" s="4">
        <v>1013.692810058594</v>
      </c>
      <c r="Q757" s="5">
        <f t="shared" si="44"/>
        <v>-0.61011814997746383</v>
      </c>
      <c r="R757" s="4">
        <v>629.83626579587326</v>
      </c>
      <c r="S757" s="5">
        <f t="shared" si="45"/>
        <v>-0.7577552823862026</v>
      </c>
      <c r="T757" s="4">
        <v>1378.688784769043</v>
      </c>
      <c r="U757" s="5">
        <f t="shared" si="46"/>
        <v>-0.46973508278113729</v>
      </c>
      <c r="V757" s="4">
        <v>1205.018920898438</v>
      </c>
      <c r="W757" s="5">
        <f t="shared" si="47"/>
        <v>-0.53653118426983148</v>
      </c>
    </row>
    <row r="758" spans="1:23" x14ac:dyDescent="0.25">
      <c r="A758" t="s">
        <v>1093</v>
      </c>
      <c r="B758">
        <v>2013</v>
      </c>
      <c r="C758" t="s">
        <v>167</v>
      </c>
      <c r="D758" t="s">
        <v>171</v>
      </c>
      <c r="E758">
        <v>134522</v>
      </c>
      <c r="F758" t="s">
        <v>89</v>
      </c>
      <c r="G758" t="s">
        <v>30</v>
      </c>
      <c r="H758" t="s">
        <v>24</v>
      </c>
      <c r="I758" t="s">
        <v>25</v>
      </c>
      <c r="J758" s="2">
        <v>45659</v>
      </c>
      <c r="K758" t="s">
        <v>25</v>
      </c>
      <c r="L758">
        <v>44113</v>
      </c>
      <c r="M758">
        <v>264</v>
      </c>
      <c r="N758">
        <v>314</v>
      </c>
      <c r="O758" s="4">
        <v>7400</v>
      </c>
      <c r="P758" s="4">
        <v>1555.816284179688</v>
      </c>
      <c r="Q758" s="5">
        <f t="shared" si="44"/>
        <v>-0.78975455619193402</v>
      </c>
      <c r="R758" s="4">
        <v>1735.7052452024891</v>
      </c>
      <c r="S758" s="5">
        <f t="shared" si="45"/>
        <v>-0.76544523713479884</v>
      </c>
      <c r="T758" s="4">
        <v>2244.7774636753802</v>
      </c>
      <c r="U758" s="5">
        <f t="shared" si="46"/>
        <v>-0.6966516940979216</v>
      </c>
      <c r="V758" s="4">
        <v>1564.289916992188</v>
      </c>
      <c r="W758" s="5">
        <f t="shared" si="47"/>
        <v>-0.78860947067673137</v>
      </c>
    </row>
    <row r="759" spans="1:23" x14ac:dyDescent="0.25">
      <c r="A759" t="s">
        <v>1094</v>
      </c>
      <c r="B759">
        <v>2016</v>
      </c>
      <c r="C759" t="s">
        <v>302</v>
      </c>
      <c r="D759" t="s">
        <v>669</v>
      </c>
      <c r="E759">
        <v>61010</v>
      </c>
      <c r="F759" t="s">
        <v>72</v>
      </c>
      <c r="G759" t="s">
        <v>38</v>
      </c>
      <c r="H759" t="s">
        <v>25</v>
      </c>
      <c r="I759" t="s">
        <v>24</v>
      </c>
      <c r="J759" s="2">
        <v>45370</v>
      </c>
      <c r="K759" t="s">
        <v>25</v>
      </c>
      <c r="L759">
        <v>44113</v>
      </c>
      <c r="M759">
        <v>264</v>
      </c>
      <c r="N759">
        <v>314</v>
      </c>
      <c r="O759" s="4">
        <v>14200</v>
      </c>
      <c r="P759" s="4">
        <v>13042.8037109375</v>
      </c>
      <c r="Q759" s="5">
        <f t="shared" si="44"/>
        <v>-8.1492696412852061E-2</v>
      </c>
      <c r="R759" s="4">
        <v>13137.50584634929</v>
      </c>
      <c r="S759" s="5">
        <f t="shared" si="45"/>
        <v>-7.4823531947233124E-2</v>
      </c>
      <c r="T759" s="4">
        <v>13150.70475319754</v>
      </c>
      <c r="U759" s="5">
        <f t="shared" si="46"/>
        <v>-7.3894031464961984E-2</v>
      </c>
      <c r="V759" s="4">
        <v>13045.365234375</v>
      </c>
      <c r="W759" s="5">
        <f t="shared" si="47"/>
        <v>-8.1312307438380249E-2</v>
      </c>
    </row>
    <row r="760" spans="1:23" x14ac:dyDescent="0.25">
      <c r="A760" t="s">
        <v>1095</v>
      </c>
      <c r="B760">
        <v>2015</v>
      </c>
      <c r="C760" t="s">
        <v>156</v>
      </c>
      <c r="D760" t="s">
        <v>173</v>
      </c>
      <c r="E760">
        <v>146792</v>
      </c>
      <c r="F760" t="s">
        <v>111</v>
      </c>
      <c r="G760" t="s">
        <v>30</v>
      </c>
      <c r="H760" t="s">
        <v>24</v>
      </c>
      <c r="I760" t="s">
        <v>25</v>
      </c>
      <c r="J760" s="2">
        <v>45421</v>
      </c>
      <c r="K760" t="s">
        <v>25</v>
      </c>
      <c r="L760">
        <v>44113</v>
      </c>
      <c r="M760">
        <v>264</v>
      </c>
      <c r="N760">
        <v>314</v>
      </c>
      <c r="O760" s="4">
        <v>8500</v>
      </c>
      <c r="P760" s="4">
        <v>1483.193237304688</v>
      </c>
      <c r="Q760" s="5">
        <f t="shared" si="44"/>
        <v>-0.82550667796415433</v>
      </c>
      <c r="R760" s="4">
        <v>1488.981779444797</v>
      </c>
      <c r="S760" s="5">
        <f t="shared" si="45"/>
        <v>-0.82482567300649445</v>
      </c>
      <c r="T760" s="4">
        <v>1876.3099340346871</v>
      </c>
      <c r="U760" s="5">
        <f t="shared" si="46"/>
        <v>-0.77925765481944853</v>
      </c>
      <c r="V760" s="4">
        <v>1459.436401367188</v>
      </c>
      <c r="W760" s="5">
        <f t="shared" si="47"/>
        <v>-0.8283015998391543</v>
      </c>
    </row>
    <row r="761" spans="1:23" x14ac:dyDescent="0.25">
      <c r="A761" t="s">
        <v>1096</v>
      </c>
      <c r="B761">
        <v>2013</v>
      </c>
      <c r="C761" t="s">
        <v>156</v>
      </c>
      <c r="D761" t="s">
        <v>173</v>
      </c>
      <c r="E761">
        <v>105906</v>
      </c>
      <c r="F761" t="s">
        <v>334</v>
      </c>
      <c r="G761" t="s">
        <v>30</v>
      </c>
      <c r="H761" t="s">
        <v>24</v>
      </c>
      <c r="I761" t="s">
        <v>25</v>
      </c>
      <c r="J761" s="2">
        <v>45351</v>
      </c>
      <c r="K761" t="s">
        <v>25</v>
      </c>
      <c r="L761">
        <v>44113</v>
      </c>
      <c r="M761">
        <v>264</v>
      </c>
      <c r="N761">
        <v>314</v>
      </c>
      <c r="O761" s="4">
        <v>2000</v>
      </c>
      <c r="P761" s="4">
        <v>2113.227294921875</v>
      </c>
      <c r="Q761" s="5">
        <f t="shared" si="44"/>
        <v>5.6613647460937555E-2</v>
      </c>
      <c r="R761" s="4">
        <v>2247.4265815612021</v>
      </c>
      <c r="S761" s="5">
        <f t="shared" si="45"/>
        <v>0.12371329078060112</v>
      </c>
      <c r="T761" s="4">
        <v>2320.181623565777</v>
      </c>
      <c r="U761" s="5">
        <f t="shared" si="46"/>
        <v>0.16009081178288853</v>
      </c>
      <c r="V761" s="4">
        <v>2020.225341796875</v>
      </c>
      <c r="W761" s="5">
        <f t="shared" si="47"/>
        <v>1.0112670898437592E-2</v>
      </c>
    </row>
    <row r="762" spans="1:23" x14ac:dyDescent="0.25">
      <c r="A762" t="s">
        <v>1097</v>
      </c>
      <c r="B762">
        <v>2013</v>
      </c>
      <c r="C762" t="s">
        <v>156</v>
      </c>
      <c r="D762" t="s">
        <v>173</v>
      </c>
      <c r="E762">
        <v>133095</v>
      </c>
      <c r="F762" t="s">
        <v>89</v>
      </c>
      <c r="G762" t="s">
        <v>30</v>
      </c>
      <c r="H762" t="s">
        <v>24</v>
      </c>
      <c r="I762" t="s">
        <v>25</v>
      </c>
      <c r="J762" s="2">
        <v>45645</v>
      </c>
      <c r="K762" t="s">
        <v>25</v>
      </c>
      <c r="L762">
        <v>44113</v>
      </c>
      <c r="M762">
        <v>264</v>
      </c>
      <c r="N762">
        <v>314</v>
      </c>
      <c r="O762" s="4">
        <v>2300</v>
      </c>
      <c r="P762" s="4">
        <v>1783.713989257812</v>
      </c>
      <c r="Q762" s="5">
        <f t="shared" si="44"/>
        <v>-0.22447217858355994</v>
      </c>
      <c r="R762" s="4">
        <v>1496.413453394516</v>
      </c>
      <c r="S762" s="5">
        <f t="shared" si="45"/>
        <v>-0.3493854550458626</v>
      </c>
      <c r="T762" s="4">
        <v>1840.079978889944</v>
      </c>
      <c r="U762" s="5">
        <f t="shared" si="46"/>
        <v>-0.19996522656958959</v>
      </c>
      <c r="V762" s="4">
        <v>1702.28759765625</v>
      </c>
      <c r="W762" s="5">
        <f t="shared" si="47"/>
        <v>-0.25987495754076084</v>
      </c>
    </row>
    <row r="763" spans="1:23" x14ac:dyDescent="0.25">
      <c r="A763" t="s">
        <v>1098</v>
      </c>
      <c r="B763">
        <v>2014</v>
      </c>
      <c r="C763" t="s">
        <v>156</v>
      </c>
      <c r="D763" t="s">
        <v>173</v>
      </c>
      <c r="E763">
        <v>109351</v>
      </c>
      <c r="F763" t="s">
        <v>115</v>
      </c>
      <c r="G763" t="s">
        <v>30</v>
      </c>
      <c r="H763" t="s">
        <v>24</v>
      </c>
      <c r="I763" t="s">
        <v>25</v>
      </c>
      <c r="J763" s="2">
        <v>45603</v>
      </c>
      <c r="K763" t="s">
        <v>25</v>
      </c>
      <c r="L763">
        <v>44113</v>
      </c>
      <c r="M763">
        <v>264</v>
      </c>
      <c r="N763">
        <v>314</v>
      </c>
      <c r="O763" s="4">
        <v>2300</v>
      </c>
      <c r="P763" s="4">
        <v>2676.1103515625</v>
      </c>
      <c r="Q763" s="5">
        <f t="shared" si="44"/>
        <v>0.16352623980978254</v>
      </c>
      <c r="R763" s="4">
        <v>2696.9920018297248</v>
      </c>
      <c r="S763" s="5">
        <f t="shared" si="45"/>
        <v>0.17260521818683694</v>
      </c>
      <c r="T763" s="4">
        <v>2603.477268653854</v>
      </c>
      <c r="U763" s="5">
        <f t="shared" si="46"/>
        <v>0.13194663854515398</v>
      </c>
      <c r="V763" s="4">
        <v>2569.691650390625</v>
      </c>
      <c r="W763" s="5">
        <f t="shared" si="47"/>
        <v>0.11725723930027177</v>
      </c>
    </row>
    <row r="764" spans="1:23" x14ac:dyDescent="0.25">
      <c r="A764" t="s">
        <v>1099</v>
      </c>
      <c r="B764">
        <v>2017</v>
      </c>
      <c r="C764" t="s">
        <v>156</v>
      </c>
      <c r="D764" t="s">
        <v>173</v>
      </c>
      <c r="E764">
        <v>96196</v>
      </c>
      <c r="F764" t="s">
        <v>82</v>
      </c>
      <c r="G764" t="s">
        <v>30</v>
      </c>
      <c r="H764" t="s">
        <v>24</v>
      </c>
      <c r="I764" t="s">
        <v>25</v>
      </c>
      <c r="J764" s="2">
        <v>45398</v>
      </c>
      <c r="K764" t="s">
        <v>25</v>
      </c>
      <c r="L764">
        <v>44113</v>
      </c>
      <c r="M764">
        <v>264</v>
      </c>
      <c r="N764">
        <v>314</v>
      </c>
      <c r="O764" s="4">
        <v>12700</v>
      </c>
      <c r="P764" s="4">
        <v>3968.30615234375</v>
      </c>
      <c r="Q764" s="5">
        <f t="shared" si="44"/>
        <v>-0.68753494863435038</v>
      </c>
      <c r="R764" s="4">
        <v>3642.8389843020891</v>
      </c>
      <c r="S764" s="5">
        <f t="shared" si="45"/>
        <v>-0.71316228470062293</v>
      </c>
      <c r="T764" s="4">
        <v>3709.363004129616</v>
      </c>
      <c r="U764" s="5">
        <f t="shared" si="46"/>
        <v>-0.70792417290317977</v>
      </c>
      <c r="V764" s="4">
        <v>4033.624267578125</v>
      </c>
      <c r="W764" s="5">
        <f t="shared" si="47"/>
        <v>-0.68239178995447836</v>
      </c>
    </row>
    <row r="765" spans="1:23" x14ac:dyDescent="0.25">
      <c r="A765" t="s">
        <v>1100</v>
      </c>
      <c r="B765">
        <v>2018</v>
      </c>
      <c r="C765" t="s">
        <v>156</v>
      </c>
      <c r="D765" t="s">
        <v>173</v>
      </c>
      <c r="E765">
        <v>98567</v>
      </c>
      <c r="F765" t="s">
        <v>89</v>
      </c>
      <c r="G765" t="s">
        <v>38</v>
      </c>
      <c r="H765" t="s">
        <v>25</v>
      </c>
      <c r="I765" t="s">
        <v>24</v>
      </c>
      <c r="J765" s="2">
        <v>45302</v>
      </c>
      <c r="K765" t="s">
        <v>25</v>
      </c>
      <c r="L765">
        <v>44113</v>
      </c>
      <c r="M765">
        <v>264</v>
      </c>
      <c r="N765">
        <v>314</v>
      </c>
      <c r="O765" s="4">
        <v>12300</v>
      </c>
      <c r="P765" s="4">
        <v>5118.10302734375</v>
      </c>
      <c r="Q765" s="5">
        <f t="shared" si="44"/>
        <v>-0.58389406281758127</v>
      </c>
      <c r="R765" s="4">
        <v>4354.616346905982</v>
      </c>
      <c r="S765" s="5">
        <f t="shared" si="45"/>
        <v>-0.6459661506580503</v>
      </c>
      <c r="T765" s="4">
        <v>4434.0454605743598</v>
      </c>
      <c r="U765" s="5">
        <f t="shared" si="46"/>
        <v>-0.63950849914029595</v>
      </c>
      <c r="V765" s="4">
        <v>5091.69189453125</v>
      </c>
      <c r="W765" s="5">
        <f t="shared" si="47"/>
        <v>-0.58604130938770327</v>
      </c>
    </row>
    <row r="766" spans="1:23" x14ac:dyDescent="0.25">
      <c r="A766" t="s">
        <v>1101</v>
      </c>
      <c r="B766">
        <v>2019</v>
      </c>
      <c r="C766" t="s">
        <v>156</v>
      </c>
      <c r="D766" t="s">
        <v>173</v>
      </c>
      <c r="E766">
        <v>36281</v>
      </c>
      <c r="F766" t="s">
        <v>174</v>
      </c>
      <c r="G766" t="s">
        <v>44</v>
      </c>
      <c r="H766" t="s">
        <v>25</v>
      </c>
      <c r="I766" t="s">
        <v>24</v>
      </c>
      <c r="J766" s="2">
        <v>45337</v>
      </c>
      <c r="K766" t="s">
        <v>25</v>
      </c>
      <c r="L766">
        <v>44113</v>
      </c>
      <c r="M766">
        <v>264</v>
      </c>
      <c r="N766">
        <v>314</v>
      </c>
      <c r="O766" s="4">
        <v>11400</v>
      </c>
      <c r="P766" s="4">
        <v>13139.2373046875</v>
      </c>
      <c r="Q766" s="5">
        <f t="shared" si="44"/>
        <v>0.15256467584978073</v>
      </c>
      <c r="R766" s="4">
        <v>17111.402821221349</v>
      </c>
      <c r="S766" s="5">
        <f t="shared" si="45"/>
        <v>0.50100024747555683</v>
      </c>
      <c r="T766" s="4">
        <v>12684.9049423203</v>
      </c>
      <c r="U766" s="5">
        <f t="shared" si="46"/>
        <v>0.11271095985265789</v>
      </c>
      <c r="V766" s="4">
        <v>13530.267578125</v>
      </c>
      <c r="W766" s="5">
        <f t="shared" si="47"/>
        <v>0.18686557702850881</v>
      </c>
    </row>
    <row r="767" spans="1:23" x14ac:dyDescent="0.25">
      <c r="A767" t="s">
        <v>1102</v>
      </c>
      <c r="B767">
        <v>2017</v>
      </c>
      <c r="C767" t="s">
        <v>156</v>
      </c>
      <c r="D767" t="s">
        <v>173</v>
      </c>
      <c r="E767">
        <v>83440</v>
      </c>
      <c r="F767" t="s">
        <v>82</v>
      </c>
      <c r="G767" t="s">
        <v>30</v>
      </c>
      <c r="H767" t="s">
        <v>24</v>
      </c>
      <c r="I767" t="s">
        <v>25</v>
      </c>
      <c r="J767" s="2">
        <v>45594</v>
      </c>
      <c r="K767" t="s">
        <v>25</v>
      </c>
      <c r="L767">
        <v>44113</v>
      </c>
      <c r="M767">
        <v>264</v>
      </c>
      <c r="N767">
        <v>314</v>
      </c>
      <c r="O767" s="4">
        <v>2400</v>
      </c>
      <c r="P767" s="4">
        <v>4320.67626953125</v>
      </c>
      <c r="Q767" s="5">
        <f t="shared" si="44"/>
        <v>0.80028177897135411</v>
      </c>
      <c r="R767" s="4">
        <v>4255.1845422066463</v>
      </c>
      <c r="S767" s="5">
        <f t="shared" si="45"/>
        <v>0.77299355925276925</v>
      </c>
      <c r="T767" s="4">
        <v>3988.648592077644</v>
      </c>
      <c r="U767" s="5">
        <f t="shared" si="46"/>
        <v>0.66193691336568494</v>
      </c>
      <c r="V767" s="4">
        <v>4259.171875</v>
      </c>
      <c r="W767" s="5">
        <f t="shared" si="47"/>
        <v>0.77465494791666667</v>
      </c>
    </row>
    <row r="768" spans="1:23" x14ac:dyDescent="0.25">
      <c r="A768" t="s">
        <v>1103</v>
      </c>
      <c r="B768">
        <v>2011</v>
      </c>
      <c r="C768" t="s">
        <v>156</v>
      </c>
      <c r="D768" t="s">
        <v>178</v>
      </c>
      <c r="E768">
        <v>133423</v>
      </c>
      <c r="F768" t="s">
        <v>48</v>
      </c>
      <c r="G768" t="s">
        <v>30</v>
      </c>
      <c r="H768" t="s">
        <v>24</v>
      </c>
      <c r="I768" t="s">
        <v>25</v>
      </c>
      <c r="J768" s="2">
        <v>45680</v>
      </c>
      <c r="K768" t="s">
        <v>25</v>
      </c>
      <c r="L768">
        <v>44113</v>
      </c>
      <c r="M768">
        <v>264</v>
      </c>
      <c r="N768">
        <v>314</v>
      </c>
      <c r="O768" s="4">
        <v>2600</v>
      </c>
      <c r="P768" s="4">
        <v>1495.556518554688</v>
      </c>
      <c r="Q768" s="5">
        <f t="shared" si="44"/>
        <v>-0.42478595440204314</v>
      </c>
      <c r="R768" s="4">
        <v>1826.316044467505</v>
      </c>
      <c r="S768" s="5">
        <f t="shared" si="45"/>
        <v>-0.29757075212788275</v>
      </c>
      <c r="T768" s="4">
        <v>3547.839968253003</v>
      </c>
      <c r="U768" s="5">
        <f t="shared" si="46"/>
        <v>0.36455383394346264</v>
      </c>
      <c r="V768" s="4">
        <v>1459.436401367188</v>
      </c>
      <c r="W768" s="5">
        <f t="shared" si="47"/>
        <v>-0.43867830716646616</v>
      </c>
    </row>
    <row r="769" spans="1:23" x14ac:dyDescent="0.25">
      <c r="A769" t="s">
        <v>1104</v>
      </c>
      <c r="B769">
        <v>2011</v>
      </c>
      <c r="C769" t="s">
        <v>156</v>
      </c>
      <c r="D769" t="s">
        <v>1105</v>
      </c>
      <c r="E769">
        <v>166616</v>
      </c>
      <c r="F769" t="s">
        <v>79</v>
      </c>
      <c r="G769" t="s">
        <v>30</v>
      </c>
      <c r="H769" t="s">
        <v>24</v>
      </c>
      <c r="I769" t="s">
        <v>25</v>
      </c>
      <c r="J769" s="2">
        <v>45302</v>
      </c>
      <c r="K769" t="s">
        <v>25</v>
      </c>
      <c r="L769">
        <v>44113</v>
      </c>
      <c r="M769">
        <v>264</v>
      </c>
      <c r="N769">
        <v>314</v>
      </c>
      <c r="O769" s="4">
        <v>2200</v>
      </c>
      <c r="P769" s="4">
        <v>1099.23583984375</v>
      </c>
      <c r="Q769" s="5">
        <f t="shared" si="44"/>
        <v>-0.50034734552556825</v>
      </c>
      <c r="R769" s="4">
        <v>603.62543595476927</v>
      </c>
      <c r="S769" s="5">
        <f t="shared" si="45"/>
        <v>-0.72562480183874123</v>
      </c>
      <c r="T769" s="4">
        <v>2003.6673864376719</v>
      </c>
      <c r="U769" s="5">
        <f t="shared" si="46"/>
        <v>-8.9242097073785498E-2</v>
      </c>
      <c r="V769" s="4">
        <v>1205.018920898438</v>
      </c>
      <c r="W769" s="5">
        <f t="shared" si="47"/>
        <v>-0.45226412686434636</v>
      </c>
    </row>
    <row r="770" spans="1:23" x14ac:dyDescent="0.25">
      <c r="A770" t="s">
        <v>1106</v>
      </c>
      <c r="B770">
        <v>2012</v>
      </c>
      <c r="C770" t="s">
        <v>156</v>
      </c>
      <c r="D770" t="s">
        <v>1105</v>
      </c>
      <c r="E770">
        <v>96078</v>
      </c>
      <c r="F770" t="s">
        <v>79</v>
      </c>
      <c r="G770" t="s">
        <v>38</v>
      </c>
      <c r="H770" t="s">
        <v>25</v>
      </c>
      <c r="I770" t="s">
        <v>24</v>
      </c>
      <c r="J770" s="2">
        <v>45428</v>
      </c>
      <c r="K770" t="s">
        <v>25</v>
      </c>
      <c r="L770">
        <v>44113</v>
      </c>
      <c r="M770">
        <v>264</v>
      </c>
      <c r="N770">
        <v>314</v>
      </c>
      <c r="O770" s="4">
        <v>3200</v>
      </c>
      <c r="P770" s="4">
        <v>2863.98046875</v>
      </c>
      <c r="Q770" s="5">
        <f t="shared" si="44"/>
        <v>-0.105006103515625</v>
      </c>
      <c r="R770" s="4">
        <v>2233.9205837600089</v>
      </c>
      <c r="S770" s="5">
        <f t="shared" si="45"/>
        <v>-0.30189981757499718</v>
      </c>
      <c r="T770" s="4">
        <v>4685.6939613899513</v>
      </c>
      <c r="U770" s="5">
        <f t="shared" si="46"/>
        <v>0.46427936293435978</v>
      </c>
      <c r="V770" s="4">
        <v>2788.082275390625</v>
      </c>
      <c r="W770" s="5">
        <f t="shared" si="47"/>
        <v>-0.12872428894042964</v>
      </c>
    </row>
    <row r="771" spans="1:23" x14ac:dyDescent="0.25">
      <c r="A771" t="s">
        <v>1107</v>
      </c>
      <c r="B771">
        <v>2011</v>
      </c>
      <c r="C771" t="s">
        <v>156</v>
      </c>
      <c r="D771" t="s">
        <v>458</v>
      </c>
      <c r="E771">
        <v>147208</v>
      </c>
      <c r="F771" t="s">
        <v>58</v>
      </c>
      <c r="G771" t="s">
        <v>30</v>
      </c>
      <c r="H771" t="s">
        <v>24</v>
      </c>
      <c r="I771" t="s">
        <v>25</v>
      </c>
      <c r="J771" s="2">
        <v>45622</v>
      </c>
      <c r="K771" t="s">
        <v>25</v>
      </c>
      <c r="L771">
        <v>44113</v>
      </c>
      <c r="M771">
        <v>264</v>
      </c>
      <c r="N771">
        <v>314</v>
      </c>
      <c r="O771" s="4">
        <v>3200</v>
      </c>
      <c r="P771" s="4">
        <v>1023.443786621094</v>
      </c>
      <c r="Q771" s="5">
        <f t="shared" ref="Q771:Q834" si="48">(P771/$O771)-1</f>
        <v>-0.68017381668090815</v>
      </c>
      <c r="R771" s="4">
        <v>803.98277129926464</v>
      </c>
      <c r="S771" s="5">
        <f t="shared" ref="S771:S834" si="49">(R771/$O771)-1</f>
        <v>-0.74875538396897978</v>
      </c>
      <c r="T771" s="4">
        <v>1673.1506230794041</v>
      </c>
      <c r="U771" s="5">
        <f t="shared" ref="U771:U834" si="50">(T771/$O771)-1</f>
        <v>-0.47714043028768627</v>
      </c>
      <c r="V771" s="4">
        <v>1205.018920898438</v>
      </c>
      <c r="W771" s="5">
        <f t="shared" ref="W771:W834" si="51">(V771/$O771)-1</f>
        <v>-0.62343158721923819</v>
      </c>
    </row>
    <row r="772" spans="1:23" x14ac:dyDescent="0.25">
      <c r="A772" t="s">
        <v>1108</v>
      </c>
      <c r="B772">
        <v>2017</v>
      </c>
      <c r="C772" t="s">
        <v>156</v>
      </c>
      <c r="D772" t="s">
        <v>458</v>
      </c>
      <c r="E772">
        <v>107038</v>
      </c>
      <c r="F772" t="s">
        <v>649</v>
      </c>
      <c r="G772" t="s">
        <v>23</v>
      </c>
      <c r="H772" t="s">
        <v>24</v>
      </c>
      <c r="I772" t="s">
        <v>25</v>
      </c>
      <c r="J772" s="2">
        <v>45664</v>
      </c>
      <c r="K772" t="s">
        <v>25</v>
      </c>
      <c r="L772">
        <v>44113</v>
      </c>
      <c r="M772">
        <v>264</v>
      </c>
      <c r="N772">
        <v>314</v>
      </c>
      <c r="O772" s="4">
        <v>10700</v>
      </c>
      <c r="P772" s="4">
        <v>3404.861083984375</v>
      </c>
      <c r="Q772" s="5">
        <f t="shared" si="48"/>
        <v>-0.68178868373977797</v>
      </c>
      <c r="R772" s="4">
        <v>3041.560282574434</v>
      </c>
      <c r="S772" s="5">
        <f t="shared" si="49"/>
        <v>-0.71574202966594069</v>
      </c>
      <c r="T772" s="4">
        <v>4361.4441242621106</v>
      </c>
      <c r="U772" s="5">
        <f t="shared" si="50"/>
        <v>-0.59238839960167189</v>
      </c>
      <c r="V772" s="4">
        <v>3327.898681640625</v>
      </c>
      <c r="W772" s="5">
        <f t="shared" si="51"/>
        <v>-0.68898143162237147</v>
      </c>
    </row>
    <row r="773" spans="1:23" x14ac:dyDescent="0.25">
      <c r="A773" t="s">
        <v>1109</v>
      </c>
      <c r="B773">
        <v>2012</v>
      </c>
      <c r="C773" t="s">
        <v>182</v>
      </c>
      <c r="D773" t="s">
        <v>1110</v>
      </c>
      <c r="E773">
        <v>104632</v>
      </c>
      <c r="F773" t="s">
        <v>102</v>
      </c>
      <c r="G773" t="s">
        <v>38</v>
      </c>
      <c r="H773" t="s">
        <v>25</v>
      </c>
      <c r="I773" t="s">
        <v>24</v>
      </c>
      <c r="J773" s="2">
        <v>45344</v>
      </c>
      <c r="K773" t="s">
        <v>25</v>
      </c>
      <c r="L773">
        <v>44113</v>
      </c>
      <c r="M773">
        <v>264</v>
      </c>
      <c r="N773">
        <v>314</v>
      </c>
      <c r="O773" s="4">
        <v>3600</v>
      </c>
      <c r="P773" s="4">
        <v>5676.42236328125</v>
      </c>
      <c r="Q773" s="5">
        <f t="shared" si="48"/>
        <v>0.57678398980034729</v>
      </c>
      <c r="R773" s="4">
        <v>5949.5523711683636</v>
      </c>
      <c r="S773" s="5">
        <f t="shared" si="49"/>
        <v>0.65265343643565665</v>
      </c>
      <c r="T773" s="4">
        <v>4922.1442538930569</v>
      </c>
      <c r="U773" s="5">
        <f t="shared" si="50"/>
        <v>0.36726229274807132</v>
      </c>
      <c r="V773" s="4">
        <v>5742.8818359375</v>
      </c>
      <c r="W773" s="5">
        <f t="shared" si="51"/>
        <v>0.59524495442708325</v>
      </c>
    </row>
    <row r="774" spans="1:23" x14ac:dyDescent="0.25">
      <c r="A774" t="s">
        <v>1111</v>
      </c>
      <c r="B774">
        <v>2015</v>
      </c>
      <c r="C774" t="s">
        <v>519</v>
      </c>
      <c r="D774" t="s">
        <v>772</v>
      </c>
      <c r="E774">
        <v>154030</v>
      </c>
      <c r="F774" t="s">
        <v>37</v>
      </c>
      <c r="G774" t="s">
        <v>30</v>
      </c>
      <c r="H774" t="s">
        <v>24</v>
      </c>
      <c r="I774" t="s">
        <v>25</v>
      </c>
      <c r="J774" s="2">
        <v>45505</v>
      </c>
      <c r="K774" t="s">
        <v>25</v>
      </c>
      <c r="L774">
        <v>44113</v>
      </c>
      <c r="M774">
        <v>264</v>
      </c>
      <c r="N774">
        <v>314</v>
      </c>
      <c r="O774" s="4">
        <v>4200</v>
      </c>
      <c r="P774" s="4">
        <v>2702.838134765625</v>
      </c>
      <c r="Q774" s="5">
        <f t="shared" si="48"/>
        <v>-0.3564671107700893</v>
      </c>
      <c r="R774" s="4">
        <v>4696.1252133698017</v>
      </c>
      <c r="S774" s="5">
        <f t="shared" si="49"/>
        <v>0.11812505080233371</v>
      </c>
      <c r="T774" s="4">
        <v>4619.1891022077516</v>
      </c>
      <c r="U774" s="5">
        <f t="shared" si="50"/>
        <v>9.9806929097083774E-2</v>
      </c>
      <c r="V774" s="4">
        <v>2387.146728515625</v>
      </c>
      <c r="W774" s="5">
        <f t="shared" si="51"/>
        <v>-0.43163173130580357</v>
      </c>
    </row>
    <row r="775" spans="1:23" x14ac:dyDescent="0.25">
      <c r="A775" t="s">
        <v>1112</v>
      </c>
      <c r="B775">
        <v>2016</v>
      </c>
      <c r="C775" t="s">
        <v>519</v>
      </c>
      <c r="D775" t="s">
        <v>772</v>
      </c>
      <c r="E775">
        <v>134345</v>
      </c>
      <c r="F775" t="s">
        <v>214</v>
      </c>
      <c r="G775" t="s">
        <v>38</v>
      </c>
      <c r="H775" t="s">
        <v>25</v>
      </c>
      <c r="I775" t="s">
        <v>24</v>
      </c>
      <c r="J775" s="2">
        <v>45454</v>
      </c>
      <c r="K775" t="s">
        <v>25</v>
      </c>
      <c r="L775">
        <v>44113</v>
      </c>
      <c r="M775">
        <v>264</v>
      </c>
      <c r="N775">
        <v>314</v>
      </c>
      <c r="O775" s="4">
        <v>10800</v>
      </c>
      <c r="P775" s="4">
        <v>5188.15380859375</v>
      </c>
      <c r="Q775" s="5">
        <f t="shared" si="48"/>
        <v>-0.51961538809317132</v>
      </c>
      <c r="R775" s="4">
        <v>7596.628671113921</v>
      </c>
      <c r="S775" s="5">
        <f t="shared" si="49"/>
        <v>-0.29660845637834066</v>
      </c>
      <c r="T775" s="4">
        <v>7992.2948856358962</v>
      </c>
      <c r="U775" s="5">
        <f t="shared" si="50"/>
        <v>-0.25997269577445403</v>
      </c>
      <c r="V775" s="4">
        <v>4660.673828125</v>
      </c>
      <c r="W775" s="5">
        <f t="shared" si="51"/>
        <v>-0.56845612702546289</v>
      </c>
    </row>
    <row r="776" spans="1:23" x14ac:dyDescent="0.25">
      <c r="A776" t="s">
        <v>1113</v>
      </c>
      <c r="B776">
        <v>2014</v>
      </c>
      <c r="C776" t="s">
        <v>519</v>
      </c>
      <c r="D776" t="s">
        <v>1114</v>
      </c>
      <c r="E776">
        <v>111617</v>
      </c>
      <c r="F776" t="s">
        <v>37</v>
      </c>
      <c r="G776" t="s">
        <v>38</v>
      </c>
      <c r="H776" t="s">
        <v>25</v>
      </c>
      <c r="I776" t="s">
        <v>24</v>
      </c>
      <c r="J776" s="2">
        <v>45673</v>
      </c>
      <c r="K776" t="s">
        <v>25</v>
      </c>
      <c r="L776">
        <v>44113</v>
      </c>
      <c r="M776">
        <v>264</v>
      </c>
      <c r="N776">
        <v>314</v>
      </c>
      <c r="O776" s="4">
        <v>2600</v>
      </c>
      <c r="P776" s="4">
        <v>3663.40185546875</v>
      </c>
      <c r="Q776" s="5">
        <f t="shared" si="48"/>
        <v>0.409000713641827</v>
      </c>
      <c r="R776" s="4">
        <v>5284.2629393165153</v>
      </c>
      <c r="S776" s="5">
        <f t="shared" si="49"/>
        <v>1.0324088228140442</v>
      </c>
      <c r="T776" s="4">
        <v>5429.6688099493349</v>
      </c>
      <c r="U776" s="5">
        <f t="shared" si="50"/>
        <v>1.0883341576728212</v>
      </c>
      <c r="V776" s="4">
        <v>3270.120361328125</v>
      </c>
      <c r="W776" s="5">
        <f t="shared" si="51"/>
        <v>0.25773860051081732</v>
      </c>
    </row>
    <row r="777" spans="1:23" x14ac:dyDescent="0.25">
      <c r="A777" t="s">
        <v>1115</v>
      </c>
      <c r="B777">
        <v>2012</v>
      </c>
      <c r="C777" t="s">
        <v>185</v>
      </c>
      <c r="D777" t="s">
        <v>1116</v>
      </c>
      <c r="E777">
        <v>130185</v>
      </c>
      <c r="F777" t="s">
        <v>48</v>
      </c>
      <c r="G777" t="s">
        <v>30</v>
      </c>
      <c r="H777" t="s">
        <v>24</v>
      </c>
      <c r="I777" t="s">
        <v>25</v>
      </c>
      <c r="J777" s="2">
        <v>45393</v>
      </c>
      <c r="K777" t="s">
        <v>25</v>
      </c>
      <c r="L777">
        <v>44113</v>
      </c>
      <c r="M777">
        <v>264</v>
      </c>
      <c r="N777">
        <v>314</v>
      </c>
      <c r="O777" s="4">
        <v>5800</v>
      </c>
      <c r="P777" s="4">
        <v>1888.6142578125</v>
      </c>
      <c r="Q777" s="5">
        <f t="shared" si="48"/>
        <v>-0.67437685210129317</v>
      </c>
      <c r="R777" s="4">
        <v>2460.0407692831409</v>
      </c>
      <c r="S777" s="5">
        <f t="shared" si="49"/>
        <v>-0.57585503977876873</v>
      </c>
      <c r="T777" s="4">
        <v>3827.8561245974179</v>
      </c>
      <c r="U777" s="5">
        <f t="shared" si="50"/>
        <v>-0.34002480610389352</v>
      </c>
      <c r="V777" s="4">
        <v>1823.12353515625</v>
      </c>
      <c r="W777" s="5">
        <f t="shared" si="51"/>
        <v>-0.68566835600754317</v>
      </c>
    </row>
    <row r="778" spans="1:23" x14ac:dyDescent="0.25">
      <c r="A778" t="s">
        <v>1117</v>
      </c>
      <c r="B778">
        <v>2017</v>
      </c>
      <c r="C778" t="s">
        <v>139</v>
      </c>
      <c r="D778" t="s">
        <v>1118</v>
      </c>
      <c r="E778">
        <v>195322</v>
      </c>
      <c r="F778" t="s">
        <v>82</v>
      </c>
      <c r="G778" t="s">
        <v>30</v>
      </c>
      <c r="H778" t="s">
        <v>24</v>
      </c>
      <c r="I778" t="s">
        <v>25</v>
      </c>
      <c r="J778" s="2">
        <v>45622</v>
      </c>
      <c r="K778" t="s">
        <v>25</v>
      </c>
      <c r="L778">
        <v>44113</v>
      </c>
      <c r="M778">
        <v>264</v>
      </c>
      <c r="N778">
        <v>314</v>
      </c>
      <c r="O778" s="4">
        <v>15898.7951807229</v>
      </c>
      <c r="P778" s="4">
        <v>4714.26416015625</v>
      </c>
      <c r="Q778" s="5">
        <f t="shared" si="48"/>
        <v>-0.70348293021145158</v>
      </c>
      <c r="R778" s="4">
        <v>4750.0873772823561</v>
      </c>
      <c r="S778" s="5">
        <f t="shared" si="49"/>
        <v>-0.70122972695177677</v>
      </c>
      <c r="T778" s="4">
        <v>2731.6482276807001</v>
      </c>
      <c r="U778" s="5">
        <f t="shared" si="50"/>
        <v>-0.82818520544293883</v>
      </c>
      <c r="V778" s="4">
        <v>4666.5498046875</v>
      </c>
      <c r="W778" s="5">
        <f t="shared" si="51"/>
        <v>-0.7064840604811593</v>
      </c>
    </row>
    <row r="779" spans="1:23" x14ac:dyDescent="0.25">
      <c r="A779" t="s">
        <v>1119</v>
      </c>
      <c r="B779">
        <v>2019</v>
      </c>
      <c r="C779" t="s">
        <v>91</v>
      </c>
      <c r="D779" t="s">
        <v>287</v>
      </c>
      <c r="E779">
        <v>89160</v>
      </c>
      <c r="F779" t="s">
        <v>79</v>
      </c>
      <c r="G779" t="s">
        <v>30</v>
      </c>
      <c r="H779" t="s">
        <v>24</v>
      </c>
      <c r="I779" t="s">
        <v>25</v>
      </c>
      <c r="J779" s="2">
        <v>45580</v>
      </c>
      <c r="K779" t="s">
        <v>25</v>
      </c>
      <c r="L779">
        <v>44113</v>
      </c>
      <c r="M779">
        <v>264</v>
      </c>
      <c r="N779">
        <v>314</v>
      </c>
      <c r="O779" s="4">
        <v>14100</v>
      </c>
      <c r="P779" s="4">
        <v>7547.00146484375</v>
      </c>
      <c r="Q779" s="5">
        <f t="shared" si="48"/>
        <v>-0.46475166916001776</v>
      </c>
      <c r="R779" s="4">
        <v>8213.4821027350681</v>
      </c>
      <c r="S779" s="5">
        <f t="shared" si="49"/>
        <v>-0.41748353881311573</v>
      </c>
      <c r="T779" s="4">
        <v>6630.1163194963083</v>
      </c>
      <c r="U779" s="5">
        <f t="shared" si="50"/>
        <v>-0.52977898443288596</v>
      </c>
      <c r="V779" s="4">
        <v>7354.06591796875</v>
      </c>
      <c r="W779" s="5">
        <f t="shared" si="51"/>
        <v>-0.47843504127881209</v>
      </c>
    </row>
    <row r="780" spans="1:23" x14ac:dyDescent="0.25">
      <c r="A780" t="s">
        <v>1120</v>
      </c>
      <c r="B780">
        <v>2018</v>
      </c>
      <c r="C780" t="s">
        <v>91</v>
      </c>
      <c r="D780" t="s">
        <v>287</v>
      </c>
      <c r="E780">
        <v>48678</v>
      </c>
      <c r="F780" t="s">
        <v>141</v>
      </c>
      <c r="G780" t="s">
        <v>38</v>
      </c>
      <c r="H780" t="s">
        <v>25</v>
      </c>
      <c r="I780" t="s">
        <v>24</v>
      </c>
      <c r="J780" s="2">
        <v>45314</v>
      </c>
      <c r="K780" t="s">
        <v>25</v>
      </c>
      <c r="L780">
        <v>44113</v>
      </c>
      <c r="M780">
        <v>264</v>
      </c>
      <c r="N780">
        <v>314</v>
      </c>
      <c r="O780" s="4">
        <v>10300</v>
      </c>
      <c r="P780" s="4">
        <v>14685.1474609375</v>
      </c>
      <c r="Q780" s="5">
        <f t="shared" si="48"/>
        <v>0.42574247193567971</v>
      </c>
      <c r="R780" s="4">
        <v>15949.489191740849</v>
      </c>
      <c r="S780" s="5">
        <f t="shared" si="49"/>
        <v>0.54849409628551937</v>
      </c>
      <c r="T780" s="4">
        <v>9782.53073088163</v>
      </c>
      <c r="U780" s="5">
        <f t="shared" si="50"/>
        <v>-5.0239734865861196E-2</v>
      </c>
      <c r="V780" s="4">
        <v>14329.0478515625</v>
      </c>
      <c r="W780" s="5">
        <f t="shared" si="51"/>
        <v>0.39116969432645621</v>
      </c>
    </row>
    <row r="781" spans="1:23" x14ac:dyDescent="0.25">
      <c r="A781" t="s">
        <v>1121</v>
      </c>
      <c r="B781">
        <v>2018</v>
      </c>
      <c r="C781" t="s">
        <v>20</v>
      </c>
      <c r="D781" t="s">
        <v>421</v>
      </c>
      <c r="E781">
        <v>71011</v>
      </c>
      <c r="F781" t="s">
        <v>214</v>
      </c>
      <c r="G781" t="s">
        <v>30</v>
      </c>
      <c r="H781" t="s">
        <v>24</v>
      </c>
      <c r="I781" t="s">
        <v>25</v>
      </c>
      <c r="J781" s="2">
        <v>45636</v>
      </c>
      <c r="K781" t="s">
        <v>25</v>
      </c>
      <c r="L781">
        <v>44113</v>
      </c>
      <c r="M781">
        <v>264</v>
      </c>
      <c r="N781">
        <v>314</v>
      </c>
      <c r="O781" s="4">
        <v>9000</v>
      </c>
      <c r="P781" s="4">
        <v>11838.1953125</v>
      </c>
      <c r="Q781" s="5">
        <f t="shared" si="48"/>
        <v>0.31535503472222226</v>
      </c>
      <c r="R781" s="4">
        <v>14553.29374107378</v>
      </c>
      <c r="S781" s="5">
        <f t="shared" si="49"/>
        <v>0.61703263789708651</v>
      </c>
      <c r="T781" s="4">
        <v>10435.818701252971</v>
      </c>
      <c r="U781" s="5">
        <f t="shared" si="50"/>
        <v>0.15953541125032999</v>
      </c>
      <c r="V781" s="4">
        <v>11082.3203125</v>
      </c>
      <c r="W781" s="5">
        <f t="shared" si="51"/>
        <v>0.23136892361111117</v>
      </c>
    </row>
    <row r="782" spans="1:23" x14ac:dyDescent="0.25">
      <c r="A782" t="s">
        <v>1122</v>
      </c>
      <c r="B782">
        <v>2016</v>
      </c>
      <c r="C782" t="s">
        <v>167</v>
      </c>
      <c r="D782" t="s">
        <v>890</v>
      </c>
      <c r="E782">
        <v>105302</v>
      </c>
      <c r="F782" t="s">
        <v>98</v>
      </c>
      <c r="G782" t="s">
        <v>44</v>
      </c>
      <c r="H782" t="s">
        <v>25</v>
      </c>
      <c r="I782" t="s">
        <v>24</v>
      </c>
      <c r="J782" s="2">
        <v>45510</v>
      </c>
      <c r="K782" t="s">
        <v>25</v>
      </c>
      <c r="L782">
        <v>44113</v>
      </c>
      <c r="M782">
        <v>264</v>
      </c>
      <c r="N782">
        <v>314</v>
      </c>
      <c r="O782" s="4">
        <v>3700</v>
      </c>
      <c r="P782" s="4">
        <v>5138.66845703125</v>
      </c>
      <c r="Q782" s="5">
        <f t="shared" si="48"/>
        <v>0.38882931271114862</v>
      </c>
      <c r="R782" s="4">
        <v>6801.067557672035</v>
      </c>
      <c r="S782" s="5">
        <f t="shared" si="49"/>
        <v>0.83812636693838782</v>
      </c>
      <c r="T782" s="4">
        <v>6608.8655428123839</v>
      </c>
      <c r="U782" s="5">
        <f t="shared" si="50"/>
        <v>0.78617987643577947</v>
      </c>
      <c r="V782" s="4">
        <v>4627.06005859375</v>
      </c>
      <c r="W782" s="5">
        <f t="shared" si="51"/>
        <v>0.25055677259290543</v>
      </c>
    </row>
    <row r="783" spans="1:23" x14ac:dyDescent="0.25">
      <c r="A783" t="s">
        <v>1123</v>
      </c>
      <c r="B783">
        <v>2020</v>
      </c>
      <c r="C783" t="s">
        <v>167</v>
      </c>
      <c r="D783" t="s">
        <v>890</v>
      </c>
      <c r="E783">
        <v>76907</v>
      </c>
      <c r="F783" t="s">
        <v>29</v>
      </c>
      <c r="G783" t="s">
        <v>38</v>
      </c>
      <c r="H783" t="s">
        <v>25</v>
      </c>
      <c r="I783" t="s">
        <v>24</v>
      </c>
      <c r="J783" s="2">
        <v>45538</v>
      </c>
      <c r="K783" t="s">
        <v>25</v>
      </c>
      <c r="L783">
        <v>44113</v>
      </c>
      <c r="M783">
        <v>264</v>
      </c>
      <c r="N783">
        <v>314</v>
      </c>
      <c r="O783" s="4">
        <v>19600</v>
      </c>
      <c r="P783" s="4">
        <v>7836.056640625</v>
      </c>
      <c r="Q783" s="5">
        <f t="shared" si="48"/>
        <v>-0.60020119180484688</v>
      </c>
      <c r="R783" s="4">
        <v>11964.878442347621</v>
      </c>
      <c r="S783" s="5">
        <f t="shared" si="49"/>
        <v>-0.38954701824757032</v>
      </c>
      <c r="T783" s="4">
        <v>11536.37154902678</v>
      </c>
      <c r="U783" s="5">
        <f t="shared" si="50"/>
        <v>-0.41140961484557237</v>
      </c>
      <c r="V783" s="4">
        <v>7751.57373046875</v>
      </c>
      <c r="W783" s="5">
        <f t="shared" si="51"/>
        <v>-0.60451154436383936</v>
      </c>
    </row>
    <row r="784" spans="1:23" x14ac:dyDescent="0.25">
      <c r="A784" t="s">
        <v>1124</v>
      </c>
      <c r="B784">
        <v>2012</v>
      </c>
      <c r="C784" t="s">
        <v>167</v>
      </c>
      <c r="D784" t="s">
        <v>188</v>
      </c>
      <c r="E784">
        <v>108025</v>
      </c>
      <c r="F784" t="s">
        <v>250</v>
      </c>
      <c r="G784" t="s">
        <v>34</v>
      </c>
      <c r="H784" t="s">
        <v>25</v>
      </c>
      <c r="I784" t="s">
        <v>24</v>
      </c>
      <c r="J784" s="2">
        <v>45701</v>
      </c>
      <c r="K784" t="s">
        <v>25</v>
      </c>
      <c r="L784">
        <v>44113</v>
      </c>
      <c r="M784">
        <v>264</v>
      </c>
      <c r="N784">
        <v>314</v>
      </c>
      <c r="O784" s="4">
        <v>10176.1188811189</v>
      </c>
      <c r="P784" s="4">
        <v>3411.332763671875</v>
      </c>
      <c r="Q784" s="5">
        <f t="shared" si="48"/>
        <v>-0.66477074378510137</v>
      </c>
      <c r="R784" s="4">
        <v>3083.7806656720199</v>
      </c>
      <c r="S784" s="5">
        <f t="shared" si="49"/>
        <v>-0.69695905662091207</v>
      </c>
      <c r="T784" s="4">
        <v>4161.2331532427224</v>
      </c>
      <c r="U784" s="5">
        <f t="shared" si="50"/>
        <v>-0.59107856326603958</v>
      </c>
      <c r="V784" s="4">
        <v>3327.898681640625</v>
      </c>
      <c r="W784" s="5">
        <f t="shared" si="51"/>
        <v>-0.67296975197338593</v>
      </c>
    </row>
    <row r="785" spans="1:23" x14ac:dyDescent="0.25">
      <c r="A785" t="s">
        <v>1125</v>
      </c>
      <c r="B785">
        <v>2021</v>
      </c>
      <c r="C785" t="s">
        <v>167</v>
      </c>
      <c r="D785" t="s">
        <v>893</v>
      </c>
      <c r="E785">
        <v>35981</v>
      </c>
      <c r="F785" t="s">
        <v>89</v>
      </c>
      <c r="G785" t="s">
        <v>34</v>
      </c>
      <c r="H785" t="s">
        <v>25</v>
      </c>
      <c r="I785" t="s">
        <v>24</v>
      </c>
      <c r="J785" s="2">
        <v>45328</v>
      </c>
      <c r="K785" t="s">
        <v>25</v>
      </c>
      <c r="L785">
        <v>44113</v>
      </c>
      <c r="M785">
        <v>264</v>
      </c>
      <c r="N785">
        <v>314</v>
      </c>
      <c r="O785" s="4">
        <v>16000</v>
      </c>
      <c r="P785" s="4">
        <v>12554.2705078125</v>
      </c>
      <c r="Q785" s="5">
        <f t="shared" si="48"/>
        <v>-0.21535809326171873</v>
      </c>
      <c r="R785" s="4">
        <v>12452.437661072199</v>
      </c>
      <c r="S785" s="5">
        <f t="shared" si="49"/>
        <v>-0.22172264618298754</v>
      </c>
      <c r="T785" s="4">
        <v>13479.154966993139</v>
      </c>
      <c r="U785" s="5">
        <f t="shared" si="50"/>
        <v>-0.1575528145629288</v>
      </c>
      <c r="V785" s="4">
        <v>12581.2236328125</v>
      </c>
      <c r="W785" s="5">
        <f t="shared" si="51"/>
        <v>-0.21367352294921871</v>
      </c>
    </row>
    <row r="786" spans="1:23" x14ac:dyDescent="0.25">
      <c r="A786" t="s">
        <v>1126</v>
      </c>
      <c r="B786">
        <v>2014</v>
      </c>
      <c r="C786" t="s">
        <v>167</v>
      </c>
      <c r="D786" t="s">
        <v>555</v>
      </c>
      <c r="E786">
        <v>221889</v>
      </c>
      <c r="F786" t="s">
        <v>115</v>
      </c>
      <c r="G786" t="s">
        <v>30</v>
      </c>
      <c r="H786" t="s">
        <v>24</v>
      </c>
      <c r="I786" t="s">
        <v>25</v>
      </c>
      <c r="J786" s="2">
        <v>45603</v>
      </c>
      <c r="K786" t="s">
        <v>25</v>
      </c>
      <c r="L786">
        <v>44113</v>
      </c>
      <c r="M786">
        <v>264</v>
      </c>
      <c r="N786">
        <v>314</v>
      </c>
      <c r="O786" s="4">
        <v>1100</v>
      </c>
      <c r="P786" s="4">
        <v>1259.008056640625</v>
      </c>
      <c r="Q786" s="5">
        <f t="shared" si="48"/>
        <v>0.14455277876420447</v>
      </c>
      <c r="R786" s="4">
        <v>1257.704130444248</v>
      </c>
      <c r="S786" s="5">
        <f t="shared" si="49"/>
        <v>0.14336739131295273</v>
      </c>
      <c r="T786" s="4">
        <v>1122.590747797198</v>
      </c>
      <c r="U786" s="5">
        <f t="shared" si="50"/>
        <v>2.0537043451998249E-2</v>
      </c>
      <c r="V786" s="4">
        <v>1337.383178710938</v>
      </c>
      <c r="W786" s="5">
        <f t="shared" si="51"/>
        <v>0.2158028897372164</v>
      </c>
    </row>
    <row r="787" spans="1:23" x14ac:dyDescent="0.25">
      <c r="A787" t="s">
        <v>1127</v>
      </c>
      <c r="B787">
        <v>2012</v>
      </c>
      <c r="C787" t="s">
        <v>167</v>
      </c>
      <c r="D787" t="s">
        <v>192</v>
      </c>
      <c r="E787">
        <v>86381</v>
      </c>
      <c r="F787" t="s">
        <v>382</v>
      </c>
      <c r="G787" t="s">
        <v>30</v>
      </c>
      <c r="H787" t="s">
        <v>24</v>
      </c>
      <c r="I787" t="s">
        <v>25</v>
      </c>
      <c r="J787" s="2">
        <v>45370</v>
      </c>
      <c r="K787" t="s">
        <v>25</v>
      </c>
      <c r="L787">
        <v>44113</v>
      </c>
      <c r="M787">
        <v>264</v>
      </c>
      <c r="N787">
        <v>314</v>
      </c>
      <c r="O787" s="4">
        <v>2700</v>
      </c>
      <c r="P787" s="4">
        <v>2715.364501953125</v>
      </c>
      <c r="Q787" s="5">
        <f t="shared" si="48"/>
        <v>5.6905562789351105E-3</v>
      </c>
      <c r="R787" s="4">
        <v>2591.049662857848</v>
      </c>
      <c r="S787" s="5">
        <f t="shared" si="49"/>
        <v>-4.0351976719315563E-2</v>
      </c>
      <c r="T787" s="4">
        <v>2318.6278583032022</v>
      </c>
      <c r="U787" s="5">
        <f t="shared" si="50"/>
        <v>-0.14124894136918442</v>
      </c>
      <c r="V787" s="4">
        <v>2656.21630859375</v>
      </c>
      <c r="W787" s="5">
        <f t="shared" si="51"/>
        <v>-1.6216182002314783E-2</v>
      </c>
    </row>
    <row r="788" spans="1:23" x14ac:dyDescent="0.25">
      <c r="A788" t="s">
        <v>1128</v>
      </c>
      <c r="B788">
        <v>2016</v>
      </c>
      <c r="C788" t="s">
        <v>167</v>
      </c>
      <c r="D788" t="s">
        <v>192</v>
      </c>
      <c r="E788">
        <v>143904</v>
      </c>
      <c r="F788" t="s">
        <v>334</v>
      </c>
      <c r="G788" t="s">
        <v>30</v>
      </c>
      <c r="H788" t="s">
        <v>24</v>
      </c>
      <c r="I788" t="s">
        <v>25</v>
      </c>
      <c r="J788" s="2">
        <v>45540</v>
      </c>
      <c r="K788" t="s">
        <v>25</v>
      </c>
      <c r="L788">
        <v>44113</v>
      </c>
      <c r="M788">
        <v>264</v>
      </c>
      <c r="N788">
        <v>314</v>
      </c>
      <c r="O788" s="4">
        <v>4467.6470588235297</v>
      </c>
      <c r="P788" s="4">
        <v>2147.660400390625</v>
      </c>
      <c r="Q788" s="5">
        <f t="shared" si="48"/>
        <v>-0.51928601966240129</v>
      </c>
      <c r="R788" s="4">
        <v>2102.214014564192</v>
      </c>
      <c r="S788" s="5">
        <f t="shared" si="49"/>
        <v>-0.52945835092045734</v>
      </c>
      <c r="T788" s="4">
        <v>1920.057835534541</v>
      </c>
      <c r="U788" s="5">
        <f t="shared" si="50"/>
        <v>-0.57023063589088618</v>
      </c>
      <c r="V788" s="4">
        <v>2027.951782226562</v>
      </c>
      <c r="W788" s="5">
        <f t="shared" si="51"/>
        <v>-0.5460805754068262</v>
      </c>
    </row>
    <row r="789" spans="1:23" x14ac:dyDescent="0.25">
      <c r="A789" t="s">
        <v>1129</v>
      </c>
      <c r="B789">
        <v>2017</v>
      </c>
      <c r="C789" t="s">
        <v>156</v>
      </c>
      <c r="D789" t="s">
        <v>615</v>
      </c>
      <c r="E789">
        <v>105352</v>
      </c>
      <c r="F789" t="s">
        <v>115</v>
      </c>
      <c r="G789" t="s">
        <v>30</v>
      </c>
      <c r="H789" t="s">
        <v>24</v>
      </c>
      <c r="I789" t="s">
        <v>25</v>
      </c>
      <c r="J789" s="2">
        <v>45610</v>
      </c>
      <c r="K789" t="s">
        <v>25</v>
      </c>
      <c r="L789">
        <v>44113</v>
      </c>
      <c r="M789">
        <v>264</v>
      </c>
      <c r="N789">
        <v>314</v>
      </c>
      <c r="O789" s="4">
        <v>1800</v>
      </c>
      <c r="P789" s="4">
        <v>3907.591796875</v>
      </c>
      <c r="Q789" s="5">
        <f t="shared" si="48"/>
        <v>1.1708843315972222</v>
      </c>
      <c r="R789" s="4">
        <v>3571.2840552932898</v>
      </c>
      <c r="S789" s="5">
        <f t="shared" si="49"/>
        <v>0.98404669738516093</v>
      </c>
      <c r="T789" s="4">
        <v>4454.9944204879621</v>
      </c>
      <c r="U789" s="5">
        <f t="shared" si="50"/>
        <v>1.4749969002710901</v>
      </c>
      <c r="V789" s="4">
        <v>3932.699462890625</v>
      </c>
      <c r="W789" s="5">
        <f t="shared" si="51"/>
        <v>1.1848330349392362</v>
      </c>
    </row>
    <row r="790" spans="1:23" x14ac:dyDescent="0.25">
      <c r="A790" t="s">
        <v>1130</v>
      </c>
      <c r="B790">
        <v>2016</v>
      </c>
      <c r="C790" t="s">
        <v>156</v>
      </c>
      <c r="D790" t="s">
        <v>615</v>
      </c>
      <c r="E790">
        <v>84871</v>
      </c>
      <c r="F790" t="s">
        <v>151</v>
      </c>
      <c r="G790" t="s">
        <v>44</v>
      </c>
      <c r="H790" t="s">
        <v>25</v>
      </c>
      <c r="I790" t="s">
        <v>24</v>
      </c>
      <c r="J790" s="2">
        <v>45407</v>
      </c>
      <c r="K790" t="s">
        <v>25</v>
      </c>
      <c r="L790">
        <v>44113</v>
      </c>
      <c r="M790">
        <v>264</v>
      </c>
      <c r="N790">
        <v>314</v>
      </c>
      <c r="O790" s="4">
        <v>2800</v>
      </c>
      <c r="P790" s="4">
        <v>8066.5908203125</v>
      </c>
      <c r="Q790" s="5">
        <f t="shared" si="48"/>
        <v>1.8809252929687501</v>
      </c>
      <c r="R790" s="4">
        <v>8183.6590691001074</v>
      </c>
      <c r="S790" s="5">
        <f t="shared" si="49"/>
        <v>1.9227353818214667</v>
      </c>
      <c r="T790" s="4">
        <v>8045.0835148428887</v>
      </c>
      <c r="U790" s="5">
        <f t="shared" si="50"/>
        <v>1.873244112443889</v>
      </c>
      <c r="V790" s="4">
        <v>7923.41748046875</v>
      </c>
      <c r="W790" s="5">
        <f t="shared" si="51"/>
        <v>1.8297919573102677</v>
      </c>
    </row>
    <row r="791" spans="1:23" x14ac:dyDescent="0.25">
      <c r="A791" t="s">
        <v>1131</v>
      </c>
      <c r="B791">
        <v>2013</v>
      </c>
      <c r="C791" t="s">
        <v>156</v>
      </c>
      <c r="D791" t="s">
        <v>157</v>
      </c>
      <c r="E791">
        <v>84003</v>
      </c>
      <c r="F791" t="s">
        <v>227</v>
      </c>
      <c r="G791" t="s">
        <v>23</v>
      </c>
      <c r="H791" t="s">
        <v>24</v>
      </c>
      <c r="I791" t="s">
        <v>25</v>
      </c>
      <c r="J791" s="2">
        <v>45678</v>
      </c>
      <c r="K791" t="s">
        <v>25</v>
      </c>
      <c r="L791">
        <v>44113</v>
      </c>
      <c r="M791">
        <v>264</v>
      </c>
      <c r="N791">
        <v>314</v>
      </c>
      <c r="O791" s="4">
        <v>1800</v>
      </c>
      <c r="P791" s="4">
        <v>2512.271240234375</v>
      </c>
      <c r="Q791" s="5">
        <f t="shared" si="48"/>
        <v>0.39570624457465287</v>
      </c>
      <c r="R791" s="4">
        <v>2567.7519918607268</v>
      </c>
      <c r="S791" s="5">
        <f t="shared" si="49"/>
        <v>0.42652888436707048</v>
      </c>
      <c r="T791" s="4">
        <v>2966.56382235111</v>
      </c>
      <c r="U791" s="5">
        <f t="shared" si="50"/>
        <v>0.6480910124172834</v>
      </c>
      <c r="V791" s="4">
        <v>2487.482177734375</v>
      </c>
      <c r="W791" s="5">
        <f t="shared" si="51"/>
        <v>0.38193454318576392</v>
      </c>
    </row>
    <row r="792" spans="1:23" x14ac:dyDescent="0.25">
      <c r="A792" t="s">
        <v>1132</v>
      </c>
      <c r="B792">
        <v>2015</v>
      </c>
      <c r="C792" t="s">
        <v>156</v>
      </c>
      <c r="D792" t="s">
        <v>157</v>
      </c>
      <c r="E792">
        <v>88419</v>
      </c>
      <c r="F792" t="s">
        <v>115</v>
      </c>
      <c r="G792" t="s">
        <v>30</v>
      </c>
      <c r="H792" t="s">
        <v>24</v>
      </c>
      <c r="I792" t="s">
        <v>25</v>
      </c>
      <c r="J792" s="2">
        <v>45510</v>
      </c>
      <c r="K792" t="s">
        <v>25</v>
      </c>
      <c r="L792">
        <v>44113</v>
      </c>
      <c r="M792">
        <v>264</v>
      </c>
      <c r="N792">
        <v>314</v>
      </c>
      <c r="O792" s="4">
        <v>5900</v>
      </c>
      <c r="P792" s="4">
        <v>3911.4482421875</v>
      </c>
      <c r="Q792" s="5">
        <f t="shared" si="48"/>
        <v>-0.33704267081567796</v>
      </c>
      <c r="R792" s="4">
        <v>3731.6715624053008</v>
      </c>
      <c r="S792" s="5">
        <f t="shared" si="49"/>
        <v>-0.36751329450757608</v>
      </c>
      <c r="T792" s="4">
        <v>4086.9521333613588</v>
      </c>
      <c r="U792" s="5">
        <f t="shared" si="50"/>
        <v>-0.30729624858282056</v>
      </c>
      <c r="V792" s="4">
        <v>3932.699462890625</v>
      </c>
      <c r="W792" s="5">
        <f t="shared" si="51"/>
        <v>-0.33344076900158903</v>
      </c>
    </row>
    <row r="793" spans="1:23" x14ac:dyDescent="0.25">
      <c r="A793" t="s">
        <v>1133</v>
      </c>
      <c r="B793">
        <v>2015</v>
      </c>
      <c r="C793" t="s">
        <v>156</v>
      </c>
      <c r="D793" t="s">
        <v>173</v>
      </c>
      <c r="E793">
        <v>108286</v>
      </c>
      <c r="F793" t="s">
        <v>98</v>
      </c>
      <c r="G793" t="s">
        <v>34</v>
      </c>
      <c r="H793" t="s">
        <v>25</v>
      </c>
      <c r="I793" t="s">
        <v>24</v>
      </c>
      <c r="J793" s="2">
        <v>45330</v>
      </c>
      <c r="K793" t="s">
        <v>25</v>
      </c>
      <c r="L793">
        <v>44113</v>
      </c>
      <c r="M793">
        <v>264</v>
      </c>
      <c r="N793">
        <v>314</v>
      </c>
      <c r="O793" s="4">
        <v>10500</v>
      </c>
      <c r="P793" s="4">
        <v>4683.5107421875</v>
      </c>
      <c r="Q793" s="5">
        <f t="shared" si="48"/>
        <v>-0.55395135788690475</v>
      </c>
      <c r="R793" s="4">
        <v>6331.5452500005531</v>
      </c>
      <c r="S793" s="5">
        <f t="shared" si="49"/>
        <v>-0.39699569047613781</v>
      </c>
      <c r="T793" s="4">
        <v>5279.3474138271731</v>
      </c>
      <c r="U793" s="5">
        <f t="shared" si="50"/>
        <v>-0.49720500820693592</v>
      </c>
      <c r="V793" s="4">
        <v>4288.2705078125</v>
      </c>
      <c r="W793" s="5">
        <f t="shared" si="51"/>
        <v>-0.59159328497023811</v>
      </c>
    </row>
    <row r="794" spans="1:23" x14ac:dyDescent="0.25">
      <c r="A794" t="s">
        <v>1134</v>
      </c>
      <c r="B794">
        <v>2015</v>
      </c>
      <c r="C794" t="s">
        <v>156</v>
      </c>
      <c r="D794" t="s">
        <v>173</v>
      </c>
      <c r="E794">
        <v>71754</v>
      </c>
      <c r="F794" t="s">
        <v>66</v>
      </c>
      <c r="G794" t="s">
        <v>23</v>
      </c>
      <c r="H794" t="s">
        <v>24</v>
      </c>
      <c r="I794" t="s">
        <v>25</v>
      </c>
      <c r="J794" s="2">
        <v>45386</v>
      </c>
      <c r="K794" t="s">
        <v>25</v>
      </c>
      <c r="L794">
        <v>44113</v>
      </c>
      <c r="M794">
        <v>264</v>
      </c>
      <c r="N794">
        <v>314</v>
      </c>
      <c r="O794" s="4">
        <v>3000</v>
      </c>
      <c r="P794" s="4">
        <v>3407.324951171875</v>
      </c>
      <c r="Q794" s="5">
        <f t="shared" si="48"/>
        <v>0.13577498372395835</v>
      </c>
      <c r="R794" s="4">
        <v>3969.3692615207001</v>
      </c>
      <c r="S794" s="5">
        <f t="shared" si="49"/>
        <v>0.32312308717356664</v>
      </c>
      <c r="T794" s="4">
        <v>3832.5476714323308</v>
      </c>
      <c r="U794" s="5">
        <f t="shared" si="50"/>
        <v>0.27751589047744352</v>
      </c>
      <c r="V794" s="4">
        <v>3128.13525390625</v>
      </c>
      <c r="W794" s="5">
        <f t="shared" si="51"/>
        <v>4.2711751302083378E-2</v>
      </c>
    </row>
    <row r="795" spans="1:23" x14ac:dyDescent="0.25">
      <c r="A795" t="s">
        <v>1135</v>
      </c>
      <c r="B795">
        <v>2020</v>
      </c>
      <c r="C795" t="s">
        <v>156</v>
      </c>
      <c r="D795" t="s">
        <v>196</v>
      </c>
      <c r="E795">
        <v>105978</v>
      </c>
      <c r="F795" t="s">
        <v>89</v>
      </c>
      <c r="G795" t="s">
        <v>38</v>
      </c>
      <c r="H795" t="s">
        <v>25</v>
      </c>
      <c r="I795" t="s">
        <v>24</v>
      </c>
      <c r="J795" s="2">
        <v>45442</v>
      </c>
      <c r="K795" t="s">
        <v>25</v>
      </c>
      <c r="L795">
        <v>44113</v>
      </c>
      <c r="M795">
        <v>264</v>
      </c>
      <c r="N795">
        <v>314</v>
      </c>
      <c r="O795" s="4">
        <v>13800</v>
      </c>
      <c r="P795" s="4">
        <v>5730.3662109375</v>
      </c>
      <c r="Q795" s="5">
        <f t="shared" si="48"/>
        <v>-0.5847560716711957</v>
      </c>
      <c r="R795" s="4">
        <v>5528.5863522445297</v>
      </c>
      <c r="S795" s="5">
        <f t="shared" si="49"/>
        <v>-0.59937780056199053</v>
      </c>
      <c r="T795" s="4">
        <v>6045.6772433841306</v>
      </c>
      <c r="U795" s="5">
        <f t="shared" si="50"/>
        <v>-0.56190744613158472</v>
      </c>
      <c r="V795" s="4">
        <v>5841.44677734375</v>
      </c>
      <c r="W795" s="5">
        <f t="shared" si="51"/>
        <v>-0.57670675526494564</v>
      </c>
    </row>
    <row r="796" spans="1:23" x14ac:dyDescent="0.25">
      <c r="A796" t="s">
        <v>1136</v>
      </c>
      <c r="B796">
        <v>2015</v>
      </c>
      <c r="C796" t="s">
        <v>156</v>
      </c>
      <c r="D796" t="s">
        <v>196</v>
      </c>
      <c r="E796">
        <v>171888</v>
      </c>
      <c r="F796" t="s">
        <v>254</v>
      </c>
      <c r="G796" t="s">
        <v>30</v>
      </c>
      <c r="H796" t="s">
        <v>24</v>
      </c>
      <c r="I796" t="s">
        <v>25</v>
      </c>
      <c r="J796" s="2">
        <v>45344</v>
      </c>
      <c r="K796" t="s">
        <v>25</v>
      </c>
      <c r="L796">
        <v>44113</v>
      </c>
      <c r="M796">
        <v>264</v>
      </c>
      <c r="N796">
        <v>314</v>
      </c>
      <c r="O796" s="4">
        <v>5000</v>
      </c>
      <c r="P796" s="4">
        <v>2370.2626953125</v>
      </c>
      <c r="Q796" s="5">
        <f t="shared" si="48"/>
        <v>-0.5259474609375</v>
      </c>
      <c r="R796" s="4">
        <v>2684.226439360511</v>
      </c>
      <c r="S796" s="5">
        <f t="shared" si="49"/>
        <v>-0.46315471212789783</v>
      </c>
      <c r="T796" s="4">
        <v>2376.2919579323971</v>
      </c>
      <c r="U796" s="5">
        <f t="shared" si="50"/>
        <v>-0.52474160841352058</v>
      </c>
      <c r="V796" s="4">
        <v>2312.911376953125</v>
      </c>
      <c r="W796" s="5">
        <f t="shared" si="51"/>
        <v>-0.53741772460937498</v>
      </c>
    </row>
    <row r="797" spans="1:23" x14ac:dyDescent="0.25">
      <c r="A797" t="s">
        <v>1137</v>
      </c>
      <c r="B797">
        <v>2011</v>
      </c>
      <c r="C797" t="s">
        <v>156</v>
      </c>
      <c r="D797" t="s">
        <v>196</v>
      </c>
      <c r="E797">
        <v>83377</v>
      </c>
      <c r="F797" t="s">
        <v>82</v>
      </c>
      <c r="G797" t="s">
        <v>30</v>
      </c>
      <c r="H797" t="s">
        <v>24</v>
      </c>
      <c r="I797" t="s">
        <v>25</v>
      </c>
      <c r="J797" s="2">
        <v>45594</v>
      </c>
      <c r="K797" t="s">
        <v>25</v>
      </c>
      <c r="L797">
        <v>44113</v>
      </c>
      <c r="M797">
        <v>264</v>
      </c>
      <c r="N797">
        <v>314</v>
      </c>
      <c r="O797" s="4">
        <v>2200</v>
      </c>
      <c r="P797" s="4">
        <v>2396.50048828125</v>
      </c>
      <c r="Q797" s="5">
        <f t="shared" si="48"/>
        <v>8.9318403764204524E-2</v>
      </c>
      <c r="R797" s="4">
        <v>2001.7027565425781</v>
      </c>
      <c r="S797" s="5">
        <f t="shared" si="49"/>
        <v>-9.013511066246449E-2</v>
      </c>
      <c r="T797" s="4">
        <v>2786.0126169275391</v>
      </c>
      <c r="U797" s="5">
        <f t="shared" si="50"/>
        <v>0.2663693713306996</v>
      </c>
      <c r="V797" s="4">
        <v>2330.412841796875</v>
      </c>
      <c r="W797" s="5">
        <f t="shared" si="51"/>
        <v>5.9278564453125071E-2</v>
      </c>
    </row>
    <row r="798" spans="1:23" x14ac:dyDescent="0.25">
      <c r="A798" t="s">
        <v>1138</v>
      </c>
      <c r="B798">
        <v>2015</v>
      </c>
      <c r="C798" t="s">
        <v>156</v>
      </c>
      <c r="D798" t="s">
        <v>1139</v>
      </c>
      <c r="E798">
        <v>112236</v>
      </c>
      <c r="F798" t="s">
        <v>29</v>
      </c>
      <c r="G798" t="s">
        <v>34</v>
      </c>
      <c r="H798" t="s">
        <v>25</v>
      </c>
      <c r="I798" t="s">
        <v>24</v>
      </c>
      <c r="J798" s="2">
        <v>45594</v>
      </c>
      <c r="K798" t="s">
        <v>25</v>
      </c>
      <c r="L798">
        <v>44113</v>
      </c>
      <c r="M798">
        <v>264</v>
      </c>
      <c r="N798">
        <v>314</v>
      </c>
      <c r="O798" s="4">
        <v>9500</v>
      </c>
      <c r="P798" s="4">
        <v>2739.828857421875</v>
      </c>
      <c r="Q798" s="5">
        <f t="shared" si="48"/>
        <v>-0.71159696237664471</v>
      </c>
      <c r="R798" s="4">
        <v>4736.2034688795966</v>
      </c>
      <c r="S798" s="5">
        <f t="shared" si="49"/>
        <v>-0.50145226643372665</v>
      </c>
      <c r="T798" s="4">
        <v>3869.6317230247282</v>
      </c>
      <c r="U798" s="5">
        <f t="shared" si="50"/>
        <v>-0.59267034494476545</v>
      </c>
      <c r="V798" s="4">
        <v>2428.10693359375</v>
      </c>
      <c r="W798" s="5">
        <f t="shared" si="51"/>
        <v>-0.74440979646381578</v>
      </c>
    </row>
    <row r="799" spans="1:23" x14ac:dyDescent="0.25">
      <c r="A799" t="s">
        <v>1140</v>
      </c>
      <c r="B799">
        <v>2020</v>
      </c>
      <c r="C799" t="s">
        <v>465</v>
      </c>
      <c r="D799" t="s">
        <v>679</v>
      </c>
      <c r="E799">
        <v>99999</v>
      </c>
      <c r="F799" t="s">
        <v>141</v>
      </c>
      <c r="G799" t="s">
        <v>30</v>
      </c>
      <c r="H799" t="s">
        <v>24</v>
      </c>
      <c r="I799" t="s">
        <v>25</v>
      </c>
      <c r="J799" s="2">
        <v>45328</v>
      </c>
      <c r="K799" t="s">
        <v>25</v>
      </c>
      <c r="L799">
        <v>44113</v>
      </c>
      <c r="M799">
        <v>264</v>
      </c>
      <c r="N799">
        <v>314</v>
      </c>
      <c r="O799" s="4">
        <v>6400</v>
      </c>
      <c r="P799" s="4">
        <v>6770.220703125</v>
      </c>
      <c r="Q799" s="5">
        <f t="shared" si="48"/>
        <v>5.7846984863281214E-2</v>
      </c>
      <c r="R799" s="4">
        <v>8846.7494245234484</v>
      </c>
      <c r="S799" s="5">
        <f t="shared" si="49"/>
        <v>0.38230459758178892</v>
      </c>
      <c r="T799" s="4">
        <v>7650.8592566893603</v>
      </c>
      <c r="U799" s="5">
        <f t="shared" si="50"/>
        <v>0.19544675885771245</v>
      </c>
      <c r="V799" s="4">
        <v>6190.666015625</v>
      </c>
      <c r="W799" s="5">
        <f t="shared" si="51"/>
        <v>-3.2708435058593777E-2</v>
      </c>
    </row>
    <row r="800" spans="1:23" x14ac:dyDescent="0.25">
      <c r="A800" t="s">
        <v>1141</v>
      </c>
      <c r="B800">
        <v>2012</v>
      </c>
      <c r="C800" t="s">
        <v>487</v>
      </c>
      <c r="D800" t="s">
        <v>488</v>
      </c>
      <c r="E800">
        <v>95173</v>
      </c>
      <c r="F800" t="s">
        <v>246</v>
      </c>
      <c r="G800" t="s">
        <v>23</v>
      </c>
      <c r="H800" t="s">
        <v>24</v>
      </c>
      <c r="I800" t="s">
        <v>25</v>
      </c>
      <c r="J800" s="2">
        <v>45482</v>
      </c>
      <c r="K800" t="s">
        <v>25</v>
      </c>
      <c r="L800">
        <v>44113</v>
      </c>
      <c r="M800">
        <v>264</v>
      </c>
      <c r="N800">
        <v>314</v>
      </c>
      <c r="O800" s="4">
        <v>3600</v>
      </c>
      <c r="P800" s="4">
        <v>4180.54638671875</v>
      </c>
      <c r="Q800" s="5">
        <f t="shared" si="48"/>
        <v>0.16126288519965271</v>
      </c>
      <c r="R800" s="4">
        <v>3939.682591777891</v>
      </c>
      <c r="S800" s="5">
        <f t="shared" si="49"/>
        <v>9.4356275493858721E-2</v>
      </c>
      <c r="T800" s="4">
        <v>3630.274906654407</v>
      </c>
      <c r="U800" s="5">
        <f t="shared" si="50"/>
        <v>8.4096962928907892E-3</v>
      </c>
      <c r="V800" s="4">
        <v>4202.115234375</v>
      </c>
      <c r="W800" s="5">
        <f t="shared" si="51"/>
        <v>0.16725423177083343</v>
      </c>
    </row>
    <row r="801" spans="1:23" x14ac:dyDescent="0.25">
      <c r="A801" t="s">
        <v>1142</v>
      </c>
      <c r="B801">
        <v>2017</v>
      </c>
      <c r="C801" t="s">
        <v>302</v>
      </c>
      <c r="D801" t="s">
        <v>1143</v>
      </c>
      <c r="E801">
        <v>63191</v>
      </c>
      <c r="F801" t="s">
        <v>246</v>
      </c>
      <c r="G801" t="s">
        <v>23</v>
      </c>
      <c r="H801" t="s">
        <v>24</v>
      </c>
      <c r="I801" t="s">
        <v>25</v>
      </c>
      <c r="J801" s="2">
        <v>45664</v>
      </c>
      <c r="K801" t="s">
        <v>25</v>
      </c>
      <c r="L801">
        <v>44113</v>
      </c>
      <c r="M801">
        <v>264</v>
      </c>
      <c r="N801">
        <v>314</v>
      </c>
      <c r="O801" s="4">
        <v>11900</v>
      </c>
      <c r="P801" s="4">
        <v>9477.796875</v>
      </c>
      <c r="Q801" s="5">
        <f t="shared" si="48"/>
        <v>-0.203546481092437</v>
      </c>
      <c r="R801" s="4">
        <v>9574.1483568023395</v>
      </c>
      <c r="S801" s="5">
        <f t="shared" si="49"/>
        <v>-0.19544971791576982</v>
      </c>
      <c r="T801" s="4">
        <v>18401.11851298912</v>
      </c>
      <c r="U801" s="5">
        <f t="shared" si="50"/>
        <v>0.54631248008311939</v>
      </c>
      <c r="V801" s="4">
        <v>9669.994140625</v>
      </c>
      <c r="W801" s="5">
        <f t="shared" si="51"/>
        <v>-0.18739545036764704</v>
      </c>
    </row>
    <row r="802" spans="1:23" x14ac:dyDescent="0.25">
      <c r="A802" t="s">
        <v>1144</v>
      </c>
      <c r="B802">
        <v>2013</v>
      </c>
      <c r="C802" t="s">
        <v>269</v>
      </c>
      <c r="D802" t="s">
        <v>1145</v>
      </c>
      <c r="E802">
        <v>127875</v>
      </c>
      <c r="F802" t="s">
        <v>77</v>
      </c>
      <c r="G802" t="s">
        <v>30</v>
      </c>
      <c r="H802" t="s">
        <v>24</v>
      </c>
      <c r="I802" t="s">
        <v>25</v>
      </c>
      <c r="J802" s="2">
        <v>45370</v>
      </c>
      <c r="K802" t="s">
        <v>25</v>
      </c>
      <c r="L802">
        <v>44113</v>
      </c>
      <c r="M802">
        <v>264</v>
      </c>
      <c r="N802">
        <v>314</v>
      </c>
      <c r="O802" s="4">
        <v>7800</v>
      </c>
      <c r="P802" s="4">
        <v>3426.720703125</v>
      </c>
      <c r="Q802" s="5">
        <f t="shared" si="48"/>
        <v>-0.56067683293269233</v>
      </c>
      <c r="R802" s="4">
        <v>4589.1681296108291</v>
      </c>
      <c r="S802" s="5">
        <f t="shared" si="49"/>
        <v>-0.41164511158835526</v>
      </c>
      <c r="T802" s="4">
        <v>7468.4625510320748</v>
      </c>
      <c r="U802" s="5">
        <f t="shared" si="50"/>
        <v>-4.2504801149733984E-2</v>
      </c>
      <c r="V802" s="4">
        <v>2996.976318359375</v>
      </c>
      <c r="W802" s="5">
        <f t="shared" si="51"/>
        <v>-0.61577226687700315</v>
      </c>
    </row>
    <row r="803" spans="1:23" x14ac:dyDescent="0.25">
      <c r="A803" t="s">
        <v>1146</v>
      </c>
      <c r="B803">
        <v>2013</v>
      </c>
      <c r="C803" t="s">
        <v>269</v>
      </c>
      <c r="D803" t="s">
        <v>728</v>
      </c>
      <c r="E803">
        <v>100145</v>
      </c>
      <c r="F803" t="s">
        <v>82</v>
      </c>
      <c r="G803" t="s">
        <v>30</v>
      </c>
      <c r="H803" t="s">
        <v>25</v>
      </c>
      <c r="I803" t="s">
        <v>24</v>
      </c>
      <c r="J803" s="2">
        <v>45622</v>
      </c>
      <c r="K803" t="s">
        <v>25</v>
      </c>
      <c r="L803">
        <v>44113</v>
      </c>
      <c r="M803">
        <v>264</v>
      </c>
      <c r="N803">
        <v>314</v>
      </c>
      <c r="O803" s="4">
        <v>5400</v>
      </c>
      <c r="P803" s="4">
        <v>4020.923583984375</v>
      </c>
      <c r="Q803" s="5">
        <f t="shared" si="48"/>
        <v>-0.25538452148437496</v>
      </c>
      <c r="R803" s="4">
        <v>4284.161672183307</v>
      </c>
      <c r="S803" s="5">
        <f t="shared" si="49"/>
        <v>-0.20663672737346162</v>
      </c>
      <c r="T803" s="4">
        <v>8536.8468971213406</v>
      </c>
      <c r="U803" s="5">
        <f t="shared" si="50"/>
        <v>0.58089757354098892</v>
      </c>
      <c r="V803" s="4">
        <v>4013.01611328125</v>
      </c>
      <c r="W803" s="5">
        <f t="shared" si="51"/>
        <v>-0.25684886791087957</v>
      </c>
    </row>
    <row r="804" spans="1:23" x14ac:dyDescent="0.25">
      <c r="A804" t="s">
        <v>1147</v>
      </c>
      <c r="B804">
        <v>2014</v>
      </c>
      <c r="C804" t="s">
        <v>269</v>
      </c>
      <c r="D804" t="s">
        <v>309</v>
      </c>
      <c r="E804">
        <v>91040</v>
      </c>
      <c r="F804" t="s">
        <v>43</v>
      </c>
      <c r="G804" t="s">
        <v>38</v>
      </c>
      <c r="H804" t="s">
        <v>25</v>
      </c>
      <c r="I804" t="s">
        <v>24</v>
      </c>
      <c r="J804" s="2">
        <v>45328</v>
      </c>
      <c r="K804" t="s">
        <v>25</v>
      </c>
      <c r="L804">
        <v>44113</v>
      </c>
      <c r="M804">
        <v>264</v>
      </c>
      <c r="N804">
        <v>314</v>
      </c>
      <c r="O804" s="4">
        <v>12000</v>
      </c>
      <c r="P804" s="4">
        <v>8556.7392578125</v>
      </c>
      <c r="Q804" s="5">
        <f t="shared" si="48"/>
        <v>-0.28693839518229169</v>
      </c>
      <c r="R804" s="4">
        <v>8920.7382667941129</v>
      </c>
      <c r="S804" s="5">
        <f t="shared" si="49"/>
        <v>-0.25660514443382387</v>
      </c>
      <c r="T804" s="4">
        <v>13144.207601387039</v>
      </c>
      <c r="U804" s="5">
        <f t="shared" si="50"/>
        <v>9.535063344892003E-2</v>
      </c>
      <c r="V804" s="4">
        <v>8572.333984375</v>
      </c>
      <c r="W804" s="5">
        <f t="shared" si="51"/>
        <v>-0.28563883463541662</v>
      </c>
    </row>
    <row r="805" spans="1:23" x14ac:dyDescent="0.25">
      <c r="A805" t="s">
        <v>1148</v>
      </c>
      <c r="B805">
        <v>2014</v>
      </c>
      <c r="C805" t="s">
        <v>266</v>
      </c>
      <c r="D805" t="s">
        <v>1149</v>
      </c>
      <c r="E805">
        <v>142897</v>
      </c>
      <c r="F805" t="s">
        <v>82</v>
      </c>
      <c r="G805" t="s">
        <v>30</v>
      </c>
      <c r="H805" t="s">
        <v>24</v>
      </c>
      <c r="I805" t="s">
        <v>25</v>
      </c>
      <c r="J805" s="2">
        <v>45300</v>
      </c>
      <c r="K805" t="s">
        <v>25</v>
      </c>
      <c r="L805">
        <v>44113</v>
      </c>
      <c r="M805">
        <v>264</v>
      </c>
      <c r="N805">
        <v>314</v>
      </c>
      <c r="O805" s="4">
        <v>800</v>
      </c>
      <c r="P805" s="4">
        <v>1529.010131835938</v>
      </c>
      <c r="Q805" s="5">
        <f t="shared" si="48"/>
        <v>0.91126266479492246</v>
      </c>
      <c r="R805" s="4">
        <v>1396.3187580307911</v>
      </c>
      <c r="S805" s="5">
        <f t="shared" si="49"/>
        <v>0.74539844753848872</v>
      </c>
      <c r="T805" s="4">
        <v>1383.303537890866</v>
      </c>
      <c r="U805" s="5">
        <f t="shared" si="50"/>
        <v>0.72912942236358247</v>
      </c>
      <c r="V805" s="4">
        <v>1564.289916992188</v>
      </c>
      <c r="W805" s="5">
        <f t="shared" si="51"/>
        <v>0.95536239624023489</v>
      </c>
    </row>
    <row r="806" spans="1:23" x14ac:dyDescent="0.25">
      <c r="A806" t="s">
        <v>1150</v>
      </c>
      <c r="B806">
        <v>2014</v>
      </c>
      <c r="C806" t="s">
        <v>202</v>
      </c>
      <c r="D806" t="s">
        <v>495</v>
      </c>
      <c r="E806">
        <v>120574</v>
      </c>
      <c r="F806" t="s">
        <v>89</v>
      </c>
      <c r="G806" t="s">
        <v>34</v>
      </c>
      <c r="H806" t="s">
        <v>25</v>
      </c>
      <c r="I806" t="s">
        <v>24</v>
      </c>
      <c r="J806" s="2">
        <v>45664</v>
      </c>
      <c r="K806" t="s">
        <v>25</v>
      </c>
      <c r="L806">
        <v>44113</v>
      </c>
      <c r="M806">
        <v>264</v>
      </c>
      <c r="N806">
        <v>314</v>
      </c>
      <c r="O806" s="4">
        <v>1700</v>
      </c>
      <c r="P806" s="4">
        <v>3751.670166015625</v>
      </c>
      <c r="Q806" s="5">
        <f t="shared" si="48"/>
        <v>1.2068648035386031</v>
      </c>
      <c r="R806" s="4">
        <v>3900.4152025864068</v>
      </c>
      <c r="S806" s="5">
        <f t="shared" si="49"/>
        <v>1.2943618838743571</v>
      </c>
      <c r="T806" s="4">
        <v>3164.8924856705898</v>
      </c>
      <c r="U806" s="5">
        <f t="shared" si="50"/>
        <v>0.86170146215917054</v>
      </c>
      <c r="V806" s="4">
        <v>3658.721923828125</v>
      </c>
      <c r="W806" s="5">
        <f t="shared" si="51"/>
        <v>1.1521893669577206</v>
      </c>
    </row>
    <row r="807" spans="1:23" x14ac:dyDescent="0.25">
      <c r="A807" t="s">
        <v>1151</v>
      </c>
      <c r="B807">
        <v>2016</v>
      </c>
      <c r="C807" t="s">
        <v>32</v>
      </c>
      <c r="D807" t="s">
        <v>563</v>
      </c>
      <c r="E807">
        <v>114770</v>
      </c>
      <c r="F807" t="s">
        <v>77</v>
      </c>
      <c r="G807" t="s">
        <v>38</v>
      </c>
      <c r="H807" t="s">
        <v>25</v>
      </c>
      <c r="I807" t="s">
        <v>24</v>
      </c>
      <c r="J807" s="2">
        <v>45538</v>
      </c>
      <c r="K807" t="s">
        <v>25</v>
      </c>
      <c r="L807">
        <v>44113</v>
      </c>
      <c r="M807">
        <v>264</v>
      </c>
      <c r="N807">
        <v>314</v>
      </c>
      <c r="O807" s="4">
        <v>6400</v>
      </c>
      <c r="P807" s="4">
        <v>4459.21533203125</v>
      </c>
      <c r="Q807" s="5">
        <f t="shared" si="48"/>
        <v>-0.30324760437011722</v>
      </c>
      <c r="R807" s="4">
        <v>7357.9745424141502</v>
      </c>
      <c r="S807" s="5">
        <f t="shared" si="49"/>
        <v>0.14968352225221104</v>
      </c>
      <c r="T807" s="4">
        <v>6545.9436952214537</v>
      </c>
      <c r="U807" s="5">
        <f t="shared" si="50"/>
        <v>2.2803702378352053E-2</v>
      </c>
      <c r="V807" s="4">
        <v>4439.2041015625</v>
      </c>
      <c r="W807" s="5">
        <f t="shared" si="51"/>
        <v>-0.30637435913085942</v>
      </c>
    </row>
    <row r="808" spans="1:23" x14ac:dyDescent="0.25">
      <c r="A808" t="s">
        <v>1152</v>
      </c>
      <c r="B808">
        <v>2018</v>
      </c>
      <c r="C808" t="s">
        <v>20</v>
      </c>
      <c r="D808" t="s">
        <v>21</v>
      </c>
      <c r="E808">
        <v>75554</v>
      </c>
      <c r="F808" t="s">
        <v>214</v>
      </c>
      <c r="G808" t="s">
        <v>44</v>
      </c>
      <c r="H808" t="s">
        <v>25</v>
      </c>
      <c r="I808" t="s">
        <v>24</v>
      </c>
      <c r="J808" s="2">
        <v>45692</v>
      </c>
      <c r="K808" t="s">
        <v>25</v>
      </c>
      <c r="L808">
        <v>44121</v>
      </c>
      <c r="M808">
        <v>280</v>
      </c>
      <c r="N808">
        <v>330</v>
      </c>
      <c r="O808" s="4">
        <v>9500</v>
      </c>
      <c r="P808" s="4">
        <v>12465.353515625</v>
      </c>
      <c r="Q808" s="5">
        <f t="shared" si="48"/>
        <v>0.31214247532894746</v>
      </c>
      <c r="R808" s="4">
        <v>14010.45031783673</v>
      </c>
      <c r="S808" s="5">
        <f t="shared" si="49"/>
        <v>0.47478424398281383</v>
      </c>
      <c r="T808" s="4">
        <v>12200.33433295619</v>
      </c>
      <c r="U808" s="5">
        <f t="shared" si="50"/>
        <v>0.28424571925854636</v>
      </c>
      <c r="V808" s="4">
        <v>11989.435546875</v>
      </c>
      <c r="W808" s="5">
        <f t="shared" si="51"/>
        <v>0.26204584703947376</v>
      </c>
    </row>
    <row r="809" spans="1:23" x14ac:dyDescent="0.25">
      <c r="A809" t="s">
        <v>1153</v>
      </c>
      <c r="B809">
        <v>2010</v>
      </c>
      <c r="C809" t="s">
        <v>519</v>
      </c>
      <c r="D809" t="s">
        <v>1154</v>
      </c>
      <c r="E809">
        <v>141211</v>
      </c>
      <c r="F809" t="s">
        <v>246</v>
      </c>
      <c r="G809" t="s">
        <v>30</v>
      </c>
      <c r="H809" t="s">
        <v>24</v>
      </c>
      <c r="I809" t="s">
        <v>25</v>
      </c>
      <c r="J809" s="2">
        <v>45664</v>
      </c>
      <c r="K809" t="s">
        <v>25</v>
      </c>
      <c r="L809">
        <v>44121</v>
      </c>
      <c r="M809">
        <v>280</v>
      </c>
      <c r="N809">
        <v>330</v>
      </c>
      <c r="O809" s="4">
        <v>1000</v>
      </c>
      <c r="P809" s="4">
        <v>2075.477294921875</v>
      </c>
      <c r="Q809" s="5">
        <f t="shared" si="48"/>
        <v>1.0754772949218752</v>
      </c>
      <c r="R809" s="4">
        <v>1728.933772931932</v>
      </c>
      <c r="S809" s="5">
        <f t="shared" si="49"/>
        <v>0.72893377293193207</v>
      </c>
      <c r="T809" s="4">
        <v>1880.3328874155609</v>
      </c>
      <c r="U809" s="5">
        <f t="shared" si="50"/>
        <v>0.88033288741556093</v>
      </c>
      <c r="V809" s="4">
        <v>2027.951782226562</v>
      </c>
      <c r="W809" s="5">
        <f t="shared" si="51"/>
        <v>1.027951782226562</v>
      </c>
    </row>
    <row r="810" spans="1:23" x14ac:dyDescent="0.25">
      <c r="A810" t="s">
        <v>1155</v>
      </c>
      <c r="B810">
        <v>2017</v>
      </c>
      <c r="C810" t="s">
        <v>269</v>
      </c>
      <c r="D810" t="s">
        <v>741</v>
      </c>
      <c r="E810">
        <v>86613</v>
      </c>
      <c r="F810" t="s">
        <v>48</v>
      </c>
      <c r="G810" t="s">
        <v>30</v>
      </c>
      <c r="H810" t="s">
        <v>24</v>
      </c>
      <c r="I810" t="s">
        <v>25</v>
      </c>
      <c r="J810" s="2">
        <v>45734</v>
      </c>
      <c r="K810" t="s">
        <v>25</v>
      </c>
      <c r="L810">
        <v>44121</v>
      </c>
      <c r="M810">
        <v>280</v>
      </c>
      <c r="N810">
        <v>330</v>
      </c>
      <c r="O810" s="4">
        <v>14400</v>
      </c>
      <c r="P810" s="4">
        <v>7860.53076171875</v>
      </c>
      <c r="Q810" s="5">
        <f t="shared" si="48"/>
        <v>-0.45412980821397575</v>
      </c>
      <c r="R810" s="4">
        <v>11301.4536213753</v>
      </c>
      <c r="S810" s="5">
        <f t="shared" si="49"/>
        <v>-0.21517683184893754</v>
      </c>
      <c r="T810" s="4">
        <v>15262.23126326736</v>
      </c>
      <c r="U810" s="5">
        <f t="shared" si="50"/>
        <v>5.987717106023327E-2</v>
      </c>
      <c r="V810" s="4">
        <v>7140.7216796875</v>
      </c>
      <c r="W810" s="5">
        <f t="shared" si="51"/>
        <v>-0.50411655002170142</v>
      </c>
    </row>
    <row r="811" spans="1:23" x14ac:dyDescent="0.25">
      <c r="A811" t="s">
        <v>1156</v>
      </c>
      <c r="B811">
        <v>2015</v>
      </c>
      <c r="C811" t="s">
        <v>120</v>
      </c>
      <c r="D811" t="s">
        <v>206</v>
      </c>
      <c r="E811">
        <v>175148</v>
      </c>
      <c r="F811" t="s">
        <v>82</v>
      </c>
      <c r="G811" t="s">
        <v>30</v>
      </c>
      <c r="H811" t="s">
        <v>24</v>
      </c>
      <c r="I811" t="s">
        <v>25</v>
      </c>
      <c r="J811" s="2">
        <v>45435</v>
      </c>
      <c r="K811" t="s">
        <v>25</v>
      </c>
      <c r="L811">
        <v>44128</v>
      </c>
      <c r="M811">
        <v>264</v>
      </c>
      <c r="N811">
        <v>314</v>
      </c>
      <c r="O811" s="4">
        <v>9500</v>
      </c>
      <c r="P811" s="4">
        <v>1871.39013671875</v>
      </c>
      <c r="Q811" s="5">
        <f t="shared" si="48"/>
        <v>-0.80301156455592104</v>
      </c>
      <c r="R811" s="4">
        <v>2256.3043605263738</v>
      </c>
      <c r="S811" s="5">
        <f t="shared" si="49"/>
        <v>-0.7624942778393291</v>
      </c>
      <c r="T811" s="4">
        <v>2703.2146802609332</v>
      </c>
      <c r="U811" s="5">
        <f t="shared" si="50"/>
        <v>-0.71545108628832277</v>
      </c>
      <c r="V811" s="4">
        <v>1816.599487304688</v>
      </c>
      <c r="W811" s="5">
        <f t="shared" si="51"/>
        <v>-0.80877900133634861</v>
      </c>
    </row>
    <row r="812" spans="1:23" x14ac:dyDescent="0.25">
      <c r="A812" t="s">
        <v>1157</v>
      </c>
      <c r="B812">
        <v>2015</v>
      </c>
      <c r="C812" t="s">
        <v>46</v>
      </c>
      <c r="D812" t="s">
        <v>315</v>
      </c>
      <c r="E812">
        <v>109570</v>
      </c>
      <c r="F812" t="s">
        <v>48</v>
      </c>
      <c r="G812" t="s">
        <v>38</v>
      </c>
      <c r="H812" t="s">
        <v>25</v>
      </c>
      <c r="I812" t="s">
        <v>24</v>
      </c>
      <c r="J812" s="2">
        <v>45449</v>
      </c>
      <c r="K812" t="s">
        <v>25</v>
      </c>
      <c r="L812">
        <v>44128</v>
      </c>
      <c r="M812">
        <v>264</v>
      </c>
      <c r="N812">
        <v>314</v>
      </c>
      <c r="O812" s="4">
        <v>2100</v>
      </c>
      <c r="P812" s="4">
        <v>4606.689453125</v>
      </c>
      <c r="Q812" s="5">
        <f t="shared" si="48"/>
        <v>1.1936616443452381</v>
      </c>
      <c r="R812" s="4">
        <v>6853.3807815030004</v>
      </c>
      <c r="S812" s="5">
        <f t="shared" si="49"/>
        <v>2.2635146578585714</v>
      </c>
      <c r="T812" s="4">
        <v>3425.923332424406</v>
      </c>
      <c r="U812" s="5">
        <f t="shared" si="50"/>
        <v>0.63139206305924089</v>
      </c>
      <c r="V812" s="4">
        <v>4133.3515625</v>
      </c>
      <c r="W812" s="5">
        <f t="shared" si="51"/>
        <v>0.96826264880952384</v>
      </c>
    </row>
    <row r="813" spans="1:23" x14ac:dyDescent="0.25">
      <c r="A813" t="s">
        <v>1158</v>
      </c>
      <c r="B813">
        <v>2016</v>
      </c>
      <c r="C813" t="s">
        <v>32</v>
      </c>
      <c r="D813" t="s">
        <v>143</v>
      </c>
      <c r="E813">
        <v>164927</v>
      </c>
      <c r="F813" t="s">
        <v>246</v>
      </c>
      <c r="G813" t="s">
        <v>34</v>
      </c>
      <c r="H813" t="s">
        <v>25</v>
      </c>
      <c r="I813" t="s">
        <v>24</v>
      </c>
      <c r="J813" s="2">
        <v>45454</v>
      </c>
      <c r="K813" t="s">
        <v>25</v>
      </c>
      <c r="L813">
        <v>44128</v>
      </c>
      <c r="M813">
        <v>264</v>
      </c>
      <c r="N813">
        <v>314</v>
      </c>
      <c r="O813" s="4">
        <v>8200</v>
      </c>
      <c r="P813" s="4">
        <v>2940.0927734375</v>
      </c>
      <c r="Q813" s="5">
        <f t="shared" si="48"/>
        <v>-0.6414521008003049</v>
      </c>
      <c r="R813" s="4">
        <v>3368.6281738706762</v>
      </c>
      <c r="S813" s="5">
        <f t="shared" si="49"/>
        <v>-0.58919168611333217</v>
      </c>
      <c r="T813" s="4">
        <v>3285.6406689588239</v>
      </c>
      <c r="U813" s="5">
        <f t="shared" si="50"/>
        <v>-0.59931211354160685</v>
      </c>
      <c r="V813" s="4">
        <v>2795.759765625</v>
      </c>
      <c r="W813" s="5">
        <f t="shared" si="51"/>
        <v>-0.65905368711890244</v>
      </c>
    </row>
    <row r="814" spans="1:23" x14ac:dyDescent="0.25">
      <c r="A814" t="s">
        <v>1159</v>
      </c>
      <c r="B814">
        <v>2016</v>
      </c>
      <c r="C814" t="s">
        <v>32</v>
      </c>
      <c r="D814" t="s">
        <v>143</v>
      </c>
      <c r="E814">
        <v>139375</v>
      </c>
      <c r="F814" t="s">
        <v>22</v>
      </c>
      <c r="G814" t="s">
        <v>30</v>
      </c>
      <c r="H814" t="s">
        <v>24</v>
      </c>
      <c r="I814" t="s">
        <v>25</v>
      </c>
      <c r="J814" s="2">
        <v>45552</v>
      </c>
      <c r="K814" t="s">
        <v>25</v>
      </c>
      <c r="L814">
        <v>44128</v>
      </c>
      <c r="M814">
        <v>264</v>
      </c>
      <c r="N814">
        <v>314</v>
      </c>
      <c r="O814" s="4">
        <v>2000</v>
      </c>
      <c r="P814" s="4">
        <v>3332.955322265625</v>
      </c>
      <c r="Q814" s="5">
        <f t="shared" si="48"/>
        <v>0.66647766113281248</v>
      </c>
      <c r="R814" s="4">
        <v>3849.388041161611</v>
      </c>
      <c r="S814" s="5">
        <f t="shared" si="49"/>
        <v>0.92469402058080541</v>
      </c>
      <c r="T814" s="4">
        <v>4524.2463954329833</v>
      </c>
      <c r="U814" s="5">
        <f t="shared" si="50"/>
        <v>1.2621231977164915</v>
      </c>
      <c r="V814" s="4">
        <v>3119.70703125</v>
      </c>
      <c r="W814" s="5">
        <f t="shared" si="51"/>
        <v>0.55985351562499996</v>
      </c>
    </row>
    <row r="815" spans="1:23" x14ac:dyDescent="0.25">
      <c r="A815" t="s">
        <v>1160</v>
      </c>
      <c r="B815">
        <v>2014</v>
      </c>
      <c r="C815" t="s">
        <v>32</v>
      </c>
      <c r="D815" t="s">
        <v>524</v>
      </c>
      <c r="E815">
        <v>134623</v>
      </c>
      <c r="F815" t="s">
        <v>261</v>
      </c>
      <c r="G815" t="s">
        <v>30</v>
      </c>
      <c r="H815" t="s">
        <v>24</v>
      </c>
      <c r="I815" t="s">
        <v>25</v>
      </c>
      <c r="J815" s="2">
        <v>45701</v>
      </c>
      <c r="K815" t="s">
        <v>25</v>
      </c>
      <c r="L815">
        <v>44128</v>
      </c>
      <c r="M815">
        <v>264</v>
      </c>
      <c r="N815">
        <v>314</v>
      </c>
      <c r="O815" s="4">
        <v>3000</v>
      </c>
      <c r="P815" s="4">
        <v>2935.509765625</v>
      </c>
      <c r="Q815" s="5">
        <f t="shared" si="48"/>
        <v>-2.1496744791666633E-2</v>
      </c>
      <c r="R815" s="4">
        <v>3007.472979071948</v>
      </c>
      <c r="S815" s="5">
        <f t="shared" si="49"/>
        <v>2.4909930239827016E-3</v>
      </c>
      <c r="T815" s="4">
        <v>5115.7346830836377</v>
      </c>
      <c r="U815" s="5">
        <f t="shared" si="50"/>
        <v>0.70524489436121263</v>
      </c>
      <c r="V815" s="4">
        <v>2882.637939453125</v>
      </c>
      <c r="W815" s="5">
        <f t="shared" si="51"/>
        <v>-3.9120686848958308E-2</v>
      </c>
    </row>
    <row r="816" spans="1:23" x14ac:dyDescent="0.25">
      <c r="A816" t="s">
        <v>1161</v>
      </c>
      <c r="B816">
        <v>2014</v>
      </c>
      <c r="C816" t="s">
        <v>32</v>
      </c>
      <c r="D816" t="s">
        <v>320</v>
      </c>
      <c r="E816">
        <v>134249</v>
      </c>
      <c r="F816" t="s">
        <v>77</v>
      </c>
      <c r="G816" t="s">
        <v>30</v>
      </c>
      <c r="H816" t="s">
        <v>24</v>
      </c>
      <c r="I816" t="s">
        <v>25</v>
      </c>
      <c r="J816" s="2">
        <v>45673</v>
      </c>
      <c r="K816" t="s">
        <v>25</v>
      </c>
      <c r="L816">
        <v>44128</v>
      </c>
      <c r="M816">
        <v>264</v>
      </c>
      <c r="N816">
        <v>314</v>
      </c>
      <c r="O816" s="4">
        <v>8000</v>
      </c>
      <c r="P816" s="4">
        <v>3368.53564453125</v>
      </c>
      <c r="Q816" s="5">
        <f t="shared" si="48"/>
        <v>-0.57893304443359372</v>
      </c>
      <c r="R816" s="4">
        <v>4766.0653229250993</v>
      </c>
      <c r="S816" s="5">
        <f t="shared" si="49"/>
        <v>-0.40424183463436258</v>
      </c>
      <c r="T816" s="4">
        <v>6296.7798148144884</v>
      </c>
      <c r="U816" s="5">
        <f t="shared" si="50"/>
        <v>-0.21290252314818892</v>
      </c>
      <c r="V816" s="4">
        <v>2995.198974609375</v>
      </c>
      <c r="W816" s="5">
        <f t="shared" si="51"/>
        <v>-0.62560012817382815</v>
      </c>
    </row>
    <row r="817" spans="1:23" x14ac:dyDescent="0.25">
      <c r="A817" t="s">
        <v>1162</v>
      </c>
      <c r="B817">
        <v>2014</v>
      </c>
      <c r="C817" t="s">
        <v>32</v>
      </c>
      <c r="D817" t="s">
        <v>967</v>
      </c>
      <c r="E817">
        <v>117237</v>
      </c>
      <c r="F817" t="s">
        <v>89</v>
      </c>
      <c r="G817" t="s">
        <v>30</v>
      </c>
      <c r="H817" t="s">
        <v>24</v>
      </c>
      <c r="I817" t="s">
        <v>25</v>
      </c>
      <c r="J817" s="2">
        <v>45568</v>
      </c>
      <c r="K817" t="s">
        <v>25</v>
      </c>
      <c r="L817">
        <v>44128</v>
      </c>
      <c r="M817">
        <v>264</v>
      </c>
      <c r="N817">
        <v>314</v>
      </c>
      <c r="O817" s="4">
        <v>12500</v>
      </c>
      <c r="P817" s="4">
        <v>4145.251953125</v>
      </c>
      <c r="Q817" s="5">
        <f t="shared" si="48"/>
        <v>-0.66837984374999992</v>
      </c>
      <c r="R817" s="4">
        <v>4153.0173614691894</v>
      </c>
      <c r="S817" s="5">
        <f t="shared" si="49"/>
        <v>-0.66775861108246493</v>
      </c>
      <c r="T817" s="4">
        <v>6815.9272264269221</v>
      </c>
      <c r="U817" s="5">
        <f t="shared" si="50"/>
        <v>-0.4547258218858462</v>
      </c>
      <c r="V817" s="4">
        <v>4036.29638671875</v>
      </c>
      <c r="W817" s="5">
        <f t="shared" si="51"/>
        <v>-0.67709628906250008</v>
      </c>
    </row>
    <row r="818" spans="1:23" x14ac:dyDescent="0.25">
      <c r="A818" t="s">
        <v>1163</v>
      </c>
      <c r="B818">
        <v>2012</v>
      </c>
      <c r="C818" t="s">
        <v>32</v>
      </c>
      <c r="D818" t="s">
        <v>1164</v>
      </c>
      <c r="E818">
        <v>84056</v>
      </c>
      <c r="F818" t="s">
        <v>66</v>
      </c>
      <c r="G818" t="s">
        <v>23</v>
      </c>
      <c r="H818" t="s">
        <v>24</v>
      </c>
      <c r="I818" t="s">
        <v>25</v>
      </c>
      <c r="J818" s="2">
        <v>45622</v>
      </c>
      <c r="K818" t="s">
        <v>25</v>
      </c>
      <c r="L818">
        <v>44128</v>
      </c>
      <c r="M818">
        <v>264</v>
      </c>
      <c r="N818">
        <v>314</v>
      </c>
      <c r="O818" s="4">
        <v>3600</v>
      </c>
      <c r="P818" s="4">
        <v>4208.302734375</v>
      </c>
      <c r="Q818" s="5">
        <f t="shared" si="48"/>
        <v>0.16897298177083342</v>
      </c>
      <c r="R818" s="4">
        <v>3980.2210144377759</v>
      </c>
      <c r="S818" s="5">
        <f t="shared" si="49"/>
        <v>0.10561694845493785</v>
      </c>
      <c r="T818" s="4">
        <v>2539.246059459841</v>
      </c>
      <c r="U818" s="5">
        <f t="shared" si="50"/>
        <v>-0.29465387237226637</v>
      </c>
      <c r="V818" s="4">
        <v>4202.115234375</v>
      </c>
      <c r="W818" s="5">
        <f t="shared" si="51"/>
        <v>0.16725423177083343</v>
      </c>
    </row>
    <row r="819" spans="1:23" x14ac:dyDescent="0.25">
      <c r="A819" t="s">
        <v>1165</v>
      </c>
      <c r="B819">
        <v>2021</v>
      </c>
      <c r="C819" t="s">
        <v>46</v>
      </c>
      <c r="D819" t="s">
        <v>47</v>
      </c>
      <c r="E819">
        <v>51759</v>
      </c>
      <c r="F819" t="s">
        <v>214</v>
      </c>
      <c r="G819" t="s">
        <v>44</v>
      </c>
      <c r="H819" t="s">
        <v>25</v>
      </c>
      <c r="I819" t="s">
        <v>24</v>
      </c>
      <c r="J819" s="2">
        <v>45538</v>
      </c>
      <c r="K819" t="s">
        <v>25</v>
      </c>
      <c r="L819">
        <v>44128</v>
      </c>
      <c r="M819">
        <v>264</v>
      </c>
      <c r="N819">
        <v>314</v>
      </c>
      <c r="O819" s="4">
        <v>29700</v>
      </c>
      <c r="P819" s="4">
        <v>22585.8515625</v>
      </c>
      <c r="Q819" s="5">
        <f t="shared" si="48"/>
        <v>-0.2395336174242424</v>
      </c>
      <c r="R819" s="4">
        <v>22132.27526179362</v>
      </c>
      <c r="S819" s="5">
        <f t="shared" si="49"/>
        <v>-0.25480554674095557</v>
      </c>
      <c r="T819" s="4">
        <v>21290.364435214331</v>
      </c>
      <c r="U819" s="5">
        <f t="shared" si="50"/>
        <v>-0.28315271261904607</v>
      </c>
      <c r="V819" s="4">
        <v>22767.4140625</v>
      </c>
      <c r="W819" s="5">
        <f t="shared" si="51"/>
        <v>-0.23342040193602698</v>
      </c>
    </row>
    <row r="820" spans="1:23" x14ac:dyDescent="0.25">
      <c r="A820" t="s">
        <v>1166</v>
      </c>
      <c r="B820">
        <v>2021</v>
      </c>
      <c r="C820" t="s">
        <v>32</v>
      </c>
      <c r="D820" t="s">
        <v>1167</v>
      </c>
      <c r="E820">
        <v>30002</v>
      </c>
      <c r="F820" t="s">
        <v>22</v>
      </c>
      <c r="G820" t="s">
        <v>34</v>
      </c>
      <c r="H820" t="s">
        <v>25</v>
      </c>
      <c r="I820" t="s">
        <v>24</v>
      </c>
      <c r="J820" s="2">
        <v>45468</v>
      </c>
      <c r="K820" t="s">
        <v>25</v>
      </c>
      <c r="L820">
        <v>44128</v>
      </c>
      <c r="M820">
        <v>264</v>
      </c>
      <c r="N820">
        <v>314</v>
      </c>
      <c r="O820" s="4">
        <v>32500</v>
      </c>
      <c r="P820" s="4">
        <v>18508.349609375</v>
      </c>
      <c r="Q820" s="5">
        <f t="shared" si="48"/>
        <v>-0.43051231971153847</v>
      </c>
      <c r="R820" s="4">
        <v>17680.87589071711</v>
      </c>
      <c r="S820" s="5">
        <f t="shared" si="49"/>
        <v>-0.45597304951639661</v>
      </c>
      <c r="T820" s="4">
        <v>25835.50995033135</v>
      </c>
      <c r="U820" s="5">
        <f t="shared" si="50"/>
        <v>-0.20506123229749695</v>
      </c>
      <c r="V820" s="4">
        <v>18533.744140625</v>
      </c>
      <c r="W820" s="5">
        <f t="shared" si="51"/>
        <v>-0.42973094951923074</v>
      </c>
    </row>
    <row r="821" spans="1:23" x14ac:dyDescent="0.25">
      <c r="A821" t="s">
        <v>1168</v>
      </c>
      <c r="B821">
        <v>2016</v>
      </c>
      <c r="C821" t="s">
        <v>53</v>
      </c>
      <c r="D821" t="s">
        <v>590</v>
      </c>
      <c r="E821">
        <v>105821</v>
      </c>
      <c r="F821" t="s">
        <v>82</v>
      </c>
      <c r="G821" t="s">
        <v>30</v>
      </c>
      <c r="H821" t="s">
        <v>24</v>
      </c>
      <c r="I821" t="s">
        <v>25</v>
      </c>
      <c r="J821" s="2">
        <v>45594</v>
      </c>
      <c r="K821" t="s">
        <v>25</v>
      </c>
      <c r="L821">
        <v>44128</v>
      </c>
      <c r="M821">
        <v>264</v>
      </c>
      <c r="N821">
        <v>314</v>
      </c>
      <c r="O821" s="4">
        <v>4200</v>
      </c>
      <c r="P821" s="4">
        <v>4339.4150390625</v>
      </c>
      <c r="Q821" s="5">
        <f t="shared" si="48"/>
        <v>3.3194056919642945E-2</v>
      </c>
      <c r="R821" s="4">
        <v>4898.5766418468984</v>
      </c>
      <c r="S821" s="5">
        <f t="shared" si="49"/>
        <v>0.16632777186830916</v>
      </c>
      <c r="T821" s="4">
        <v>2187.246744146054</v>
      </c>
      <c r="U821" s="5">
        <f t="shared" si="50"/>
        <v>-0.47922696567951095</v>
      </c>
      <c r="V821" s="4">
        <v>4240.923828125</v>
      </c>
      <c r="W821" s="5">
        <f t="shared" si="51"/>
        <v>9.7437686011905278E-3</v>
      </c>
    </row>
    <row r="822" spans="1:23" x14ac:dyDescent="0.25">
      <c r="A822" t="s">
        <v>1169</v>
      </c>
      <c r="B822">
        <v>2012</v>
      </c>
      <c r="C822" t="s">
        <v>53</v>
      </c>
      <c r="D822" t="s">
        <v>57</v>
      </c>
      <c r="E822">
        <v>123559</v>
      </c>
      <c r="F822" t="s">
        <v>58</v>
      </c>
      <c r="G822" t="s">
        <v>23</v>
      </c>
      <c r="H822" t="s">
        <v>24</v>
      </c>
      <c r="I822" t="s">
        <v>25</v>
      </c>
      <c r="J822" s="2">
        <v>45566</v>
      </c>
      <c r="K822" t="s">
        <v>25</v>
      </c>
      <c r="L822">
        <v>44128</v>
      </c>
      <c r="M822">
        <v>264</v>
      </c>
      <c r="N822">
        <v>314</v>
      </c>
      <c r="O822" s="4">
        <v>2500</v>
      </c>
      <c r="P822" s="4">
        <v>2949.362060546875</v>
      </c>
      <c r="Q822" s="5">
        <f t="shared" si="48"/>
        <v>0.17974482421875004</v>
      </c>
      <c r="R822" s="4">
        <v>3035.753638691544</v>
      </c>
      <c r="S822" s="5">
        <f t="shared" si="49"/>
        <v>0.21430145547661761</v>
      </c>
      <c r="T822" s="4">
        <v>1640.4673314041679</v>
      </c>
      <c r="U822" s="5">
        <f t="shared" si="50"/>
        <v>-0.34381306743833284</v>
      </c>
      <c r="V822" s="4">
        <v>2870.031982421875</v>
      </c>
      <c r="W822" s="5">
        <f t="shared" si="51"/>
        <v>0.14801279296875003</v>
      </c>
    </row>
    <row r="823" spans="1:23" x14ac:dyDescent="0.25">
      <c r="A823" t="s">
        <v>1170</v>
      </c>
      <c r="B823">
        <v>2013</v>
      </c>
      <c r="C823" t="s">
        <v>53</v>
      </c>
      <c r="D823" t="s">
        <v>1171</v>
      </c>
      <c r="E823">
        <v>201631</v>
      </c>
      <c r="F823" t="s">
        <v>141</v>
      </c>
      <c r="G823" t="s">
        <v>30</v>
      </c>
      <c r="H823" t="s">
        <v>24</v>
      </c>
      <c r="I823" t="s">
        <v>25</v>
      </c>
      <c r="J823" s="2">
        <v>45323</v>
      </c>
      <c r="K823" t="s">
        <v>25</v>
      </c>
      <c r="L823">
        <v>44128</v>
      </c>
      <c r="M823">
        <v>264</v>
      </c>
      <c r="N823">
        <v>314</v>
      </c>
      <c r="O823" s="4">
        <v>8800</v>
      </c>
      <c r="P823" s="4">
        <v>2894.195556640625</v>
      </c>
      <c r="Q823" s="5">
        <f t="shared" si="48"/>
        <v>-0.67111414129083813</v>
      </c>
      <c r="R823" s="4">
        <v>3045.50731832467</v>
      </c>
      <c r="S823" s="5">
        <f t="shared" si="49"/>
        <v>-0.65391962291765116</v>
      </c>
      <c r="T823" s="4">
        <v>4437.4935575471263</v>
      </c>
      <c r="U823" s="5">
        <f t="shared" si="50"/>
        <v>-0.49573936846055378</v>
      </c>
      <c r="V823" s="4">
        <v>2858.21240234375</v>
      </c>
      <c r="W823" s="5">
        <f t="shared" si="51"/>
        <v>-0.6752031360973012</v>
      </c>
    </row>
    <row r="824" spans="1:23" x14ac:dyDescent="0.25">
      <c r="A824" t="s">
        <v>1172</v>
      </c>
      <c r="B824">
        <v>2019</v>
      </c>
      <c r="C824" t="s">
        <v>53</v>
      </c>
      <c r="D824" t="s">
        <v>60</v>
      </c>
      <c r="E824">
        <v>34686</v>
      </c>
      <c r="F824" t="s">
        <v>189</v>
      </c>
      <c r="G824" t="s">
        <v>44</v>
      </c>
      <c r="H824" t="s">
        <v>25</v>
      </c>
      <c r="I824" t="s">
        <v>24</v>
      </c>
      <c r="J824" s="2">
        <v>45454</v>
      </c>
      <c r="K824" t="s">
        <v>25</v>
      </c>
      <c r="L824">
        <v>44128</v>
      </c>
      <c r="M824">
        <v>264</v>
      </c>
      <c r="N824">
        <v>314</v>
      </c>
      <c r="O824" s="4">
        <v>9200</v>
      </c>
      <c r="P824" s="4">
        <v>17105.21484375</v>
      </c>
      <c r="Q824" s="5">
        <f t="shared" si="48"/>
        <v>0.85926248301630426</v>
      </c>
      <c r="R824" s="4">
        <v>21576.713906458339</v>
      </c>
      <c r="S824" s="5">
        <f t="shared" si="49"/>
        <v>1.345294989832428</v>
      </c>
      <c r="T824" s="4">
        <v>19656.726334293871</v>
      </c>
      <c r="U824" s="5">
        <f t="shared" si="50"/>
        <v>1.1366006885102036</v>
      </c>
      <c r="V824" s="4">
        <v>16999.392578125</v>
      </c>
      <c r="W824" s="5">
        <f t="shared" si="51"/>
        <v>0.84776006283967398</v>
      </c>
    </row>
    <row r="825" spans="1:23" x14ac:dyDescent="0.25">
      <c r="A825" t="s">
        <v>1173</v>
      </c>
      <c r="B825">
        <v>2017</v>
      </c>
      <c r="C825" t="s">
        <v>53</v>
      </c>
      <c r="D825" t="s">
        <v>60</v>
      </c>
      <c r="E825">
        <v>103281</v>
      </c>
      <c r="F825" t="s">
        <v>61</v>
      </c>
      <c r="G825" t="s">
        <v>23</v>
      </c>
      <c r="H825" t="s">
        <v>24</v>
      </c>
      <c r="I825" t="s">
        <v>25</v>
      </c>
      <c r="J825" s="2">
        <v>45720</v>
      </c>
      <c r="K825" t="s">
        <v>25</v>
      </c>
      <c r="L825">
        <v>44128</v>
      </c>
      <c r="M825">
        <v>264</v>
      </c>
      <c r="N825">
        <v>314</v>
      </c>
      <c r="O825" s="4">
        <v>4700</v>
      </c>
      <c r="P825" s="4">
        <v>4023.078125</v>
      </c>
      <c r="Q825" s="5">
        <f t="shared" si="48"/>
        <v>-0.14402593085106385</v>
      </c>
      <c r="R825" s="4">
        <v>5334.6539909175426</v>
      </c>
      <c r="S825" s="5">
        <f t="shared" si="49"/>
        <v>0.13503276402500908</v>
      </c>
      <c r="T825" s="4">
        <v>5277.0118109328387</v>
      </c>
      <c r="U825" s="5">
        <f t="shared" si="50"/>
        <v>0.12276847041124217</v>
      </c>
      <c r="V825" s="4">
        <v>3642.47998046875</v>
      </c>
      <c r="W825" s="5">
        <f t="shared" si="51"/>
        <v>-0.22500425947473401</v>
      </c>
    </row>
    <row r="826" spans="1:23" x14ac:dyDescent="0.25">
      <c r="A826" t="s">
        <v>1174</v>
      </c>
      <c r="B826">
        <v>2016</v>
      </c>
      <c r="C826" t="s">
        <v>53</v>
      </c>
      <c r="D826" t="s">
        <v>65</v>
      </c>
      <c r="E826">
        <v>161310</v>
      </c>
      <c r="F826" t="s">
        <v>29</v>
      </c>
      <c r="G826" t="s">
        <v>30</v>
      </c>
      <c r="H826" t="s">
        <v>24</v>
      </c>
      <c r="I826" t="s">
        <v>25</v>
      </c>
      <c r="J826" s="2">
        <v>45463</v>
      </c>
      <c r="K826" t="s">
        <v>25</v>
      </c>
      <c r="L826">
        <v>44128</v>
      </c>
      <c r="M826">
        <v>264</v>
      </c>
      <c r="N826">
        <v>314</v>
      </c>
      <c r="O826" s="4">
        <v>10200</v>
      </c>
      <c r="P826" s="4">
        <v>3445.392822265625</v>
      </c>
      <c r="Q826" s="5">
        <f t="shared" si="48"/>
        <v>-0.66221638997395837</v>
      </c>
      <c r="R826" s="4">
        <v>5499.7929803440784</v>
      </c>
      <c r="S826" s="5">
        <f t="shared" si="49"/>
        <v>-0.46080460977018844</v>
      </c>
      <c r="T826" s="4">
        <v>7172.0521499982551</v>
      </c>
      <c r="U826" s="5">
        <f t="shared" si="50"/>
        <v>-0.29685763235311224</v>
      </c>
      <c r="V826" s="4">
        <v>3026.21533203125</v>
      </c>
      <c r="W826" s="5">
        <f t="shared" si="51"/>
        <v>-0.70331222234987745</v>
      </c>
    </row>
    <row r="827" spans="1:23" x14ac:dyDescent="0.25">
      <c r="A827" t="s">
        <v>1175</v>
      </c>
      <c r="B827">
        <v>2014</v>
      </c>
      <c r="C827" t="s">
        <v>53</v>
      </c>
      <c r="D827" t="s">
        <v>65</v>
      </c>
      <c r="E827">
        <v>146545</v>
      </c>
      <c r="F827" t="s">
        <v>115</v>
      </c>
      <c r="G827" t="s">
        <v>30</v>
      </c>
      <c r="H827" t="s">
        <v>24</v>
      </c>
      <c r="I827" t="s">
        <v>25</v>
      </c>
      <c r="J827" s="2">
        <v>45701</v>
      </c>
      <c r="K827" t="s">
        <v>25</v>
      </c>
      <c r="L827">
        <v>44128</v>
      </c>
      <c r="M827">
        <v>264</v>
      </c>
      <c r="N827">
        <v>314</v>
      </c>
      <c r="O827" s="4">
        <v>3200</v>
      </c>
      <c r="P827" s="4">
        <v>2972.760009765625</v>
      </c>
      <c r="Q827" s="5">
        <f t="shared" si="48"/>
        <v>-7.1012496948242188E-2</v>
      </c>
      <c r="R827" s="4">
        <v>3258.6919056221241</v>
      </c>
      <c r="S827" s="5">
        <f t="shared" si="49"/>
        <v>1.834122050691378E-2</v>
      </c>
      <c r="T827" s="4">
        <v>4428.7330665009649</v>
      </c>
      <c r="U827" s="5">
        <f t="shared" si="50"/>
        <v>0.3839790832815515</v>
      </c>
      <c r="V827" s="4">
        <v>2804.717529296875</v>
      </c>
      <c r="W827" s="5">
        <f t="shared" si="51"/>
        <v>-0.12352577209472659</v>
      </c>
    </row>
    <row r="828" spans="1:23" x14ac:dyDescent="0.25">
      <c r="A828" t="s">
        <v>1176</v>
      </c>
      <c r="B828">
        <v>2018</v>
      </c>
      <c r="C828" t="s">
        <v>53</v>
      </c>
      <c r="D828" t="s">
        <v>69</v>
      </c>
      <c r="E828">
        <v>106994</v>
      </c>
      <c r="F828" t="s">
        <v>22</v>
      </c>
      <c r="G828" t="s">
        <v>23</v>
      </c>
      <c r="H828" t="s">
        <v>24</v>
      </c>
      <c r="I828" t="s">
        <v>25</v>
      </c>
      <c r="J828" s="2">
        <v>45547</v>
      </c>
      <c r="K828" t="s">
        <v>25</v>
      </c>
      <c r="L828">
        <v>44128</v>
      </c>
      <c r="M828">
        <v>264</v>
      </c>
      <c r="N828">
        <v>314</v>
      </c>
      <c r="O828" s="4">
        <v>10900</v>
      </c>
      <c r="P828" s="4">
        <v>6925.37109375</v>
      </c>
      <c r="Q828" s="5">
        <f t="shared" si="48"/>
        <v>-0.3646448537844037</v>
      </c>
      <c r="R828" s="4">
        <v>7235.5115571660044</v>
      </c>
      <c r="S828" s="5">
        <f t="shared" si="49"/>
        <v>-0.33619160025999961</v>
      </c>
      <c r="T828" s="4">
        <v>10796.91292352828</v>
      </c>
      <c r="U828" s="5">
        <f t="shared" si="50"/>
        <v>-9.4575299515339273E-3</v>
      </c>
      <c r="V828" s="4">
        <v>6744.6748046875</v>
      </c>
      <c r="W828" s="5">
        <f t="shared" si="51"/>
        <v>-0.38122249498279814</v>
      </c>
    </row>
    <row r="829" spans="1:23" x14ac:dyDescent="0.25">
      <c r="A829" t="s">
        <v>1177</v>
      </c>
      <c r="B829">
        <v>2015</v>
      </c>
      <c r="C829" t="s">
        <v>53</v>
      </c>
      <c r="D829" t="s">
        <v>69</v>
      </c>
      <c r="E829">
        <v>234603</v>
      </c>
      <c r="F829" t="s">
        <v>77</v>
      </c>
      <c r="G829" t="s">
        <v>23</v>
      </c>
      <c r="H829" t="s">
        <v>24</v>
      </c>
      <c r="I829" t="s">
        <v>25</v>
      </c>
      <c r="J829" s="2">
        <v>45393</v>
      </c>
      <c r="K829" t="s">
        <v>25</v>
      </c>
      <c r="L829">
        <v>44128</v>
      </c>
      <c r="M829">
        <v>264</v>
      </c>
      <c r="N829">
        <v>314</v>
      </c>
      <c r="O829" s="4">
        <v>9900</v>
      </c>
      <c r="P829" s="4">
        <v>3207.884521484375</v>
      </c>
      <c r="Q829" s="5">
        <f t="shared" si="48"/>
        <v>-0.67597126045612366</v>
      </c>
      <c r="R829" s="4">
        <v>4541.8496732796202</v>
      </c>
      <c r="S829" s="5">
        <f t="shared" si="49"/>
        <v>-0.54122730572933131</v>
      </c>
      <c r="T829" s="4">
        <v>5881.3564132786523</v>
      </c>
      <c r="U829" s="5">
        <f t="shared" si="50"/>
        <v>-0.40592359461831795</v>
      </c>
      <c r="V829" s="4">
        <v>2873.329833984375</v>
      </c>
      <c r="W829" s="5">
        <f t="shared" si="51"/>
        <v>-0.70976466323390153</v>
      </c>
    </row>
    <row r="830" spans="1:23" x14ac:dyDescent="0.25">
      <c r="A830" t="s">
        <v>1178</v>
      </c>
      <c r="B830">
        <v>2016</v>
      </c>
      <c r="C830" t="s">
        <v>53</v>
      </c>
      <c r="D830" t="s">
        <v>69</v>
      </c>
      <c r="E830">
        <v>110885</v>
      </c>
      <c r="F830" t="s">
        <v>77</v>
      </c>
      <c r="G830" t="s">
        <v>30</v>
      </c>
      <c r="H830" t="s">
        <v>24</v>
      </c>
      <c r="I830" t="s">
        <v>25</v>
      </c>
      <c r="J830" s="2">
        <v>45687</v>
      </c>
      <c r="K830" t="s">
        <v>25</v>
      </c>
      <c r="L830">
        <v>44128</v>
      </c>
      <c r="M830">
        <v>264</v>
      </c>
      <c r="N830">
        <v>314</v>
      </c>
      <c r="O830" s="4">
        <v>6900</v>
      </c>
      <c r="P830" s="4">
        <v>4799.251953125</v>
      </c>
      <c r="Q830" s="5">
        <f t="shared" si="48"/>
        <v>-0.30445623867753624</v>
      </c>
      <c r="R830" s="4">
        <v>7609.7785689933544</v>
      </c>
      <c r="S830" s="5">
        <f t="shared" si="49"/>
        <v>0.10286645927439908</v>
      </c>
      <c r="T830" s="4">
        <v>10368.01423588169</v>
      </c>
      <c r="U830" s="5">
        <f t="shared" si="50"/>
        <v>0.50261075882343342</v>
      </c>
      <c r="V830" s="4">
        <v>4610.75927734375</v>
      </c>
      <c r="W830" s="5">
        <f t="shared" si="51"/>
        <v>-0.33177401777626814</v>
      </c>
    </row>
    <row r="831" spans="1:23" x14ac:dyDescent="0.25">
      <c r="A831" t="s">
        <v>1179</v>
      </c>
      <c r="B831">
        <v>2013</v>
      </c>
      <c r="C831" t="s">
        <v>53</v>
      </c>
      <c r="D831" t="s">
        <v>69</v>
      </c>
      <c r="E831">
        <v>96445</v>
      </c>
      <c r="F831" t="s">
        <v>43</v>
      </c>
      <c r="G831" t="s">
        <v>44</v>
      </c>
      <c r="H831" t="s">
        <v>25</v>
      </c>
      <c r="I831" t="s">
        <v>24</v>
      </c>
      <c r="J831" s="2">
        <v>45428</v>
      </c>
      <c r="K831" t="s">
        <v>25</v>
      </c>
      <c r="L831">
        <v>44128</v>
      </c>
      <c r="M831">
        <v>264</v>
      </c>
      <c r="N831">
        <v>314</v>
      </c>
      <c r="O831" s="4">
        <v>900</v>
      </c>
      <c r="P831" s="4">
        <v>6985.76123046875</v>
      </c>
      <c r="Q831" s="5">
        <f t="shared" si="48"/>
        <v>6.7619569227430558</v>
      </c>
      <c r="R831" s="4">
        <v>7398.1411344606113</v>
      </c>
      <c r="S831" s="5">
        <f t="shared" si="49"/>
        <v>7.2201568160673464</v>
      </c>
      <c r="T831" s="4">
        <v>10380.90483030322</v>
      </c>
      <c r="U831" s="5">
        <f t="shared" si="50"/>
        <v>10.53433870033691</v>
      </c>
      <c r="V831" s="4">
        <v>7073.267578125</v>
      </c>
      <c r="W831" s="5">
        <f t="shared" si="51"/>
        <v>6.8591861979166664</v>
      </c>
    </row>
    <row r="832" spans="1:23" x14ac:dyDescent="0.25">
      <c r="A832" t="s">
        <v>1180</v>
      </c>
      <c r="B832">
        <v>2019</v>
      </c>
      <c r="C832" t="s">
        <v>53</v>
      </c>
      <c r="D832" t="s">
        <v>1181</v>
      </c>
      <c r="E832">
        <v>27441</v>
      </c>
      <c r="F832" t="s">
        <v>151</v>
      </c>
      <c r="G832" t="s">
        <v>44</v>
      </c>
      <c r="H832" t="s">
        <v>25</v>
      </c>
      <c r="I832" t="s">
        <v>24</v>
      </c>
      <c r="J832" s="2">
        <v>45566</v>
      </c>
      <c r="K832" t="s">
        <v>25</v>
      </c>
      <c r="L832">
        <v>44128</v>
      </c>
      <c r="M832">
        <v>264</v>
      </c>
      <c r="N832">
        <v>314</v>
      </c>
      <c r="O832" s="4">
        <v>28500</v>
      </c>
      <c r="P832" s="4">
        <v>21241.984375</v>
      </c>
      <c r="Q832" s="5">
        <f t="shared" si="48"/>
        <v>-0.25466721491228073</v>
      </c>
      <c r="R832" s="4">
        <v>21758.276591486421</v>
      </c>
      <c r="S832" s="5">
        <f t="shared" si="49"/>
        <v>-0.23655169854433611</v>
      </c>
      <c r="T832" s="4">
        <v>29384.013501029181</v>
      </c>
      <c r="U832" s="5">
        <f t="shared" si="50"/>
        <v>3.1018017579971247E-2</v>
      </c>
      <c r="V832" s="4">
        <v>21159.455078125</v>
      </c>
      <c r="W832" s="5">
        <f t="shared" si="51"/>
        <v>-0.25756297971491227</v>
      </c>
    </row>
    <row r="833" spans="1:23" x14ac:dyDescent="0.25">
      <c r="A833" t="s">
        <v>1182</v>
      </c>
      <c r="B833">
        <v>2016</v>
      </c>
      <c r="C833" t="s">
        <v>53</v>
      </c>
      <c r="D833" t="s">
        <v>928</v>
      </c>
      <c r="E833">
        <v>80832</v>
      </c>
      <c r="F833" t="s">
        <v>189</v>
      </c>
      <c r="G833" t="s">
        <v>44</v>
      </c>
      <c r="H833" t="s">
        <v>25</v>
      </c>
      <c r="I833" t="s">
        <v>24</v>
      </c>
      <c r="J833" s="2">
        <v>45692</v>
      </c>
      <c r="K833" t="s">
        <v>25</v>
      </c>
      <c r="L833">
        <v>44128</v>
      </c>
      <c r="M833">
        <v>264</v>
      </c>
      <c r="N833">
        <v>314</v>
      </c>
      <c r="O833" s="4">
        <v>11600</v>
      </c>
      <c r="P833" s="4">
        <v>19593.927734375</v>
      </c>
      <c r="Q833" s="5">
        <f t="shared" si="48"/>
        <v>0.68913170123922418</v>
      </c>
      <c r="R833" s="4">
        <v>20120.374059947269</v>
      </c>
      <c r="S833" s="5">
        <f t="shared" si="49"/>
        <v>0.73451500516786816</v>
      </c>
      <c r="T833" s="4">
        <v>21268.917753085509</v>
      </c>
      <c r="U833" s="5">
        <f t="shared" si="50"/>
        <v>0.8335273925073714</v>
      </c>
      <c r="V833" s="4">
        <v>19527.763671875</v>
      </c>
      <c r="W833" s="5">
        <f t="shared" si="51"/>
        <v>0.68342790274784493</v>
      </c>
    </row>
    <row r="834" spans="1:23" x14ac:dyDescent="0.25">
      <c r="A834" t="s">
        <v>1183</v>
      </c>
      <c r="B834">
        <v>2014</v>
      </c>
      <c r="C834" t="s">
        <v>20</v>
      </c>
      <c r="D834" t="s">
        <v>128</v>
      </c>
      <c r="E834">
        <v>105938</v>
      </c>
      <c r="F834" t="s">
        <v>82</v>
      </c>
      <c r="G834" t="s">
        <v>34</v>
      </c>
      <c r="H834" t="s">
        <v>25</v>
      </c>
      <c r="I834" t="s">
        <v>24</v>
      </c>
      <c r="J834" s="2">
        <v>45356</v>
      </c>
      <c r="K834" t="s">
        <v>25</v>
      </c>
      <c r="L834">
        <v>44128</v>
      </c>
      <c r="M834">
        <v>264</v>
      </c>
      <c r="N834">
        <v>314</v>
      </c>
      <c r="O834" s="4">
        <v>7700</v>
      </c>
      <c r="P834" s="4">
        <v>3565.821533203125</v>
      </c>
      <c r="Q834" s="5">
        <f t="shared" si="48"/>
        <v>-0.53690629438920456</v>
      </c>
      <c r="R834" s="4">
        <v>3755.3548455569189</v>
      </c>
      <c r="S834" s="5">
        <f t="shared" si="49"/>
        <v>-0.51229157849910145</v>
      </c>
      <c r="T834" s="4">
        <v>3134.8335080692782</v>
      </c>
      <c r="U834" s="5">
        <f t="shared" si="50"/>
        <v>-0.59287876518580807</v>
      </c>
      <c r="V834" s="4">
        <v>3466.266845703125</v>
      </c>
      <c r="W834" s="5">
        <f t="shared" si="51"/>
        <v>-0.54983547458400972</v>
      </c>
    </row>
    <row r="835" spans="1:23" x14ac:dyDescent="0.25">
      <c r="A835" t="s">
        <v>1184</v>
      </c>
      <c r="B835">
        <v>2013</v>
      </c>
      <c r="C835" t="s">
        <v>20</v>
      </c>
      <c r="D835" t="s">
        <v>81</v>
      </c>
      <c r="E835">
        <v>80329</v>
      </c>
      <c r="F835" t="s">
        <v>66</v>
      </c>
      <c r="G835" t="s">
        <v>85</v>
      </c>
      <c r="H835" t="s">
        <v>24</v>
      </c>
      <c r="I835" t="s">
        <v>25</v>
      </c>
      <c r="J835" s="2">
        <v>45295</v>
      </c>
      <c r="K835" t="s">
        <v>25</v>
      </c>
      <c r="L835">
        <v>44128</v>
      </c>
      <c r="M835">
        <v>264</v>
      </c>
      <c r="N835">
        <v>314</v>
      </c>
      <c r="O835" s="4">
        <v>3300</v>
      </c>
      <c r="P835" s="4">
        <v>3294.355712890625</v>
      </c>
      <c r="Q835" s="5">
        <f t="shared" ref="Q835:Q898" si="52">(P835/$O835)-1</f>
        <v>-1.7103900331439936E-3</v>
      </c>
      <c r="R835" s="4">
        <v>4128.5334599457274</v>
      </c>
      <c r="S835" s="5">
        <f t="shared" ref="S835:S898" si="53">(R835/$O835)-1</f>
        <v>0.25107074543809915</v>
      </c>
      <c r="T835" s="4">
        <v>2983.6412820241021</v>
      </c>
      <c r="U835" s="5">
        <f t="shared" ref="U835:U898" si="54">(T835/$O835)-1</f>
        <v>-9.5866278174514541E-2</v>
      </c>
      <c r="V835" s="4">
        <v>2975.30029296875</v>
      </c>
      <c r="W835" s="5">
        <f t="shared" ref="W835:W898" si="55">(V835/$O835)-1</f>
        <v>-9.8393850615530298E-2</v>
      </c>
    </row>
    <row r="836" spans="1:23" x14ac:dyDescent="0.25">
      <c r="A836" t="s">
        <v>1185</v>
      </c>
      <c r="B836">
        <v>2014</v>
      </c>
      <c r="C836" t="s">
        <v>20</v>
      </c>
      <c r="D836" t="s">
        <v>81</v>
      </c>
      <c r="E836">
        <v>129278</v>
      </c>
      <c r="F836" t="s">
        <v>22</v>
      </c>
      <c r="G836" t="s">
        <v>23</v>
      </c>
      <c r="H836" t="s">
        <v>24</v>
      </c>
      <c r="I836" t="s">
        <v>25</v>
      </c>
      <c r="J836" s="2">
        <v>45449</v>
      </c>
      <c r="K836" t="s">
        <v>25</v>
      </c>
      <c r="L836">
        <v>44128</v>
      </c>
      <c r="M836">
        <v>264</v>
      </c>
      <c r="N836">
        <v>314</v>
      </c>
      <c r="O836" s="4">
        <v>2300</v>
      </c>
      <c r="P836" s="4">
        <v>2248.608154296875</v>
      </c>
      <c r="Q836" s="5">
        <f t="shared" si="52"/>
        <v>-2.2344280740489109E-2</v>
      </c>
      <c r="R836" s="4">
        <v>3090.7211320221509</v>
      </c>
      <c r="S836" s="5">
        <f t="shared" si="53"/>
        <v>0.34379179653136993</v>
      </c>
      <c r="T836" s="4">
        <v>2052.2604604092899</v>
      </c>
      <c r="U836" s="5">
        <f t="shared" si="54"/>
        <v>-0.10771284330030872</v>
      </c>
      <c r="V836" s="4">
        <v>2138.187255859375</v>
      </c>
      <c r="W836" s="5">
        <f t="shared" si="55"/>
        <v>-7.0353367017663038E-2</v>
      </c>
    </row>
    <row r="837" spans="1:23" x14ac:dyDescent="0.25">
      <c r="A837" t="s">
        <v>1186</v>
      </c>
      <c r="B837">
        <v>2018</v>
      </c>
      <c r="C837" t="s">
        <v>20</v>
      </c>
      <c r="D837" t="s">
        <v>74</v>
      </c>
      <c r="E837">
        <v>79923</v>
      </c>
      <c r="F837" t="s">
        <v>72</v>
      </c>
      <c r="G837" t="s">
        <v>44</v>
      </c>
      <c r="H837" t="s">
        <v>25</v>
      </c>
      <c r="I837" t="s">
        <v>24</v>
      </c>
      <c r="J837" s="2">
        <v>45566</v>
      </c>
      <c r="K837" t="s">
        <v>25</v>
      </c>
      <c r="L837">
        <v>44128</v>
      </c>
      <c r="M837">
        <v>264</v>
      </c>
      <c r="N837">
        <v>314</v>
      </c>
      <c r="O837" s="4">
        <v>13600</v>
      </c>
      <c r="P837" s="4">
        <v>13525.921875</v>
      </c>
      <c r="Q837" s="5">
        <f t="shared" si="52"/>
        <v>-5.446920955882395E-3</v>
      </c>
      <c r="R837" s="4">
        <v>13970.538011747411</v>
      </c>
      <c r="S837" s="5">
        <f t="shared" si="53"/>
        <v>2.7245442040250811E-2</v>
      </c>
      <c r="T837" s="4">
        <v>8340.6069025061206</v>
      </c>
      <c r="U837" s="5">
        <f t="shared" si="54"/>
        <v>-0.38672008069807939</v>
      </c>
      <c r="V837" s="4">
        <v>13717.5732421875</v>
      </c>
      <c r="W837" s="5">
        <f t="shared" si="55"/>
        <v>8.6450913373161686E-3</v>
      </c>
    </row>
    <row r="838" spans="1:23" x14ac:dyDescent="0.25">
      <c r="A838" t="s">
        <v>1187</v>
      </c>
      <c r="B838">
        <v>2017</v>
      </c>
      <c r="C838" t="s">
        <v>20</v>
      </c>
      <c r="D838" t="s">
        <v>74</v>
      </c>
      <c r="E838">
        <v>101771</v>
      </c>
      <c r="F838" t="s">
        <v>55</v>
      </c>
      <c r="G838" t="s">
        <v>38</v>
      </c>
      <c r="H838" t="s">
        <v>25</v>
      </c>
      <c r="I838" t="s">
        <v>24</v>
      </c>
      <c r="J838" s="2">
        <v>45484</v>
      </c>
      <c r="K838" t="s">
        <v>25</v>
      </c>
      <c r="L838">
        <v>44128</v>
      </c>
      <c r="M838">
        <v>264</v>
      </c>
      <c r="N838">
        <v>314</v>
      </c>
      <c r="O838" s="4">
        <v>9600</v>
      </c>
      <c r="P838" s="4">
        <v>5928.68115234375</v>
      </c>
      <c r="Q838" s="5">
        <f t="shared" si="52"/>
        <v>-0.38242904663085941</v>
      </c>
      <c r="R838" s="4">
        <v>5974.5128741242943</v>
      </c>
      <c r="S838" s="5">
        <f t="shared" si="53"/>
        <v>-0.377654908945386</v>
      </c>
      <c r="T838" s="4">
        <v>2932.439997055239</v>
      </c>
      <c r="U838" s="5">
        <f t="shared" si="54"/>
        <v>-0.69453750030674599</v>
      </c>
      <c r="V838" s="4">
        <v>5845.49658203125</v>
      </c>
      <c r="W838" s="5">
        <f t="shared" si="55"/>
        <v>-0.39109410603841144</v>
      </c>
    </row>
    <row r="839" spans="1:23" x14ac:dyDescent="0.25">
      <c r="A839" t="s">
        <v>1188</v>
      </c>
      <c r="B839">
        <v>2017</v>
      </c>
      <c r="C839" t="s">
        <v>20</v>
      </c>
      <c r="D839" t="s">
        <v>74</v>
      </c>
      <c r="E839">
        <v>51929</v>
      </c>
      <c r="F839" t="s">
        <v>161</v>
      </c>
      <c r="G839" t="s">
        <v>44</v>
      </c>
      <c r="H839" t="s">
        <v>25</v>
      </c>
      <c r="I839" t="s">
        <v>24</v>
      </c>
      <c r="J839" s="2">
        <v>45566</v>
      </c>
      <c r="K839" t="s">
        <v>25</v>
      </c>
      <c r="L839">
        <v>44128</v>
      </c>
      <c r="M839">
        <v>264</v>
      </c>
      <c r="N839">
        <v>314</v>
      </c>
      <c r="O839" s="4">
        <v>9600</v>
      </c>
      <c r="P839" s="4">
        <v>15136.935546875</v>
      </c>
      <c r="Q839" s="5">
        <f t="shared" si="52"/>
        <v>0.57676411946614592</v>
      </c>
      <c r="R839" s="4">
        <v>15090.404731832499</v>
      </c>
      <c r="S839" s="5">
        <f t="shared" si="53"/>
        <v>0.5719171595658854</v>
      </c>
      <c r="T839" s="4">
        <v>9386.9519043003529</v>
      </c>
      <c r="U839" s="5">
        <f t="shared" si="54"/>
        <v>-2.2192509968713248E-2</v>
      </c>
      <c r="V839" s="4">
        <v>15469.3017578125</v>
      </c>
      <c r="W839" s="5">
        <f t="shared" si="55"/>
        <v>0.61138559977213536</v>
      </c>
    </row>
    <row r="840" spans="1:23" x14ac:dyDescent="0.25">
      <c r="A840" t="s">
        <v>1189</v>
      </c>
      <c r="B840">
        <v>2017</v>
      </c>
      <c r="C840" t="s">
        <v>20</v>
      </c>
      <c r="D840" t="s">
        <v>74</v>
      </c>
      <c r="E840">
        <v>163987</v>
      </c>
      <c r="F840" t="s">
        <v>89</v>
      </c>
      <c r="G840" t="s">
        <v>30</v>
      </c>
      <c r="H840" t="s">
        <v>24</v>
      </c>
      <c r="I840" t="s">
        <v>25</v>
      </c>
      <c r="J840" s="2">
        <v>45552</v>
      </c>
      <c r="K840" t="s">
        <v>25</v>
      </c>
      <c r="L840">
        <v>44128</v>
      </c>
      <c r="M840">
        <v>264</v>
      </c>
      <c r="N840">
        <v>314</v>
      </c>
      <c r="O840" s="4">
        <v>9800</v>
      </c>
      <c r="P840" s="4">
        <v>3986.297119140625</v>
      </c>
      <c r="Q840" s="5">
        <f t="shared" si="52"/>
        <v>-0.59323498784279338</v>
      </c>
      <c r="R840" s="4">
        <v>4283.0829107297677</v>
      </c>
      <c r="S840" s="5">
        <f t="shared" si="53"/>
        <v>-0.56295072339492158</v>
      </c>
      <c r="T840" s="4">
        <v>1831.666258751085</v>
      </c>
      <c r="U840" s="5">
        <f t="shared" si="54"/>
        <v>-0.81309527971927698</v>
      </c>
      <c r="V840" s="4">
        <v>3966.1533203125</v>
      </c>
      <c r="W840" s="5">
        <f t="shared" si="55"/>
        <v>-0.59529047751913267</v>
      </c>
    </row>
    <row r="841" spans="1:23" x14ac:dyDescent="0.25">
      <c r="A841" t="s">
        <v>1190</v>
      </c>
      <c r="B841">
        <v>2015</v>
      </c>
      <c r="C841" t="s">
        <v>20</v>
      </c>
      <c r="D841" t="s">
        <v>76</v>
      </c>
      <c r="E841">
        <v>105467</v>
      </c>
      <c r="F841" t="s">
        <v>115</v>
      </c>
      <c r="G841" t="s">
        <v>38</v>
      </c>
      <c r="H841" t="s">
        <v>25</v>
      </c>
      <c r="I841" t="s">
        <v>24</v>
      </c>
      <c r="J841" s="2">
        <v>45342</v>
      </c>
      <c r="K841" t="s">
        <v>25</v>
      </c>
      <c r="L841">
        <v>44128</v>
      </c>
      <c r="M841">
        <v>264</v>
      </c>
      <c r="N841">
        <v>314</v>
      </c>
      <c r="O841" s="4">
        <v>4200</v>
      </c>
      <c r="P841" s="4">
        <v>4745.62548828125</v>
      </c>
      <c r="Q841" s="5">
        <f t="shared" si="52"/>
        <v>0.12991083054315467</v>
      </c>
      <c r="R841" s="4">
        <v>4887.5973534067598</v>
      </c>
      <c r="S841" s="5">
        <f t="shared" si="53"/>
        <v>0.16371365557303807</v>
      </c>
      <c r="T841" s="4">
        <v>2146.8905184334048</v>
      </c>
      <c r="U841" s="5">
        <f t="shared" si="54"/>
        <v>-0.48883559084918937</v>
      </c>
      <c r="V841" s="4">
        <v>4678.19677734375</v>
      </c>
      <c r="W841" s="5">
        <f t="shared" si="55"/>
        <v>0.11385637555803574</v>
      </c>
    </row>
    <row r="842" spans="1:23" x14ac:dyDescent="0.25">
      <c r="A842" t="s">
        <v>1191</v>
      </c>
      <c r="B842">
        <v>2018</v>
      </c>
      <c r="C842" t="s">
        <v>20</v>
      </c>
      <c r="D842" t="s">
        <v>76</v>
      </c>
      <c r="E842">
        <v>59378</v>
      </c>
      <c r="F842" t="s">
        <v>66</v>
      </c>
      <c r="G842" t="s">
        <v>23</v>
      </c>
      <c r="H842" t="s">
        <v>24</v>
      </c>
      <c r="I842" t="s">
        <v>25</v>
      </c>
      <c r="J842" s="2">
        <v>45594</v>
      </c>
      <c r="K842" t="s">
        <v>25</v>
      </c>
      <c r="L842">
        <v>44128</v>
      </c>
      <c r="M842">
        <v>264</v>
      </c>
      <c r="N842">
        <v>314</v>
      </c>
      <c r="O842" s="4">
        <v>12000</v>
      </c>
      <c r="P842" s="4">
        <v>8679.6767578125</v>
      </c>
      <c r="Q842" s="5">
        <f t="shared" si="52"/>
        <v>-0.276693603515625</v>
      </c>
      <c r="R842" s="4">
        <v>9757.5325676230477</v>
      </c>
      <c r="S842" s="5">
        <f t="shared" si="53"/>
        <v>-0.1868722860314127</v>
      </c>
      <c r="T842" s="4">
        <v>4208.2325889192916</v>
      </c>
      <c r="U842" s="5">
        <f t="shared" si="54"/>
        <v>-0.64931395092339239</v>
      </c>
      <c r="V842" s="4">
        <v>8343.6142578125</v>
      </c>
      <c r="W842" s="5">
        <f t="shared" si="55"/>
        <v>-0.30469881184895831</v>
      </c>
    </row>
    <row r="843" spans="1:23" x14ac:dyDescent="0.25">
      <c r="A843" t="s">
        <v>1192</v>
      </c>
      <c r="B843">
        <v>2020</v>
      </c>
      <c r="C843" t="s">
        <v>20</v>
      </c>
      <c r="D843" t="s">
        <v>76</v>
      </c>
      <c r="E843">
        <v>69590</v>
      </c>
      <c r="F843" t="s">
        <v>161</v>
      </c>
      <c r="G843" t="s">
        <v>44</v>
      </c>
      <c r="H843" t="s">
        <v>25</v>
      </c>
      <c r="I843" t="s">
        <v>24</v>
      </c>
      <c r="J843" s="2">
        <v>45538</v>
      </c>
      <c r="K843" t="s">
        <v>25</v>
      </c>
      <c r="L843">
        <v>44128</v>
      </c>
      <c r="M843">
        <v>264</v>
      </c>
      <c r="N843">
        <v>314</v>
      </c>
      <c r="O843" s="4">
        <v>12900</v>
      </c>
      <c r="P843" s="4">
        <v>17198.07421875</v>
      </c>
      <c r="Q843" s="5">
        <f t="shared" si="52"/>
        <v>0.33318404796511625</v>
      </c>
      <c r="R843" s="4">
        <v>17209.90189069547</v>
      </c>
      <c r="S843" s="5">
        <f t="shared" si="53"/>
        <v>0.3341009217593387</v>
      </c>
      <c r="T843" s="4">
        <v>9891.6752079253147</v>
      </c>
      <c r="U843" s="5">
        <f t="shared" si="54"/>
        <v>-0.23320347225385163</v>
      </c>
      <c r="V843" s="4">
        <v>17335.052734375</v>
      </c>
      <c r="W843" s="5">
        <f t="shared" si="55"/>
        <v>0.34380253754844969</v>
      </c>
    </row>
    <row r="844" spans="1:23" x14ac:dyDescent="0.25">
      <c r="A844" t="s">
        <v>1193</v>
      </c>
      <c r="B844">
        <v>2017</v>
      </c>
      <c r="C844" t="s">
        <v>20</v>
      </c>
      <c r="D844" t="s">
        <v>81</v>
      </c>
      <c r="E844">
        <v>77710</v>
      </c>
      <c r="F844" t="s">
        <v>66</v>
      </c>
      <c r="G844" t="s">
        <v>23</v>
      </c>
      <c r="H844" t="s">
        <v>24</v>
      </c>
      <c r="I844" t="s">
        <v>25</v>
      </c>
      <c r="J844" s="2">
        <v>45496</v>
      </c>
      <c r="K844" t="s">
        <v>25</v>
      </c>
      <c r="L844">
        <v>44128</v>
      </c>
      <c r="M844">
        <v>264</v>
      </c>
      <c r="N844">
        <v>314</v>
      </c>
      <c r="O844" s="4">
        <v>8300</v>
      </c>
      <c r="P844" s="4">
        <v>5359.95751953125</v>
      </c>
      <c r="Q844" s="5">
        <f t="shared" si="52"/>
        <v>-0.3542219855986446</v>
      </c>
      <c r="R844" s="4">
        <v>6868.3234100456866</v>
      </c>
      <c r="S844" s="5">
        <f t="shared" si="53"/>
        <v>-0.17249115541618232</v>
      </c>
      <c r="T844" s="4">
        <v>5292.061069771391</v>
      </c>
      <c r="U844" s="5">
        <f t="shared" si="54"/>
        <v>-0.36240228075043479</v>
      </c>
      <c r="V844" s="4">
        <v>4921.005859375</v>
      </c>
      <c r="W844" s="5">
        <f t="shared" si="55"/>
        <v>-0.40710772778614457</v>
      </c>
    </row>
    <row r="845" spans="1:23" x14ac:dyDescent="0.25">
      <c r="A845" t="s">
        <v>1194</v>
      </c>
      <c r="B845">
        <v>2014</v>
      </c>
      <c r="C845" t="s">
        <v>91</v>
      </c>
      <c r="D845" t="s">
        <v>816</v>
      </c>
      <c r="E845">
        <v>100091</v>
      </c>
      <c r="F845" t="s">
        <v>161</v>
      </c>
      <c r="G845" t="s">
        <v>44</v>
      </c>
      <c r="H845" t="s">
        <v>25</v>
      </c>
      <c r="I845" t="s">
        <v>24</v>
      </c>
      <c r="J845" s="2">
        <v>45664</v>
      </c>
      <c r="K845" t="s">
        <v>25</v>
      </c>
      <c r="L845">
        <v>44128</v>
      </c>
      <c r="M845">
        <v>264</v>
      </c>
      <c r="N845">
        <v>314</v>
      </c>
      <c r="O845" s="4">
        <v>12200</v>
      </c>
      <c r="P845" s="4">
        <v>6792.08837890625</v>
      </c>
      <c r="Q845" s="5">
        <f t="shared" si="52"/>
        <v>-0.44327144435194676</v>
      </c>
      <c r="R845" s="4">
        <v>7185.4429172281943</v>
      </c>
      <c r="S845" s="5">
        <f t="shared" si="53"/>
        <v>-0.4110292690796562</v>
      </c>
      <c r="T845" s="4">
        <v>7227.3178087196338</v>
      </c>
      <c r="U845" s="5">
        <f t="shared" si="54"/>
        <v>-0.4075969009246202</v>
      </c>
      <c r="V845" s="4">
        <v>6565.1357421875</v>
      </c>
      <c r="W845" s="5">
        <f t="shared" si="55"/>
        <v>-0.46187411949282786</v>
      </c>
    </row>
    <row r="846" spans="1:23" x14ac:dyDescent="0.25">
      <c r="A846" t="s">
        <v>1195</v>
      </c>
      <c r="B846">
        <v>2010</v>
      </c>
      <c r="C846" t="s">
        <v>94</v>
      </c>
      <c r="D846" t="s">
        <v>95</v>
      </c>
      <c r="E846">
        <v>73346</v>
      </c>
      <c r="F846" t="s">
        <v>250</v>
      </c>
      <c r="G846" t="s">
        <v>38</v>
      </c>
      <c r="H846" t="s">
        <v>25</v>
      </c>
      <c r="I846" t="s">
        <v>24</v>
      </c>
      <c r="J846" s="2">
        <v>45356</v>
      </c>
      <c r="K846" t="s">
        <v>25</v>
      </c>
      <c r="L846">
        <v>44128</v>
      </c>
      <c r="M846">
        <v>264</v>
      </c>
      <c r="N846">
        <v>314</v>
      </c>
      <c r="O846" s="4">
        <v>7956.14035087719</v>
      </c>
      <c r="P846" s="4">
        <v>5857.859375</v>
      </c>
      <c r="Q846" s="5">
        <f t="shared" si="52"/>
        <v>-0.26373101571113533</v>
      </c>
      <c r="R846" s="4">
        <v>5957.6792839887457</v>
      </c>
      <c r="S846" s="5">
        <f t="shared" si="53"/>
        <v>-0.25118474269601188</v>
      </c>
      <c r="T846" s="4">
        <v>4355.1798551482498</v>
      </c>
      <c r="U846" s="5">
        <f t="shared" si="54"/>
        <v>-0.45260142945214921</v>
      </c>
      <c r="V846" s="4">
        <v>5845.49658203125</v>
      </c>
      <c r="W846" s="5">
        <f t="shared" si="55"/>
        <v>-0.26528488384612703</v>
      </c>
    </row>
    <row r="847" spans="1:23" x14ac:dyDescent="0.25">
      <c r="A847" t="s">
        <v>1196</v>
      </c>
      <c r="B847">
        <v>2017</v>
      </c>
      <c r="C847" t="s">
        <v>20</v>
      </c>
      <c r="D847" t="s">
        <v>97</v>
      </c>
      <c r="E847">
        <v>136007</v>
      </c>
      <c r="F847" t="s">
        <v>58</v>
      </c>
      <c r="G847" t="s">
        <v>38</v>
      </c>
      <c r="H847" t="s">
        <v>25</v>
      </c>
      <c r="I847" t="s">
        <v>24</v>
      </c>
      <c r="J847" s="2">
        <v>45412</v>
      </c>
      <c r="K847" t="s">
        <v>25</v>
      </c>
      <c r="L847">
        <v>44128</v>
      </c>
      <c r="M847">
        <v>264</v>
      </c>
      <c r="N847">
        <v>314</v>
      </c>
      <c r="O847" s="4">
        <v>22000</v>
      </c>
      <c r="P847" s="4">
        <v>8235.1689453125</v>
      </c>
      <c r="Q847" s="5">
        <f t="shared" si="52"/>
        <v>-0.62567413884943179</v>
      </c>
      <c r="R847" s="4">
        <v>4881.4178401733452</v>
      </c>
      <c r="S847" s="5">
        <f t="shared" si="53"/>
        <v>-0.77811737090121158</v>
      </c>
      <c r="T847" s="4">
        <v>12666.135078689211</v>
      </c>
      <c r="U847" s="5">
        <f t="shared" si="54"/>
        <v>-0.4242665873323086</v>
      </c>
      <c r="V847" s="4">
        <v>8271.498046875</v>
      </c>
      <c r="W847" s="5">
        <f t="shared" si="55"/>
        <v>-0.6240228160511363</v>
      </c>
    </row>
    <row r="848" spans="1:23" x14ac:dyDescent="0.25">
      <c r="A848" t="s">
        <v>1197</v>
      </c>
      <c r="B848">
        <v>2014</v>
      </c>
      <c r="C848" t="s">
        <v>20</v>
      </c>
      <c r="D848" t="s">
        <v>21</v>
      </c>
      <c r="E848">
        <v>117555</v>
      </c>
      <c r="F848" t="s">
        <v>29</v>
      </c>
      <c r="G848" t="s">
        <v>38</v>
      </c>
      <c r="H848" t="s">
        <v>25</v>
      </c>
      <c r="I848" t="s">
        <v>24</v>
      </c>
      <c r="J848" s="2">
        <v>45720</v>
      </c>
      <c r="K848" t="s">
        <v>25</v>
      </c>
      <c r="L848">
        <v>44128</v>
      </c>
      <c r="M848">
        <v>264</v>
      </c>
      <c r="N848">
        <v>314</v>
      </c>
      <c r="O848" s="4">
        <v>8000</v>
      </c>
      <c r="P848" s="4">
        <v>3023.121337890625</v>
      </c>
      <c r="Q848" s="5">
        <f t="shared" si="52"/>
        <v>-0.62210983276367182</v>
      </c>
      <c r="R848" s="4">
        <v>5301.3942502283089</v>
      </c>
      <c r="S848" s="5">
        <f t="shared" si="53"/>
        <v>-0.33732571872146133</v>
      </c>
      <c r="T848" s="4">
        <v>4606.6596941217713</v>
      </c>
      <c r="U848" s="5">
        <f t="shared" si="54"/>
        <v>-0.4241675382347786</v>
      </c>
      <c r="V848" s="4">
        <v>2632.912109375</v>
      </c>
      <c r="W848" s="5">
        <f t="shared" si="55"/>
        <v>-0.67088598632812502</v>
      </c>
    </row>
    <row r="849" spans="1:23" x14ac:dyDescent="0.25">
      <c r="A849" t="s">
        <v>1198</v>
      </c>
      <c r="B849">
        <v>2017</v>
      </c>
      <c r="C849" t="s">
        <v>20</v>
      </c>
      <c r="D849" t="s">
        <v>374</v>
      </c>
      <c r="E849">
        <v>164486</v>
      </c>
      <c r="F849" t="s">
        <v>48</v>
      </c>
      <c r="G849" t="s">
        <v>30</v>
      </c>
      <c r="H849" t="s">
        <v>24</v>
      </c>
      <c r="I849" t="s">
        <v>25</v>
      </c>
      <c r="J849" s="2">
        <v>45617</v>
      </c>
      <c r="K849" t="s">
        <v>25</v>
      </c>
      <c r="L849">
        <v>44128</v>
      </c>
      <c r="M849">
        <v>264</v>
      </c>
      <c r="N849">
        <v>314</v>
      </c>
      <c r="O849" s="4">
        <v>12000</v>
      </c>
      <c r="P849" s="4">
        <v>3986.297119140625</v>
      </c>
      <c r="Q849" s="5">
        <f t="shared" si="52"/>
        <v>-0.66780857340494792</v>
      </c>
      <c r="R849" s="4">
        <v>6330.0622691611716</v>
      </c>
      <c r="S849" s="5">
        <f t="shared" si="53"/>
        <v>-0.47249481090323575</v>
      </c>
      <c r="T849" s="4">
        <v>6881.7278152735398</v>
      </c>
      <c r="U849" s="5">
        <f t="shared" si="54"/>
        <v>-0.42652268206053834</v>
      </c>
      <c r="V849" s="4">
        <v>3596.57958984375</v>
      </c>
      <c r="W849" s="5">
        <f t="shared" si="55"/>
        <v>-0.70028503417968757</v>
      </c>
    </row>
    <row r="850" spans="1:23" x14ac:dyDescent="0.25">
      <c r="A850" t="s">
        <v>1199</v>
      </c>
      <c r="B850">
        <v>2013</v>
      </c>
      <c r="C850" t="s">
        <v>113</v>
      </c>
      <c r="D850" t="s">
        <v>576</v>
      </c>
      <c r="E850">
        <v>126124</v>
      </c>
      <c r="F850" t="s">
        <v>29</v>
      </c>
      <c r="G850" t="s">
        <v>38</v>
      </c>
      <c r="H850" t="s">
        <v>25</v>
      </c>
      <c r="I850" t="s">
        <v>24</v>
      </c>
      <c r="J850" s="2">
        <v>45435</v>
      </c>
      <c r="K850" t="s">
        <v>25</v>
      </c>
      <c r="L850">
        <v>44128</v>
      </c>
      <c r="M850">
        <v>264</v>
      </c>
      <c r="N850">
        <v>314</v>
      </c>
      <c r="O850" s="4">
        <v>15800</v>
      </c>
      <c r="P850" s="4">
        <v>4293.55615234375</v>
      </c>
      <c r="Q850" s="5">
        <f t="shared" si="52"/>
        <v>-0.72825593972507918</v>
      </c>
      <c r="R850" s="4">
        <v>4856.4147349383738</v>
      </c>
      <c r="S850" s="5">
        <f t="shared" si="53"/>
        <v>-0.69263197880136873</v>
      </c>
      <c r="T850" s="4">
        <v>4584.3401559480963</v>
      </c>
      <c r="U850" s="5">
        <f t="shared" si="54"/>
        <v>-0.7098518888640446</v>
      </c>
      <c r="V850" s="4">
        <v>4157.7705078125</v>
      </c>
      <c r="W850" s="5">
        <f t="shared" si="55"/>
        <v>-0.73684996785996837</v>
      </c>
    </row>
    <row r="851" spans="1:23" x14ac:dyDescent="0.25">
      <c r="A851" t="s">
        <v>1200</v>
      </c>
      <c r="B851">
        <v>2016</v>
      </c>
      <c r="C851" t="s">
        <v>185</v>
      </c>
      <c r="D851" t="s">
        <v>825</v>
      </c>
      <c r="E851">
        <v>131829</v>
      </c>
      <c r="F851" t="s">
        <v>22</v>
      </c>
      <c r="G851" t="s">
        <v>23</v>
      </c>
      <c r="H851" t="s">
        <v>24</v>
      </c>
      <c r="I851" t="s">
        <v>25</v>
      </c>
      <c r="J851" s="2">
        <v>45435</v>
      </c>
      <c r="K851" t="s">
        <v>25</v>
      </c>
      <c r="L851">
        <v>44128</v>
      </c>
      <c r="M851">
        <v>264</v>
      </c>
      <c r="N851">
        <v>314</v>
      </c>
      <c r="O851" s="4">
        <v>13000</v>
      </c>
      <c r="P851" s="4">
        <v>2416.453857421875</v>
      </c>
      <c r="Q851" s="5">
        <f t="shared" si="52"/>
        <v>-0.81411893404447122</v>
      </c>
      <c r="R851" s="4">
        <v>2827.4521561561078</v>
      </c>
      <c r="S851" s="5">
        <f t="shared" si="53"/>
        <v>-0.78250368029568396</v>
      </c>
      <c r="T851" s="4">
        <v>3587.3084975464631</v>
      </c>
      <c r="U851" s="5">
        <f t="shared" si="54"/>
        <v>-0.72405319249642597</v>
      </c>
      <c r="V851" s="4">
        <v>2357.02490234375</v>
      </c>
      <c r="W851" s="5">
        <f t="shared" si="55"/>
        <v>-0.8186903921274038</v>
      </c>
    </row>
    <row r="852" spans="1:23" x14ac:dyDescent="0.25">
      <c r="A852" t="s">
        <v>1201</v>
      </c>
      <c r="B852">
        <v>2015</v>
      </c>
      <c r="C852" t="s">
        <v>185</v>
      </c>
      <c r="D852" t="s">
        <v>229</v>
      </c>
      <c r="E852">
        <v>124538</v>
      </c>
      <c r="F852" t="s">
        <v>475</v>
      </c>
      <c r="G852" t="s">
        <v>38</v>
      </c>
      <c r="H852" t="s">
        <v>25</v>
      </c>
      <c r="I852" t="s">
        <v>24</v>
      </c>
      <c r="J852" s="2">
        <v>45440</v>
      </c>
      <c r="K852" t="s">
        <v>25</v>
      </c>
      <c r="L852">
        <v>44128</v>
      </c>
      <c r="M852">
        <v>264</v>
      </c>
      <c r="N852">
        <v>314</v>
      </c>
      <c r="O852" s="4">
        <v>5800</v>
      </c>
      <c r="P852" s="4">
        <v>3515.474365234375</v>
      </c>
      <c r="Q852" s="5">
        <f t="shared" si="52"/>
        <v>-0.39388373013200428</v>
      </c>
      <c r="R852" s="4">
        <v>4346.0086608967231</v>
      </c>
      <c r="S852" s="5">
        <f t="shared" si="53"/>
        <v>-0.25068816191435805</v>
      </c>
      <c r="T852" s="4">
        <v>3913.686619166609</v>
      </c>
      <c r="U852" s="5">
        <f t="shared" si="54"/>
        <v>-0.32522644497127429</v>
      </c>
      <c r="V852" s="4">
        <v>3216.342529296875</v>
      </c>
      <c r="W852" s="5">
        <f t="shared" si="55"/>
        <v>-0.44545818460398712</v>
      </c>
    </row>
    <row r="853" spans="1:23" x14ac:dyDescent="0.25">
      <c r="A853" t="s">
        <v>1202</v>
      </c>
      <c r="B853">
        <v>2022</v>
      </c>
      <c r="C853" t="s">
        <v>266</v>
      </c>
      <c r="D853" t="s">
        <v>1203</v>
      </c>
      <c r="E853">
        <v>23520</v>
      </c>
      <c r="F853" t="s">
        <v>621</v>
      </c>
      <c r="G853" t="s">
        <v>44</v>
      </c>
      <c r="H853" t="s">
        <v>25</v>
      </c>
      <c r="I853" t="s">
        <v>24</v>
      </c>
      <c r="J853" s="2">
        <v>45328</v>
      </c>
      <c r="K853" t="s">
        <v>25</v>
      </c>
      <c r="L853">
        <v>44128</v>
      </c>
      <c r="M853">
        <v>264</v>
      </c>
      <c r="N853">
        <v>314</v>
      </c>
      <c r="O853" s="4">
        <v>23624</v>
      </c>
      <c r="P853" s="4">
        <v>22083.880859375</v>
      </c>
      <c r="Q853" s="5">
        <f t="shared" si="52"/>
        <v>-6.5192987666144564E-2</v>
      </c>
      <c r="R853" s="4">
        <v>24850.025405903041</v>
      </c>
      <c r="S853" s="5">
        <f t="shared" si="53"/>
        <v>5.1897451993863974E-2</v>
      </c>
      <c r="T853" s="4">
        <v>25974.314662923822</v>
      </c>
      <c r="U853" s="5">
        <f t="shared" si="54"/>
        <v>9.9488429686920954E-2</v>
      </c>
      <c r="V853" s="4">
        <v>21062.07421875</v>
      </c>
      <c r="W853" s="5">
        <f t="shared" si="55"/>
        <v>-0.10844589321241116</v>
      </c>
    </row>
    <row r="854" spans="1:23" x14ac:dyDescent="0.25">
      <c r="A854" t="s">
        <v>1204</v>
      </c>
      <c r="B854">
        <v>2018</v>
      </c>
      <c r="C854" t="s">
        <v>266</v>
      </c>
      <c r="D854" t="s">
        <v>755</v>
      </c>
      <c r="E854">
        <v>132752</v>
      </c>
      <c r="F854" t="s">
        <v>61</v>
      </c>
      <c r="G854" t="s">
        <v>23</v>
      </c>
      <c r="H854" t="s">
        <v>24</v>
      </c>
      <c r="I854" t="s">
        <v>25</v>
      </c>
      <c r="J854" s="2">
        <v>45580</v>
      </c>
      <c r="K854" t="s">
        <v>25</v>
      </c>
      <c r="L854">
        <v>44128</v>
      </c>
      <c r="M854">
        <v>264</v>
      </c>
      <c r="N854">
        <v>314</v>
      </c>
      <c r="O854" s="4">
        <v>1600</v>
      </c>
      <c r="P854" s="4">
        <v>3974.13232421875</v>
      </c>
      <c r="Q854" s="5">
        <f t="shared" si="52"/>
        <v>1.4838327026367186</v>
      </c>
      <c r="R854" s="4">
        <v>4570.6309109322692</v>
      </c>
      <c r="S854" s="5">
        <f t="shared" si="53"/>
        <v>1.856644319332668</v>
      </c>
      <c r="T854" s="4">
        <v>3212.1448650589541</v>
      </c>
      <c r="U854" s="5">
        <f t="shared" si="54"/>
        <v>1.0075905406618464</v>
      </c>
      <c r="V854" s="4">
        <v>3783.816650390625</v>
      </c>
      <c r="W854" s="5">
        <f t="shared" si="55"/>
        <v>1.3648854064941407</v>
      </c>
    </row>
    <row r="855" spans="1:23" x14ac:dyDescent="0.25">
      <c r="A855" t="s">
        <v>1205</v>
      </c>
      <c r="B855">
        <v>2010</v>
      </c>
      <c r="C855" t="s">
        <v>53</v>
      </c>
      <c r="D855" t="s">
        <v>568</v>
      </c>
      <c r="E855">
        <v>118340</v>
      </c>
      <c r="F855" t="s">
        <v>102</v>
      </c>
      <c r="G855" t="s">
        <v>44</v>
      </c>
      <c r="H855" t="s">
        <v>25</v>
      </c>
      <c r="I855" t="s">
        <v>24</v>
      </c>
      <c r="J855" s="2">
        <v>45412</v>
      </c>
      <c r="K855" t="s">
        <v>25</v>
      </c>
      <c r="L855">
        <v>44128</v>
      </c>
      <c r="M855">
        <v>264</v>
      </c>
      <c r="N855">
        <v>314</v>
      </c>
      <c r="O855" s="4">
        <v>15545.3246753247</v>
      </c>
      <c r="P855" s="4">
        <v>5515.9306640625</v>
      </c>
      <c r="Q855" s="5">
        <f t="shared" si="52"/>
        <v>-0.64517108653137301</v>
      </c>
      <c r="R855" s="4">
        <v>5406.3153414235121</v>
      </c>
      <c r="S855" s="5">
        <f t="shared" si="53"/>
        <v>-0.65222242350428172</v>
      </c>
      <c r="T855" s="4">
        <v>9835.9736710912075</v>
      </c>
      <c r="U855" s="5">
        <f t="shared" si="54"/>
        <v>-0.36727126151929279</v>
      </c>
      <c r="V855" s="4">
        <v>5493.57666015625</v>
      </c>
      <c r="W855" s="5">
        <f t="shared" si="55"/>
        <v>-0.64660907540411316</v>
      </c>
    </row>
    <row r="856" spans="1:23" x14ac:dyDescent="0.25">
      <c r="A856" t="s">
        <v>1206</v>
      </c>
      <c r="B856">
        <v>2013</v>
      </c>
      <c r="C856" t="s">
        <v>53</v>
      </c>
      <c r="D856" t="s">
        <v>568</v>
      </c>
      <c r="E856">
        <v>113081</v>
      </c>
      <c r="F856" t="s">
        <v>63</v>
      </c>
      <c r="G856" t="s">
        <v>44</v>
      </c>
      <c r="H856" t="s">
        <v>25</v>
      </c>
      <c r="I856" t="s">
        <v>24</v>
      </c>
      <c r="J856" s="2">
        <v>45384</v>
      </c>
      <c r="K856" t="s">
        <v>25</v>
      </c>
      <c r="L856">
        <v>44128</v>
      </c>
      <c r="M856">
        <v>264</v>
      </c>
      <c r="N856">
        <v>314</v>
      </c>
      <c r="O856" s="4">
        <v>11400</v>
      </c>
      <c r="P856" s="4">
        <v>6853.77099609375</v>
      </c>
      <c r="Q856" s="5">
        <f t="shared" si="52"/>
        <v>-0.39879201788651319</v>
      </c>
      <c r="R856" s="4">
        <v>6582.611217709702</v>
      </c>
      <c r="S856" s="5">
        <f t="shared" si="53"/>
        <v>-0.42257796335879805</v>
      </c>
      <c r="T856" s="4">
        <v>12926.55229644101</v>
      </c>
      <c r="U856" s="5">
        <f t="shared" si="54"/>
        <v>0.13390809617903598</v>
      </c>
      <c r="V856" s="4">
        <v>6778.40478515625</v>
      </c>
      <c r="W856" s="5">
        <f t="shared" si="55"/>
        <v>-0.40540308902138156</v>
      </c>
    </row>
    <row r="857" spans="1:23" x14ac:dyDescent="0.25">
      <c r="A857" t="s">
        <v>1207</v>
      </c>
      <c r="B857">
        <v>2018</v>
      </c>
      <c r="C857" t="s">
        <v>120</v>
      </c>
      <c r="D857" t="s">
        <v>757</v>
      </c>
      <c r="E857">
        <v>90789</v>
      </c>
      <c r="F857" t="s">
        <v>72</v>
      </c>
      <c r="G857" t="s">
        <v>44</v>
      </c>
      <c r="H857" t="s">
        <v>25</v>
      </c>
      <c r="I857" t="s">
        <v>24</v>
      </c>
      <c r="J857" s="2">
        <v>45482</v>
      </c>
      <c r="K857" t="s">
        <v>25</v>
      </c>
      <c r="L857">
        <v>44128</v>
      </c>
      <c r="M857">
        <v>264</v>
      </c>
      <c r="N857">
        <v>314</v>
      </c>
      <c r="O857" s="4">
        <v>13400</v>
      </c>
      <c r="P857" s="4">
        <v>11198.03125</v>
      </c>
      <c r="Q857" s="5">
        <f t="shared" si="52"/>
        <v>-0.16432602611940295</v>
      </c>
      <c r="R857" s="4">
        <v>12183.253473534571</v>
      </c>
      <c r="S857" s="5">
        <f t="shared" si="53"/>
        <v>-9.0801979586972337E-2</v>
      </c>
      <c r="T857" s="4">
        <v>13828.697951417869</v>
      </c>
      <c r="U857" s="5">
        <f t="shared" si="54"/>
        <v>3.1992384434169407E-2</v>
      </c>
      <c r="V857" s="4">
        <v>11153.1484375</v>
      </c>
      <c r="W857" s="5">
        <f t="shared" si="55"/>
        <v>-0.16767548973880597</v>
      </c>
    </row>
    <row r="858" spans="1:23" x14ac:dyDescent="0.25">
      <c r="A858" t="s">
        <v>1208</v>
      </c>
      <c r="B858">
        <v>2017</v>
      </c>
      <c r="C858" t="s">
        <v>120</v>
      </c>
      <c r="D858" t="s">
        <v>757</v>
      </c>
      <c r="E858">
        <v>117524</v>
      </c>
      <c r="F858" t="s">
        <v>48</v>
      </c>
      <c r="G858" t="s">
        <v>34</v>
      </c>
      <c r="H858" t="s">
        <v>25</v>
      </c>
      <c r="I858" t="s">
        <v>24</v>
      </c>
      <c r="J858" s="2">
        <v>45538</v>
      </c>
      <c r="K858" t="s">
        <v>25</v>
      </c>
      <c r="L858">
        <v>44128</v>
      </c>
      <c r="M858">
        <v>264</v>
      </c>
      <c r="N858">
        <v>314</v>
      </c>
      <c r="O858" s="4">
        <v>13400</v>
      </c>
      <c r="P858" s="4">
        <v>4595.98583984375</v>
      </c>
      <c r="Q858" s="5">
        <f t="shared" si="52"/>
        <v>-0.6570159821012127</v>
      </c>
      <c r="R858" s="4">
        <v>7345.4101209722276</v>
      </c>
      <c r="S858" s="5">
        <f t="shared" si="53"/>
        <v>-0.45183506559908748</v>
      </c>
      <c r="T858" s="4">
        <v>8476.9577544457316</v>
      </c>
      <c r="U858" s="5">
        <f t="shared" si="54"/>
        <v>-0.3673912123547961</v>
      </c>
      <c r="V858" s="4">
        <v>4523.33154296875</v>
      </c>
      <c r="W858" s="5">
        <f t="shared" si="55"/>
        <v>-0.66243794455457095</v>
      </c>
    </row>
    <row r="859" spans="1:23" x14ac:dyDescent="0.25">
      <c r="A859" t="s">
        <v>1209</v>
      </c>
      <c r="B859">
        <v>2011</v>
      </c>
      <c r="C859" t="s">
        <v>369</v>
      </c>
      <c r="D859" t="s">
        <v>396</v>
      </c>
      <c r="E859">
        <v>145115</v>
      </c>
      <c r="F859" t="s">
        <v>66</v>
      </c>
      <c r="G859" t="s">
        <v>23</v>
      </c>
      <c r="H859" t="s">
        <v>24</v>
      </c>
      <c r="I859" t="s">
        <v>25</v>
      </c>
      <c r="J859" s="2">
        <v>45463</v>
      </c>
      <c r="K859" t="s">
        <v>25</v>
      </c>
      <c r="L859">
        <v>44128</v>
      </c>
      <c r="M859">
        <v>264</v>
      </c>
      <c r="N859">
        <v>314</v>
      </c>
      <c r="O859" s="4">
        <v>8500</v>
      </c>
      <c r="P859" s="4">
        <v>2351.55078125</v>
      </c>
      <c r="Q859" s="5">
        <f t="shared" si="52"/>
        <v>-0.7233469669117647</v>
      </c>
      <c r="R859" s="4">
        <v>1977.489775427684</v>
      </c>
      <c r="S859" s="5">
        <f t="shared" si="53"/>
        <v>-0.76735414406733127</v>
      </c>
      <c r="T859" s="4">
        <v>9313.4540561110589</v>
      </c>
      <c r="U859" s="5">
        <f t="shared" si="54"/>
        <v>9.5700477189536448E-2</v>
      </c>
      <c r="V859" s="4">
        <v>2269.796142578125</v>
      </c>
      <c r="W859" s="5">
        <f t="shared" si="55"/>
        <v>-0.73296515969669118</v>
      </c>
    </row>
    <row r="860" spans="1:23" x14ac:dyDescent="0.25">
      <c r="A860" t="s">
        <v>1210</v>
      </c>
      <c r="B860">
        <v>2011</v>
      </c>
      <c r="C860" t="s">
        <v>53</v>
      </c>
      <c r="D860" t="s">
        <v>582</v>
      </c>
      <c r="E860">
        <v>111204</v>
      </c>
      <c r="F860" t="s">
        <v>98</v>
      </c>
      <c r="G860" t="s">
        <v>44</v>
      </c>
      <c r="H860" t="s">
        <v>25</v>
      </c>
      <c r="I860" t="s">
        <v>24</v>
      </c>
      <c r="J860" s="2">
        <v>45482</v>
      </c>
      <c r="K860" t="s">
        <v>25</v>
      </c>
      <c r="L860">
        <v>44128</v>
      </c>
      <c r="M860">
        <v>264</v>
      </c>
      <c r="N860">
        <v>314</v>
      </c>
      <c r="O860" s="4">
        <v>2200</v>
      </c>
      <c r="P860" s="4">
        <v>4278.8701171875</v>
      </c>
      <c r="Q860" s="5">
        <f t="shared" si="52"/>
        <v>0.94494096235795455</v>
      </c>
      <c r="R860" s="4">
        <v>5749.6189998078189</v>
      </c>
      <c r="S860" s="5">
        <f t="shared" si="53"/>
        <v>1.6134631817308267</v>
      </c>
      <c r="T860" s="4">
        <v>5706.5181670521861</v>
      </c>
      <c r="U860" s="5">
        <f t="shared" si="54"/>
        <v>1.5938718941146299</v>
      </c>
      <c r="V860" s="4">
        <v>3734.1591796875</v>
      </c>
      <c r="W860" s="5">
        <f t="shared" si="55"/>
        <v>0.6973450816761364</v>
      </c>
    </row>
    <row r="861" spans="1:23" x14ac:dyDescent="0.25">
      <c r="A861" t="s">
        <v>1211</v>
      </c>
      <c r="B861">
        <v>2014</v>
      </c>
      <c r="C861" t="s">
        <v>53</v>
      </c>
      <c r="D861" t="s">
        <v>1212</v>
      </c>
      <c r="E861">
        <v>135548</v>
      </c>
      <c r="F861" t="s">
        <v>66</v>
      </c>
      <c r="G861" t="s">
        <v>85</v>
      </c>
      <c r="H861" t="s">
        <v>24</v>
      </c>
      <c r="I861" t="s">
        <v>25</v>
      </c>
      <c r="J861" s="2">
        <v>45701</v>
      </c>
      <c r="K861" t="s">
        <v>25</v>
      </c>
      <c r="L861">
        <v>44128</v>
      </c>
      <c r="M861">
        <v>264</v>
      </c>
      <c r="N861">
        <v>314</v>
      </c>
      <c r="O861" s="4">
        <v>2900</v>
      </c>
      <c r="P861" s="4">
        <v>2935.509765625</v>
      </c>
      <c r="Q861" s="5">
        <f t="shared" si="52"/>
        <v>1.2244746767241299E-2</v>
      </c>
      <c r="R861" s="4">
        <v>2946.9058433608061</v>
      </c>
      <c r="S861" s="5">
        <f t="shared" si="53"/>
        <v>1.6174428745105551E-2</v>
      </c>
      <c r="T861" s="4">
        <v>4720.2500855472736</v>
      </c>
      <c r="U861" s="5">
        <f t="shared" si="54"/>
        <v>0.62767244329216321</v>
      </c>
      <c r="V861" s="4">
        <v>2894.50927734375</v>
      </c>
      <c r="W861" s="5">
        <f t="shared" si="55"/>
        <v>-1.8933526400861656E-3</v>
      </c>
    </row>
    <row r="862" spans="1:23" x14ac:dyDescent="0.25">
      <c r="A862" t="s">
        <v>1213</v>
      </c>
      <c r="B862">
        <v>2014</v>
      </c>
      <c r="C862" t="s">
        <v>20</v>
      </c>
      <c r="D862" t="s">
        <v>236</v>
      </c>
      <c r="E862">
        <v>63137</v>
      </c>
      <c r="F862" t="s">
        <v>72</v>
      </c>
      <c r="G862" t="s">
        <v>44</v>
      </c>
      <c r="H862" t="s">
        <v>25</v>
      </c>
      <c r="I862" t="s">
        <v>24</v>
      </c>
      <c r="J862" s="2">
        <v>45314</v>
      </c>
      <c r="K862" t="s">
        <v>25</v>
      </c>
      <c r="L862">
        <v>44128</v>
      </c>
      <c r="M862">
        <v>264</v>
      </c>
      <c r="N862">
        <v>314</v>
      </c>
      <c r="O862" s="4">
        <v>13800</v>
      </c>
      <c r="P862" s="4">
        <v>9572.873046875</v>
      </c>
      <c r="Q862" s="5">
        <f t="shared" si="52"/>
        <v>-0.30631354732789851</v>
      </c>
      <c r="R862" s="4">
        <v>10632.64706469175</v>
      </c>
      <c r="S862" s="5">
        <f t="shared" si="53"/>
        <v>-0.22951832864552535</v>
      </c>
      <c r="T862" s="4">
        <v>14857.668954169931</v>
      </c>
      <c r="U862" s="5">
        <f t="shared" si="54"/>
        <v>7.6642677838400841E-2</v>
      </c>
      <c r="V862" s="4">
        <v>9151.4482421875</v>
      </c>
      <c r="W862" s="5">
        <f t="shared" si="55"/>
        <v>-0.33685157665307974</v>
      </c>
    </row>
    <row r="863" spans="1:23" x14ac:dyDescent="0.25">
      <c r="A863" t="s">
        <v>1214</v>
      </c>
      <c r="B863">
        <v>2010</v>
      </c>
      <c r="C863" t="s">
        <v>20</v>
      </c>
      <c r="D863" t="s">
        <v>236</v>
      </c>
      <c r="E863">
        <v>123429</v>
      </c>
      <c r="F863" t="s">
        <v>82</v>
      </c>
      <c r="G863" t="s">
        <v>30</v>
      </c>
      <c r="H863" t="s">
        <v>24</v>
      </c>
      <c r="I863" t="s">
        <v>25</v>
      </c>
      <c r="J863" s="2">
        <v>45356</v>
      </c>
      <c r="K863" t="s">
        <v>25</v>
      </c>
      <c r="L863">
        <v>44128</v>
      </c>
      <c r="M863">
        <v>264</v>
      </c>
      <c r="N863">
        <v>314</v>
      </c>
      <c r="O863" s="4">
        <v>9700</v>
      </c>
      <c r="P863" s="4">
        <v>2440.526611328125</v>
      </c>
      <c r="Q863" s="5">
        <f t="shared" si="52"/>
        <v>-0.74839931841978091</v>
      </c>
      <c r="R863" s="4">
        <v>1959.2592971388169</v>
      </c>
      <c r="S863" s="5">
        <f t="shared" si="53"/>
        <v>-0.7980145054496065</v>
      </c>
      <c r="T863" s="4">
        <v>3205.8466324064389</v>
      </c>
      <c r="U863" s="5">
        <f t="shared" si="54"/>
        <v>-0.66950034717459395</v>
      </c>
      <c r="V863" s="4">
        <v>2373.243408203125</v>
      </c>
      <c r="W863" s="5">
        <f t="shared" si="55"/>
        <v>-0.75533573111307994</v>
      </c>
    </row>
    <row r="864" spans="1:23" x14ac:dyDescent="0.25">
      <c r="A864" t="s">
        <v>1215</v>
      </c>
      <c r="B864">
        <v>2009</v>
      </c>
      <c r="C864" t="s">
        <v>20</v>
      </c>
      <c r="D864" t="s">
        <v>128</v>
      </c>
      <c r="E864">
        <v>121946</v>
      </c>
      <c r="F864" t="s">
        <v>82</v>
      </c>
      <c r="G864" t="s">
        <v>30</v>
      </c>
      <c r="H864" t="s">
        <v>24</v>
      </c>
      <c r="I864" t="s">
        <v>25</v>
      </c>
      <c r="J864" s="2">
        <v>45622</v>
      </c>
      <c r="K864" t="s">
        <v>25</v>
      </c>
      <c r="L864">
        <v>44128</v>
      </c>
      <c r="M864">
        <v>264</v>
      </c>
      <c r="N864">
        <v>314</v>
      </c>
      <c r="O864" s="4">
        <v>3300</v>
      </c>
      <c r="P864" s="4">
        <v>2119.412841796875</v>
      </c>
      <c r="Q864" s="5">
        <f t="shared" si="52"/>
        <v>-0.35775368430397725</v>
      </c>
      <c r="R864" s="4">
        <v>1656.567211177429</v>
      </c>
      <c r="S864" s="5">
        <f t="shared" si="53"/>
        <v>-0.49800993600683974</v>
      </c>
      <c r="T864" s="4">
        <v>1105.4014286631029</v>
      </c>
      <c r="U864" s="5">
        <f t="shared" si="54"/>
        <v>-0.66502987010209003</v>
      </c>
      <c r="V864" s="4">
        <v>2027.951782226562</v>
      </c>
      <c r="W864" s="5">
        <f t="shared" si="55"/>
        <v>-0.38546915690104178</v>
      </c>
    </row>
    <row r="865" spans="1:23" x14ac:dyDescent="0.25">
      <c r="A865" t="s">
        <v>1216</v>
      </c>
      <c r="B865">
        <v>2016</v>
      </c>
      <c r="C865" t="s">
        <v>91</v>
      </c>
      <c r="D865" t="s">
        <v>130</v>
      </c>
      <c r="E865">
        <v>110552</v>
      </c>
      <c r="F865" t="s">
        <v>61</v>
      </c>
      <c r="G865" t="s">
        <v>23</v>
      </c>
      <c r="H865" t="s">
        <v>24</v>
      </c>
      <c r="I865" t="s">
        <v>25</v>
      </c>
      <c r="J865" s="2">
        <v>45664</v>
      </c>
      <c r="K865" t="s">
        <v>25</v>
      </c>
      <c r="L865">
        <v>44128</v>
      </c>
      <c r="M865">
        <v>264</v>
      </c>
      <c r="N865">
        <v>314</v>
      </c>
      <c r="O865" s="4">
        <v>6000</v>
      </c>
      <c r="P865" s="4">
        <v>3075.556884765625</v>
      </c>
      <c r="Q865" s="5">
        <f t="shared" si="52"/>
        <v>-0.48740718587239584</v>
      </c>
      <c r="R865" s="4">
        <v>4544.7781783378896</v>
      </c>
      <c r="S865" s="5">
        <f t="shared" si="53"/>
        <v>-0.24253697027701837</v>
      </c>
      <c r="T865" s="4">
        <v>3826.0290369929239</v>
      </c>
      <c r="U865" s="5">
        <f t="shared" si="54"/>
        <v>-0.36232849383451271</v>
      </c>
      <c r="V865" s="4">
        <v>2763.0634765625</v>
      </c>
      <c r="W865" s="5">
        <f t="shared" si="55"/>
        <v>-0.5394894205729166</v>
      </c>
    </row>
    <row r="866" spans="1:23" x14ac:dyDescent="0.25">
      <c r="A866" t="s">
        <v>1217</v>
      </c>
      <c r="B866">
        <v>2015</v>
      </c>
      <c r="C866" t="s">
        <v>104</v>
      </c>
      <c r="D866" t="s">
        <v>126</v>
      </c>
      <c r="E866">
        <v>130697</v>
      </c>
      <c r="F866" t="s">
        <v>66</v>
      </c>
      <c r="G866" t="s">
        <v>23</v>
      </c>
      <c r="H866" t="s">
        <v>24</v>
      </c>
      <c r="I866" t="s">
        <v>25</v>
      </c>
      <c r="J866" s="2">
        <v>45706</v>
      </c>
      <c r="K866" t="s">
        <v>25</v>
      </c>
      <c r="L866">
        <v>44128</v>
      </c>
      <c r="M866">
        <v>264</v>
      </c>
      <c r="N866">
        <v>314</v>
      </c>
      <c r="O866" s="4">
        <v>5100</v>
      </c>
      <c r="P866" s="4">
        <v>5301.4912109375</v>
      </c>
      <c r="Q866" s="5">
        <f t="shared" si="52"/>
        <v>3.9508080575980431E-2</v>
      </c>
      <c r="R866" s="4">
        <v>6038.4754971556986</v>
      </c>
      <c r="S866" s="5">
        <f t="shared" si="53"/>
        <v>0.18401480336386244</v>
      </c>
      <c r="T866" s="4">
        <v>4466.7495578681592</v>
      </c>
      <c r="U866" s="5">
        <f t="shared" si="54"/>
        <v>-0.12416675335918448</v>
      </c>
      <c r="V866" s="4">
        <v>5197.5830078125</v>
      </c>
      <c r="W866" s="5">
        <f t="shared" si="55"/>
        <v>1.9133923100490113E-2</v>
      </c>
    </row>
    <row r="867" spans="1:23" x14ac:dyDescent="0.25">
      <c r="A867" t="s">
        <v>1218</v>
      </c>
      <c r="B867">
        <v>2015</v>
      </c>
      <c r="C867" t="s">
        <v>104</v>
      </c>
      <c r="D867" t="s">
        <v>126</v>
      </c>
      <c r="E867">
        <v>99892</v>
      </c>
      <c r="F867" t="s">
        <v>43</v>
      </c>
      <c r="G867" t="s">
        <v>44</v>
      </c>
      <c r="H867" t="s">
        <v>25</v>
      </c>
      <c r="I867" t="s">
        <v>24</v>
      </c>
      <c r="J867" s="2">
        <v>45384</v>
      </c>
      <c r="K867" t="s">
        <v>25</v>
      </c>
      <c r="L867">
        <v>44128</v>
      </c>
      <c r="M867">
        <v>264</v>
      </c>
      <c r="N867">
        <v>314</v>
      </c>
      <c r="O867" s="4">
        <v>3900</v>
      </c>
      <c r="P867" s="4">
        <v>9537.5634765625</v>
      </c>
      <c r="Q867" s="5">
        <f t="shared" si="52"/>
        <v>1.4455290965544871</v>
      </c>
      <c r="R867" s="4">
        <v>12885.629113538191</v>
      </c>
      <c r="S867" s="5">
        <f t="shared" si="53"/>
        <v>2.3040074650097924</v>
      </c>
      <c r="T867" s="4">
        <v>10750.182089288841</v>
      </c>
      <c r="U867" s="5">
        <f t="shared" si="54"/>
        <v>1.7564569459714976</v>
      </c>
      <c r="V867" s="4">
        <v>8894.29296875</v>
      </c>
      <c r="W867" s="5">
        <f t="shared" si="55"/>
        <v>1.2805879407051282</v>
      </c>
    </row>
    <row r="868" spans="1:23" x14ac:dyDescent="0.25">
      <c r="A868" t="s">
        <v>1219</v>
      </c>
      <c r="B868">
        <v>2016</v>
      </c>
      <c r="C868" t="s">
        <v>20</v>
      </c>
      <c r="D868" t="s">
        <v>134</v>
      </c>
      <c r="E868">
        <v>160191</v>
      </c>
      <c r="F868" t="s">
        <v>29</v>
      </c>
      <c r="G868" t="s">
        <v>23</v>
      </c>
      <c r="H868" t="s">
        <v>24</v>
      </c>
      <c r="I868" t="s">
        <v>25</v>
      </c>
      <c r="J868" s="2">
        <v>45596</v>
      </c>
      <c r="K868" t="s">
        <v>25</v>
      </c>
      <c r="L868">
        <v>44128</v>
      </c>
      <c r="M868">
        <v>264</v>
      </c>
      <c r="N868">
        <v>314</v>
      </c>
      <c r="O868" s="4">
        <v>7800</v>
      </c>
      <c r="P868" s="4">
        <v>3153.375244140625</v>
      </c>
      <c r="Q868" s="5">
        <f t="shared" si="52"/>
        <v>-0.59572112254607368</v>
      </c>
      <c r="R868" s="4">
        <v>5417.1520794981989</v>
      </c>
      <c r="S868" s="5">
        <f t="shared" si="53"/>
        <v>-0.30549332314125655</v>
      </c>
      <c r="T868" s="4">
        <v>6320.4850087348323</v>
      </c>
      <c r="U868" s="5">
        <f t="shared" si="54"/>
        <v>-0.18968140913655995</v>
      </c>
      <c r="V868" s="4">
        <v>2808.49267578125</v>
      </c>
      <c r="W868" s="5">
        <f t="shared" si="55"/>
        <v>-0.63993683643830135</v>
      </c>
    </row>
    <row r="869" spans="1:23" x14ac:dyDescent="0.25">
      <c r="A869" t="s">
        <v>1220</v>
      </c>
      <c r="B869">
        <v>2018</v>
      </c>
      <c r="C869" t="s">
        <v>20</v>
      </c>
      <c r="D869" t="s">
        <v>21</v>
      </c>
      <c r="E869">
        <v>311035</v>
      </c>
      <c r="F869" t="s">
        <v>55</v>
      </c>
      <c r="G869" t="s">
        <v>30</v>
      </c>
      <c r="H869" t="s">
        <v>24</v>
      </c>
      <c r="I869" t="s">
        <v>25</v>
      </c>
      <c r="J869" s="2">
        <v>45356</v>
      </c>
      <c r="K869" t="s">
        <v>25</v>
      </c>
      <c r="L869">
        <v>44128</v>
      </c>
      <c r="M869">
        <v>264</v>
      </c>
      <c r="N869">
        <v>314</v>
      </c>
      <c r="O869" s="4">
        <v>15200</v>
      </c>
      <c r="P869" s="4">
        <v>3708.672119140625</v>
      </c>
      <c r="Q869" s="5">
        <f t="shared" si="52"/>
        <v>-0.75600841321443257</v>
      </c>
      <c r="R869" s="4">
        <v>4658.3958278229302</v>
      </c>
      <c r="S869" s="5">
        <f t="shared" si="53"/>
        <v>-0.69352659027480723</v>
      </c>
      <c r="T869" s="4">
        <v>2274.9753757363469</v>
      </c>
      <c r="U869" s="5">
        <f t="shared" si="54"/>
        <v>-0.85033056738576662</v>
      </c>
      <c r="V869" s="4">
        <v>3333.619873046875</v>
      </c>
      <c r="W869" s="5">
        <f t="shared" si="55"/>
        <v>-0.78068290308902144</v>
      </c>
    </row>
    <row r="870" spans="1:23" x14ac:dyDescent="0.25">
      <c r="A870" t="s">
        <v>1221</v>
      </c>
      <c r="B870">
        <v>2020</v>
      </c>
      <c r="C870" t="s">
        <v>20</v>
      </c>
      <c r="D870" t="s">
        <v>21</v>
      </c>
      <c r="E870">
        <v>82806</v>
      </c>
      <c r="F870" t="s">
        <v>382</v>
      </c>
      <c r="G870" t="s">
        <v>34</v>
      </c>
      <c r="H870" t="s">
        <v>25</v>
      </c>
      <c r="I870" t="s">
        <v>24</v>
      </c>
      <c r="J870" s="2">
        <v>45510</v>
      </c>
      <c r="K870" t="s">
        <v>25</v>
      </c>
      <c r="L870">
        <v>44128</v>
      </c>
      <c r="M870">
        <v>264</v>
      </c>
      <c r="N870">
        <v>314</v>
      </c>
      <c r="O870" s="4">
        <v>19000</v>
      </c>
      <c r="P870" s="4">
        <v>7167.93701171875</v>
      </c>
      <c r="Q870" s="5">
        <f t="shared" si="52"/>
        <v>-0.6227401572779605</v>
      </c>
      <c r="R870" s="4">
        <v>10175.35542355683</v>
      </c>
      <c r="S870" s="5">
        <f t="shared" si="53"/>
        <v>-0.4644549777075353</v>
      </c>
      <c r="T870" s="4">
        <v>8830.1892075038395</v>
      </c>
      <c r="U870" s="5">
        <f t="shared" si="54"/>
        <v>-0.53525319960506113</v>
      </c>
      <c r="V870" s="4">
        <v>6788.71826171875</v>
      </c>
      <c r="W870" s="5">
        <f t="shared" si="55"/>
        <v>-0.64269903885690782</v>
      </c>
    </row>
    <row r="871" spans="1:23" x14ac:dyDescent="0.25">
      <c r="A871" t="s">
        <v>1222</v>
      </c>
      <c r="B871">
        <v>2018</v>
      </c>
      <c r="C871" t="s">
        <v>159</v>
      </c>
      <c r="D871" t="s">
        <v>406</v>
      </c>
      <c r="E871">
        <v>57847</v>
      </c>
      <c r="F871" t="s">
        <v>135</v>
      </c>
      <c r="G871" t="s">
        <v>44</v>
      </c>
      <c r="H871" t="s">
        <v>25</v>
      </c>
      <c r="I871" t="s">
        <v>24</v>
      </c>
      <c r="J871" s="2">
        <v>45692</v>
      </c>
      <c r="K871" t="s">
        <v>25</v>
      </c>
      <c r="L871">
        <v>44128</v>
      </c>
      <c r="M871">
        <v>264</v>
      </c>
      <c r="N871">
        <v>314</v>
      </c>
      <c r="O871" s="4">
        <v>13000</v>
      </c>
      <c r="P871" s="4">
        <v>16240.2568359375</v>
      </c>
      <c r="Q871" s="5">
        <f t="shared" si="52"/>
        <v>0.24925052584134622</v>
      </c>
      <c r="R871" s="4">
        <v>17943.178086182201</v>
      </c>
      <c r="S871" s="5">
        <f t="shared" si="53"/>
        <v>0.38024446816786162</v>
      </c>
      <c r="T871" s="4">
        <v>14715.05723977157</v>
      </c>
      <c r="U871" s="5">
        <f t="shared" si="54"/>
        <v>0.13192747998242838</v>
      </c>
      <c r="V871" s="4">
        <v>16097.6904296875</v>
      </c>
      <c r="W871" s="5">
        <f t="shared" si="55"/>
        <v>0.23828387920673078</v>
      </c>
    </row>
    <row r="872" spans="1:23" x14ac:dyDescent="0.25">
      <c r="A872" t="s">
        <v>1223</v>
      </c>
      <c r="B872">
        <v>2021</v>
      </c>
      <c r="C872" t="s">
        <v>32</v>
      </c>
      <c r="D872" t="s">
        <v>143</v>
      </c>
      <c r="E872">
        <v>24719</v>
      </c>
      <c r="F872" t="s">
        <v>161</v>
      </c>
      <c r="G872" t="s">
        <v>44</v>
      </c>
      <c r="H872" t="s">
        <v>25</v>
      </c>
      <c r="I872" t="s">
        <v>24</v>
      </c>
      <c r="J872" s="2">
        <v>45314</v>
      </c>
      <c r="K872" t="s">
        <v>25</v>
      </c>
      <c r="L872">
        <v>44128</v>
      </c>
      <c r="M872">
        <v>264</v>
      </c>
      <c r="N872">
        <v>314</v>
      </c>
      <c r="O872" s="4">
        <v>23000</v>
      </c>
      <c r="P872" s="4">
        <v>21488.40234375</v>
      </c>
      <c r="Q872" s="5">
        <f t="shared" si="52"/>
        <v>-6.5721637228260854E-2</v>
      </c>
      <c r="R872" s="4">
        <v>23896.6132830426</v>
      </c>
      <c r="S872" s="5">
        <f t="shared" si="53"/>
        <v>3.8983186219243349E-2</v>
      </c>
      <c r="T872" s="4">
        <v>22925.451089973962</v>
      </c>
      <c r="U872" s="5">
        <f t="shared" si="54"/>
        <v>-3.2412569576538708E-3</v>
      </c>
      <c r="V872" s="4">
        <v>20382.109375</v>
      </c>
      <c r="W872" s="5">
        <f t="shared" si="55"/>
        <v>-0.11382133152173912</v>
      </c>
    </row>
    <row r="873" spans="1:23" x14ac:dyDescent="0.25">
      <c r="A873" t="s">
        <v>1224</v>
      </c>
      <c r="B873">
        <v>2019</v>
      </c>
      <c r="C873" t="s">
        <v>32</v>
      </c>
      <c r="D873" t="s">
        <v>143</v>
      </c>
      <c r="E873">
        <v>47384</v>
      </c>
      <c r="F873" t="s">
        <v>151</v>
      </c>
      <c r="G873" t="s">
        <v>44</v>
      </c>
      <c r="H873" t="s">
        <v>25</v>
      </c>
      <c r="I873" t="s">
        <v>24</v>
      </c>
      <c r="J873" s="2">
        <v>45622</v>
      </c>
      <c r="K873" t="s">
        <v>25</v>
      </c>
      <c r="L873">
        <v>44128</v>
      </c>
      <c r="M873">
        <v>264</v>
      </c>
      <c r="N873">
        <v>314</v>
      </c>
      <c r="O873" s="4">
        <v>10800</v>
      </c>
      <c r="P873" s="4">
        <v>18145.146484375</v>
      </c>
      <c r="Q873" s="5">
        <f t="shared" si="52"/>
        <v>0.68010615596064805</v>
      </c>
      <c r="R873" s="4">
        <v>18494.99683217625</v>
      </c>
      <c r="S873" s="5">
        <f t="shared" si="53"/>
        <v>0.71249970668298612</v>
      </c>
      <c r="T873" s="4">
        <v>18950.067954538408</v>
      </c>
      <c r="U873" s="5">
        <f t="shared" si="54"/>
        <v>0.75463592171651928</v>
      </c>
      <c r="V873" s="4">
        <v>18274.056640625</v>
      </c>
      <c r="W873" s="5">
        <f t="shared" si="55"/>
        <v>0.69204228153935188</v>
      </c>
    </row>
    <row r="874" spans="1:23" x14ac:dyDescent="0.25">
      <c r="A874" t="s">
        <v>1225</v>
      </c>
      <c r="B874">
        <v>2019</v>
      </c>
      <c r="C874" t="s">
        <v>32</v>
      </c>
      <c r="D874" t="s">
        <v>143</v>
      </c>
      <c r="E874">
        <v>94795</v>
      </c>
      <c r="F874" t="s">
        <v>106</v>
      </c>
      <c r="G874" t="s">
        <v>34</v>
      </c>
      <c r="H874" t="s">
        <v>25</v>
      </c>
      <c r="I874" t="s">
        <v>24</v>
      </c>
      <c r="J874" s="2">
        <v>45496</v>
      </c>
      <c r="K874" t="s">
        <v>25</v>
      </c>
      <c r="L874">
        <v>44128</v>
      </c>
      <c r="M874">
        <v>264</v>
      </c>
      <c r="N874">
        <v>314</v>
      </c>
      <c r="O874" s="4">
        <v>15200</v>
      </c>
      <c r="P874" s="4">
        <v>11622.1171875</v>
      </c>
      <c r="Q874" s="5">
        <f t="shared" si="52"/>
        <v>-0.23538702713815784</v>
      </c>
      <c r="R874" s="4">
        <v>12816.842594272381</v>
      </c>
      <c r="S874" s="5">
        <f t="shared" si="53"/>
        <v>-0.15678667142944869</v>
      </c>
      <c r="T874" s="4">
        <v>12139.860230181441</v>
      </c>
      <c r="U874" s="5">
        <f t="shared" si="54"/>
        <v>-0.2013249848564842</v>
      </c>
      <c r="V874" s="4">
        <v>11468.0087890625</v>
      </c>
      <c r="W874" s="5">
        <f t="shared" si="55"/>
        <v>-0.24552573756167761</v>
      </c>
    </row>
    <row r="875" spans="1:23" x14ac:dyDescent="0.25">
      <c r="A875" t="s">
        <v>1226</v>
      </c>
      <c r="B875">
        <v>2018</v>
      </c>
      <c r="C875" t="s">
        <v>32</v>
      </c>
      <c r="D875" t="s">
        <v>143</v>
      </c>
      <c r="E875">
        <v>55339</v>
      </c>
      <c r="F875" t="s">
        <v>696</v>
      </c>
      <c r="G875" t="s">
        <v>23</v>
      </c>
      <c r="H875" t="s">
        <v>24</v>
      </c>
      <c r="I875" t="s">
        <v>25</v>
      </c>
      <c r="J875" s="2">
        <v>45706</v>
      </c>
      <c r="K875" t="s">
        <v>25</v>
      </c>
      <c r="L875">
        <v>44128</v>
      </c>
      <c r="M875">
        <v>264</v>
      </c>
      <c r="N875">
        <v>314</v>
      </c>
      <c r="O875" s="4">
        <v>13400</v>
      </c>
      <c r="P875" s="4">
        <v>8875.1796875</v>
      </c>
      <c r="Q875" s="5">
        <f t="shared" si="52"/>
        <v>-0.33767315764925376</v>
      </c>
      <c r="R875" s="4">
        <v>10118.99582235329</v>
      </c>
      <c r="S875" s="5">
        <f t="shared" si="53"/>
        <v>-0.24485105803333651</v>
      </c>
      <c r="T875" s="4">
        <v>9155.206489152526</v>
      </c>
      <c r="U875" s="5">
        <f t="shared" si="54"/>
        <v>-0.31677563513787121</v>
      </c>
      <c r="V875" s="4">
        <v>8296.0654296875</v>
      </c>
      <c r="W875" s="5">
        <f t="shared" si="55"/>
        <v>-0.38089063957555969</v>
      </c>
    </row>
    <row r="876" spans="1:23" x14ac:dyDescent="0.25">
      <c r="A876" t="s">
        <v>1227</v>
      </c>
      <c r="B876">
        <v>2017</v>
      </c>
      <c r="C876" t="s">
        <v>32</v>
      </c>
      <c r="D876" t="s">
        <v>1228</v>
      </c>
      <c r="E876">
        <v>83788</v>
      </c>
      <c r="F876" t="s">
        <v>48</v>
      </c>
      <c r="G876" t="s">
        <v>38</v>
      </c>
      <c r="H876" t="s">
        <v>25</v>
      </c>
      <c r="I876" t="s">
        <v>24</v>
      </c>
      <c r="J876" s="2">
        <v>45622</v>
      </c>
      <c r="K876" t="s">
        <v>25</v>
      </c>
      <c r="L876">
        <v>44128</v>
      </c>
      <c r="M876">
        <v>264</v>
      </c>
      <c r="N876">
        <v>314</v>
      </c>
      <c r="O876" s="4">
        <v>11000</v>
      </c>
      <c r="P876" s="4">
        <v>7692.77099609375</v>
      </c>
      <c r="Q876" s="5">
        <f t="shared" si="52"/>
        <v>-0.3006571821732954</v>
      </c>
      <c r="R876" s="4">
        <v>10793.805667572829</v>
      </c>
      <c r="S876" s="5">
        <f t="shared" si="53"/>
        <v>-1.874493931156096E-2</v>
      </c>
      <c r="T876" s="4">
        <v>13261.64784288091</v>
      </c>
      <c r="U876" s="5">
        <f t="shared" si="54"/>
        <v>0.20560434935280991</v>
      </c>
      <c r="V876" s="4">
        <v>7032.74755859375</v>
      </c>
      <c r="W876" s="5">
        <f t="shared" si="55"/>
        <v>-0.36065931285511366</v>
      </c>
    </row>
    <row r="877" spans="1:23" x14ac:dyDescent="0.25">
      <c r="A877" t="s">
        <v>1229</v>
      </c>
      <c r="B877">
        <v>2017</v>
      </c>
      <c r="C877" t="s">
        <v>32</v>
      </c>
      <c r="D877" t="s">
        <v>1228</v>
      </c>
      <c r="E877">
        <v>122668</v>
      </c>
      <c r="F877" t="s">
        <v>22</v>
      </c>
      <c r="G877" t="s">
        <v>30</v>
      </c>
      <c r="H877" t="s">
        <v>24</v>
      </c>
      <c r="I877" t="s">
        <v>25</v>
      </c>
      <c r="J877" s="2">
        <v>45636</v>
      </c>
      <c r="K877" t="s">
        <v>25</v>
      </c>
      <c r="L877">
        <v>44128</v>
      </c>
      <c r="M877">
        <v>264</v>
      </c>
      <c r="N877">
        <v>314</v>
      </c>
      <c r="O877" s="4">
        <v>13300</v>
      </c>
      <c r="P877" s="4">
        <v>5450.26123046875</v>
      </c>
      <c r="Q877" s="5">
        <f t="shared" si="52"/>
        <v>-0.59020592252114668</v>
      </c>
      <c r="R877" s="4">
        <v>5424.3764674872409</v>
      </c>
      <c r="S877" s="5">
        <f t="shared" si="53"/>
        <v>-0.59215214530171123</v>
      </c>
      <c r="T877" s="4">
        <v>8234.3738719951962</v>
      </c>
      <c r="U877" s="5">
        <f t="shared" si="54"/>
        <v>-0.38087414496276717</v>
      </c>
      <c r="V877" s="4">
        <v>5427.54833984375</v>
      </c>
      <c r="W877" s="5">
        <f t="shared" si="55"/>
        <v>-0.59191365865836465</v>
      </c>
    </row>
    <row r="878" spans="1:23" x14ac:dyDescent="0.25">
      <c r="A878" t="s">
        <v>1230</v>
      </c>
      <c r="B878">
        <v>2018</v>
      </c>
      <c r="C878" t="s">
        <v>53</v>
      </c>
      <c r="D878" t="s">
        <v>148</v>
      </c>
      <c r="E878">
        <v>90630</v>
      </c>
      <c r="F878" t="s">
        <v>63</v>
      </c>
      <c r="G878" t="s">
        <v>30</v>
      </c>
      <c r="H878" t="s">
        <v>24</v>
      </c>
      <c r="I878" t="s">
        <v>25</v>
      </c>
      <c r="J878" s="2">
        <v>45540</v>
      </c>
      <c r="K878" t="s">
        <v>25</v>
      </c>
      <c r="L878">
        <v>44128</v>
      </c>
      <c r="M878">
        <v>264</v>
      </c>
      <c r="N878">
        <v>314</v>
      </c>
      <c r="O878" s="4">
        <v>15000</v>
      </c>
      <c r="P878" s="4">
        <v>13297.3427734375</v>
      </c>
      <c r="Q878" s="5">
        <f t="shared" si="52"/>
        <v>-0.11351048177083334</v>
      </c>
      <c r="R878" s="4">
        <v>13248.72063842247</v>
      </c>
      <c r="S878" s="5">
        <f t="shared" si="53"/>
        <v>-0.11675195743850197</v>
      </c>
      <c r="T878" s="4">
        <v>16807.054702374018</v>
      </c>
      <c r="U878" s="5">
        <f t="shared" si="54"/>
        <v>0.1204703134916012</v>
      </c>
      <c r="V878" s="4">
        <v>13497.6083984375</v>
      </c>
      <c r="W878" s="5">
        <f t="shared" si="55"/>
        <v>-0.10015944010416666</v>
      </c>
    </row>
    <row r="879" spans="1:23" x14ac:dyDescent="0.25">
      <c r="A879" t="s">
        <v>1231</v>
      </c>
      <c r="B879">
        <v>2016</v>
      </c>
      <c r="C879" t="s">
        <v>53</v>
      </c>
      <c r="D879" t="s">
        <v>148</v>
      </c>
      <c r="E879">
        <v>141919</v>
      </c>
      <c r="F879" t="s">
        <v>66</v>
      </c>
      <c r="G879" t="s">
        <v>85</v>
      </c>
      <c r="H879" t="s">
        <v>24</v>
      </c>
      <c r="I879" t="s">
        <v>25</v>
      </c>
      <c r="J879" s="2">
        <v>45722</v>
      </c>
      <c r="K879" t="s">
        <v>25</v>
      </c>
      <c r="L879">
        <v>44128</v>
      </c>
      <c r="M879">
        <v>264</v>
      </c>
      <c r="N879">
        <v>314</v>
      </c>
      <c r="O879" s="4">
        <v>3800</v>
      </c>
      <c r="P879" s="4">
        <v>3372.03759765625</v>
      </c>
      <c r="Q879" s="5">
        <f t="shared" si="52"/>
        <v>-0.11262168482730261</v>
      </c>
      <c r="R879" s="4">
        <v>3672.4322818356382</v>
      </c>
      <c r="S879" s="5">
        <f t="shared" si="53"/>
        <v>-3.3570452148516283E-2</v>
      </c>
      <c r="T879" s="4">
        <v>5686.8376653626028</v>
      </c>
      <c r="U879" s="5">
        <f t="shared" si="54"/>
        <v>0.49653622772700068</v>
      </c>
      <c r="V879" s="4">
        <v>3229.8046875</v>
      </c>
      <c r="W879" s="5">
        <f t="shared" si="55"/>
        <v>-0.15005139802631584</v>
      </c>
    </row>
    <row r="880" spans="1:23" x14ac:dyDescent="0.25">
      <c r="A880" t="s">
        <v>1232</v>
      </c>
      <c r="B880">
        <v>2016</v>
      </c>
      <c r="C880" t="s">
        <v>53</v>
      </c>
      <c r="D880" t="s">
        <v>148</v>
      </c>
      <c r="E880">
        <v>79076</v>
      </c>
      <c r="F880" t="s">
        <v>66</v>
      </c>
      <c r="G880" t="s">
        <v>85</v>
      </c>
      <c r="H880" t="s">
        <v>24</v>
      </c>
      <c r="I880" t="s">
        <v>25</v>
      </c>
      <c r="J880" s="2">
        <v>45302</v>
      </c>
      <c r="K880" t="s">
        <v>25</v>
      </c>
      <c r="L880">
        <v>44128</v>
      </c>
      <c r="M880">
        <v>264</v>
      </c>
      <c r="N880">
        <v>314</v>
      </c>
      <c r="O880" s="4">
        <v>2700</v>
      </c>
      <c r="P880" s="4">
        <v>6164.306640625</v>
      </c>
      <c r="Q880" s="5">
        <f t="shared" si="52"/>
        <v>1.2830765335648149</v>
      </c>
      <c r="R880" s="4">
        <v>6604.0643979637998</v>
      </c>
      <c r="S880" s="5">
        <f t="shared" si="53"/>
        <v>1.4459497770236296</v>
      </c>
      <c r="T880" s="4">
        <v>11294.51393797454</v>
      </c>
      <c r="U880" s="5">
        <f t="shared" si="54"/>
        <v>3.1831533103609404</v>
      </c>
      <c r="V880" s="4">
        <v>6103.62158203125</v>
      </c>
      <c r="W880" s="5">
        <f t="shared" si="55"/>
        <v>1.2606005859375</v>
      </c>
    </row>
    <row r="881" spans="1:23" x14ac:dyDescent="0.25">
      <c r="A881" t="s">
        <v>1233</v>
      </c>
      <c r="B881">
        <v>2020</v>
      </c>
      <c r="C881" t="s">
        <v>53</v>
      </c>
      <c r="D881" t="s">
        <v>148</v>
      </c>
      <c r="E881">
        <v>99087</v>
      </c>
      <c r="F881" t="s">
        <v>43</v>
      </c>
      <c r="G881" t="s">
        <v>44</v>
      </c>
      <c r="H881" t="s">
        <v>25</v>
      </c>
      <c r="I881" t="s">
        <v>24</v>
      </c>
      <c r="J881" s="2">
        <v>45470</v>
      </c>
      <c r="K881" t="s">
        <v>25</v>
      </c>
      <c r="L881">
        <v>44128</v>
      </c>
      <c r="M881">
        <v>264</v>
      </c>
      <c r="N881">
        <v>314</v>
      </c>
      <c r="O881" s="4">
        <v>10600</v>
      </c>
      <c r="P881" s="4">
        <v>14860.240234375</v>
      </c>
      <c r="Q881" s="5">
        <f t="shared" si="52"/>
        <v>0.40190945607311312</v>
      </c>
      <c r="R881" s="4">
        <v>15372.601920209019</v>
      </c>
      <c r="S881" s="5">
        <f t="shared" si="53"/>
        <v>0.45024546417066214</v>
      </c>
      <c r="T881" s="4">
        <v>19596.891606421719</v>
      </c>
      <c r="U881" s="5">
        <f t="shared" si="54"/>
        <v>0.84876335909638856</v>
      </c>
      <c r="V881" s="4">
        <v>15016.00390625</v>
      </c>
      <c r="W881" s="5">
        <f t="shared" si="55"/>
        <v>0.4166041420990565</v>
      </c>
    </row>
    <row r="882" spans="1:23" x14ac:dyDescent="0.25">
      <c r="A882" t="s">
        <v>1234</v>
      </c>
      <c r="B882">
        <v>2018</v>
      </c>
      <c r="C882" t="s">
        <v>104</v>
      </c>
      <c r="D882" t="s">
        <v>126</v>
      </c>
      <c r="E882">
        <v>87557</v>
      </c>
      <c r="F882" t="s">
        <v>72</v>
      </c>
      <c r="G882" t="s">
        <v>30</v>
      </c>
      <c r="H882" t="s">
        <v>24</v>
      </c>
      <c r="I882" t="s">
        <v>25</v>
      </c>
      <c r="J882" s="2">
        <v>45664</v>
      </c>
      <c r="K882" t="s">
        <v>25</v>
      </c>
      <c r="L882">
        <v>44128</v>
      </c>
      <c r="M882">
        <v>264</v>
      </c>
      <c r="N882">
        <v>314</v>
      </c>
      <c r="O882" s="4">
        <v>13700</v>
      </c>
      <c r="P882" s="4">
        <v>16800.357421875</v>
      </c>
      <c r="Q882" s="5">
        <f t="shared" si="52"/>
        <v>0.22630346145072999</v>
      </c>
      <c r="R882" s="4">
        <v>18300.9863706414</v>
      </c>
      <c r="S882" s="5">
        <f t="shared" si="53"/>
        <v>0.33583842121470076</v>
      </c>
      <c r="T882" s="4">
        <v>15776.148316935591</v>
      </c>
      <c r="U882" s="5">
        <f t="shared" si="54"/>
        <v>0.15154367276902114</v>
      </c>
      <c r="V882" s="4">
        <v>16662.8984375</v>
      </c>
      <c r="W882" s="5">
        <f t="shared" si="55"/>
        <v>0.21626995894160594</v>
      </c>
    </row>
    <row r="883" spans="1:23" x14ac:dyDescent="0.25">
      <c r="A883" t="s">
        <v>1235</v>
      </c>
      <c r="B883">
        <v>2018</v>
      </c>
      <c r="C883" t="s">
        <v>20</v>
      </c>
      <c r="D883" t="s">
        <v>134</v>
      </c>
      <c r="E883">
        <v>97764</v>
      </c>
      <c r="F883" t="s">
        <v>77</v>
      </c>
      <c r="G883" t="s">
        <v>23</v>
      </c>
      <c r="H883" t="s">
        <v>24</v>
      </c>
      <c r="I883" t="s">
        <v>25</v>
      </c>
      <c r="J883" s="2">
        <v>45631</v>
      </c>
      <c r="K883" t="s">
        <v>25</v>
      </c>
      <c r="L883">
        <v>44128</v>
      </c>
      <c r="M883">
        <v>264</v>
      </c>
      <c r="N883">
        <v>314</v>
      </c>
      <c r="O883" s="4">
        <v>5500</v>
      </c>
      <c r="P883" s="4">
        <v>7422.34765625</v>
      </c>
      <c r="Q883" s="5">
        <f t="shared" si="52"/>
        <v>0.34951775568181809</v>
      </c>
      <c r="R883" s="4">
        <v>11230.328111210139</v>
      </c>
      <c r="S883" s="5">
        <f t="shared" si="53"/>
        <v>1.0418778384018434</v>
      </c>
      <c r="T883" s="4">
        <v>11901.753584981851</v>
      </c>
      <c r="U883" s="5">
        <f t="shared" si="54"/>
        <v>1.1639551972694275</v>
      </c>
      <c r="V883" s="4">
        <v>9915.5302734375</v>
      </c>
      <c r="W883" s="5">
        <f t="shared" si="55"/>
        <v>0.80282368607954546</v>
      </c>
    </row>
    <row r="884" spans="1:23" x14ac:dyDescent="0.25">
      <c r="A884" t="s">
        <v>1236</v>
      </c>
      <c r="B884">
        <v>2022</v>
      </c>
      <c r="C884" t="s">
        <v>20</v>
      </c>
      <c r="D884" t="s">
        <v>21</v>
      </c>
      <c r="E884">
        <v>68934</v>
      </c>
      <c r="F884" t="s">
        <v>37</v>
      </c>
      <c r="G884" t="s">
        <v>34</v>
      </c>
      <c r="H884" t="s">
        <v>25</v>
      </c>
      <c r="I884" t="s">
        <v>24</v>
      </c>
      <c r="J884" s="2">
        <v>45538</v>
      </c>
      <c r="K884" t="s">
        <v>25</v>
      </c>
      <c r="L884">
        <v>44128</v>
      </c>
      <c r="M884">
        <v>264</v>
      </c>
      <c r="N884">
        <v>314</v>
      </c>
      <c r="O884" s="4">
        <v>22900</v>
      </c>
      <c r="P884" s="4">
        <v>14567.072265625</v>
      </c>
      <c r="Q884" s="5">
        <f t="shared" si="52"/>
        <v>-0.36388330717794759</v>
      </c>
      <c r="R884" s="4">
        <v>21314.921268571641</v>
      </c>
      <c r="S884" s="5">
        <f t="shared" si="53"/>
        <v>-6.9217411852766753E-2</v>
      </c>
      <c r="T884" s="4">
        <v>15796.049444265251</v>
      </c>
      <c r="U884" s="5">
        <f t="shared" si="54"/>
        <v>-0.31021618147313312</v>
      </c>
      <c r="V884" s="4">
        <v>17467.15234375</v>
      </c>
      <c r="W884" s="5">
        <f t="shared" si="55"/>
        <v>-0.23724225573144109</v>
      </c>
    </row>
    <row r="885" spans="1:23" x14ac:dyDescent="0.25">
      <c r="A885" t="s">
        <v>1237</v>
      </c>
      <c r="B885">
        <v>2016</v>
      </c>
      <c r="C885" t="s">
        <v>20</v>
      </c>
      <c r="D885" t="s">
        <v>421</v>
      </c>
      <c r="E885">
        <v>68665</v>
      </c>
      <c r="F885" t="s">
        <v>219</v>
      </c>
      <c r="G885" t="s">
        <v>38</v>
      </c>
      <c r="H885" t="s">
        <v>25</v>
      </c>
      <c r="I885" t="s">
        <v>24</v>
      </c>
      <c r="J885" s="2">
        <v>45594</v>
      </c>
      <c r="K885" t="s">
        <v>25</v>
      </c>
      <c r="L885">
        <v>44128</v>
      </c>
      <c r="M885">
        <v>264</v>
      </c>
      <c r="N885">
        <v>314</v>
      </c>
      <c r="O885" s="4">
        <v>1000</v>
      </c>
      <c r="P885" s="4">
        <v>9126.5185546875</v>
      </c>
      <c r="Q885" s="5">
        <f t="shared" si="52"/>
        <v>8.1265185546875003</v>
      </c>
      <c r="R885" s="4">
        <v>10854.477234715339</v>
      </c>
      <c r="S885" s="5">
        <f t="shared" si="53"/>
        <v>9.8544772347153398</v>
      </c>
      <c r="T885" s="4">
        <v>7041.6545323149721</v>
      </c>
      <c r="U885" s="5">
        <f t="shared" si="54"/>
        <v>6.041654532314972</v>
      </c>
      <c r="V885" s="4">
        <v>8561.265625</v>
      </c>
      <c r="W885" s="5">
        <f t="shared" si="55"/>
        <v>7.5612656250000008</v>
      </c>
    </row>
    <row r="886" spans="1:23" x14ac:dyDescent="0.25">
      <c r="A886" t="s">
        <v>1238</v>
      </c>
      <c r="B886">
        <v>2015</v>
      </c>
      <c r="C886" t="s">
        <v>20</v>
      </c>
      <c r="D886" t="s">
        <v>258</v>
      </c>
      <c r="E886">
        <v>137741</v>
      </c>
      <c r="F886" t="s">
        <v>111</v>
      </c>
      <c r="G886" t="s">
        <v>30</v>
      </c>
      <c r="H886" t="s">
        <v>24</v>
      </c>
      <c r="I886" t="s">
        <v>25</v>
      </c>
      <c r="J886" s="2">
        <v>45456</v>
      </c>
      <c r="K886" t="s">
        <v>25</v>
      </c>
      <c r="L886">
        <v>44128</v>
      </c>
      <c r="M886">
        <v>264</v>
      </c>
      <c r="N886">
        <v>314</v>
      </c>
      <c r="O886" s="4">
        <v>2400</v>
      </c>
      <c r="P886" s="4">
        <v>2900.472900390625</v>
      </c>
      <c r="Q886" s="5">
        <f t="shared" si="52"/>
        <v>0.20853037516276052</v>
      </c>
      <c r="R886" s="4">
        <v>3398.4705729294842</v>
      </c>
      <c r="S886" s="5">
        <f t="shared" si="53"/>
        <v>0.41602940538728506</v>
      </c>
      <c r="T886" s="4">
        <v>4967.4136276875079</v>
      </c>
      <c r="U886" s="5">
        <f t="shared" si="54"/>
        <v>1.0697556782031281</v>
      </c>
      <c r="V886" s="4">
        <v>2792.89794921875</v>
      </c>
      <c r="W886" s="5">
        <f t="shared" si="55"/>
        <v>0.16370747884114589</v>
      </c>
    </row>
    <row r="887" spans="1:23" x14ac:dyDescent="0.25">
      <c r="A887" t="s">
        <v>1239</v>
      </c>
      <c r="B887">
        <v>2015</v>
      </c>
      <c r="C887" t="s">
        <v>94</v>
      </c>
      <c r="D887" t="s">
        <v>153</v>
      </c>
      <c r="E887">
        <v>82683</v>
      </c>
      <c r="F887" t="s">
        <v>102</v>
      </c>
      <c r="G887" t="s">
        <v>44</v>
      </c>
      <c r="H887" t="s">
        <v>25</v>
      </c>
      <c r="I887" t="s">
        <v>24</v>
      </c>
      <c r="J887" s="2">
        <v>45454</v>
      </c>
      <c r="K887" t="s">
        <v>25</v>
      </c>
      <c r="L887">
        <v>44128</v>
      </c>
      <c r="M887">
        <v>264</v>
      </c>
      <c r="N887">
        <v>314</v>
      </c>
      <c r="O887" s="4">
        <v>15400</v>
      </c>
      <c r="P887" s="4">
        <v>10114.1904296875</v>
      </c>
      <c r="Q887" s="5">
        <f t="shared" si="52"/>
        <v>-0.34323438768262982</v>
      </c>
      <c r="R887" s="4">
        <v>10647.658592208851</v>
      </c>
      <c r="S887" s="5">
        <f t="shared" si="53"/>
        <v>-0.30859359790851615</v>
      </c>
      <c r="T887" s="4">
        <v>9326.5713080196365</v>
      </c>
      <c r="U887" s="5">
        <f t="shared" si="54"/>
        <v>-0.39437848649223139</v>
      </c>
      <c r="V887" s="4">
        <v>9989.6728515625</v>
      </c>
      <c r="W887" s="5">
        <f t="shared" si="55"/>
        <v>-0.35131994470373373</v>
      </c>
    </row>
    <row r="888" spans="1:23" x14ac:dyDescent="0.25">
      <c r="A888" t="s">
        <v>1240</v>
      </c>
      <c r="B888">
        <v>2017</v>
      </c>
      <c r="C888" t="s">
        <v>156</v>
      </c>
      <c r="D888" t="s">
        <v>157</v>
      </c>
      <c r="E888">
        <v>118821</v>
      </c>
      <c r="F888" t="s">
        <v>77</v>
      </c>
      <c r="G888" t="s">
        <v>30</v>
      </c>
      <c r="H888" t="s">
        <v>24</v>
      </c>
      <c r="I888" t="s">
        <v>25</v>
      </c>
      <c r="J888" s="2">
        <v>45309</v>
      </c>
      <c r="K888" t="s">
        <v>25</v>
      </c>
      <c r="L888">
        <v>44128</v>
      </c>
      <c r="M888">
        <v>264</v>
      </c>
      <c r="N888">
        <v>314</v>
      </c>
      <c r="O888" s="4">
        <v>7600</v>
      </c>
      <c r="P888" s="4">
        <v>3307.048095703125</v>
      </c>
      <c r="Q888" s="5">
        <f t="shared" si="52"/>
        <v>-0.56486209267064147</v>
      </c>
      <c r="R888" s="4">
        <v>5267.7929675149016</v>
      </c>
      <c r="S888" s="5">
        <f t="shared" si="53"/>
        <v>-0.30686934637961816</v>
      </c>
      <c r="T888" s="4">
        <v>4750.7922616683854</v>
      </c>
      <c r="U888" s="5">
        <f t="shared" si="54"/>
        <v>-0.37489575504363348</v>
      </c>
      <c r="V888" s="4">
        <v>2954.62890625</v>
      </c>
      <c r="W888" s="5">
        <f t="shared" si="55"/>
        <v>-0.61123303865131584</v>
      </c>
    </row>
    <row r="889" spans="1:23" x14ac:dyDescent="0.25">
      <c r="A889" t="s">
        <v>1241</v>
      </c>
      <c r="B889">
        <v>2018</v>
      </c>
      <c r="C889" t="s">
        <v>156</v>
      </c>
      <c r="D889" t="s">
        <v>157</v>
      </c>
      <c r="E889">
        <v>61247</v>
      </c>
      <c r="F889" t="s">
        <v>43</v>
      </c>
      <c r="G889" t="s">
        <v>44</v>
      </c>
      <c r="H889" t="s">
        <v>25</v>
      </c>
      <c r="I889" t="s">
        <v>24</v>
      </c>
      <c r="J889" s="2">
        <v>45603</v>
      </c>
      <c r="K889" t="s">
        <v>25</v>
      </c>
      <c r="L889">
        <v>44128</v>
      </c>
      <c r="M889">
        <v>264</v>
      </c>
      <c r="N889">
        <v>314</v>
      </c>
      <c r="O889" s="4">
        <v>12800</v>
      </c>
      <c r="P889" s="4">
        <v>10085.94140625</v>
      </c>
      <c r="Q889" s="5">
        <f t="shared" si="52"/>
        <v>-0.2120358276367188</v>
      </c>
      <c r="R889" s="4">
        <v>11187.759731800361</v>
      </c>
      <c r="S889" s="5">
        <f t="shared" si="53"/>
        <v>-0.1259562709530968</v>
      </c>
      <c r="T889" s="4">
        <v>10727.792581987789</v>
      </c>
      <c r="U889" s="5">
        <f t="shared" si="54"/>
        <v>-0.16189120453220396</v>
      </c>
      <c r="V889" s="4">
        <v>9602.2197265625</v>
      </c>
      <c r="W889" s="5">
        <f t="shared" si="55"/>
        <v>-0.24982658386230472</v>
      </c>
    </row>
    <row r="890" spans="1:23" x14ac:dyDescent="0.25">
      <c r="A890" t="s">
        <v>1242</v>
      </c>
      <c r="B890">
        <v>2017</v>
      </c>
      <c r="C890" t="s">
        <v>156</v>
      </c>
      <c r="D890" t="s">
        <v>157</v>
      </c>
      <c r="E890">
        <v>75012</v>
      </c>
      <c r="F890" t="s">
        <v>48</v>
      </c>
      <c r="G890" t="s">
        <v>34</v>
      </c>
      <c r="H890" t="s">
        <v>25</v>
      </c>
      <c r="I890" t="s">
        <v>24</v>
      </c>
      <c r="J890" s="2">
        <v>45645</v>
      </c>
      <c r="K890" t="s">
        <v>25</v>
      </c>
      <c r="L890">
        <v>44128</v>
      </c>
      <c r="M890">
        <v>264</v>
      </c>
      <c r="N890">
        <v>314</v>
      </c>
      <c r="O890" s="4">
        <v>6400</v>
      </c>
      <c r="P890" s="4">
        <v>5248.5380859375</v>
      </c>
      <c r="Q890" s="5">
        <f t="shared" si="52"/>
        <v>-0.17991592407226564</v>
      </c>
      <c r="R890" s="4">
        <v>7698.2900724716201</v>
      </c>
      <c r="S890" s="5">
        <f t="shared" si="53"/>
        <v>0.20285782382369066</v>
      </c>
      <c r="T890" s="4">
        <v>7245.4654768819864</v>
      </c>
      <c r="U890" s="5">
        <f t="shared" si="54"/>
        <v>0.13210398076281038</v>
      </c>
      <c r="V890" s="4">
        <v>4741.91357421875</v>
      </c>
      <c r="W890" s="5">
        <f t="shared" si="55"/>
        <v>-0.25907600402832032</v>
      </c>
    </row>
    <row r="891" spans="1:23" x14ac:dyDescent="0.25">
      <c r="A891" t="s">
        <v>1243</v>
      </c>
      <c r="B891">
        <v>2017</v>
      </c>
      <c r="C891" t="s">
        <v>159</v>
      </c>
      <c r="D891" t="s">
        <v>769</v>
      </c>
      <c r="E891">
        <v>135117</v>
      </c>
      <c r="F891" t="s">
        <v>246</v>
      </c>
      <c r="G891" t="s">
        <v>34</v>
      </c>
      <c r="H891" t="s">
        <v>25</v>
      </c>
      <c r="I891" t="s">
        <v>24</v>
      </c>
      <c r="J891" s="2">
        <v>45356</v>
      </c>
      <c r="K891" t="s">
        <v>25</v>
      </c>
      <c r="L891">
        <v>44128</v>
      </c>
      <c r="M891">
        <v>264</v>
      </c>
      <c r="N891">
        <v>314</v>
      </c>
      <c r="O891" s="4">
        <v>13900</v>
      </c>
      <c r="P891" s="4">
        <v>4718.533203125</v>
      </c>
      <c r="Q891" s="5">
        <f t="shared" si="52"/>
        <v>-0.66053717963129499</v>
      </c>
      <c r="R891" s="4">
        <v>4889.8747028092594</v>
      </c>
      <c r="S891" s="5">
        <f t="shared" si="53"/>
        <v>-0.648210453035305</v>
      </c>
      <c r="T891" s="4">
        <v>4777.7584238079426</v>
      </c>
      <c r="U891" s="5">
        <f t="shared" si="54"/>
        <v>-0.65627637238791781</v>
      </c>
      <c r="V891" s="4">
        <v>4666.5498046875</v>
      </c>
      <c r="W891" s="5">
        <f t="shared" si="55"/>
        <v>-0.66427699246852523</v>
      </c>
    </row>
    <row r="892" spans="1:23" x14ac:dyDescent="0.25">
      <c r="A892" t="s">
        <v>1244</v>
      </c>
      <c r="B892">
        <v>2016</v>
      </c>
      <c r="C892" t="s">
        <v>551</v>
      </c>
      <c r="D892" t="s">
        <v>1245</v>
      </c>
      <c r="E892">
        <v>97161</v>
      </c>
      <c r="F892" t="s">
        <v>79</v>
      </c>
      <c r="G892" t="s">
        <v>38</v>
      </c>
      <c r="H892" t="s">
        <v>25</v>
      </c>
      <c r="I892" t="s">
        <v>24</v>
      </c>
      <c r="J892" s="2">
        <v>45510</v>
      </c>
      <c r="K892" t="s">
        <v>25</v>
      </c>
      <c r="L892">
        <v>44128</v>
      </c>
      <c r="M892">
        <v>264</v>
      </c>
      <c r="N892">
        <v>314</v>
      </c>
      <c r="O892" s="4">
        <v>6600</v>
      </c>
      <c r="P892" s="4">
        <v>6009.482421875</v>
      </c>
      <c r="Q892" s="5">
        <f t="shared" si="52"/>
        <v>-8.9472360321969702E-2</v>
      </c>
      <c r="R892" s="4">
        <v>6003.0183152454956</v>
      </c>
      <c r="S892" s="5">
        <f t="shared" si="53"/>
        <v>-9.0451770417349198E-2</v>
      </c>
      <c r="T892" s="4">
        <v>6229.1353442426762</v>
      </c>
      <c r="U892" s="5">
        <f t="shared" si="54"/>
        <v>-5.6191614508685372E-2</v>
      </c>
      <c r="V892" s="4">
        <v>5862.65673828125</v>
      </c>
      <c r="W892" s="5">
        <f t="shared" si="55"/>
        <v>-0.11171867601799246</v>
      </c>
    </row>
    <row r="893" spans="1:23" x14ac:dyDescent="0.25">
      <c r="A893" t="s">
        <v>1246</v>
      </c>
      <c r="B893">
        <v>2016</v>
      </c>
      <c r="C893" t="s">
        <v>185</v>
      </c>
      <c r="D893" t="s">
        <v>435</v>
      </c>
      <c r="E893">
        <v>101076</v>
      </c>
      <c r="F893" t="s">
        <v>37</v>
      </c>
      <c r="G893" t="s">
        <v>30</v>
      </c>
      <c r="H893" t="s">
        <v>24</v>
      </c>
      <c r="I893" t="s">
        <v>25</v>
      </c>
      <c r="J893" s="2">
        <v>45398</v>
      </c>
      <c r="K893" t="s">
        <v>25</v>
      </c>
      <c r="L893">
        <v>44128</v>
      </c>
      <c r="M893">
        <v>264</v>
      </c>
      <c r="N893">
        <v>314</v>
      </c>
      <c r="O893" s="4">
        <v>2100</v>
      </c>
      <c r="P893" s="4">
        <v>3872.717041015625</v>
      </c>
      <c r="Q893" s="5">
        <f t="shared" si="52"/>
        <v>0.84415097191220245</v>
      </c>
      <c r="R893" s="4">
        <v>6167.0560471399576</v>
      </c>
      <c r="S893" s="5">
        <f t="shared" si="53"/>
        <v>1.9366933557809323</v>
      </c>
      <c r="T893" s="4">
        <v>3367.297217677431</v>
      </c>
      <c r="U893" s="5">
        <f t="shared" si="54"/>
        <v>0.60347486556068142</v>
      </c>
      <c r="V893" s="4">
        <v>3344.98583984375</v>
      </c>
      <c r="W893" s="5">
        <f t="shared" si="55"/>
        <v>0.59285039992559518</v>
      </c>
    </row>
    <row r="894" spans="1:23" x14ac:dyDescent="0.25">
      <c r="A894" t="s">
        <v>1247</v>
      </c>
      <c r="B894">
        <v>2017</v>
      </c>
      <c r="C894" t="s">
        <v>185</v>
      </c>
      <c r="D894" t="s">
        <v>437</v>
      </c>
      <c r="E894">
        <v>97309</v>
      </c>
      <c r="F894" t="s">
        <v>55</v>
      </c>
      <c r="G894" t="s">
        <v>34</v>
      </c>
      <c r="H894" t="s">
        <v>25</v>
      </c>
      <c r="I894" t="s">
        <v>24</v>
      </c>
      <c r="J894" s="2">
        <v>45554</v>
      </c>
      <c r="K894" t="s">
        <v>25</v>
      </c>
      <c r="L894">
        <v>44128</v>
      </c>
      <c r="M894">
        <v>264</v>
      </c>
      <c r="N894">
        <v>314</v>
      </c>
      <c r="O894" s="4">
        <v>2400</v>
      </c>
      <c r="P894" s="4">
        <v>5021.79150390625</v>
      </c>
      <c r="Q894" s="5">
        <f t="shared" si="52"/>
        <v>1.092413126627604</v>
      </c>
      <c r="R894" s="4">
        <v>4674.7643039103832</v>
      </c>
      <c r="S894" s="5">
        <f t="shared" si="53"/>
        <v>0.94781845996265957</v>
      </c>
      <c r="T894" s="4">
        <v>3956.312122320714</v>
      </c>
      <c r="U894" s="5">
        <f t="shared" si="54"/>
        <v>0.6484633843002976</v>
      </c>
      <c r="V894" s="4">
        <v>4967.51708984375</v>
      </c>
      <c r="W894" s="5">
        <f t="shared" si="55"/>
        <v>1.069798787434896</v>
      </c>
    </row>
    <row r="895" spans="1:23" x14ac:dyDescent="0.25">
      <c r="A895" t="s">
        <v>1248</v>
      </c>
      <c r="B895">
        <v>2017</v>
      </c>
      <c r="C895" t="s">
        <v>185</v>
      </c>
      <c r="D895" t="s">
        <v>437</v>
      </c>
      <c r="E895">
        <v>160297</v>
      </c>
      <c r="F895" t="s">
        <v>261</v>
      </c>
      <c r="G895" t="s">
        <v>30</v>
      </c>
      <c r="H895" t="s">
        <v>24</v>
      </c>
      <c r="I895" t="s">
        <v>25</v>
      </c>
      <c r="J895" s="2">
        <v>45435</v>
      </c>
      <c r="K895" t="s">
        <v>25</v>
      </c>
      <c r="L895">
        <v>44128</v>
      </c>
      <c r="M895">
        <v>264</v>
      </c>
      <c r="N895">
        <v>314</v>
      </c>
      <c r="O895" s="4">
        <v>5500</v>
      </c>
      <c r="P895" s="4">
        <v>2117.07861328125</v>
      </c>
      <c r="Q895" s="5">
        <f t="shared" si="52"/>
        <v>-0.61507661576704553</v>
      </c>
      <c r="R895" s="4">
        <v>2036.379477210892</v>
      </c>
      <c r="S895" s="5">
        <f t="shared" si="53"/>
        <v>-0.62974918596165597</v>
      </c>
      <c r="T895" s="4">
        <v>1860.747871193113</v>
      </c>
      <c r="U895" s="5">
        <f t="shared" si="54"/>
        <v>-0.66168220523761578</v>
      </c>
      <c r="V895" s="4">
        <v>2027.951782226562</v>
      </c>
      <c r="W895" s="5">
        <f t="shared" si="55"/>
        <v>-0.63128149414062507</v>
      </c>
    </row>
    <row r="896" spans="1:23" x14ac:dyDescent="0.25">
      <c r="A896" t="s">
        <v>1249</v>
      </c>
      <c r="B896">
        <v>2015</v>
      </c>
      <c r="C896" t="s">
        <v>266</v>
      </c>
      <c r="D896" t="s">
        <v>267</v>
      </c>
      <c r="E896">
        <v>49566</v>
      </c>
      <c r="F896" t="s">
        <v>475</v>
      </c>
      <c r="G896" t="s">
        <v>30</v>
      </c>
      <c r="H896" t="s">
        <v>24</v>
      </c>
      <c r="I896" t="s">
        <v>25</v>
      </c>
      <c r="J896" s="2">
        <v>45393</v>
      </c>
      <c r="K896" t="s">
        <v>25</v>
      </c>
      <c r="L896">
        <v>44128</v>
      </c>
      <c r="M896">
        <v>264</v>
      </c>
      <c r="N896">
        <v>314</v>
      </c>
      <c r="O896" s="4">
        <v>7300</v>
      </c>
      <c r="P896" s="4">
        <v>11013.9677734375</v>
      </c>
      <c r="Q896" s="5">
        <f t="shared" si="52"/>
        <v>0.50876270869006857</v>
      </c>
      <c r="R896" s="4">
        <v>10735.337228526811</v>
      </c>
      <c r="S896" s="5">
        <f t="shared" si="53"/>
        <v>0.47059414089408369</v>
      </c>
      <c r="T896" s="4">
        <v>7333.657564774112</v>
      </c>
      <c r="U896" s="5">
        <f t="shared" si="54"/>
        <v>4.6106253115221207E-3</v>
      </c>
      <c r="V896" s="4">
        <v>10873.9931640625</v>
      </c>
      <c r="W896" s="5">
        <f t="shared" si="55"/>
        <v>0.48958810466609592</v>
      </c>
    </row>
    <row r="897" spans="1:23" x14ac:dyDescent="0.25">
      <c r="A897" t="s">
        <v>1250</v>
      </c>
      <c r="B897">
        <v>2013</v>
      </c>
      <c r="C897" t="s">
        <v>266</v>
      </c>
      <c r="D897" t="s">
        <v>596</v>
      </c>
      <c r="E897">
        <v>97321</v>
      </c>
      <c r="F897" t="s">
        <v>55</v>
      </c>
      <c r="G897" t="s">
        <v>34</v>
      </c>
      <c r="H897" t="s">
        <v>25</v>
      </c>
      <c r="I897" t="s">
        <v>24</v>
      </c>
      <c r="J897" s="2">
        <v>45370</v>
      </c>
      <c r="K897" t="s">
        <v>25</v>
      </c>
      <c r="L897">
        <v>44128</v>
      </c>
      <c r="M897">
        <v>264</v>
      </c>
      <c r="N897">
        <v>314</v>
      </c>
      <c r="O897" s="4">
        <v>3100</v>
      </c>
      <c r="P897" s="4">
        <v>2749.744873046875</v>
      </c>
      <c r="Q897" s="5">
        <f t="shared" si="52"/>
        <v>-0.1129855248235887</v>
      </c>
      <c r="R897" s="4">
        <v>3051.037482091529</v>
      </c>
      <c r="S897" s="5">
        <f t="shared" si="53"/>
        <v>-1.5794360615635772E-2</v>
      </c>
      <c r="T897" s="4">
        <v>4583.2599981799558</v>
      </c>
      <c r="U897" s="5">
        <f t="shared" si="54"/>
        <v>0.4784709671548244</v>
      </c>
      <c r="V897" s="4">
        <v>2618.886474609375</v>
      </c>
      <c r="W897" s="5">
        <f t="shared" si="55"/>
        <v>-0.15519791141633066</v>
      </c>
    </row>
    <row r="898" spans="1:23" x14ac:dyDescent="0.25">
      <c r="A898" t="s">
        <v>1251</v>
      </c>
      <c r="B898">
        <v>2014</v>
      </c>
      <c r="C898" t="s">
        <v>465</v>
      </c>
      <c r="D898" t="s">
        <v>713</v>
      </c>
      <c r="E898">
        <v>117075</v>
      </c>
      <c r="F898" t="s">
        <v>29</v>
      </c>
      <c r="G898" t="s">
        <v>38</v>
      </c>
      <c r="H898" t="s">
        <v>25</v>
      </c>
      <c r="I898" t="s">
        <v>24</v>
      </c>
      <c r="J898" s="2">
        <v>45538</v>
      </c>
      <c r="K898" t="s">
        <v>25</v>
      </c>
      <c r="L898">
        <v>44128</v>
      </c>
      <c r="M898">
        <v>264</v>
      </c>
      <c r="N898">
        <v>314</v>
      </c>
      <c r="O898" s="4">
        <v>2400</v>
      </c>
      <c r="P898" s="4">
        <v>3438.079345703125</v>
      </c>
      <c r="Q898" s="5">
        <f t="shared" si="52"/>
        <v>0.43253306070963538</v>
      </c>
      <c r="R898" s="4">
        <v>3707.5260969381311</v>
      </c>
      <c r="S898" s="5">
        <f t="shared" si="53"/>
        <v>0.54480254039088805</v>
      </c>
      <c r="T898" s="4">
        <v>4874.6086116976921</v>
      </c>
      <c r="U898" s="5">
        <f t="shared" si="54"/>
        <v>1.0310869215407052</v>
      </c>
      <c r="V898" s="4">
        <v>3196.093505859375</v>
      </c>
      <c r="W898" s="5">
        <f t="shared" si="55"/>
        <v>0.3317056274414063</v>
      </c>
    </row>
    <row r="899" spans="1:23" x14ac:dyDescent="0.25">
      <c r="A899" t="s">
        <v>1252</v>
      </c>
      <c r="B899">
        <v>2017</v>
      </c>
      <c r="C899" t="s">
        <v>139</v>
      </c>
      <c r="D899" t="s">
        <v>163</v>
      </c>
      <c r="E899">
        <v>73690</v>
      </c>
      <c r="F899" t="s">
        <v>250</v>
      </c>
      <c r="G899" t="s">
        <v>38</v>
      </c>
      <c r="H899" t="s">
        <v>25</v>
      </c>
      <c r="I899" t="s">
        <v>24</v>
      </c>
      <c r="J899" s="2">
        <v>45384</v>
      </c>
      <c r="K899" t="s">
        <v>25</v>
      </c>
      <c r="L899">
        <v>44128</v>
      </c>
      <c r="M899">
        <v>264</v>
      </c>
      <c r="N899">
        <v>314</v>
      </c>
      <c r="O899" s="4">
        <v>11400</v>
      </c>
      <c r="P899" s="4">
        <v>12955.927734375</v>
      </c>
      <c r="Q899" s="5">
        <f t="shared" ref="Q899:Q962" si="56">(P899/$O899)-1</f>
        <v>0.13648488898026323</v>
      </c>
      <c r="R899" s="4">
        <v>13096.58337558874</v>
      </c>
      <c r="S899" s="5">
        <f t="shared" ref="S899:S962" si="57">(R899/$O899)-1</f>
        <v>0.14882310312181923</v>
      </c>
      <c r="T899" s="4">
        <v>15069.706106391321</v>
      </c>
      <c r="U899" s="5">
        <f t="shared" ref="U899:U962" si="58">(T899/$O899)-1</f>
        <v>0.32190404442029119</v>
      </c>
      <c r="V899" s="4">
        <v>13015.5361328125</v>
      </c>
      <c r="W899" s="5">
        <f t="shared" ref="W899:W962" si="59">(V899/$O899)-1</f>
        <v>0.14171369586074567</v>
      </c>
    </row>
    <row r="900" spans="1:23" x14ac:dyDescent="0.25">
      <c r="A900" t="s">
        <v>1253</v>
      </c>
      <c r="B900">
        <v>2011</v>
      </c>
      <c r="C900" t="s">
        <v>139</v>
      </c>
      <c r="D900" t="s">
        <v>273</v>
      </c>
      <c r="E900">
        <v>163502</v>
      </c>
      <c r="F900" t="s">
        <v>29</v>
      </c>
      <c r="G900" t="s">
        <v>30</v>
      </c>
      <c r="H900" t="s">
        <v>24</v>
      </c>
      <c r="I900" t="s">
        <v>25</v>
      </c>
      <c r="J900" s="2">
        <v>45309</v>
      </c>
      <c r="K900" t="s">
        <v>25</v>
      </c>
      <c r="L900">
        <v>44128</v>
      </c>
      <c r="M900">
        <v>264</v>
      </c>
      <c r="N900">
        <v>314</v>
      </c>
      <c r="O900" s="4">
        <v>3400</v>
      </c>
      <c r="P900" s="4">
        <v>3439.693359375</v>
      </c>
      <c r="Q900" s="5">
        <f t="shared" si="56"/>
        <v>1.1674517463235334E-2</v>
      </c>
      <c r="R900" s="4">
        <v>3836.5005979550801</v>
      </c>
      <c r="S900" s="5">
        <f t="shared" si="57"/>
        <v>0.12838252881031775</v>
      </c>
      <c r="T900" s="4">
        <v>4713.2773502548926</v>
      </c>
      <c r="U900" s="5">
        <f t="shared" si="58"/>
        <v>0.38625804419261556</v>
      </c>
      <c r="V900" s="4">
        <v>3128.13525390625</v>
      </c>
      <c r="W900" s="5">
        <f t="shared" si="59"/>
        <v>-7.9960219439338287E-2</v>
      </c>
    </row>
    <row r="901" spans="1:23" x14ac:dyDescent="0.25">
      <c r="A901" t="s">
        <v>1254</v>
      </c>
      <c r="B901">
        <v>2014</v>
      </c>
      <c r="C901" t="s">
        <v>113</v>
      </c>
      <c r="D901" t="s">
        <v>543</v>
      </c>
      <c r="E901">
        <v>115748</v>
      </c>
      <c r="F901" t="s">
        <v>72</v>
      </c>
      <c r="G901" t="s">
        <v>38</v>
      </c>
      <c r="H901" t="s">
        <v>25</v>
      </c>
      <c r="I901" t="s">
        <v>24</v>
      </c>
      <c r="J901" s="2">
        <v>45692</v>
      </c>
      <c r="K901" t="s">
        <v>25</v>
      </c>
      <c r="L901">
        <v>44128</v>
      </c>
      <c r="M901">
        <v>264</v>
      </c>
      <c r="N901">
        <v>314</v>
      </c>
      <c r="O901" s="4">
        <v>6300</v>
      </c>
      <c r="P901" s="4">
        <v>6078.5556640625</v>
      </c>
      <c r="Q901" s="5">
        <f t="shared" si="56"/>
        <v>-3.5149894593254016E-2</v>
      </c>
      <c r="R901" s="4">
        <v>7740.4305748730239</v>
      </c>
      <c r="S901" s="5">
        <f t="shared" si="57"/>
        <v>0.22863977378936884</v>
      </c>
      <c r="T901" s="4">
        <v>8820.6964896636127</v>
      </c>
      <c r="U901" s="5">
        <f t="shared" si="58"/>
        <v>0.40011055391485906</v>
      </c>
      <c r="V901" s="4">
        <v>5684.76025390625</v>
      </c>
      <c r="W901" s="5">
        <f t="shared" si="59"/>
        <v>-9.7657102554563502E-2</v>
      </c>
    </row>
    <row r="902" spans="1:23" x14ac:dyDescent="0.25">
      <c r="A902" t="s">
        <v>1255</v>
      </c>
      <c r="B902">
        <v>2017</v>
      </c>
      <c r="C902" t="s">
        <v>27</v>
      </c>
      <c r="D902" t="s">
        <v>1078</v>
      </c>
      <c r="E902">
        <v>49957</v>
      </c>
      <c r="F902" t="s">
        <v>37</v>
      </c>
      <c r="G902" t="s">
        <v>34</v>
      </c>
      <c r="H902" t="s">
        <v>25</v>
      </c>
      <c r="I902" t="s">
        <v>24</v>
      </c>
      <c r="J902" s="2">
        <v>45524</v>
      </c>
      <c r="K902" t="s">
        <v>25</v>
      </c>
      <c r="L902">
        <v>44128</v>
      </c>
      <c r="M902">
        <v>264</v>
      </c>
      <c r="N902">
        <v>314</v>
      </c>
      <c r="O902" s="4">
        <v>10000</v>
      </c>
      <c r="P902" s="4">
        <v>11286.751953125</v>
      </c>
      <c r="Q902" s="5">
        <f t="shared" si="56"/>
        <v>0.12867519531250005</v>
      </c>
      <c r="R902" s="4">
        <v>14783.25297503639</v>
      </c>
      <c r="S902" s="5">
        <f t="shared" si="57"/>
        <v>0.47832529750363895</v>
      </c>
      <c r="T902" s="4">
        <v>15580.79782688516</v>
      </c>
      <c r="U902" s="5">
        <f t="shared" si="58"/>
        <v>0.55807978268851599</v>
      </c>
      <c r="V902" s="4">
        <v>10718.44921875</v>
      </c>
      <c r="W902" s="5">
        <f t="shared" si="59"/>
        <v>7.1844921874999912E-2</v>
      </c>
    </row>
    <row r="903" spans="1:23" x14ac:dyDescent="0.25">
      <c r="A903" t="s">
        <v>1256</v>
      </c>
      <c r="B903">
        <v>2013</v>
      </c>
      <c r="C903" t="s">
        <v>185</v>
      </c>
      <c r="D903" t="s">
        <v>1257</v>
      </c>
      <c r="E903">
        <v>132738</v>
      </c>
      <c r="F903" t="s">
        <v>66</v>
      </c>
      <c r="G903" t="s">
        <v>23</v>
      </c>
      <c r="H903" t="s">
        <v>24</v>
      </c>
      <c r="I903" t="s">
        <v>25</v>
      </c>
      <c r="J903" s="2">
        <v>45463</v>
      </c>
      <c r="K903" t="s">
        <v>25</v>
      </c>
      <c r="L903">
        <v>44128</v>
      </c>
      <c r="M903">
        <v>264</v>
      </c>
      <c r="N903">
        <v>314</v>
      </c>
      <c r="O903" s="4">
        <v>2300</v>
      </c>
      <c r="P903" s="4">
        <v>1609.3515625</v>
      </c>
      <c r="Q903" s="5">
        <f t="shared" si="56"/>
        <v>-0.30028192934782605</v>
      </c>
      <c r="R903" s="4">
        <v>1283.655613317464</v>
      </c>
      <c r="S903" s="5">
        <f t="shared" si="57"/>
        <v>-0.44188886377501568</v>
      </c>
      <c r="T903" s="4">
        <v>2835.8188668073499</v>
      </c>
      <c r="U903" s="5">
        <f t="shared" si="58"/>
        <v>0.23296472469884777</v>
      </c>
      <c r="V903" s="4">
        <v>1612.918701171875</v>
      </c>
      <c r="W903" s="5">
        <f t="shared" si="59"/>
        <v>-0.29873099949048909</v>
      </c>
    </row>
    <row r="904" spans="1:23" x14ac:dyDescent="0.25">
      <c r="A904" t="s">
        <v>1258</v>
      </c>
      <c r="B904">
        <v>2014</v>
      </c>
      <c r="C904" t="s">
        <v>185</v>
      </c>
      <c r="D904" t="s">
        <v>277</v>
      </c>
      <c r="E904">
        <v>87621</v>
      </c>
      <c r="F904" t="s">
        <v>58</v>
      </c>
      <c r="G904" t="s">
        <v>23</v>
      </c>
      <c r="H904" t="s">
        <v>24</v>
      </c>
      <c r="I904" t="s">
        <v>25</v>
      </c>
      <c r="J904" s="2">
        <v>45328</v>
      </c>
      <c r="K904" t="s">
        <v>25</v>
      </c>
      <c r="L904">
        <v>44128</v>
      </c>
      <c r="M904">
        <v>264</v>
      </c>
      <c r="N904">
        <v>314</v>
      </c>
      <c r="O904" s="4">
        <v>12500</v>
      </c>
      <c r="P904" s="4">
        <v>3181.601806640625</v>
      </c>
      <c r="Q904" s="5">
        <f t="shared" si="56"/>
        <v>-0.74547185546875006</v>
      </c>
      <c r="R904" s="4">
        <v>3756.117967946263</v>
      </c>
      <c r="S904" s="5">
        <f t="shared" si="57"/>
        <v>-0.699510562564299</v>
      </c>
      <c r="T904" s="4">
        <v>3881.0962424759668</v>
      </c>
      <c r="U904" s="5">
        <f t="shared" si="58"/>
        <v>-0.68951230060192259</v>
      </c>
      <c r="V904" s="4">
        <v>2908.396484375</v>
      </c>
      <c r="W904" s="5">
        <f t="shared" si="59"/>
        <v>-0.76732828124999997</v>
      </c>
    </row>
    <row r="905" spans="1:23" x14ac:dyDescent="0.25">
      <c r="A905" t="s">
        <v>1259</v>
      </c>
      <c r="B905">
        <v>2019</v>
      </c>
      <c r="C905" t="s">
        <v>774</v>
      </c>
      <c r="D905" t="s">
        <v>1260</v>
      </c>
      <c r="E905">
        <v>43357</v>
      </c>
      <c r="F905" t="s">
        <v>254</v>
      </c>
      <c r="G905" t="s">
        <v>30</v>
      </c>
      <c r="H905" t="s">
        <v>24</v>
      </c>
      <c r="I905" t="s">
        <v>25</v>
      </c>
      <c r="J905" s="2">
        <v>45568</v>
      </c>
      <c r="K905" t="s">
        <v>25</v>
      </c>
      <c r="L905">
        <v>44128</v>
      </c>
      <c r="M905">
        <v>264</v>
      </c>
      <c r="N905">
        <v>314</v>
      </c>
      <c r="O905" s="4">
        <v>26250</v>
      </c>
      <c r="P905" s="4">
        <v>20187.62109375</v>
      </c>
      <c r="Q905" s="5">
        <f t="shared" si="56"/>
        <v>-0.23094776785714288</v>
      </c>
      <c r="R905" s="4">
        <v>19664.544637641811</v>
      </c>
      <c r="S905" s="5">
        <f t="shared" si="57"/>
        <v>-0.25087448999459772</v>
      </c>
      <c r="T905" s="4">
        <v>14750.515542184399</v>
      </c>
      <c r="U905" s="5">
        <f t="shared" si="58"/>
        <v>-0.43807559839297527</v>
      </c>
      <c r="V905" s="4">
        <v>20492.2734375</v>
      </c>
      <c r="W905" s="5">
        <f t="shared" si="59"/>
        <v>-0.21934196428571429</v>
      </c>
    </row>
    <row r="906" spans="1:23" x14ac:dyDescent="0.25">
      <c r="A906" t="s">
        <v>1261</v>
      </c>
      <c r="B906">
        <v>2019</v>
      </c>
      <c r="C906" t="s">
        <v>185</v>
      </c>
      <c r="D906" t="s">
        <v>1257</v>
      </c>
      <c r="E906">
        <v>80446</v>
      </c>
      <c r="F906" t="s">
        <v>87</v>
      </c>
      <c r="G906" t="s">
        <v>34</v>
      </c>
      <c r="H906" t="s">
        <v>25</v>
      </c>
      <c r="I906" t="s">
        <v>24</v>
      </c>
      <c r="J906" s="2">
        <v>45715</v>
      </c>
      <c r="K906" t="s">
        <v>25</v>
      </c>
      <c r="L906">
        <v>44128</v>
      </c>
      <c r="M906">
        <v>264</v>
      </c>
      <c r="N906">
        <v>314</v>
      </c>
      <c r="O906" s="4">
        <v>10000</v>
      </c>
      <c r="P906" s="4">
        <v>11183.798828125</v>
      </c>
      <c r="Q906" s="5">
        <f t="shared" si="56"/>
        <v>0.1183798828125</v>
      </c>
      <c r="R906" s="4">
        <v>11683.92000079326</v>
      </c>
      <c r="S906" s="5">
        <f t="shared" si="57"/>
        <v>0.16839200007932598</v>
      </c>
      <c r="T906" s="4">
        <v>13465.38008686122</v>
      </c>
      <c r="U906" s="5">
        <f t="shared" si="58"/>
        <v>0.34653800868612206</v>
      </c>
      <c r="V906" s="4">
        <v>11338.146484375</v>
      </c>
      <c r="W906" s="5">
        <f t="shared" si="59"/>
        <v>0.13381464843750002</v>
      </c>
    </row>
    <row r="907" spans="1:23" x14ac:dyDescent="0.25">
      <c r="A907" t="s">
        <v>1262</v>
      </c>
      <c r="B907">
        <v>2017</v>
      </c>
      <c r="C907" t="s">
        <v>167</v>
      </c>
      <c r="D907" t="s">
        <v>1263</v>
      </c>
      <c r="E907">
        <v>72327</v>
      </c>
      <c r="F907" t="s">
        <v>82</v>
      </c>
      <c r="G907" t="s">
        <v>30</v>
      </c>
      <c r="H907" t="s">
        <v>24</v>
      </c>
      <c r="I907" t="s">
        <v>25</v>
      </c>
      <c r="J907" s="2">
        <v>45468</v>
      </c>
      <c r="K907" t="s">
        <v>25</v>
      </c>
      <c r="L907">
        <v>44128</v>
      </c>
      <c r="M907">
        <v>264</v>
      </c>
      <c r="N907">
        <v>314</v>
      </c>
      <c r="O907" s="4">
        <v>12500</v>
      </c>
      <c r="P907" s="4">
        <v>4724.62548828125</v>
      </c>
      <c r="Q907" s="5">
        <f t="shared" si="56"/>
        <v>-0.62202996093749996</v>
      </c>
      <c r="R907" s="4">
        <v>5115.9721639141717</v>
      </c>
      <c r="S907" s="5">
        <f t="shared" si="57"/>
        <v>-0.59072222688686626</v>
      </c>
      <c r="T907" s="4">
        <v>4110.5764914392403</v>
      </c>
      <c r="U907" s="5">
        <f t="shared" si="58"/>
        <v>-0.6711538806848607</v>
      </c>
      <c r="V907" s="4">
        <v>4575.224609375</v>
      </c>
      <c r="W907" s="5">
        <f t="shared" si="59"/>
        <v>-0.63398203124999997</v>
      </c>
    </row>
    <row r="908" spans="1:23" x14ac:dyDescent="0.25">
      <c r="A908" t="s">
        <v>1264</v>
      </c>
      <c r="B908">
        <v>2018</v>
      </c>
      <c r="C908" t="s">
        <v>167</v>
      </c>
      <c r="D908" t="s">
        <v>168</v>
      </c>
      <c r="E908">
        <v>130226</v>
      </c>
      <c r="F908" t="s">
        <v>115</v>
      </c>
      <c r="G908" t="s">
        <v>30</v>
      </c>
      <c r="H908" t="s">
        <v>24</v>
      </c>
      <c r="I908" t="s">
        <v>25</v>
      </c>
      <c r="J908" s="2">
        <v>45463</v>
      </c>
      <c r="K908" t="s">
        <v>25</v>
      </c>
      <c r="L908">
        <v>44128</v>
      </c>
      <c r="M908">
        <v>264</v>
      </c>
      <c r="N908">
        <v>314</v>
      </c>
      <c r="O908" s="4">
        <v>13200</v>
      </c>
      <c r="P908" s="4">
        <v>3391.093994140625</v>
      </c>
      <c r="Q908" s="5">
        <f t="shared" si="56"/>
        <v>-0.74309893983783137</v>
      </c>
      <c r="R908" s="4">
        <v>3386.7831353248712</v>
      </c>
      <c r="S908" s="5">
        <f t="shared" si="57"/>
        <v>-0.74342552005114615</v>
      </c>
      <c r="T908" s="4">
        <v>3233.920381625986</v>
      </c>
      <c r="U908" s="5">
        <f t="shared" si="58"/>
        <v>-0.75500603169500102</v>
      </c>
      <c r="V908" s="4">
        <v>3318.94091796875</v>
      </c>
      <c r="W908" s="5">
        <f t="shared" si="59"/>
        <v>-0.74856508197206439</v>
      </c>
    </row>
    <row r="909" spans="1:23" x14ac:dyDescent="0.25">
      <c r="A909" t="s">
        <v>1265</v>
      </c>
      <c r="B909">
        <v>2020</v>
      </c>
      <c r="C909" t="s">
        <v>167</v>
      </c>
      <c r="D909" t="s">
        <v>168</v>
      </c>
      <c r="E909">
        <v>68169</v>
      </c>
      <c r="F909" t="s">
        <v>161</v>
      </c>
      <c r="G909" t="s">
        <v>44</v>
      </c>
      <c r="H909" t="s">
        <v>25</v>
      </c>
      <c r="I909" t="s">
        <v>24</v>
      </c>
      <c r="J909" s="2">
        <v>45547</v>
      </c>
      <c r="K909" t="s">
        <v>25</v>
      </c>
      <c r="L909">
        <v>44128</v>
      </c>
      <c r="M909">
        <v>264</v>
      </c>
      <c r="N909">
        <v>314</v>
      </c>
      <c r="O909" s="4">
        <v>11600</v>
      </c>
      <c r="P909" s="4">
        <v>12929.9443359375</v>
      </c>
      <c r="Q909" s="5">
        <f t="shared" si="56"/>
        <v>0.11465037378771559</v>
      </c>
      <c r="R909" s="4">
        <v>13068.400521468009</v>
      </c>
      <c r="S909" s="5">
        <f t="shared" si="57"/>
        <v>0.12658625185069039</v>
      </c>
      <c r="T909" s="4">
        <v>11125.439013503141</v>
      </c>
      <c r="U909" s="5">
        <f t="shared" si="58"/>
        <v>-4.091042987041893E-2</v>
      </c>
      <c r="V909" s="4">
        <v>13015.5361328125</v>
      </c>
      <c r="W909" s="5">
        <f t="shared" si="59"/>
        <v>0.12202897696659476</v>
      </c>
    </row>
    <row r="910" spans="1:23" x14ac:dyDescent="0.25">
      <c r="A910" t="s">
        <v>1266</v>
      </c>
      <c r="B910">
        <v>2016</v>
      </c>
      <c r="C910" t="s">
        <v>156</v>
      </c>
      <c r="D910" t="s">
        <v>173</v>
      </c>
      <c r="E910">
        <v>113618</v>
      </c>
      <c r="F910" t="s">
        <v>29</v>
      </c>
      <c r="G910" t="s">
        <v>30</v>
      </c>
      <c r="H910" t="s">
        <v>24</v>
      </c>
      <c r="I910" t="s">
        <v>25</v>
      </c>
      <c r="J910" s="2">
        <v>45435</v>
      </c>
      <c r="K910" t="s">
        <v>25</v>
      </c>
      <c r="L910">
        <v>44128</v>
      </c>
      <c r="M910">
        <v>264</v>
      </c>
      <c r="N910">
        <v>314</v>
      </c>
      <c r="O910" s="4">
        <v>6200</v>
      </c>
      <c r="P910" s="4">
        <v>2952.423583984375</v>
      </c>
      <c r="Q910" s="5">
        <f t="shared" si="56"/>
        <v>-0.52380264774445562</v>
      </c>
      <c r="R910" s="4">
        <v>5191.1093088420994</v>
      </c>
      <c r="S910" s="5">
        <f t="shared" si="57"/>
        <v>-0.16272430502546786</v>
      </c>
      <c r="T910" s="4">
        <v>4183.4866344624534</v>
      </c>
      <c r="U910" s="5">
        <f t="shared" si="58"/>
        <v>-0.32524409121573328</v>
      </c>
      <c r="V910" s="4">
        <v>2605.914794921875</v>
      </c>
      <c r="W910" s="5">
        <f t="shared" si="59"/>
        <v>-0.57969116210937499</v>
      </c>
    </row>
    <row r="911" spans="1:23" x14ac:dyDescent="0.25">
      <c r="A911" t="s">
        <v>1267</v>
      </c>
      <c r="B911">
        <v>2018</v>
      </c>
      <c r="C911" t="s">
        <v>156</v>
      </c>
      <c r="D911" t="s">
        <v>458</v>
      </c>
      <c r="E911">
        <v>76869</v>
      </c>
      <c r="F911" t="s">
        <v>37</v>
      </c>
      <c r="G911" t="s">
        <v>38</v>
      </c>
      <c r="H911" t="s">
        <v>25</v>
      </c>
      <c r="I911" t="s">
        <v>24</v>
      </c>
      <c r="J911" s="2">
        <v>45552</v>
      </c>
      <c r="K911" t="s">
        <v>25</v>
      </c>
      <c r="L911">
        <v>44128</v>
      </c>
      <c r="M911">
        <v>264</v>
      </c>
      <c r="N911">
        <v>314</v>
      </c>
      <c r="O911" s="4">
        <v>10200</v>
      </c>
      <c r="P911" s="4">
        <v>6050.35546875</v>
      </c>
      <c r="Q911" s="5">
        <f t="shared" si="56"/>
        <v>-0.40682789522058826</v>
      </c>
      <c r="R911" s="4">
        <v>8662.8659711901855</v>
      </c>
      <c r="S911" s="5">
        <f t="shared" si="57"/>
        <v>-0.15069941458919744</v>
      </c>
      <c r="T911" s="4">
        <v>8517.8711754678479</v>
      </c>
      <c r="U911" s="5">
        <f t="shared" si="58"/>
        <v>-0.16491459064040703</v>
      </c>
      <c r="V911" s="4">
        <v>5540.1796875</v>
      </c>
      <c r="W911" s="5">
        <f t="shared" si="59"/>
        <v>-0.45684512867647054</v>
      </c>
    </row>
    <row r="912" spans="1:23" x14ac:dyDescent="0.25">
      <c r="A912" t="s">
        <v>1268</v>
      </c>
      <c r="B912">
        <v>2016</v>
      </c>
      <c r="C912" t="s">
        <v>156</v>
      </c>
      <c r="D912" t="s">
        <v>1105</v>
      </c>
      <c r="E912">
        <v>116984</v>
      </c>
      <c r="F912" t="s">
        <v>135</v>
      </c>
      <c r="G912" t="s">
        <v>44</v>
      </c>
      <c r="H912" t="s">
        <v>25</v>
      </c>
      <c r="I912" t="s">
        <v>24</v>
      </c>
      <c r="J912" s="2">
        <v>45295</v>
      </c>
      <c r="K912" t="s">
        <v>25</v>
      </c>
      <c r="L912">
        <v>44128</v>
      </c>
      <c r="M912">
        <v>264</v>
      </c>
      <c r="N912">
        <v>314</v>
      </c>
      <c r="O912" s="4">
        <v>10100</v>
      </c>
      <c r="P912" s="4">
        <v>5919.1943359375</v>
      </c>
      <c r="Q912" s="5">
        <f t="shared" si="56"/>
        <v>-0.41394115485767324</v>
      </c>
      <c r="R912" s="4">
        <v>8775.3570669411401</v>
      </c>
      <c r="S912" s="5">
        <f t="shared" si="57"/>
        <v>-0.13115276564939204</v>
      </c>
      <c r="T912" s="4">
        <v>9605.6444478969879</v>
      </c>
      <c r="U912" s="5">
        <f t="shared" si="58"/>
        <v>-4.8946094267624973E-2</v>
      </c>
      <c r="V912" s="4">
        <v>5279.4296875</v>
      </c>
      <c r="W912" s="5">
        <f t="shared" si="59"/>
        <v>-0.47728418935643568</v>
      </c>
    </row>
    <row r="913" spans="1:23" x14ac:dyDescent="0.25">
      <c r="A913" t="s">
        <v>1269</v>
      </c>
      <c r="B913">
        <v>2014</v>
      </c>
      <c r="C913" t="s">
        <v>167</v>
      </c>
      <c r="D913" t="s">
        <v>1263</v>
      </c>
      <c r="E913">
        <v>107060</v>
      </c>
      <c r="F913" t="s">
        <v>37</v>
      </c>
      <c r="G913" t="s">
        <v>30</v>
      </c>
      <c r="H913" t="s">
        <v>24</v>
      </c>
      <c r="I913" t="s">
        <v>25</v>
      </c>
      <c r="J913" s="2">
        <v>45622</v>
      </c>
      <c r="K913" t="s">
        <v>25</v>
      </c>
      <c r="L913">
        <v>44128</v>
      </c>
      <c r="M913">
        <v>264</v>
      </c>
      <c r="N913">
        <v>314</v>
      </c>
      <c r="O913" s="4">
        <v>7500</v>
      </c>
      <c r="P913" s="4">
        <v>3160.074951171875</v>
      </c>
      <c r="Q913" s="5">
        <f t="shared" si="56"/>
        <v>-0.57865667317708336</v>
      </c>
      <c r="R913" s="4">
        <v>4312.0501745214433</v>
      </c>
      <c r="S913" s="5">
        <f t="shared" si="57"/>
        <v>-0.42505997673047424</v>
      </c>
      <c r="T913" s="4">
        <v>3237.2834565066</v>
      </c>
      <c r="U913" s="5">
        <f t="shared" si="58"/>
        <v>-0.56836220579912</v>
      </c>
      <c r="V913" s="4">
        <v>2812.297607421875</v>
      </c>
      <c r="W913" s="5">
        <f t="shared" si="59"/>
        <v>-0.62502698567708337</v>
      </c>
    </row>
    <row r="914" spans="1:23" x14ac:dyDescent="0.25">
      <c r="A914" t="s">
        <v>1270</v>
      </c>
      <c r="B914">
        <v>2014</v>
      </c>
      <c r="C914" t="s">
        <v>167</v>
      </c>
      <c r="D914" t="s">
        <v>462</v>
      </c>
      <c r="E914">
        <v>113568</v>
      </c>
      <c r="F914" t="s">
        <v>77</v>
      </c>
      <c r="G914" t="s">
        <v>38</v>
      </c>
      <c r="H914" t="s">
        <v>25</v>
      </c>
      <c r="I914" t="s">
        <v>24</v>
      </c>
      <c r="J914" s="2">
        <v>45512</v>
      </c>
      <c r="K914" t="s">
        <v>25</v>
      </c>
      <c r="L914">
        <v>44128</v>
      </c>
      <c r="M914">
        <v>264</v>
      </c>
      <c r="N914">
        <v>314</v>
      </c>
      <c r="O914" s="4">
        <v>1000</v>
      </c>
      <c r="P914" s="4">
        <v>3009.737548828125</v>
      </c>
      <c r="Q914" s="5">
        <f t="shared" si="56"/>
        <v>2.0097375488281251</v>
      </c>
      <c r="R914" s="4">
        <v>4051.3349740747371</v>
      </c>
      <c r="S914" s="5">
        <f t="shared" si="57"/>
        <v>3.0513349740747371</v>
      </c>
      <c r="T914" s="4">
        <v>4898.2686519061835</v>
      </c>
      <c r="U914" s="5">
        <f t="shared" si="58"/>
        <v>3.898268651906184</v>
      </c>
      <c r="V914" s="4">
        <v>2651.050048828125</v>
      </c>
      <c r="W914" s="5">
        <f t="shared" si="59"/>
        <v>1.6510500488281248</v>
      </c>
    </row>
    <row r="915" spans="1:23" x14ac:dyDescent="0.25">
      <c r="A915" t="s">
        <v>1271</v>
      </c>
      <c r="B915">
        <v>2016</v>
      </c>
      <c r="C915" t="s">
        <v>139</v>
      </c>
      <c r="D915" t="s">
        <v>283</v>
      </c>
      <c r="E915">
        <v>136435</v>
      </c>
      <c r="F915" t="s">
        <v>82</v>
      </c>
      <c r="G915" t="s">
        <v>38</v>
      </c>
      <c r="H915" t="s">
        <v>25</v>
      </c>
      <c r="I915" t="s">
        <v>24</v>
      </c>
      <c r="J915" s="2">
        <v>45610</v>
      </c>
      <c r="K915" t="s">
        <v>25</v>
      </c>
      <c r="L915">
        <v>44128</v>
      </c>
      <c r="M915">
        <v>264</v>
      </c>
      <c r="N915">
        <v>314</v>
      </c>
      <c r="O915" s="4">
        <v>12300</v>
      </c>
      <c r="P915" s="4">
        <v>4942.9326171875</v>
      </c>
      <c r="Q915" s="5">
        <f t="shared" si="56"/>
        <v>-0.59813555957825204</v>
      </c>
      <c r="R915" s="4">
        <v>5099.1400811453204</v>
      </c>
      <c r="S915" s="5">
        <f t="shared" si="57"/>
        <v>-0.58543576576054313</v>
      </c>
      <c r="T915" s="4">
        <v>4761.7262808421219</v>
      </c>
      <c r="U915" s="5">
        <f t="shared" si="58"/>
        <v>-0.61286778204535597</v>
      </c>
      <c r="V915" s="4">
        <v>4843.3525390625</v>
      </c>
      <c r="W915" s="5">
        <f t="shared" si="59"/>
        <v>-0.60623150088922761</v>
      </c>
    </row>
    <row r="916" spans="1:23" x14ac:dyDescent="0.25">
      <c r="A916" t="s">
        <v>1272</v>
      </c>
      <c r="B916">
        <v>2020</v>
      </c>
      <c r="C916" t="s">
        <v>139</v>
      </c>
      <c r="D916" t="s">
        <v>283</v>
      </c>
      <c r="E916">
        <v>66415</v>
      </c>
      <c r="F916" t="s">
        <v>48</v>
      </c>
      <c r="G916" t="s">
        <v>38</v>
      </c>
      <c r="H916" t="s">
        <v>25</v>
      </c>
      <c r="I916" t="s">
        <v>24</v>
      </c>
      <c r="J916" s="2">
        <v>45708</v>
      </c>
      <c r="K916" t="s">
        <v>25</v>
      </c>
      <c r="L916">
        <v>44128</v>
      </c>
      <c r="M916">
        <v>264</v>
      </c>
      <c r="N916">
        <v>314</v>
      </c>
      <c r="O916" s="4">
        <v>19000</v>
      </c>
      <c r="P916" s="4">
        <v>11337.6962890625</v>
      </c>
      <c r="Q916" s="5">
        <f t="shared" si="56"/>
        <v>-0.40327914268092102</v>
      </c>
      <c r="R916" s="4">
        <v>18547.22878453858</v>
      </c>
      <c r="S916" s="5">
        <f t="shared" si="57"/>
        <v>-2.3830063971653659E-2</v>
      </c>
      <c r="T916" s="4">
        <v>13913.634497740069</v>
      </c>
      <c r="U916" s="5">
        <f t="shared" si="58"/>
        <v>-0.26770344748736474</v>
      </c>
      <c r="V916" s="4">
        <v>10435.712890625</v>
      </c>
      <c r="W916" s="5">
        <f t="shared" si="59"/>
        <v>-0.45075195312500005</v>
      </c>
    </row>
    <row r="917" spans="1:23" x14ac:dyDescent="0.25">
      <c r="A917" t="s">
        <v>1273</v>
      </c>
      <c r="B917">
        <v>2016</v>
      </c>
      <c r="C917" t="s">
        <v>465</v>
      </c>
      <c r="D917" t="s">
        <v>466</v>
      </c>
      <c r="E917">
        <v>63983</v>
      </c>
      <c r="F917" t="s">
        <v>22</v>
      </c>
      <c r="G917" t="s">
        <v>34</v>
      </c>
      <c r="H917" t="s">
        <v>25</v>
      </c>
      <c r="I917" t="s">
        <v>24</v>
      </c>
      <c r="J917" s="2">
        <v>45538</v>
      </c>
      <c r="K917" t="s">
        <v>25</v>
      </c>
      <c r="L917">
        <v>44128</v>
      </c>
      <c r="M917">
        <v>264</v>
      </c>
      <c r="N917">
        <v>314</v>
      </c>
      <c r="O917" s="4">
        <v>4400</v>
      </c>
      <c r="P917" s="4">
        <v>6896.87890625</v>
      </c>
      <c r="Q917" s="5">
        <f t="shared" si="56"/>
        <v>0.56747247869318174</v>
      </c>
      <c r="R917" s="4">
        <v>4708.4741857434956</v>
      </c>
      <c r="S917" s="5">
        <f t="shared" si="57"/>
        <v>7.0107769487158134E-2</v>
      </c>
      <c r="T917" s="4">
        <v>8055.2265562232387</v>
      </c>
      <c r="U917" s="5">
        <f t="shared" si="58"/>
        <v>0.83073330823255431</v>
      </c>
      <c r="V917" s="4">
        <v>7171.447265625</v>
      </c>
      <c r="W917" s="5">
        <f t="shared" si="59"/>
        <v>0.62987437855113626</v>
      </c>
    </row>
    <row r="918" spans="1:23" x14ac:dyDescent="0.25">
      <c r="A918" t="s">
        <v>1274</v>
      </c>
      <c r="B918">
        <v>2019</v>
      </c>
      <c r="C918" t="s">
        <v>465</v>
      </c>
      <c r="D918" t="s">
        <v>1275</v>
      </c>
      <c r="E918">
        <v>43204</v>
      </c>
      <c r="F918" t="s">
        <v>43</v>
      </c>
      <c r="G918" t="s">
        <v>44</v>
      </c>
      <c r="H918" t="s">
        <v>25</v>
      </c>
      <c r="I918" t="s">
        <v>24</v>
      </c>
      <c r="J918" s="2">
        <v>45351</v>
      </c>
      <c r="K918" t="s">
        <v>25</v>
      </c>
      <c r="L918">
        <v>44128</v>
      </c>
      <c r="M918">
        <v>264</v>
      </c>
      <c r="N918">
        <v>314</v>
      </c>
      <c r="O918" s="4">
        <v>13100</v>
      </c>
      <c r="P918" s="4">
        <v>13197.4169921875</v>
      </c>
      <c r="Q918" s="5">
        <f t="shared" si="56"/>
        <v>7.4364116173664119E-3</v>
      </c>
      <c r="R918" s="4">
        <v>13401.781533771629</v>
      </c>
      <c r="S918" s="5">
        <f t="shared" si="57"/>
        <v>2.3036758303177862E-2</v>
      </c>
      <c r="T918" s="4">
        <v>13812.31214468132</v>
      </c>
      <c r="U918" s="5">
        <f t="shared" si="58"/>
        <v>5.4374972876436667E-2</v>
      </c>
      <c r="V918" s="4">
        <v>13064.939453125</v>
      </c>
      <c r="W918" s="5">
        <f t="shared" si="59"/>
        <v>-2.6763776240458226E-3</v>
      </c>
    </row>
    <row r="919" spans="1:23" x14ac:dyDescent="0.25">
      <c r="A919" t="s">
        <v>1276</v>
      </c>
      <c r="B919">
        <v>2016</v>
      </c>
      <c r="C919" t="s">
        <v>465</v>
      </c>
      <c r="D919" t="s">
        <v>466</v>
      </c>
      <c r="E919">
        <v>105910</v>
      </c>
      <c r="F919" t="s">
        <v>382</v>
      </c>
      <c r="G919" t="s">
        <v>34</v>
      </c>
      <c r="H919" t="s">
        <v>25</v>
      </c>
      <c r="I919" t="s">
        <v>24</v>
      </c>
      <c r="J919" s="2">
        <v>45608</v>
      </c>
      <c r="K919" t="s">
        <v>25</v>
      </c>
      <c r="L919">
        <v>44128</v>
      </c>
      <c r="M919">
        <v>264</v>
      </c>
      <c r="N919">
        <v>314</v>
      </c>
      <c r="O919" s="4">
        <v>4400</v>
      </c>
      <c r="P919" s="4">
        <v>2839.478759765625</v>
      </c>
      <c r="Q919" s="5">
        <f t="shared" si="56"/>
        <v>-0.35466391823508525</v>
      </c>
      <c r="R919" s="4">
        <v>2503.4067846985822</v>
      </c>
      <c r="S919" s="5">
        <f t="shared" si="57"/>
        <v>-0.43104391256850405</v>
      </c>
      <c r="T919" s="4">
        <v>5859.016660331049</v>
      </c>
      <c r="U919" s="5">
        <f t="shared" si="58"/>
        <v>0.33159469552978393</v>
      </c>
      <c r="V919" s="4">
        <v>2788.082275390625</v>
      </c>
      <c r="W919" s="5">
        <f t="shared" si="59"/>
        <v>-0.36634493741122154</v>
      </c>
    </row>
    <row r="920" spans="1:23" x14ac:dyDescent="0.25">
      <c r="A920" t="s">
        <v>1277</v>
      </c>
      <c r="B920">
        <v>2012</v>
      </c>
      <c r="C920" t="s">
        <v>113</v>
      </c>
      <c r="D920" t="s">
        <v>1278</v>
      </c>
      <c r="E920">
        <v>104698</v>
      </c>
      <c r="F920" t="s">
        <v>111</v>
      </c>
      <c r="G920" t="s">
        <v>30</v>
      </c>
      <c r="H920" t="s">
        <v>24</v>
      </c>
      <c r="I920" t="s">
        <v>25</v>
      </c>
      <c r="J920" s="2">
        <v>45554</v>
      </c>
      <c r="K920" t="s">
        <v>25</v>
      </c>
      <c r="L920">
        <v>44128</v>
      </c>
      <c r="M920">
        <v>264</v>
      </c>
      <c r="N920">
        <v>314</v>
      </c>
      <c r="O920" s="4">
        <v>8100</v>
      </c>
      <c r="P920" s="4">
        <v>3727.8310546875</v>
      </c>
      <c r="Q920" s="5">
        <f t="shared" si="56"/>
        <v>-0.53977394386574074</v>
      </c>
      <c r="R920" s="4">
        <v>3482.7791632170179</v>
      </c>
      <c r="S920" s="5">
        <f t="shared" si="57"/>
        <v>-0.57002726380036817</v>
      </c>
      <c r="T920" s="4">
        <v>3963.8431127391309</v>
      </c>
      <c r="U920" s="5">
        <f t="shared" si="58"/>
        <v>-0.51063665274825543</v>
      </c>
      <c r="V920" s="4">
        <v>3776.3642578125</v>
      </c>
      <c r="W920" s="5">
        <f t="shared" si="59"/>
        <v>-0.53378219039351849</v>
      </c>
    </row>
    <row r="921" spans="1:23" x14ac:dyDescent="0.25">
      <c r="A921" t="s">
        <v>1279</v>
      </c>
      <c r="B921">
        <v>2014</v>
      </c>
      <c r="C921" t="s">
        <v>519</v>
      </c>
      <c r="D921" t="s">
        <v>520</v>
      </c>
      <c r="E921">
        <v>139149</v>
      </c>
      <c r="F921" t="s">
        <v>82</v>
      </c>
      <c r="G921" t="s">
        <v>30</v>
      </c>
      <c r="H921" t="s">
        <v>24</v>
      </c>
      <c r="I921" t="s">
        <v>25</v>
      </c>
      <c r="J921" s="2">
        <v>45720</v>
      </c>
      <c r="K921" t="s">
        <v>25</v>
      </c>
      <c r="L921">
        <v>44128</v>
      </c>
      <c r="M921">
        <v>264</v>
      </c>
      <c r="N921">
        <v>314</v>
      </c>
      <c r="O921" s="4">
        <v>2200</v>
      </c>
      <c r="P921" s="4">
        <v>2071.307373046875</v>
      </c>
      <c r="Q921" s="5">
        <f t="shared" si="56"/>
        <v>-5.8496648615056768E-2</v>
      </c>
      <c r="R921" s="4">
        <v>2424.3328168276148</v>
      </c>
      <c r="S921" s="5">
        <f t="shared" si="57"/>
        <v>0.10196946219437031</v>
      </c>
      <c r="T921" s="4">
        <v>2633.756013118094</v>
      </c>
      <c r="U921" s="5">
        <f t="shared" si="58"/>
        <v>0.19716182414458827</v>
      </c>
      <c r="V921" s="4">
        <v>2008.164306640625</v>
      </c>
      <c r="W921" s="5">
        <f t="shared" si="59"/>
        <v>-8.7198042436079537E-2</v>
      </c>
    </row>
    <row r="922" spans="1:23" x14ac:dyDescent="0.25">
      <c r="A922" t="s">
        <v>1280</v>
      </c>
      <c r="B922">
        <v>2018</v>
      </c>
      <c r="C922" t="s">
        <v>519</v>
      </c>
      <c r="D922" t="s">
        <v>1281</v>
      </c>
      <c r="E922">
        <v>108598</v>
      </c>
      <c r="F922" t="s">
        <v>334</v>
      </c>
      <c r="G922" t="s">
        <v>34</v>
      </c>
      <c r="H922" t="s">
        <v>25</v>
      </c>
      <c r="I922" t="s">
        <v>24</v>
      </c>
      <c r="J922" s="2">
        <v>45510</v>
      </c>
      <c r="K922" t="s">
        <v>25</v>
      </c>
      <c r="L922">
        <v>44128</v>
      </c>
      <c r="M922">
        <v>264</v>
      </c>
      <c r="N922">
        <v>314</v>
      </c>
      <c r="O922" s="4">
        <v>15000</v>
      </c>
      <c r="P922" s="4">
        <v>5572.90673828125</v>
      </c>
      <c r="Q922" s="5">
        <f t="shared" si="56"/>
        <v>-0.62847288411458335</v>
      </c>
      <c r="R922" s="4">
        <v>6767.626891428994</v>
      </c>
      <c r="S922" s="5">
        <f t="shared" si="57"/>
        <v>-0.54882487390473367</v>
      </c>
      <c r="T922" s="4">
        <v>6453.6662253880058</v>
      </c>
      <c r="U922" s="5">
        <f t="shared" si="58"/>
        <v>-0.56975558497413292</v>
      </c>
      <c r="V922" s="4">
        <v>5295.98583984375</v>
      </c>
      <c r="W922" s="5">
        <f t="shared" si="59"/>
        <v>-0.64693427734374997</v>
      </c>
    </row>
    <row r="923" spans="1:23" x14ac:dyDescent="0.25">
      <c r="A923" t="s">
        <v>1282</v>
      </c>
      <c r="B923">
        <v>2016</v>
      </c>
      <c r="C923" t="s">
        <v>519</v>
      </c>
      <c r="D923" t="s">
        <v>1281</v>
      </c>
      <c r="E923">
        <v>112985</v>
      </c>
      <c r="F923" t="s">
        <v>246</v>
      </c>
      <c r="G923" t="s">
        <v>38</v>
      </c>
      <c r="H923" t="s">
        <v>25</v>
      </c>
      <c r="I923" t="s">
        <v>24</v>
      </c>
      <c r="J923" s="2">
        <v>45692</v>
      </c>
      <c r="K923" t="s">
        <v>25</v>
      </c>
      <c r="L923">
        <v>44128</v>
      </c>
      <c r="M923">
        <v>264</v>
      </c>
      <c r="N923">
        <v>314</v>
      </c>
      <c r="O923" s="4">
        <v>3500</v>
      </c>
      <c r="P923" s="4">
        <v>4056.7451171875</v>
      </c>
      <c r="Q923" s="5">
        <f t="shared" si="56"/>
        <v>0.15907003348214288</v>
      </c>
      <c r="R923" s="4">
        <v>4861.9915487073258</v>
      </c>
      <c r="S923" s="5">
        <f t="shared" si="57"/>
        <v>0.38914044248780733</v>
      </c>
      <c r="T923" s="4">
        <v>6400.184972319068</v>
      </c>
      <c r="U923" s="5">
        <f t="shared" si="58"/>
        <v>0.82862427780544801</v>
      </c>
      <c r="V923" s="4">
        <v>3841.042236328125</v>
      </c>
      <c r="W923" s="5">
        <f t="shared" si="59"/>
        <v>9.7440638950892833E-2</v>
      </c>
    </row>
    <row r="924" spans="1:23" x14ac:dyDescent="0.25">
      <c r="A924" t="s">
        <v>1283</v>
      </c>
      <c r="B924">
        <v>2014</v>
      </c>
      <c r="C924" t="s">
        <v>519</v>
      </c>
      <c r="D924" t="s">
        <v>772</v>
      </c>
      <c r="E924">
        <v>161278</v>
      </c>
      <c r="F924" t="s">
        <v>29</v>
      </c>
      <c r="G924" t="s">
        <v>38</v>
      </c>
      <c r="H924" t="s">
        <v>25</v>
      </c>
      <c r="I924" t="s">
        <v>24</v>
      </c>
      <c r="J924" s="2">
        <v>45566</v>
      </c>
      <c r="K924" t="s">
        <v>25</v>
      </c>
      <c r="L924">
        <v>44128</v>
      </c>
      <c r="M924">
        <v>264</v>
      </c>
      <c r="N924">
        <v>314</v>
      </c>
      <c r="O924" s="4">
        <v>1800</v>
      </c>
      <c r="P924" s="4">
        <v>2094.951416015625</v>
      </c>
      <c r="Q924" s="5">
        <f t="shared" si="56"/>
        <v>0.16386189778645832</v>
      </c>
      <c r="R924" s="4">
        <v>3466.0142429871171</v>
      </c>
      <c r="S924" s="5">
        <f t="shared" si="57"/>
        <v>0.9255634683261762</v>
      </c>
      <c r="T924" s="4">
        <v>3564.850354462757</v>
      </c>
      <c r="U924" s="5">
        <f t="shared" si="58"/>
        <v>0.98047241914597616</v>
      </c>
      <c r="V924" s="4">
        <v>1955.684448242188</v>
      </c>
      <c r="W924" s="5">
        <f t="shared" si="59"/>
        <v>8.6491360134548945E-2</v>
      </c>
    </row>
    <row r="925" spans="1:23" x14ac:dyDescent="0.25">
      <c r="A925" t="s">
        <v>1284</v>
      </c>
      <c r="B925">
        <v>2011</v>
      </c>
      <c r="C925" t="s">
        <v>519</v>
      </c>
      <c r="D925" t="s">
        <v>1285</v>
      </c>
      <c r="E925">
        <v>130502</v>
      </c>
      <c r="F925" t="s">
        <v>250</v>
      </c>
      <c r="G925" t="s">
        <v>38</v>
      </c>
      <c r="H925" t="s">
        <v>25</v>
      </c>
      <c r="I925" t="s">
        <v>24</v>
      </c>
      <c r="J925" s="2">
        <v>45510</v>
      </c>
      <c r="K925" t="s">
        <v>25</v>
      </c>
      <c r="L925">
        <v>44128</v>
      </c>
      <c r="M925">
        <v>264</v>
      </c>
      <c r="N925">
        <v>314</v>
      </c>
      <c r="O925" s="4">
        <v>6600</v>
      </c>
      <c r="P925" s="4">
        <v>3001.7265625</v>
      </c>
      <c r="Q925" s="5">
        <f t="shared" si="56"/>
        <v>-0.54519294507575755</v>
      </c>
      <c r="R925" s="4">
        <v>3158.5795939570389</v>
      </c>
      <c r="S925" s="5">
        <f t="shared" si="57"/>
        <v>-0.52142733424893351</v>
      </c>
      <c r="T925" s="4">
        <v>3116.2492611394919</v>
      </c>
      <c r="U925" s="5">
        <f t="shared" si="58"/>
        <v>-0.52784102103947095</v>
      </c>
      <c r="V925" s="4">
        <v>2881.152099609375</v>
      </c>
      <c r="W925" s="5">
        <f t="shared" si="59"/>
        <v>-0.56346180308948868</v>
      </c>
    </row>
    <row r="926" spans="1:23" x14ac:dyDescent="0.25">
      <c r="A926" t="s">
        <v>1286</v>
      </c>
      <c r="B926">
        <v>2012</v>
      </c>
      <c r="C926" t="s">
        <v>185</v>
      </c>
      <c r="D926" t="s">
        <v>1287</v>
      </c>
      <c r="E926">
        <v>107908</v>
      </c>
      <c r="F926" t="s">
        <v>334</v>
      </c>
      <c r="G926" t="s">
        <v>30</v>
      </c>
      <c r="H926" t="s">
        <v>24</v>
      </c>
      <c r="I926" t="s">
        <v>25</v>
      </c>
      <c r="J926" s="2">
        <v>45440</v>
      </c>
      <c r="K926" t="s">
        <v>25</v>
      </c>
      <c r="L926">
        <v>44128</v>
      </c>
      <c r="M926">
        <v>264</v>
      </c>
      <c r="N926">
        <v>314</v>
      </c>
      <c r="O926" s="4">
        <v>13078.5714285714</v>
      </c>
      <c r="P926" s="4">
        <v>2776.704345703125</v>
      </c>
      <c r="Q926" s="5">
        <f t="shared" si="56"/>
        <v>-0.78769054702433738</v>
      </c>
      <c r="R926" s="4">
        <v>2273.7660709474089</v>
      </c>
      <c r="S926" s="5">
        <f t="shared" si="57"/>
        <v>-0.82614568545459421</v>
      </c>
      <c r="T926" s="4">
        <v>5559.31008305673</v>
      </c>
      <c r="U926" s="5">
        <f t="shared" si="58"/>
        <v>-0.57492986803498425</v>
      </c>
      <c r="V926" s="4">
        <v>2713.941162109375</v>
      </c>
      <c r="W926" s="5">
        <f t="shared" si="59"/>
        <v>-0.79248947968579286</v>
      </c>
    </row>
    <row r="927" spans="1:23" x14ac:dyDescent="0.25">
      <c r="A927" t="s">
        <v>1288</v>
      </c>
      <c r="B927">
        <v>2019</v>
      </c>
      <c r="C927" t="s">
        <v>185</v>
      </c>
      <c r="D927" t="s">
        <v>1289</v>
      </c>
      <c r="E927">
        <v>109550</v>
      </c>
      <c r="F927" t="s">
        <v>82</v>
      </c>
      <c r="G927" t="s">
        <v>30</v>
      </c>
      <c r="H927" t="s">
        <v>24</v>
      </c>
      <c r="I927" t="s">
        <v>25</v>
      </c>
      <c r="J927" s="2">
        <v>45594</v>
      </c>
      <c r="K927" t="s">
        <v>25</v>
      </c>
      <c r="L927">
        <v>44128</v>
      </c>
      <c r="M927">
        <v>264</v>
      </c>
      <c r="N927">
        <v>314</v>
      </c>
      <c r="O927" s="4">
        <v>7500</v>
      </c>
      <c r="P927" s="4">
        <v>4587.27490234375</v>
      </c>
      <c r="Q927" s="5">
        <f t="shared" si="56"/>
        <v>-0.38836334635416669</v>
      </c>
      <c r="R927" s="4">
        <v>4547.5531123607534</v>
      </c>
      <c r="S927" s="5">
        <f t="shared" si="57"/>
        <v>-0.39365958501856624</v>
      </c>
      <c r="T927" s="4">
        <v>5450.6459583876558</v>
      </c>
      <c r="U927" s="5">
        <f t="shared" si="58"/>
        <v>-0.27324720554831261</v>
      </c>
      <c r="V927" s="4">
        <v>4616.42529296875</v>
      </c>
      <c r="W927" s="5">
        <f t="shared" si="59"/>
        <v>-0.38447662760416668</v>
      </c>
    </row>
    <row r="928" spans="1:23" x14ac:dyDescent="0.25">
      <c r="A928" t="s">
        <v>1290</v>
      </c>
      <c r="B928">
        <v>2018</v>
      </c>
      <c r="C928" t="s">
        <v>185</v>
      </c>
      <c r="D928" t="s">
        <v>1291</v>
      </c>
      <c r="E928">
        <v>86122</v>
      </c>
      <c r="F928" t="s">
        <v>89</v>
      </c>
      <c r="G928" t="s">
        <v>30</v>
      </c>
      <c r="H928" t="s">
        <v>24</v>
      </c>
      <c r="I928" t="s">
        <v>25</v>
      </c>
      <c r="J928" s="2">
        <v>45610</v>
      </c>
      <c r="K928" t="s">
        <v>25</v>
      </c>
      <c r="L928">
        <v>44128</v>
      </c>
      <c r="M928">
        <v>264</v>
      </c>
      <c r="N928">
        <v>314</v>
      </c>
      <c r="O928" s="4">
        <v>14000</v>
      </c>
      <c r="P928" s="4">
        <v>6324.9130859375</v>
      </c>
      <c r="Q928" s="5">
        <f t="shared" si="56"/>
        <v>-0.54822049386160709</v>
      </c>
      <c r="R928" s="4">
        <v>5684.0263215622635</v>
      </c>
      <c r="S928" s="5">
        <f t="shared" si="57"/>
        <v>-0.59399811988840967</v>
      </c>
      <c r="T928" s="4">
        <v>8558.7264239943306</v>
      </c>
      <c r="U928" s="5">
        <f t="shared" si="58"/>
        <v>-0.38866239828611926</v>
      </c>
      <c r="V928" s="4">
        <v>6183.85498046875</v>
      </c>
      <c r="W928" s="5">
        <f t="shared" si="59"/>
        <v>-0.55829607282366078</v>
      </c>
    </row>
    <row r="929" spans="1:23" x14ac:dyDescent="0.25">
      <c r="A929" t="s">
        <v>1292</v>
      </c>
      <c r="B929">
        <v>2020</v>
      </c>
      <c r="C929" t="s">
        <v>185</v>
      </c>
      <c r="D929" t="s">
        <v>1291</v>
      </c>
      <c r="E929">
        <v>58738</v>
      </c>
      <c r="F929" t="s">
        <v>106</v>
      </c>
      <c r="G929" t="s">
        <v>38</v>
      </c>
      <c r="H929" t="s">
        <v>25</v>
      </c>
      <c r="I929" t="s">
        <v>24</v>
      </c>
      <c r="J929" s="2">
        <v>45680</v>
      </c>
      <c r="K929" t="s">
        <v>25</v>
      </c>
      <c r="L929">
        <v>44128</v>
      </c>
      <c r="M929">
        <v>264</v>
      </c>
      <c r="N929">
        <v>314</v>
      </c>
      <c r="O929" s="4">
        <v>21900</v>
      </c>
      <c r="P929" s="4">
        <v>14101.3310546875</v>
      </c>
      <c r="Q929" s="5">
        <f t="shared" si="56"/>
        <v>-0.35610360480879</v>
      </c>
      <c r="R929" s="4">
        <v>13681.122395727551</v>
      </c>
      <c r="S929" s="5">
        <f t="shared" si="57"/>
        <v>-0.37529121480696115</v>
      </c>
      <c r="T929" s="4">
        <v>14451.00014256051</v>
      </c>
      <c r="U929" s="5">
        <f t="shared" si="58"/>
        <v>-0.3401369797917575</v>
      </c>
      <c r="V929" s="4">
        <v>14173.2763671875</v>
      </c>
      <c r="W929" s="5">
        <f t="shared" si="59"/>
        <v>-0.35281843072203201</v>
      </c>
    </row>
    <row r="930" spans="1:23" x14ac:dyDescent="0.25">
      <c r="A930" t="s">
        <v>1293</v>
      </c>
      <c r="B930">
        <v>2015</v>
      </c>
      <c r="C930" t="s">
        <v>185</v>
      </c>
      <c r="D930" t="s">
        <v>1294</v>
      </c>
      <c r="E930">
        <v>155800</v>
      </c>
      <c r="F930" t="s">
        <v>22</v>
      </c>
      <c r="G930" t="s">
        <v>23</v>
      </c>
      <c r="H930" t="s">
        <v>24</v>
      </c>
      <c r="I930" t="s">
        <v>25</v>
      </c>
      <c r="J930" s="2">
        <v>45706</v>
      </c>
      <c r="K930" t="s">
        <v>25</v>
      </c>
      <c r="L930">
        <v>44128</v>
      </c>
      <c r="M930">
        <v>264</v>
      </c>
      <c r="N930">
        <v>314</v>
      </c>
      <c r="O930" s="4">
        <v>1500</v>
      </c>
      <c r="P930" s="4">
        <v>1594.65380859375</v>
      </c>
      <c r="Q930" s="5">
        <f t="shared" si="56"/>
        <v>6.3102539062499963E-2</v>
      </c>
      <c r="R930" s="4">
        <v>2117.6508745296578</v>
      </c>
      <c r="S930" s="5">
        <f t="shared" si="57"/>
        <v>0.41176724968643863</v>
      </c>
      <c r="T930" s="4">
        <v>1968.029474292111</v>
      </c>
      <c r="U930" s="5">
        <f t="shared" si="58"/>
        <v>0.31201964952807404</v>
      </c>
      <c r="V930" s="4">
        <v>1564.289916992188</v>
      </c>
      <c r="W930" s="5">
        <f t="shared" si="59"/>
        <v>4.2859944661458593E-2</v>
      </c>
    </row>
    <row r="931" spans="1:23" x14ac:dyDescent="0.25">
      <c r="A931" t="s">
        <v>1295</v>
      </c>
      <c r="B931">
        <v>2020</v>
      </c>
      <c r="C931" t="s">
        <v>185</v>
      </c>
      <c r="D931" t="s">
        <v>1296</v>
      </c>
      <c r="E931">
        <v>105230</v>
      </c>
      <c r="F931" t="s">
        <v>649</v>
      </c>
      <c r="G931" t="s">
        <v>23</v>
      </c>
      <c r="H931" t="s">
        <v>24</v>
      </c>
      <c r="I931" t="s">
        <v>25</v>
      </c>
      <c r="J931" s="2">
        <v>45678</v>
      </c>
      <c r="K931" t="s">
        <v>25</v>
      </c>
      <c r="L931">
        <v>44128</v>
      </c>
      <c r="M931">
        <v>264</v>
      </c>
      <c r="N931">
        <v>314</v>
      </c>
      <c r="O931" s="4">
        <v>14967.1052631579</v>
      </c>
      <c r="P931" s="4">
        <v>8236.7734375</v>
      </c>
      <c r="Q931" s="5">
        <f t="shared" si="56"/>
        <v>-0.44967491758241784</v>
      </c>
      <c r="R931" s="4">
        <v>5090.5357221996856</v>
      </c>
      <c r="S931" s="5">
        <f t="shared" si="57"/>
        <v>-0.65988508581347172</v>
      </c>
      <c r="T931" s="4">
        <v>11714.762113575929</v>
      </c>
      <c r="U931" s="5">
        <f t="shared" si="58"/>
        <v>-0.21729941043360856</v>
      </c>
      <c r="V931" s="4">
        <v>8271.498046875</v>
      </c>
      <c r="W931" s="5">
        <f t="shared" si="59"/>
        <v>-0.44735485576923095</v>
      </c>
    </row>
    <row r="932" spans="1:23" x14ac:dyDescent="0.25">
      <c r="A932" t="s">
        <v>1297</v>
      </c>
      <c r="B932">
        <v>2014</v>
      </c>
      <c r="C932" t="s">
        <v>185</v>
      </c>
      <c r="D932" t="s">
        <v>1298</v>
      </c>
      <c r="E932">
        <v>140597</v>
      </c>
      <c r="F932" t="s">
        <v>246</v>
      </c>
      <c r="G932" t="s">
        <v>30</v>
      </c>
      <c r="H932" t="s">
        <v>24</v>
      </c>
      <c r="I932" t="s">
        <v>25</v>
      </c>
      <c r="J932" s="2">
        <v>45393</v>
      </c>
      <c r="K932" t="s">
        <v>25</v>
      </c>
      <c r="L932">
        <v>44128</v>
      </c>
      <c r="M932">
        <v>264</v>
      </c>
      <c r="N932">
        <v>314</v>
      </c>
      <c r="O932" s="4">
        <v>9000</v>
      </c>
      <c r="P932" s="4">
        <v>1973.818115234375</v>
      </c>
      <c r="Q932" s="5">
        <f t="shared" si="56"/>
        <v>-0.78068687608506948</v>
      </c>
      <c r="R932" s="4">
        <v>1935.8296650118571</v>
      </c>
      <c r="S932" s="5">
        <f t="shared" si="57"/>
        <v>-0.78490781499868256</v>
      </c>
      <c r="T932" s="4">
        <v>2908.977141173054</v>
      </c>
      <c r="U932" s="5">
        <f t="shared" si="58"/>
        <v>-0.67678031764743851</v>
      </c>
      <c r="V932" s="4">
        <v>1947.177490234375</v>
      </c>
      <c r="W932" s="5">
        <f t="shared" si="59"/>
        <v>-0.78364694552951386</v>
      </c>
    </row>
    <row r="933" spans="1:23" x14ac:dyDescent="0.25">
      <c r="A933" t="s">
        <v>1299</v>
      </c>
      <c r="B933">
        <v>2008</v>
      </c>
      <c r="C933" t="s">
        <v>774</v>
      </c>
      <c r="D933" t="s">
        <v>1300</v>
      </c>
      <c r="E933">
        <v>137883</v>
      </c>
      <c r="F933" t="s">
        <v>61</v>
      </c>
      <c r="G933" t="s">
        <v>30</v>
      </c>
      <c r="H933" t="s">
        <v>24</v>
      </c>
      <c r="I933" t="s">
        <v>25</v>
      </c>
      <c r="J933" s="2">
        <v>45498</v>
      </c>
      <c r="K933" t="s">
        <v>25</v>
      </c>
      <c r="L933">
        <v>44128</v>
      </c>
      <c r="M933">
        <v>264</v>
      </c>
      <c r="N933">
        <v>314</v>
      </c>
      <c r="O933" s="4">
        <v>500</v>
      </c>
      <c r="P933" s="4">
        <v>1907.968627929688</v>
      </c>
      <c r="Q933" s="5">
        <f t="shared" si="56"/>
        <v>2.8159372558593758</v>
      </c>
      <c r="R933" s="4">
        <v>1830.4287536668071</v>
      </c>
      <c r="S933" s="5">
        <f t="shared" si="57"/>
        <v>2.6608575073336143</v>
      </c>
      <c r="T933" s="4">
        <v>1927.455582139937</v>
      </c>
      <c r="U933" s="5">
        <f t="shared" si="58"/>
        <v>2.8549111642798737</v>
      </c>
      <c r="V933" s="4">
        <v>1838.3515625</v>
      </c>
      <c r="W933" s="5">
        <f t="shared" si="59"/>
        <v>2.676703125</v>
      </c>
    </row>
    <row r="934" spans="1:23" x14ac:dyDescent="0.25">
      <c r="A934" t="s">
        <v>1301</v>
      </c>
      <c r="B934">
        <v>2022</v>
      </c>
      <c r="C934" t="s">
        <v>139</v>
      </c>
      <c r="D934" t="s">
        <v>1302</v>
      </c>
      <c r="E934">
        <v>38431</v>
      </c>
      <c r="F934" t="s">
        <v>174</v>
      </c>
      <c r="G934" t="s">
        <v>44</v>
      </c>
      <c r="H934" t="s">
        <v>25</v>
      </c>
      <c r="I934" t="s">
        <v>24</v>
      </c>
      <c r="J934" s="2">
        <v>45426</v>
      </c>
      <c r="K934" t="s">
        <v>25</v>
      </c>
      <c r="L934">
        <v>44128</v>
      </c>
      <c r="M934">
        <v>264</v>
      </c>
      <c r="N934">
        <v>314</v>
      </c>
      <c r="O934" s="4">
        <v>20500</v>
      </c>
      <c r="P934" s="4">
        <v>26832.00390625</v>
      </c>
      <c r="Q934" s="5">
        <f t="shared" si="56"/>
        <v>0.30887823932926839</v>
      </c>
      <c r="R934" s="4">
        <v>28546.04625700882</v>
      </c>
      <c r="S934" s="5">
        <f t="shared" si="57"/>
        <v>0.39249006131750352</v>
      </c>
      <c r="T934" s="4">
        <v>29431.56953795096</v>
      </c>
      <c r="U934" s="5">
        <f t="shared" si="58"/>
        <v>0.4356863189244371</v>
      </c>
      <c r="V934" s="4">
        <v>25830.955078125</v>
      </c>
      <c r="W934" s="5">
        <f t="shared" si="59"/>
        <v>0.26004658917682932</v>
      </c>
    </row>
    <row r="935" spans="1:23" x14ac:dyDescent="0.25">
      <c r="A935" t="s">
        <v>1303</v>
      </c>
      <c r="B935">
        <v>2017</v>
      </c>
      <c r="C935" t="s">
        <v>91</v>
      </c>
      <c r="D935" t="s">
        <v>287</v>
      </c>
      <c r="E935">
        <v>110351</v>
      </c>
      <c r="F935" t="s">
        <v>475</v>
      </c>
      <c r="G935" t="s">
        <v>30</v>
      </c>
      <c r="H935" t="s">
        <v>24</v>
      </c>
      <c r="I935" t="s">
        <v>25</v>
      </c>
      <c r="J935" s="2">
        <v>45734</v>
      </c>
      <c r="K935" t="s">
        <v>25</v>
      </c>
      <c r="L935">
        <v>44128</v>
      </c>
      <c r="M935">
        <v>264</v>
      </c>
      <c r="N935">
        <v>314</v>
      </c>
      <c r="O935" s="4">
        <v>17600</v>
      </c>
      <c r="P935" s="4">
        <v>6802.33837890625</v>
      </c>
      <c r="Q935" s="5">
        <f t="shared" si="56"/>
        <v>-0.61350350119850861</v>
      </c>
      <c r="R935" s="4">
        <v>7812.9496665843953</v>
      </c>
      <c r="S935" s="5">
        <f t="shared" si="57"/>
        <v>-0.55608240530770481</v>
      </c>
      <c r="T935" s="4">
        <v>5002.5482703265507</v>
      </c>
      <c r="U935" s="5">
        <f t="shared" si="58"/>
        <v>-0.71576430282235504</v>
      </c>
      <c r="V935" s="4">
        <v>6376.9111328125</v>
      </c>
      <c r="W935" s="5">
        <f t="shared" si="59"/>
        <v>-0.63767550381747151</v>
      </c>
    </row>
    <row r="936" spans="1:23" x14ac:dyDescent="0.25">
      <c r="A936" t="s">
        <v>1304</v>
      </c>
      <c r="B936">
        <v>2019</v>
      </c>
      <c r="C936" t="s">
        <v>91</v>
      </c>
      <c r="D936" t="s">
        <v>287</v>
      </c>
      <c r="E936">
        <v>92658</v>
      </c>
      <c r="F936" t="s">
        <v>382</v>
      </c>
      <c r="G936" t="s">
        <v>30</v>
      </c>
      <c r="H936" t="s">
        <v>24</v>
      </c>
      <c r="I936" t="s">
        <v>25</v>
      </c>
      <c r="J936" s="2">
        <v>45706</v>
      </c>
      <c r="K936" t="s">
        <v>25</v>
      </c>
      <c r="L936">
        <v>44128</v>
      </c>
      <c r="M936">
        <v>264</v>
      </c>
      <c r="N936">
        <v>314</v>
      </c>
      <c r="O936" s="4">
        <v>13600</v>
      </c>
      <c r="P936" s="4">
        <v>5995.83984375</v>
      </c>
      <c r="Q936" s="5">
        <f t="shared" si="56"/>
        <v>-0.55912942325367654</v>
      </c>
      <c r="R936" s="4">
        <v>8035.8052382224287</v>
      </c>
      <c r="S936" s="5">
        <f t="shared" si="57"/>
        <v>-0.40913196777776262</v>
      </c>
      <c r="T936" s="4">
        <v>6378.2102868629072</v>
      </c>
      <c r="U936" s="5">
        <f t="shared" si="58"/>
        <v>-0.5310139494953745</v>
      </c>
      <c r="V936" s="4">
        <v>5280.5537109375</v>
      </c>
      <c r="W936" s="5">
        <f t="shared" si="59"/>
        <v>-0.61172399184283088</v>
      </c>
    </row>
    <row r="937" spans="1:23" x14ac:dyDescent="0.25">
      <c r="A937" t="s">
        <v>1305</v>
      </c>
      <c r="B937">
        <v>2016</v>
      </c>
      <c r="C937" t="s">
        <v>91</v>
      </c>
      <c r="D937" t="s">
        <v>287</v>
      </c>
      <c r="E937">
        <v>164052</v>
      </c>
      <c r="F937" t="s">
        <v>382</v>
      </c>
      <c r="G937" t="s">
        <v>30</v>
      </c>
      <c r="H937" t="s">
        <v>24</v>
      </c>
      <c r="I937" t="s">
        <v>25</v>
      </c>
      <c r="J937" s="2">
        <v>45622</v>
      </c>
      <c r="K937" t="s">
        <v>25</v>
      </c>
      <c r="L937">
        <v>44128</v>
      </c>
      <c r="M937">
        <v>264</v>
      </c>
      <c r="N937">
        <v>314</v>
      </c>
      <c r="O937" s="4">
        <v>3400</v>
      </c>
      <c r="P937" s="4">
        <v>1867.317504882812</v>
      </c>
      <c r="Q937" s="5">
        <f t="shared" si="56"/>
        <v>-0.45078896915211408</v>
      </c>
      <c r="R937" s="4">
        <v>2953.323036792664</v>
      </c>
      <c r="S937" s="5">
        <f t="shared" si="57"/>
        <v>-0.13137557741392236</v>
      </c>
      <c r="T937" s="4">
        <v>2213.223516764539</v>
      </c>
      <c r="U937" s="5">
        <f t="shared" si="58"/>
        <v>-0.34905190683395915</v>
      </c>
      <c r="V937" s="4">
        <v>1786.2451171875</v>
      </c>
      <c r="W937" s="5">
        <f t="shared" si="59"/>
        <v>-0.47463378906249998</v>
      </c>
    </row>
    <row r="938" spans="1:23" x14ac:dyDescent="0.25">
      <c r="A938" t="s">
        <v>1306</v>
      </c>
      <c r="B938">
        <v>2014</v>
      </c>
      <c r="C938" t="s">
        <v>91</v>
      </c>
      <c r="D938" t="s">
        <v>287</v>
      </c>
      <c r="E938">
        <v>98904</v>
      </c>
      <c r="F938" t="s">
        <v>89</v>
      </c>
      <c r="G938" t="s">
        <v>38</v>
      </c>
      <c r="H938" t="s">
        <v>25</v>
      </c>
      <c r="I938" t="s">
        <v>24</v>
      </c>
      <c r="J938" s="2">
        <v>45622</v>
      </c>
      <c r="K938" t="s">
        <v>25</v>
      </c>
      <c r="L938">
        <v>44128</v>
      </c>
      <c r="M938">
        <v>264</v>
      </c>
      <c r="N938">
        <v>314</v>
      </c>
      <c r="O938" s="4">
        <v>4800</v>
      </c>
      <c r="P938" s="4">
        <v>3768.626220703125</v>
      </c>
      <c r="Q938" s="5">
        <f t="shared" si="56"/>
        <v>-0.21486953735351566</v>
      </c>
      <c r="R938" s="4">
        <v>4154.1764092353778</v>
      </c>
      <c r="S938" s="5">
        <f t="shared" si="57"/>
        <v>-0.13454658140929632</v>
      </c>
      <c r="T938" s="4">
        <v>3088.7881868805848</v>
      </c>
      <c r="U938" s="5">
        <f t="shared" si="58"/>
        <v>-0.35650246106654482</v>
      </c>
      <c r="V938" s="4">
        <v>3578.20166015625</v>
      </c>
      <c r="W938" s="5">
        <f t="shared" si="59"/>
        <v>-0.25454132080078129</v>
      </c>
    </row>
    <row r="939" spans="1:23" x14ac:dyDescent="0.25">
      <c r="A939" t="s">
        <v>1307</v>
      </c>
      <c r="B939">
        <v>2021</v>
      </c>
      <c r="C939" t="s">
        <v>20</v>
      </c>
      <c r="D939" t="s">
        <v>289</v>
      </c>
      <c r="E939">
        <v>63415</v>
      </c>
      <c r="F939" t="s">
        <v>98</v>
      </c>
      <c r="G939" t="s">
        <v>44</v>
      </c>
      <c r="H939" t="s">
        <v>25</v>
      </c>
      <c r="I939" t="s">
        <v>24</v>
      </c>
      <c r="J939" s="2">
        <v>45692</v>
      </c>
      <c r="K939" t="s">
        <v>25</v>
      </c>
      <c r="L939">
        <v>44128</v>
      </c>
      <c r="M939">
        <v>264</v>
      </c>
      <c r="N939">
        <v>314</v>
      </c>
      <c r="O939" s="4">
        <v>19400</v>
      </c>
      <c r="P939" s="4">
        <v>20656.43359375</v>
      </c>
      <c r="Q939" s="5">
        <f t="shared" si="56"/>
        <v>6.4764618234536053E-2</v>
      </c>
      <c r="R939" s="4">
        <v>20456.676917727109</v>
      </c>
      <c r="S939" s="5">
        <f t="shared" si="57"/>
        <v>5.4467882357067454E-2</v>
      </c>
      <c r="T939" s="4">
        <v>34679.867336743067</v>
      </c>
      <c r="U939" s="5">
        <f t="shared" si="58"/>
        <v>0.78762202766716838</v>
      </c>
      <c r="V939" s="4">
        <v>20931.986328125</v>
      </c>
      <c r="W939" s="5">
        <f t="shared" si="59"/>
        <v>7.896836742912372E-2</v>
      </c>
    </row>
    <row r="940" spans="1:23" x14ac:dyDescent="0.25">
      <c r="A940" t="s">
        <v>1308</v>
      </c>
      <c r="B940">
        <v>2021</v>
      </c>
      <c r="C940" t="s">
        <v>20</v>
      </c>
      <c r="D940" t="s">
        <v>289</v>
      </c>
      <c r="E940">
        <v>66877</v>
      </c>
      <c r="F940" t="s">
        <v>161</v>
      </c>
      <c r="G940" t="s">
        <v>34</v>
      </c>
      <c r="H940" t="s">
        <v>25</v>
      </c>
      <c r="I940" t="s">
        <v>24</v>
      </c>
      <c r="J940" s="2">
        <v>45692</v>
      </c>
      <c r="K940" t="s">
        <v>25</v>
      </c>
      <c r="L940">
        <v>44128</v>
      </c>
      <c r="M940">
        <v>264</v>
      </c>
      <c r="N940">
        <v>314</v>
      </c>
      <c r="O940" s="4">
        <v>22300</v>
      </c>
      <c r="P940" s="4">
        <v>20552.24609375</v>
      </c>
      <c r="Q940" s="5">
        <f t="shared" si="56"/>
        <v>-7.8374614630044803E-2</v>
      </c>
      <c r="R940" s="4">
        <v>20142.23978094077</v>
      </c>
      <c r="S940" s="5">
        <f t="shared" si="57"/>
        <v>-9.6760547939875763E-2</v>
      </c>
      <c r="T940" s="4">
        <v>34181.454669718703</v>
      </c>
      <c r="U940" s="5">
        <f t="shared" si="58"/>
        <v>0.53280065783491937</v>
      </c>
      <c r="V940" s="4">
        <v>20492.2734375</v>
      </c>
      <c r="W940" s="5">
        <f t="shared" si="59"/>
        <v>-8.1063971412556057E-2</v>
      </c>
    </row>
    <row r="941" spans="1:23" x14ac:dyDescent="0.25">
      <c r="A941" t="s">
        <v>1309</v>
      </c>
      <c r="B941">
        <v>2021</v>
      </c>
      <c r="C941" t="s">
        <v>20</v>
      </c>
      <c r="D941" t="s">
        <v>421</v>
      </c>
      <c r="E941">
        <v>82113</v>
      </c>
      <c r="F941" t="s">
        <v>43</v>
      </c>
      <c r="G941" t="s">
        <v>44</v>
      </c>
      <c r="H941" t="s">
        <v>25</v>
      </c>
      <c r="I941" t="s">
        <v>24</v>
      </c>
      <c r="J941" s="2">
        <v>45412</v>
      </c>
      <c r="K941" t="s">
        <v>25</v>
      </c>
      <c r="L941">
        <v>44128</v>
      </c>
      <c r="M941">
        <v>264</v>
      </c>
      <c r="N941">
        <v>314</v>
      </c>
      <c r="O941" s="4">
        <v>16900</v>
      </c>
      <c r="P941" s="4">
        <v>15792.1494140625</v>
      </c>
      <c r="Q941" s="5">
        <f t="shared" si="56"/>
        <v>-6.5553289108727819E-2</v>
      </c>
      <c r="R941" s="4">
        <v>18879.340247932549</v>
      </c>
      <c r="S941" s="5">
        <f t="shared" si="57"/>
        <v>0.11712072472973656</v>
      </c>
      <c r="T941" s="4">
        <v>11891.21973032869</v>
      </c>
      <c r="U941" s="5">
        <f t="shared" si="58"/>
        <v>-0.29637753074978168</v>
      </c>
      <c r="V941" s="4">
        <v>15486.177734375</v>
      </c>
      <c r="W941" s="5">
        <f t="shared" si="59"/>
        <v>-8.3658122226331399E-2</v>
      </c>
    </row>
    <row r="942" spans="1:23" x14ac:dyDescent="0.25">
      <c r="A942" t="s">
        <v>1310</v>
      </c>
      <c r="B942">
        <v>2021</v>
      </c>
      <c r="C942" t="s">
        <v>20</v>
      </c>
      <c r="D942" t="s">
        <v>717</v>
      </c>
      <c r="E942">
        <v>56137</v>
      </c>
      <c r="F942" t="s">
        <v>37</v>
      </c>
      <c r="G942" t="s">
        <v>38</v>
      </c>
      <c r="H942" t="s">
        <v>25</v>
      </c>
      <c r="I942" t="s">
        <v>24</v>
      </c>
      <c r="J942" s="2">
        <v>45547</v>
      </c>
      <c r="K942" t="s">
        <v>25</v>
      </c>
      <c r="L942">
        <v>44128</v>
      </c>
      <c r="M942">
        <v>264</v>
      </c>
      <c r="N942">
        <v>314</v>
      </c>
      <c r="O942" s="4">
        <v>15000</v>
      </c>
      <c r="P942" s="4">
        <v>15077.4541015625</v>
      </c>
      <c r="Q942" s="5">
        <f t="shared" si="56"/>
        <v>5.1636067708333844E-3</v>
      </c>
      <c r="R942" s="4">
        <v>22644.01130453638</v>
      </c>
      <c r="S942" s="5">
        <f t="shared" si="57"/>
        <v>0.50960075363575874</v>
      </c>
      <c r="T942" s="4">
        <v>9078.1606943534607</v>
      </c>
      <c r="U942" s="5">
        <f t="shared" si="58"/>
        <v>-0.39478928704310257</v>
      </c>
      <c r="V942" s="4">
        <v>15733.837890625</v>
      </c>
      <c r="W942" s="5">
        <f t="shared" si="59"/>
        <v>4.8922526041666581E-2</v>
      </c>
    </row>
    <row r="943" spans="1:23" x14ac:dyDescent="0.25">
      <c r="A943" t="s">
        <v>1311</v>
      </c>
      <c r="B943">
        <v>2018</v>
      </c>
      <c r="C943" t="s">
        <v>167</v>
      </c>
      <c r="D943" t="s">
        <v>890</v>
      </c>
      <c r="E943">
        <v>163027</v>
      </c>
      <c r="F943" t="s">
        <v>334</v>
      </c>
      <c r="G943" t="s">
        <v>23</v>
      </c>
      <c r="H943" t="s">
        <v>24</v>
      </c>
      <c r="I943" t="s">
        <v>25</v>
      </c>
      <c r="J943" s="2">
        <v>45692</v>
      </c>
      <c r="K943" t="s">
        <v>25</v>
      </c>
      <c r="L943">
        <v>44128</v>
      </c>
      <c r="M943">
        <v>264</v>
      </c>
      <c r="N943">
        <v>314</v>
      </c>
      <c r="O943" s="4">
        <v>9800</v>
      </c>
      <c r="P943" s="4">
        <v>2634.149169921875</v>
      </c>
      <c r="Q943" s="5">
        <f t="shared" si="56"/>
        <v>-0.73120926837531885</v>
      </c>
      <c r="R943" s="4">
        <v>2618.487874859155</v>
      </c>
      <c r="S943" s="5">
        <f t="shared" si="57"/>
        <v>-0.73280735970824951</v>
      </c>
      <c r="T943" s="4">
        <v>3908.8989738041009</v>
      </c>
      <c r="U943" s="5">
        <f t="shared" si="58"/>
        <v>-0.60113275777509179</v>
      </c>
      <c r="V943" s="4">
        <v>2575.91015625</v>
      </c>
      <c r="W943" s="5">
        <f t="shared" si="59"/>
        <v>-0.73715202487244902</v>
      </c>
    </row>
    <row r="944" spans="1:23" x14ac:dyDescent="0.25">
      <c r="A944" t="s">
        <v>1312</v>
      </c>
      <c r="B944">
        <v>2017</v>
      </c>
      <c r="C944" t="s">
        <v>167</v>
      </c>
      <c r="D944" t="s">
        <v>890</v>
      </c>
      <c r="E944">
        <v>103801</v>
      </c>
      <c r="F944" t="s">
        <v>22</v>
      </c>
      <c r="G944" t="s">
        <v>23</v>
      </c>
      <c r="H944" t="s">
        <v>24</v>
      </c>
      <c r="I944" t="s">
        <v>25</v>
      </c>
      <c r="J944" s="2">
        <v>45566</v>
      </c>
      <c r="K944" t="s">
        <v>25</v>
      </c>
      <c r="L944">
        <v>44128</v>
      </c>
      <c r="M944">
        <v>264</v>
      </c>
      <c r="N944">
        <v>314</v>
      </c>
      <c r="O944" s="4">
        <v>5600</v>
      </c>
      <c r="P944" s="4">
        <v>4020.1708984375</v>
      </c>
      <c r="Q944" s="5">
        <f t="shared" si="56"/>
        <v>-0.28211233956473214</v>
      </c>
      <c r="R944" s="4">
        <v>3619.8090431986052</v>
      </c>
      <c r="S944" s="5">
        <f t="shared" si="57"/>
        <v>-0.35360552800024903</v>
      </c>
      <c r="T944" s="4">
        <v>4627.8173174847534</v>
      </c>
      <c r="U944" s="5">
        <f t="shared" si="58"/>
        <v>-0.17360405044915117</v>
      </c>
      <c r="V944" s="4">
        <v>4080.486572265625</v>
      </c>
      <c r="W944" s="5">
        <f t="shared" si="59"/>
        <v>-0.27134168352399557</v>
      </c>
    </row>
    <row r="945" spans="1:23" x14ac:dyDescent="0.25">
      <c r="A945" t="s">
        <v>1313</v>
      </c>
      <c r="B945">
        <v>2012</v>
      </c>
      <c r="C945" t="s">
        <v>167</v>
      </c>
      <c r="D945" t="s">
        <v>188</v>
      </c>
      <c r="E945">
        <v>108364</v>
      </c>
      <c r="F945" t="s">
        <v>58</v>
      </c>
      <c r="G945" t="s">
        <v>30</v>
      </c>
      <c r="H945" t="s">
        <v>24</v>
      </c>
      <c r="I945" t="s">
        <v>25</v>
      </c>
      <c r="J945" s="2">
        <v>45309</v>
      </c>
      <c r="K945" t="s">
        <v>25</v>
      </c>
      <c r="L945">
        <v>44128</v>
      </c>
      <c r="M945">
        <v>264</v>
      </c>
      <c r="N945">
        <v>314</v>
      </c>
      <c r="O945" s="4">
        <v>8000</v>
      </c>
      <c r="P945" s="4">
        <v>2068.842529296875</v>
      </c>
      <c r="Q945" s="5">
        <f t="shared" si="56"/>
        <v>-0.74139468383789064</v>
      </c>
      <c r="R945" s="4">
        <v>2081.427491166125</v>
      </c>
      <c r="S945" s="5">
        <f t="shared" si="57"/>
        <v>-0.73982156360423434</v>
      </c>
      <c r="T945" s="4">
        <v>3414.2864249466061</v>
      </c>
      <c r="U945" s="5">
        <f t="shared" si="58"/>
        <v>-0.57321419688167419</v>
      </c>
      <c r="V945" s="4">
        <v>2027.951782226562</v>
      </c>
      <c r="W945" s="5">
        <f t="shared" si="59"/>
        <v>-0.74650602722167969</v>
      </c>
    </row>
    <row r="946" spans="1:23" x14ac:dyDescent="0.25">
      <c r="A946" t="s">
        <v>1314</v>
      </c>
      <c r="B946">
        <v>2014</v>
      </c>
      <c r="C946" t="s">
        <v>167</v>
      </c>
      <c r="D946" t="s">
        <v>188</v>
      </c>
      <c r="E946">
        <v>188973</v>
      </c>
      <c r="F946" t="s">
        <v>82</v>
      </c>
      <c r="G946" t="s">
        <v>30</v>
      </c>
      <c r="H946" t="s">
        <v>24</v>
      </c>
      <c r="I946" t="s">
        <v>25</v>
      </c>
      <c r="J946" s="2">
        <v>45617</v>
      </c>
      <c r="K946" t="s">
        <v>25</v>
      </c>
      <c r="L946">
        <v>44128</v>
      </c>
      <c r="M946">
        <v>264</v>
      </c>
      <c r="N946">
        <v>314</v>
      </c>
      <c r="O946" s="4">
        <v>2000</v>
      </c>
      <c r="P946" s="4">
        <v>1195.371459960938</v>
      </c>
      <c r="Q946" s="5">
        <f t="shared" si="56"/>
        <v>-0.40231427001953102</v>
      </c>
      <c r="R946" s="4">
        <v>1388.8681411878929</v>
      </c>
      <c r="S946" s="5">
        <f t="shared" si="57"/>
        <v>-0.30556592940605354</v>
      </c>
      <c r="T946" s="4">
        <v>1765.094962853447</v>
      </c>
      <c r="U946" s="5">
        <f t="shared" si="58"/>
        <v>-0.11745251857327654</v>
      </c>
      <c r="V946" s="4">
        <v>1266.311401367188</v>
      </c>
      <c r="W946" s="5">
        <f t="shared" si="59"/>
        <v>-0.36684429931640605</v>
      </c>
    </row>
    <row r="947" spans="1:23" x14ac:dyDescent="0.25">
      <c r="A947" t="s">
        <v>1315</v>
      </c>
      <c r="B947">
        <v>2019</v>
      </c>
      <c r="C947" t="s">
        <v>167</v>
      </c>
      <c r="D947" t="s">
        <v>893</v>
      </c>
      <c r="E947">
        <v>94572</v>
      </c>
      <c r="F947" t="s">
        <v>82</v>
      </c>
      <c r="G947" t="s">
        <v>30</v>
      </c>
      <c r="H947" t="s">
        <v>24</v>
      </c>
      <c r="I947" t="s">
        <v>25</v>
      </c>
      <c r="J947" s="2">
        <v>45622</v>
      </c>
      <c r="K947" t="s">
        <v>25</v>
      </c>
      <c r="L947">
        <v>44128</v>
      </c>
      <c r="M947">
        <v>264</v>
      </c>
      <c r="N947">
        <v>314</v>
      </c>
      <c r="O947" s="4">
        <v>16100</v>
      </c>
      <c r="P947" s="4">
        <v>5549.03662109375</v>
      </c>
      <c r="Q947" s="5">
        <f t="shared" si="56"/>
        <v>-0.65533934030473606</v>
      </c>
      <c r="R947" s="4">
        <v>5886.65502770277</v>
      </c>
      <c r="S947" s="5">
        <f t="shared" si="57"/>
        <v>-0.63436925293771618</v>
      </c>
      <c r="T947" s="4">
        <v>6140.635296474049</v>
      </c>
      <c r="U947" s="5">
        <f t="shared" si="58"/>
        <v>-0.61859408096434476</v>
      </c>
      <c r="V947" s="4">
        <v>5612.6533203125</v>
      </c>
      <c r="W947" s="5">
        <f t="shared" si="59"/>
        <v>-0.65138799252717394</v>
      </c>
    </row>
    <row r="948" spans="1:23" x14ac:dyDescent="0.25">
      <c r="A948" t="s">
        <v>1316</v>
      </c>
      <c r="B948">
        <v>2014</v>
      </c>
      <c r="C948" t="s">
        <v>167</v>
      </c>
      <c r="D948" t="s">
        <v>555</v>
      </c>
      <c r="E948">
        <v>112790</v>
      </c>
      <c r="F948" t="s">
        <v>334</v>
      </c>
      <c r="G948" t="s">
        <v>34</v>
      </c>
      <c r="H948" t="s">
        <v>25</v>
      </c>
      <c r="I948" t="s">
        <v>24</v>
      </c>
      <c r="J948" s="2">
        <v>45482</v>
      </c>
      <c r="K948" t="s">
        <v>25</v>
      </c>
      <c r="L948">
        <v>44128</v>
      </c>
      <c r="M948">
        <v>264</v>
      </c>
      <c r="N948">
        <v>314</v>
      </c>
      <c r="O948" s="4">
        <v>500</v>
      </c>
      <c r="P948" s="4">
        <v>2455.76123046875</v>
      </c>
      <c r="Q948" s="5">
        <f t="shared" si="56"/>
        <v>3.9115224609375003</v>
      </c>
      <c r="R948" s="4">
        <v>2917.9350293572129</v>
      </c>
      <c r="S948" s="5">
        <f t="shared" si="57"/>
        <v>4.8358700587144261</v>
      </c>
      <c r="T948" s="4">
        <v>2452.9645293373801</v>
      </c>
      <c r="U948" s="5">
        <f t="shared" si="58"/>
        <v>3.9059290586747606</v>
      </c>
      <c r="V948" s="4">
        <v>2370.99560546875</v>
      </c>
      <c r="W948" s="5">
        <f t="shared" si="59"/>
        <v>3.7419912109375</v>
      </c>
    </row>
    <row r="949" spans="1:23" x14ac:dyDescent="0.25">
      <c r="A949" t="s">
        <v>1317</v>
      </c>
      <c r="B949">
        <v>2017</v>
      </c>
      <c r="C949" t="s">
        <v>167</v>
      </c>
      <c r="D949" t="s">
        <v>293</v>
      </c>
      <c r="E949">
        <v>200754</v>
      </c>
      <c r="F949" t="s">
        <v>89</v>
      </c>
      <c r="G949" t="s">
        <v>30</v>
      </c>
      <c r="H949" t="s">
        <v>24</v>
      </c>
      <c r="I949" t="s">
        <v>25</v>
      </c>
      <c r="J949" s="2">
        <v>45351</v>
      </c>
      <c r="K949" t="s">
        <v>25</v>
      </c>
      <c r="L949">
        <v>44128</v>
      </c>
      <c r="M949">
        <v>264</v>
      </c>
      <c r="N949">
        <v>314</v>
      </c>
      <c r="O949" s="4">
        <v>6200</v>
      </c>
      <c r="P949" s="4">
        <v>2039.456787109375</v>
      </c>
      <c r="Q949" s="5">
        <f t="shared" si="56"/>
        <v>-0.67105535691784279</v>
      </c>
      <c r="R949" s="4">
        <v>1502.995043901034</v>
      </c>
      <c r="S949" s="5">
        <f t="shared" si="57"/>
        <v>-0.75758144453209131</v>
      </c>
      <c r="T949" s="4">
        <v>1398.472654324991</v>
      </c>
      <c r="U949" s="5">
        <f t="shared" si="58"/>
        <v>-0.77443989446371109</v>
      </c>
      <c r="V949" s="4">
        <v>1983.92919921875</v>
      </c>
      <c r="W949" s="5">
        <f t="shared" si="59"/>
        <v>-0.68001141948084676</v>
      </c>
    </row>
    <row r="950" spans="1:23" x14ac:dyDescent="0.25">
      <c r="A950" t="s">
        <v>1318</v>
      </c>
      <c r="B950">
        <v>2017</v>
      </c>
      <c r="C950" t="s">
        <v>167</v>
      </c>
      <c r="D950" t="s">
        <v>168</v>
      </c>
      <c r="E950">
        <v>86417</v>
      </c>
      <c r="F950" t="s">
        <v>37</v>
      </c>
      <c r="G950" t="s">
        <v>38</v>
      </c>
      <c r="H950" t="s">
        <v>25</v>
      </c>
      <c r="I950" t="s">
        <v>24</v>
      </c>
      <c r="J950" s="2">
        <v>45328</v>
      </c>
      <c r="K950" t="s">
        <v>25</v>
      </c>
      <c r="L950">
        <v>44128</v>
      </c>
      <c r="M950">
        <v>264</v>
      </c>
      <c r="N950">
        <v>314</v>
      </c>
      <c r="O950" s="4">
        <v>5600</v>
      </c>
      <c r="P950" s="4">
        <v>5289.28271484375</v>
      </c>
      <c r="Q950" s="5">
        <f t="shared" si="56"/>
        <v>-5.5485229492187482E-2</v>
      </c>
      <c r="R950" s="4">
        <v>7069.1763671373283</v>
      </c>
      <c r="S950" s="5">
        <f t="shared" si="57"/>
        <v>0.26235292270309429</v>
      </c>
      <c r="T950" s="4">
        <v>5855.2789957917503</v>
      </c>
      <c r="U950" s="5">
        <f t="shared" si="58"/>
        <v>4.558553496281248E-2</v>
      </c>
      <c r="V950" s="4">
        <v>4809.88134765625</v>
      </c>
      <c r="W950" s="5">
        <f t="shared" si="59"/>
        <v>-0.1410926164899553</v>
      </c>
    </row>
    <row r="951" spans="1:23" x14ac:dyDescent="0.25">
      <c r="A951" t="s">
        <v>1319</v>
      </c>
      <c r="B951">
        <v>2012</v>
      </c>
      <c r="C951" t="s">
        <v>167</v>
      </c>
      <c r="D951" t="s">
        <v>168</v>
      </c>
      <c r="E951">
        <v>87503</v>
      </c>
      <c r="F951" t="s">
        <v>37</v>
      </c>
      <c r="G951" t="s">
        <v>38</v>
      </c>
      <c r="H951" t="s">
        <v>25</v>
      </c>
      <c r="I951" t="s">
        <v>24</v>
      </c>
      <c r="J951" s="2">
        <v>45566</v>
      </c>
      <c r="K951" t="s">
        <v>25</v>
      </c>
      <c r="L951">
        <v>44128</v>
      </c>
      <c r="M951">
        <v>264</v>
      </c>
      <c r="N951">
        <v>314</v>
      </c>
      <c r="O951" s="4">
        <v>1600</v>
      </c>
      <c r="P951" s="4">
        <v>3020.8935546875</v>
      </c>
      <c r="Q951" s="5">
        <f t="shared" si="56"/>
        <v>0.88805847167968754</v>
      </c>
      <c r="R951" s="4">
        <v>3806.1014697138899</v>
      </c>
      <c r="S951" s="5">
        <f t="shared" si="57"/>
        <v>1.3788134185711813</v>
      </c>
      <c r="T951" s="4">
        <v>3626.0936457401131</v>
      </c>
      <c r="U951" s="5">
        <f t="shared" si="58"/>
        <v>1.2663085285875706</v>
      </c>
      <c r="V951" s="4">
        <v>2663.497314453125</v>
      </c>
      <c r="W951" s="5">
        <f t="shared" si="59"/>
        <v>0.66468582153320321</v>
      </c>
    </row>
    <row r="952" spans="1:23" x14ac:dyDescent="0.25">
      <c r="A952" t="s">
        <v>1320</v>
      </c>
      <c r="B952">
        <v>2016</v>
      </c>
      <c r="C952" t="s">
        <v>167</v>
      </c>
      <c r="D952" t="s">
        <v>171</v>
      </c>
      <c r="E952">
        <v>121073</v>
      </c>
      <c r="F952" t="s">
        <v>82</v>
      </c>
      <c r="G952" t="s">
        <v>23</v>
      </c>
      <c r="H952" t="s">
        <v>24</v>
      </c>
      <c r="I952" t="s">
        <v>25</v>
      </c>
      <c r="J952" s="2">
        <v>45673</v>
      </c>
      <c r="K952" t="s">
        <v>25</v>
      </c>
      <c r="L952">
        <v>44128</v>
      </c>
      <c r="M952">
        <v>264</v>
      </c>
      <c r="N952">
        <v>314</v>
      </c>
      <c r="O952" s="4">
        <v>4800</v>
      </c>
      <c r="P952" s="4">
        <v>2609.81884765625</v>
      </c>
      <c r="Q952" s="5">
        <f t="shared" si="56"/>
        <v>-0.45628774007161454</v>
      </c>
      <c r="R952" s="4">
        <v>2743.9215036891992</v>
      </c>
      <c r="S952" s="5">
        <f t="shared" si="57"/>
        <v>-0.42834968673141682</v>
      </c>
      <c r="T952" s="4">
        <v>3022.9225006352899</v>
      </c>
      <c r="U952" s="5">
        <f t="shared" si="58"/>
        <v>-0.37022447903431466</v>
      </c>
      <c r="V952" s="4">
        <v>2569.691650390625</v>
      </c>
      <c r="W952" s="5">
        <f t="shared" si="59"/>
        <v>-0.46464757283528646</v>
      </c>
    </row>
    <row r="953" spans="1:23" x14ac:dyDescent="0.25">
      <c r="A953" t="s">
        <v>1321</v>
      </c>
      <c r="B953">
        <v>2016</v>
      </c>
      <c r="C953" t="s">
        <v>156</v>
      </c>
      <c r="D953" t="s">
        <v>157</v>
      </c>
      <c r="E953">
        <v>143111</v>
      </c>
      <c r="F953" t="s">
        <v>37</v>
      </c>
      <c r="G953" t="s">
        <v>30</v>
      </c>
      <c r="H953" t="s">
        <v>24</v>
      </c>
      <c r="I953" t="s">
        <v>25</v>
      </c>
      <c r="J953" s="2">
        <v>45596</v>
      </c>
      <c r="K953" t="s">
        <v>25</v>
      </c>
      <c r="L953">
        <v>44128</v>
      </c>
      <c r="M953">
        <v>264</v>
      </c>
      <c r="N953">
        <v>314</v>
      </c>
      <c r="O953" s="4">
        <v>6900</v>
      </c>
      <c r="P953" s="4">
        <v>2206.98046875</v>
      </c>
      <c r="Q953" s="5">
        <f t="shared" si="56"/>
        <v>-0.68014775815217399</v>
      </c>
      <c r="R953" s="4">
        <v>3826.5335781736781</v>
      </c>
      <c r="S953" s="5">
        <f t="shared" si="57"/>
        <v>-0.44542991620671335</v>
      </c>
      <c r="T953" s="4">
        <v>3403.5927999690662</v>
      </c>
      <c r="U953" s="5">
        <f t="shared" si="58"/>
        <v>-0.50672568116390337</v>
      </c>
      <c r="V953" s="4">
        <v>2088.692138671875</v>
      </c>
      <c r="W953" s="5">
        <f t="shared" si="59"/>
        <v>-0.69729099439538045</v>
      </c>
    </row>
    <row r="954" spans="1:23" x14ac:dyDescent="0.25">
      <c r="A954" t="s">
        <v>1322</v>
      </c>
      <c r="B954">
        <v>2016</v>
      </c>
      <c r="C954" t="s">
        <v>156</v>
      </c>
      <c r="D954" t="s">
        <v>157</v>
      </c>
      <c r="E954">
        <v>85996</v>
      </c>
      <c r="F954" t="s">
        <v>115</v>
      </c>
      <c r="G954" t="s">
        <v>30</v>
      </c>
      <c r="H954" t="s">
        <v>24</v>
      </c>
      <c r="I954" t="s">
        <v>25</v>
      </c>
      <c r="J954" s="2">
        <v>45365</v>
      </c>
      <c r="K954" t="s">
        <v>25</v>
      </c>
      <c r="L954">
        <v>44128</v>
      </c>
      <c r="M954">
        <v>264</v>
      </c>
      <c r="N954">
        <v>314</v>
      </c>
      <c r="O954" s="4">
        <v>3400</v>
      </c>
      <c r="P954" s="4">
        <v>3849.5849609375</v>
      </c>
      <c r="Q954" s="5">
        <f t="shared" si="56"/>
        <v>0.13223087086397056</v>
      </c>
      <c r="R954" s="4">
        <v>4218.0376915903362</v>
      </c>
      <c r="S954" s="5">
        <f t="shared" si="57"/>
        <v>0.24059932105598114</v>
      </c>
      <c r="T954" s="4">
        <v>4498.6559089129969</v>
      </c>
      <c r="U954" s="5">
        <f t="shared" si="58"/>
        <v>0.3231340908567637</v>
      </c>
      <c r="V954" s="4">
        <v>3678.55517578125</v>
      </c>
      <c r="W954" s="5">
        <f t="shared" si="59"/>
        <v>8.1927992876838163E-2</v>
      </c>
    </row>
    <row r="955" spans="1:23" x14ac:dyDescent="0.25">
      <c r="A955" t="s">
        <v>1323</v>
      </c>
      <c r="B955">
        <v>2014</v>
      </c>
      <c r="C955" t="s">
        <v>156</v>
      </c>
      <c r="D955" t="s">
        <v>1324</v>
      </c>
      <c r="E955">
        <v>129316</v>
      </c>
      <c r="F955" t="s">
        <v>82</v>
      </c>
      <c r="G955" t="s">
        <v>30</v>
      </c>
      <c r="H955" t="s">
        <v>24</v>
      </c>
      <c r="I955" t="s">
        <v>25</v>
      </c>
      <c r="J955" s="2">
        <v>45300</v>
      </c>
      <c r="K955" t="s">
        <v>25</v>
      </c>
      <c r="L955">
        <v>44128</v>
      </c>
      <c r="M955">
        <v>264</v>
      </c>
      <c r="N955">
        <v>314</v>
      </c>
      <c r="O955" s="4">
        <v>6100</v>
      </c>
      <c r="P955" s="4">
        <v>1745.176025390625</v>
      </c>
      <c r="Q955" s="5">
        <f t="shared" si="56"/>
        <v>-0.71390556960809426</v>
      </c>
      <c r="R955" s="4">
        <v>1500.11881871729</v>
      </c>
      <c r="S955" s="5">
        <f t="shared" si="57"/>
        <v>-0.75407888217749341</v>
      </c>
      <c r="T955" s="4">
        <v>2629.8734423206579</v>
      </c>
      <c r="U955" s="5">
        <f t="shared" si="58"/>
        <v>-0.56887320617694126</v>
      </c>
      <c r="V955" s="4">
        <v>1635.911376953125</v>
      </c>
      <c r="W955" s="5">
        <f t="shared" si="59"/>
        <v>-0.73181780705686483</v>
      </c>
    </row>
    <row r="956" spans="1:23" x14ac:dyDescent="0.25">
      <c r="A956" t="s">
        <v>1325</v>
      </c>
      <c r="B956">
        <v>2018</v>
      </c>
      <c r="C956" t="s">
        <v>156</v>
      </c>
      <c r="D956" t="s">
        <v>196</v>
      </c>
      <c r="E956">
        <v>96574</v>
      </c>
      <c r="F956" t="s">
        <v>82</v>
      </c>
      <c r="G956" t="s">
        <v>30</v>
      </c>
      <c r="H956" t="s">
        <v>24</v>
      </c>
      <c r="I956" t="s">
        <v>25</v>
      </c>
      <c r="J956" s="2">
        <v>45400</v>
      </c>
      <c r="K956" t="s">
        <v>25</v>
      </c>
      <c r="L956">
        <v>44128</v>
      </c>
      <c r="M956">
        <v>264</v>
      </c>
      <c r="N956">
        <v>314</v>
      </c>
      <c r="O956" s="4">
        <v>5200</v>
      </c>
      <c r="P956" s="4">
        <v>4843.0654296875</v>
      </c>
      <c r="Q956" s="5">
        <f t="shared" si="56"/>
        <v>-6.8641263521634577E-2</v>
      </c>
      <c r="R956" s="4">
        <v>3966.9792443611532</v>
      </c>
      <c r="S956" s="5">
        <f t="shared" si="57"/>
        <v>-0.2371193760843936</v>
      </c>
      <c r="T956" s="4">
        <v>4276.678136350477</v>
      </c>
      <c r="U956" s="5">
        <f t="shared" si="58"/>
        <v>-0.17756189685567747</v>
      </c>
      <c r="V956" s="4">
        <v>4768.3359375</v>
      </c>
      <c r="W956" s="5">
        <f t="shared" si="59"/>
        <v>-8.301231971153844E-2</v>
      </c>
    </row>
    <row r="957" spans="1:23" x14ac:dyDescent="0.25">
      <c r="A957" t="s">
        <v>1326</v>
      </c>
      <c r="B957">
        <v>2017</v>
      </c>
      <c r="C957" t="s">
        <v>156</v>
      </c>
      <c r="D957" t="s">
        <v>1327</v>
      </c>
      <c r="E957">
        <v>94427</v>
      </c>
      <c r="F957" t="s">
        <v>37</v>
      </c>
      <c r="G957" t="s">
        <v>38</v>
      </c>
      <c r="H957" t="s">
        <v>25</v>
      </c>
      <c r="I957" t="s">
        <v>24</v>
      </c>
      <c r="J957" s="2">
        <v>45449</v>
      </c>
      <c r="K957" t="s">
        <v>25</v>
      </c>
      <c r="L957">
        <v>44128</v>
      </c>
      <c r="M957">
        <v>264</v>
      </c>
      <c r="N957">
        <v>314</v>
      </c>
      <c r="O957" s="4">
        <v>2900</v>
      </c>
      <c r="P957" s="4">
        <v>4313.47412109375</v>
      </c>
      <c r="Q957" s="5">
        <f t="shared" si="56"/>
        <v>0.48740486934267246</v>
      </c>
      <c r="R957" s="4">
        <v>6666.9906433465021</v>
      </c>
      <c r="S957" s="5">
        <f t="shared" si="57"/>
        <v>1.2989622908091385</v>
      </c>
      <c r="T957" s="4">
        <v>8757.3099021700546</v>
      </c>
      <c r="U957" s="5">
        <f t="shared" si="58"/>
        <v>2.0197620352310532</v>
      </c>
      <c r="V957" s="4">
        <v>3785.300537109375</v>
      </c>
      <c r="W957" s="5">
        <f t="shared" si="59"/>
        <v>0.30527604727909474</v>
      </c>
    </row>
    <row r="958" spans="1:23" x14ac:dyDescent="0.25">
      <c r="A958" t="s">
        <v>1328</v>
      </c>
      <c r="B958">
        <v>2016</v>
      </c>
      <c r="C958" t="s">
        <v>185</v>
      </c>
      <c r="D958" t="s">
        <v>905</v>
      </c>
      <c r="E958">
        <v>105850</v>
      </c>
      <c r="F958" t="s">
        <v>37</v>
      </c>
      <c r="G958" t="s">
        <v>30</v>
      </c>
      <c r="H958" t="s">
        <v>24</v>
      </c>
      <c r="I958" t="s">
        <v>25</v>
      </c>
      <c r="J958" s="2">
        <v>45449</v>
      </c>
      <c r="K958" t="s">
        <v>25</v>
      </c>
      <c r="L958">
        <v>44128</v>
      </c>
      <c r="M958">
        <v>264</v>
      </c>
      <c r="N958">
        <v>314</v>
      </c>
      <c r="O958" s="4">
        <v>10800</v>
      </c>
      <c r="P958" s="4">
        <v>3621.391845703125</v>
      </c>
      <c r="Q958" s="5">
        <f t="shared" si="56"/>
        <v>-0.66468594021267369</v>
      </c>
      <c r="R958" s="4">
        <v>5738.6703012254047</v>
      </c>
      <c r="S958" s="5">
        <f t="shared" si="57"/>
        <v>-0.46864163877542553</v>
      </c>
      <c r="T958" s="4">
        <v>7231.8000458213392</v>
      </c>
      <c r="U958" s="5">
        <f t="shared" si="58"/>
        <v>-0.33038888464617233</v>
      </c>
      <c r="V958" s="4">
        <v>3177.244140625</v>
      </c>
      <c r="W958" s="5">
        <f t="shared" si="59"/>
        <v>-0.70581072771990738</v>
      </c>
    </row>
    <row r="959" spans="1:23" x14ac:dyDescent="0.25">
      <c r="A959" t="s">
        <v>1329</v>
      </c>
      <c r="B959">
        <v>2018</v>
      </c>
      <c r="C959" t="s">
        <v>202</v>
      </c>
      <c r="D959" t="s">
        <v>1330</v>
      </c>
      <c r="E959">
        <v>99811</v>
      </c>
      <c r="F959" t="s">
        <v>102</v>
      </c>
      <c r="G959" t="s">
        <v>44</v>
      </c>
      <c r="H959" t="s">
        <v>25</v>
      </c>
      <c r="I959" t="s">
        <v>24</v>
      </c>
      <c r="J959" s="2">
        <v>45468</v>
      </c>
      <c r="K959" t="s">
        <v>25</v>
      </c>
      <c r="L959">
        <v>44128</v>
      </c>
      <c r="M959">
        <v>264</v>
      </c>
      <c r="N959">
        <v>314</v>
      </c>
      <c r="O959" s="4">
        <v>5950</v>
      </c>
      <c r="P959" s="4">
        <v>12547.1591796875</v>
      </c>
      <c r="Q959" s="5">
        <f t="shared" si="56"/>
        <v>1.1087662486869747</v>
      </c>
      <c r="R959" s="4">
        <v>12753.72087828996</v>
      </c>
      <c r="S959" s="5">
        <f t="shared" si="57"/>
        <v>1.1434825005529343</v>
      </c>
      <c r="T959" s="4">
        <v>10722.06733265249</v>
      </c>
      <c r="U959" s="5">
        <f t="shared" si="58"/>
        <v>0.80202812313487226</v>
      </c>
      <c r="V959" s="4">
        <v>12581.2236328125</v>
      </c>
      <c r="W959" s="5">
        <f t="shared" si="59"/>
        <v>1.1144913668592435</v>
      </c>
    </row>
    <row r="960" spans="1:23" x14ac:dyDescent="0.25">
      <c r="A960" t="s">
        <v>1331</v>
      </c>
      <c r="B960">
        <v>2018</v>
      </c>
      <c r="C960" t="s">
        <v>53</v>
      </c>
      <c r="D960" t="s">
        <v>485</v>
      </c>
      <c r="E960">
        <v>67136</v>
      </c>
      <c r="F960" t="s">
        <v>115</v>
      </c>
      <c r="G960" t="s">
        <v>34</v>
      </c>
      <c r="H960" t="s">
        <v>25</v>
      </c>
      <c r="I960" t="s">
        <v>24</v>
      </c>
      <c r="J960" s="2">
        <v>45678</v>
      </c>
      <c r="K960" t="s">
        <v>25</v>
      </c>
      <c r="L960">
        <v>44128</v>
      </c>
      <c r="M960">
        <v>264</v>
      </c>
      <c r="N960">
        <v>314</v>
      </c>
      <c r="O960" s="4">
        <v>11800</v>
      </c>
      <c r="P960" s="4">
        <v>9821.3291015625</v>
      </c>
      <c r="Q960" s="5">
        <f t="shared" si="56"/>
        <v>-0.16768397444385597</v>
      </c>
      <c r="R960" s="4">
        <v>9836.9199933396067</v>
      </c>
      <c r="S960" s="5">
        <f t="shared" si="57"/>
        <v>-0.16636271242884693</v>
      </c>
      <c r="T960" s="4">
        <v>8539.0036932663625</v>
      </c>
      <c r="U960" s="5">
        <f t="shared" si="58"/>
        <v>-0.27635561921471508</v>
      </c>
      <c r="V960" s="4">
        <v>9762.3056640625</v>
      </c>
      <c r="W960" s="5">
        <f t="shared" si="59"/>
        <v>-0.1726859606726695</v>
      </c>
    </row>
    <row r="961" spans="1:23" x14ac:dyDescent="0.25">
      <c r="A961" t="s">
        <v>1332</v>
      </c>
      <c r="B961">
        <v>2018</v>
      </c>
      <c r="C961" t="s">
        <v>53</v>
      </c>
      <c r="D961" t="s">
        <v>485</v>
      </c>
      <c r="E961">
        <v>67735</v>
      </c>
      <c r="F961" t="s">
        <v>79</v>
      </c>
      <c r="G961" t="s">
        <v>30</v>
      </c>
      <c r="H961" t="s">
        <v>24</v>
      </c>
      <c r="I961" t="s">
        <v>25</v>
      </c>
      <c r="J961" s="2">
        <v>45580</v>
      </c>
      <c r="K961" t="s">
        <v>25</v>
      </c>
      <c r="L961">
        <v>44128</v>
      </c>
      <c r="M961">
        <v>264</v>
      </c>
      <c r="N961">
        <v>314</v>
      </c>
      <c r="O961" s="4">
        <v>10500</v>
      </c>
      <c r="P961" s="4">
        <v>9821.3291015625</v>
      </c>
      <c r="Q961" s="5">
        <f t="shared" si="56"/>
        <v>-6.4635323660714339E-2</v>
      </c>
      <c r="R961" s="4">
        <v>9836.9199933396067</v>
      </c>
      <c r="S961" s="5">
        <f t="shared" si="57"/>
        <v>-6.3150476824799351E-2</v>
      </c>
      <c r="T961" s="4">
        <v>8539.0036932663625</v>
      </c>
      <c r="U961" s="5">
        <f t="shared" si="58"/>
        <v>-0.18676155302225117</v>
      </c>
      <c r="V961" s="4">
        <v>9762.3056640625</v>
      </c>
      <c r="W961" s="5">
        <f t="shared" si="59"/>
        <v>-7.0256603422619079E-2</v>
      </c>
    </row>
    <row r="962" spans="1:23" x14ac:dyDescent="0.25">
      <c r="A962" t="s">
        <v>1333</v>
      </c>
      <c r="B962">
        <v>2019</v>
      </c>
      <c r="C962" t="s">
        <v>53</v>
      </c>
      <c r="D962" t="s">
        <v>1334</v>
      </c>
      <c r="E962">
        <v>86419</v>
      </c>
      <c r="F962" t="s">
        <v>660</v>
      </c>
      <c r="G962" t="s">
        <v>85</v>
      </c>
      <c r="H962" t="s">
        <v>24</v>
      </c>
      <c r="I962" t="s">
        <v>25</v>
      </c>
      <c r="J962" s="2">
        <v>45596</v>
      </c>
      <c r="K962" t="s">
        <v>25</v>
      </c>
      <c r="L962">
        <v>44128</v>
      </c>
      <c r="M962">
        <v>264</v>
      </c>
      <c r="N962">
        <v>314</v>
      </c>
      <c r="O962" s="4">
        <v>10494.258373205699</v>
      </c>
      <c r="P962" s="4">
        <v>14439.5908203125</v>
      </c>
      <c r="Q962" s="5">
        <f t="shared" si="56"/>
        <v>0.37595152575813828</v>
      </c>
      <c r="R962" s="4">
        <v>13662.742475772689</v>
      </c>
      <c r="S962" s="5">
        <f t="shared" si="57"/>
        <v>0.30192549010007919</v>
      </c>
      <c r="T962" s="4">
        <v>23113.799881153409</v>
      </c>
      <c r="U962" s="5">
        <f t="shared" si="58"/>
        <v>1.2025186591716053</v>
      </c>
      <c r="V962" s="4">
        <v>14576.5009765625</v>
      </c>
      <c r="W962" s="5">
        <f t="shared" si="59"/>
        <v>0.3889977222001435</v>
      </c>
    </row>
    <row r="963" spans="1:23" x14ac:dyDescent="0.25">
      <c r="A963" t="s">
        <v>1335</v>
      </c>
      <c r="B963">
        <v>2017</v>
      </c>
      <c r="C963" t="s">
        <v>774</v>
      </c>
      <c r="D963" t="s">
        <v>1336</v>
      </c>
      <c r="E963">
        <v>106113</v>
      </c>
      <c r="F963" t="s">
        <v>141</v>
      </c>
      <c r="G963" t="s">
        <v>30</v>
      </c>
      <c r="H963" t="s">
        <v>24</v>
      </c>
      <c r="I963" t="s">
        <v>25</v>
      </c>
      <c r="J963" s="2">
        <v>45622</v>
      </c>
      <c r="K963" t="s">
        <v>25</v>
      </c>
      <c r="L963">
        <v>44128</v>
      </c>
      <c r="M963">
        <v>264</v>
      </c>
      <c r="N963">
        <v>314</v>
      </c>
      <c r="O963" s="4">
        <v>12300</v>
      </c>
      <c r="P963" s="4">
        <v>8466.501953125</v>
      </c>
      <c r="Q963" s="5">
        <f t="shared" ref="Q963:Q1026" si="60">(P963/$O963)-1</f>
        <v>-0.31166650787601624</v>
      </c>
      <c r="R963" s="4">
        <v>8712.0860834357118</v>
      </c>
      <c r="S963" s="5">
        <f t="shared" ref="S963:S1026" si="61">(R963/$O963)-1</f>
        <v>-0.29170031841986088</v>
      </c>
      <c r="T963" s="4">
        <v>6756.6551426322821</v>
      </c>
      <c r="U963" s="5">
        <f t="shared" ref="U963:U1026" si="62">(T963/$O963)-1</f>
        <v>-0.45067844368843235</v>
      </c>
      <c r="V963" s="4">
        <v>8444.8779296875</v>
      </c>
      <c r="W963" s="5">
        <f t="shared" ref="W963:W1026" si="63">(V963/$O963)-1</f>
        <v>-0.31342455856199192</v>
      </c>
    </row>
    <row r="964" spans="1:23" x14ac:dyDescent="0.25">
      <c r="A964" t="s">
        <v>1337</v>
      </c>
      <c r="B964">
        <v>2011</v>
      </c>
      <c r="C964" t="s">
        <v>91</v>
      </c>
      <c r="D964" t="s">
        <v>130</v>
      </c>
      <c r="E964">
        <v>66611</v>
      </c>
      <c r="F964" t="s">
        <v>48</v>
      </c>
      <c r="G964" t="s">
        <v>34</v>
      </c>
      <c r="H964" t="s">
        <v>25</v>
      </c>
      <c r="I964" t="s">
        <v>24</v>
      </c>
      <c r="J964" s="2">
        <v>45720</v>
      </c>
      <c r="K964" t="s">
        <v>25</v>
      </c>
      <c r="L964">
        <v>44128</v>
      </c>
      <c r="M964">
        <v>264</v>
      </c>
      <c r="N964">
        <v>314</v>
      </c>
      <c r="O964" s="4">
        <v>4900</v>
      </c>
      <c r="P964" s="4">
        <v>4303.2451171875</v>
      </c>
      <c r="Q964" s="5">
        <f t="shared" si="60"/>
        <v>-0.12178671077806125</v>
      </c>
      <c r="R964" s="4">
        <v>6147.1474238457668</v>
      </c>
      <c r="S964" s="5">
        <f t="shared" si="61"/>
        <v>0.25451988241750345</v>
      </c>
      <c r="T964" s="4">
        <v>6229.0777613366154</v>
      </c>
      <c r="U964" s="5">
        <f t="shared" si="62"/>
        <v>0.27124035945645208</v>
      </c>
      <c r="V964" s="4">
        <v>3863.3916015625</v>
      </c>
      <c r="W964" s="5">
        <f t="shared" si="63"/>
        <v>-0.211552734375</v>
      </c>
    </row>
    <row r="965" spans="1:23" x14ac:dyDescent="0.25">
      <c r="A965" t="s">
        <v>1338</v>
      </c>
      <c r="B965">
        <v>2019</v>
      </c>
      <c r="C965" t="s">
        <v>487</v>
      </c>
      <c r="D965" t="s">
        <v>1339</v>
      </c>
      <c r="E965">
        <v>39802</v>
      </c>
      <c r="F965" t="s">
        <v>174</v>
      </c>
      <c r="G965" t="s">
        <v>44</v>
      </c>
      <c r="H965" t="s">
        <v>25</v>
      </c>
      <c r="I965" t="s">
        <v>24</v>
      </c>
      <c r="J965" s="2">
        <v>45454</v>
      </c>
      <c r="K965" t="s">
        <v>25</v>
      </c>
      <c r="L965">
        <v>44128</v>
      </c>
      <c r="M965">
        <v>264</v>
      </c>
      <c r="N965">
        <v>314</v>
      </c>
      <c r="O965" s="4">
        <v>23066.666666666701</v>
      </c>
      <c r="P965" s="4">
        <v>26772.9765625</v>
      </c>
      <c r="Q965" s="5">
        <f t="shared" si="60"/>
        <v>0.16067817467485379</v>
      </c>
      <c r="R965" s="4">
        <v>24902.387170920982</v>
      </c>
      <c r="S965" s="5">
        <f t="shared" si="61"/>
        <v>7.958325885495432E-2</v>
      </c>
      <c r="T965" s="4">
        <v>27311.405665318271</v>
      </c>
      <c r="U965" s="5">
        <f t="shared" si="62"/>
        <v>0.18402047682015454</v>
      </c>
      <c r="V965" s="4">
        <v>26829.287109375</v>
      </c>
      <c r="W965" s="5">
        <f t="shared" si="63"/>
        <v>0.16311938335440579</v>
      </c>
    </row>
    <row r="966" spans="1:23" x14ac:dyDescent="0.25">
      <c r="A966" t="s">
        <v>1340</v>
      </c>
      <c r="B966">
        <v>2018</v>
      </c>
      <c r="C966" t="s">
        <v>302</v>
      </c>
      <c r="D966" t="s">
        <v>922</v>
      </c>
      <c r="E966">
        <v>137222</v>
      </c>
      <c r="F966" t="s">
        <v>161</v>
      </c>
      <c r="G966" t="s">
        <v>38</v>
      </c>
      <c r="H966" t="s">
        <v>25</v>
      </c>
      <c r="I966" t="s">
        <v>24</v>
      </c>
      <c r="J966" s="2">
        <v>45722</v>
      </c>
      <c r="K966" t="s">
        <v>25</v>
      </c>
      <c r="L966">
        <v>44128</v>
      </c>
      <c r="M966">
        <v>264</v>
      </c>
      <c r="N966">
        <v>314</v>
      </c>
      <c r="O966" s="4">
        <v>5900</v>
      </c>
      <c r="P966" s="4">
        <v>10220.568359375</v>
      </c>
      <c r="Q966" s="5">
        <f t="shared" si="60"/>
        <v>0.73229972192796611</v>
      </c>
      <c r="R966" s="4">
        <v>11211.810881225911</v>
      </c>
      <c r="S966" s="5">
        <f t="shared" si="61"/>
        <v>0.9003069290213408</v>
      </c>
      <c r="T966" s="4">
        <v>12497.057860856359</v>
      </c>
      <c r="U966" s="5">
        <f t="shared" si="62"/>
        <v>1.1181454001451456</v>
      </c>
      <c r="V966" s="4">
        <v>9868.673828125</v>
      </c>
      <c r="W966" s="5">
        <f t="shared" si="63"/>
        <v>0.67265658103813553</v>
      </c>
    </row>
    <row r="967" spans="1:23" x14ac:dyDescent="0.25">
      <c r="A967" t="s">
        <v>1341</v>
      </c>
      <c r="B967">
        <v>2019</v>
      </c>
      <c r="C967" t="s">
        <v>302</v>
      </c>
      <c r="D967" t="s">
        <v>1342</v>
      </c>
      <c r="E967">
        <v>72122</v>
      </c>
      <c r="F967" t="s">
        <v>43</v>
      </c>
      <c r="G967" t="s">
        <v>44</v>
      </c>
      <c r="H967" t="s">
        <v>25</v>
      </c>
      <c r="I967" t="s">
        <v>24</v>
      </c>
      <c r="J967" s="2">
        <v>45496</v>
      </c>
      <c r="K967" t="s">
        <v>25</v>
      </c>
      <c r="L967">
        <v>44128</v>
      </c>
      <c r="M967">
        <v>264</v>
      </c>
      <c r="N967">
        <v>314</v>
      </c>
      <c r="O967" s="4">
        <v>9753.125</v>
      </c>
      <c r="P967" s="4">
        <v>16602.787109375</v>
      </c>
      <c r="Q967" s="5">
        <f t="shared" si="60"/>
        <v>0.70230434956744636</v>
      </c>
      <c r="R967" s="4">
        <v>17597.884983049378</v>
      </c>
      <c r="S967" s="5">
        <f t="shared" si="61"/>
        <v>0.80433296846389002</v>
      </c>
      <c r="T967" s="4">
        <v>14723.99369800471</v>
      </c>
      <c r="U967" s="5">
        <f t="shared" si="62"/>
        <v>0.50966933141989967</v>
      </c>
      <c r="V967" s="4">
        <v>16417.888671875</v>
      </c>
      <c r="W967" s="5">
        <f t="shared" si="63"/>
        <v>0.6833464834988785</v>
      </c>
    </row>
    <row r="968" spans="1:23" x14ac:dyDescent="0.25">
      <c r="A968" t="s">
        <v>1343</v>
      </c>
      <c r="B968">
        <v>2018</v>
      </c>
      <c r="C968" t="s">
        <v>302</v>
      </c>
      <c r="D968" t="s">
        <v>1344</v>
      </c>
      <c r="E968">
        <v>73541</v>
      </c>
      <c r="F968" t="s">
        <v>29</v>
      </c>
      <c r="G968" t="s">
        <v>34</v>
      </c>
      <c r="H968" t="s">
        <v>25</v>
      </c>
      <c r="I968" t="s">
        <v>24</v>
      </c>
      <c r="J968" s="2">
        <v>45636</v>
      </c>
      <c r="K968" t="s">
        <v>25</v>
      </c>
      <c r="L968">
        <v>44128</v>
      </c>
      <c r="M968">
        <v>264</v>
      </c>
      <c r="N968">
        <v>314</v>
      </c>
      <c r="O968" s="4">
        <v>15942.857142857099</v>
      </c>
      <c r="P968" s="4">
        <v>9399.6181640625</v>
      </c>
      <c r="Q968" s="5">
        <f t="shared" si="60"/>
        <v>-0.41041821551579138</v>
      </c>
      <c r="R968" s="4">
        <v>14328.29222368949</v>
      </c>
      <c r="S968" s="5">
        <f t="shared" si="61"/>
        <v>-0.10127199313775359</v>
      </c>
      <c r="T968" s="4">
        <v>15767.47460156749</v>
      </c>
      <c r="U968" s="5">
        <f t="shared" si="62"/>
        <v>-1.1000697034294515E-2</v>
      </c>
      <c r="V968" s="4">
        <v>8713.9130859375</v>
      </c>
      <c r="W968" s="5">
        <f t="shared" si="63"/>
        <v>-0.45342839066700125</v>
      </c>
    </row>
    <row r="969" spans="1:23" x14ac:dyDescent="0.25">
      <c r="A969" t="s">
        <v>1345</v>
      </c>
      <c r="B969">
        <v>2016</v>
      </c>
      <c r="C969" t="s">
        <v>269</v>
      </c>
      <c r="D969" t="s">
        <v>741</v>
      </c>
      <c r="E969">
        <v>73451</v>
      </c>
      <c r="F969" t="s">
        <v>141</v>
      </c>
      <c r="G969" t="s">
        <v>38</v>
      </c>
      <c r="H969" t="s">
        <v>25</v>
      </c>
      <c r="I969" t="s">
        <v>24</v>
      </c>
      <c r="J969" s="2">
        <v>45594</v>
      </c>
      <c r="K969" t="s">
        <v>25</v>
      </c>
      <c r="L969">
        <v>44128</v>
      </c>
      <c r="M969">
        <v>264</v>
      </c>
      <c r="N969">
        <v>314</v>
      </c>
      <c r="O969" s="4">
        <v>7800</v>
      </c>
      <c r="P969" s="4">
        <v>11358.861328125</v>
      </c>
      <c r="Q969" s="5">
        <f t="shared" si="60"/>
        <v>0.45626427283653848</v>
      </c>
      <c r="R969" s="4">
        <v>11648.931585715711</v>
      </c>
      <c r="S969" s="5">
        <f t="shared" si="61"/>
        <v>0.49345276739944999</v>
      </c>
      <c r="T969" s="4">
        <v>15733.885143815611</v>
      </c>
      <c r="U969" s="5">
        <f t="shared" si="62"/>
        <v>1.0171647620276425</v>
      </c>
      <c r="V969" s="4">
        <v>11338.146484375</v>
      </c>
      <c r="W969" s="5">
        <f t="shared" si="63"/>
        <v>0.45360852363782045</v>
      </c>
    </row>
    <row r="970" spans="1:23" x14ac:dyDescent="0.25">
      <c r="A970" t="s">
        <v>1346</v>
      </c>
      <c r="B970">
        <v>2011</v>
      </c>
      <c r="C970" t="s">
        <v>1347</v>
      </c>
      <c r="D970" t="s">
        <v>1348</v>
      </c>
      <c r="E970">
        <v>156320</v>
      </c>
      <c r="F970" t="s">
        <v>29</v>
      </c>
      <c r="G970" t="s">
        <v>30</v>
      </c>
      <c r="H970" t="s">
        <v>24</v>
      </c>
      <c r="I970" t="s">
        <v>25</v>
      </c>
      <c r="J970" s="2">
        <v>45540</v>
      </c>
      <c r="K970" t="s">
        <v>25</v>
      </c>
      <c r="L970">
        <v>44128</v>
      </c>
      <c r="M970">
        <v>264</v>
      </c>
      <c r="N970">
        <v>314</v>
      </c>
      <c r="O970" s="4">
        <v>1800</v>
      </c>
      <c r="P970" s="4">
        <v>2505.600830078125</v>
      </c>
      <c r="Q970" s="5">
        <f t="shared" si="60"/>
        <v>0.39200046115451381</v>
      </c>
      <c r="R970" s="4">
        <v>2995.5238045538349</v>
      </c>
      <c r="S970" s="5">
        <f t="shared" si="61"/>
        <v>0.66417989141879707</v>
      </c>
      <c r="T970" s="4">
        <v>2903.833748533089</v>
      </c>
      <c r="U970" s="5">
        <f t="shared" si="62"/>
        <v>0.61324097140727174</v>
      </c>
      <c r="V970" s="4">
        <v>2474.629638671875</v>
      </c>
      <c r="W970" s="5">
        <f t="shared" si="63"/>
        <v>0.3747942437065972</v>
      </c>
    </row>
    <row r="971" spans="1:23" x14ac:dyDescent="0.25">
      <c r="A971" t="s">
        <v>1349</v>
      </c>
      <c r="B971">
        <v>2014</v>
      </c>
      <c r="C971" t="s">
        <v>558</v>
      </c>
      <c r="D971" t="s">
        <v>1350</v>
      </c>
      <c r="E971">
        <v>112158</v>
      </c>
      <c r="F971" t="s">
        <v>63</v>
      </c>
      <c r="G971" t="s">
        <v>34</v>
      </c>
      <c r="H971" t="s">
        <v>25</v>
      </c>
      <c r="I971" t="s">
        <v>24</v>
      </c>
      <c r="J971" s="2">
        <v>45706</v>
      </c>
      <c r="K971" t="s">
        <v>25</v>
      </c>
      <c r="L971">
        <v>44128</v>
      </c>
      <c r="M971">
        <v>264</v>
      </c>
      <c r="N971">
        <v>314</v>
      </c>
      <c r="O971" s="4">
        <v>10766.666666666701</v>
      </c>
      <c r="P971" s="4">
        <v>11484.4365234375</v>
      </c>
      <c r="Q971" s="5">
        <f t="shared" si="60"/>
        <v>6.666593096942397E-2</v>
      </c>
      <c r="R971" s="4">
        <v>11884.01412423518</v>
      </c>
      <c r="S971" s="5">
        <f t="shared" si="61"/>
        <v>0.1037784016317469</v>
      </c>
      <c r="T971" s="4">
        <v>15398.92493365181</v>
      </c>
      <c r="U971" s="5">
        <f t="shared" si="62"/>
        <v>0.4302407059119282</v>
      </c>
      <c r="V971" s="4">
        <v>11489.0576171875</v>
      </c>
      <c r="W971" s="5">
        <f t="shared" si="63"/>
        <v>6.7095134723293759E-2</v>
      </c>
    </row>
    <row r="972" spans="1:23" x14ac:dyDescent="0.25">
      <c r="A972" t="s">
        <v>1351</v>
      </c>
      <c r="B972">
        <v>2016</v>
      </c>
      <c r="C972" t="s">
        <v>266</v>
      </c>
      <c r="D972" t="s">
        <v>561</v>
      </c>
      <c r="E972">
        <v>97187</v>
      </c>
      <c r="F972" t="s">
        <v>89</v>
      </c>
      <c r="G972" t="s">
        <v>30</v>
      </c>
      <c r="H972" t="s">
        <v>24</v>
      </c>
      <c r="I972" t="s">
        <v>25</v>
      </c>
      <c r="J972" s="2">
        <v>45678</v>
      </c>
      <c r="K972" t="s">
        <v>25</v>
      </c>
      <c r="L972">
        <v>44128</v>
      </c>
      <c r="M972">
        <v>264</v>
      </c>
      <c r="N972">
        <v>314</v>
      </c>
      <c r="O972" s="4">
        <v>7300</v>
      </c>
      <c r="P972" s="4">
        <v>4013.746337890625</v>
      </c>
      <c r="Q972" s="5">
        <f t="shared" si="60"/>
        <v>-0.45017173453553083</v>
      </c>
      <c r="R972" s="4">
        <v>4456.7375985318113</v>
      </c>
      <c r="S972" s="5">
        <f t="shared" si="61"/>
        <v>-0.38948800020112173</v>
      </c>
      <c r="T972" s="4">
        <v>5931.9605929031986</v>
      </c>
      <c r="U972" s="5">
        <f t="shared" si="62"/>
        <v>-0.18740265850641113</v>
      </c>
      <c r="V972" s="4">
        <v>3976.6298828125</v>
      </c>
      <c r="W972" s="5">
        <f t="shared" si="63"/>
        <v>-0.45525618043664384</v>
      </c>
    </row>
    <row r="973" spans="1:23" x14ac:dyDescent="0.25">
      <c r="A973" t="s">
        <v>1352</v>
      </c>
      <c r="B973">
        <v>2018</v>
      </c>
      <c r="C973" t="s">
        <v>32</v>
      </c>
      <c r="D973" t="s">
        <v>563</v>
      </c>
      <c r="E973">
        <v>93092</v>
      </c>
      <c r="F973" t="s">
        <v>48</v>
      </c>
      <c r="G973" t="s">
        <v>38</v>
      </c>
      <c r="H973" t="s">
        <v>25</v>
      </c>
      <c r="I973" t="s">
        <v>24</v>
      </c>
      <c r="J973" s="2">
        <v>45678</v>
      </c>
      <c r="K973" t="s">
        <v>25</v>
      </c>
      <c r="L973">
        <v>44128</v>
      </c>
      <c r="M973">
        <v>264</v>
      </c>
      <c r="N973">
        <v>314</v>
      </c>
      <c r="O973" s="4">
        <v>4300</v>
      </c>
      <c r="P973" s="4">
        <v>7397.2294921875</v>
      </c>
      <c r="Q973" s="5">
        <f t="shared" si="60"/>
        <v>0.72028592841569772</v>
      </c>
      <c r="R973" s="4">
        <v>11466.032357409649</v>
      </c>
      <c r="S973" s="5">
        <f t="shared" si="61"/>
        <v>1.6665191528859649</v>
      </c>
      <c r="T973" s="4">
        <v>8725.1423472604329</v>
      </c>
      <c r="U973" s="5">
        <f t="shared" si="62"/>
        <v>1.0291028714559145</v>
      </c>
      <c r="V973" s="4">
        <v>10814.2529296875</v>
      </c>
      <c r="W973" s="5">
        <f t="shared" si="63"/>
        <v>1.5149425417877906</v>
      </c>
    </row>
    <row r="974" spans="1:23" x14ac:dyDescent="0.25">
      <c r="A974" t="s">
        <v>1353</v>
      </c>
      <c r="B974">
        <v>2013</v>
      </c>
      <c r="C974" t="s">
        <v>91</v>
      </c>
      <c r="D974" t="s">
        <v>364</v>
      </c>
      <c r="E974">
        <v>83041</v>
      </c>
      <c r="F974" t="s">
        <v>250</v>
      </c>
      <c r="G974" t="s">
        <v>30</v>
      </c>
      <c r="H974" t="s">
        <v>24</v>
      </c>
      <c r="I974" t="s">
        <v>25</v>
      </c>
      <c r="J974" s="2">
        <v>45524</v>
      </c>
      <c r="K974" t="s">
        <v>25</v>
      </c>
      <c r="L974">
        <v>44133</v>
      </c>
      <c r="M974">
        <v>222</v>
      </c>
      <c r="N974">
        <v>272</v>
      </c>
      <c r="O974" s="4">
        <v>4900</v>
      </c>
      <c r="P974" s="4">
        <v>5469.0087890625</v>
      </c>
      <c r="Q974" s="5">
        <f t="shared" si="60"/>
        <v>0.11612424266581622</v>
      </c>
      <c r="R974" s="4">
        <v>5844.5107373547653</v>
      </c>
      <c r="S974" s="5">
        <f t="shared" si="61"/>
        <v>0.1927572933377073</v>
      </c>
      <c r="T974" s="4">
        <v>3719.53796321238</v>
      </c>
      <c r="U974" s="5">
        <f t="shared" si="62"/>
        <v>-0.24091061975257555</v>
      </c>
      <c r="V974" s="4">
        <v>5466.185546875</v>
      </c>
      <c r="W974" s="5">
        <f t="shared" si="63"/>
        <v>0.1155480707908163</v>
      </c>
    </row>
    <row r="975" spans="1:23" x14ac:dyDescent="0.25">
      <c r="A975" t="s">
        <v>1354</v>
      </c>
      <c r="B975">
        <v>2018</v>
      </c>
      <c r="C975" t="s">
        <v>104</v>
      </c>
      <c r="D975" t="s">
        <v>1355</v>
      </c>
      <c r="E975">
        <v>89973</v>
      </c>
      <c r="F975" t="s">
        <v>55</v>
      </c>
      <c r="G975" t="s">
        <v>38</v>
      </c>
      <c r="H975" t="s">
        <v>25</v>
      </c>
      <c r="I975" t="s">
        <v>24</v>
      </c>
      <c r="J975" s="2">
        <v>45645</v>
      </c>
      <c r="K975" t="s">
        <v>25</v>
      </c>
      <c r="L975">
        <v>44133</v>
      </c>
      <c r="M975">
        <v>222</v>
      </c>
      <c r="N975">
        <v>272</v>
      </c>
      <c r="O975" s="4">
        <v>19800</v>
      </c>
      <c r="P975" s="4">
        <v>14202.548828125</v>
      </c>
      <c r="Q975" s="5">
        <f t="shared" si="60"/>
        <v>-0.28269955413510106</v>
      </c>
      <c r="R975" s="4">
        <v>12700.33797297425</v>
      </c>
      <c r="S975" s="5">
        <f t="shared" si="61"/>
        <v>-0.35856878924372471</v>
      </c>
      <c r="T975" s="4">
        <v>14548.694266971819</v>
      </c>
      <c r="U975" s="5">
        <f t="shared" si="62"/>
        <v>-0.26521746126404955</v>
      </c>
      <c r="V975" s="4">
        <v>14302.7880859375</v>
      </c>
      <c r="W975" s="5">
        <f t="shared" si="63"/>
        <v>-0.27763696535669191</v>
      </c>
    </row>
    <row r="976" spans="1:23" x14ac:dyDescent="0.25">
      <c r="A976" t="s">
        <v>1356</v>
      </c>
      <c r="B976">
        <v>2011</v>
      </c>
      <c r="C976" t="s">
        <v>113</v>
      </c>
      <c r="D976" t="s">
        <v>701</v>
      </c>
      <c r="E976">
        <v>144196</v>
      </c>
      <c r="F976" t="s">
        <v>334</v>
      </c>
      <c r="G976" t="s">
        <v>30</v>
      </c>
      <c r="H976" t="s">
        <v>24</v>
      </c>
      <c r="I976" t="s">
        <v>25</v>
      </c>
      <c r="J976" s="2">
        <v>45692</v>
      </c>
      <c r="K976" t="s">
        <v>25</v>
      </c>
      <c r="L976">
        <v>44133</v>
      </c>
      <c r="M976">
        <v>222</v>
      </c>
      <c r="N976">
        <v>272</v>
      </c>
      <c r="O976" s="4">
        <v>2700</v>
      </c>
      <c r="P976" s="4">
        <v>2502.40234375</v>
      </c>
      <c r="Q976" s="5">
        <f t="shared" si="60"/>
        <v>-7.3184317129629584E-2</v>
      </c>
      <c r="R976" s="4">
        <v>2995.809157034389</v>
      </c>
      <c r="S976" s="5">
        <f t="shared" si="61"/>
        <v>0.10955894704977376</v>
      </c>
      <c r="T976" s="4">
        <v>3478.6209770274718</v>
      </c>
      <c r="U976" s="5">
        <f t="shared" si="62"/>
        <v>0.28837813963980441</v>
      </c>
      <c r="V976" s="4">
        <v>2474.629638671875</v>
      </c>
      <c r="W976" s="5">
        <f t="shared" si="63"/>
        <v>-8.3470504195601869E-2</v>
      </c>
    </row>
    <row r="977" spans="1:23" x14ac:dyDescent="0.25">
      <c r="A977" t="s">
        <v>1357</v>
      </c>
      <c r="B977">
        <v>2012</v>
      </c>
      <c r="C977" t="s">
        <v>113</v>
      </c>
      <c r="D977" t="s">
        <v>701</v>
      </c>
      <c r="E977">
        <v>112635</v>
      </c>
      <c r="F977" t="s">
        <v>382</v>
      </c>
      <c r="G977" t="s">
        <v>30</v>
      </c>
      <c r="H977" t="s">
        <v>25</v>
      </c>
      <c r="I977" t="s">
        <v>24</v>
      </c>
      <c r="J977" s="2">
        <v>45468</v>
      </c>
      <c r="K977" t="s">
        <v>25</v>
      </c>
      <c r="L977">
        <v>44135</v>
      </c>
      <c r="M977">
        <v>235</v>
      </c>
      <c r="N977">
        <v>285</v>
      </c>
      <c r="O977" s="4">
        <v>9500</v>
      </c>
      <c r="P977" s="4">
        <v>3582.353759765625</v>
      </c>
      <c r="Q977" s="5">
        <f t="shared" si="60"/>
        <v>-0.62291013055098676</v>
      </c>
      <c r="R977" s="4">
        <v>3897.6554672313741</v>
      </c>
      <c r="S977" s="5">
        <f t="shared" si="61"/>
        <v>-0.58972047713353959</v>
      </c>
      <c r="T977" s="4">
        <v>4622.6875114410168</v>
      </c>
      <c r="U977" s="5">
        <f t="shared" si="62"/>
        <v>-0.51340131458515614</v>
      </c>
      <c r="V977" s="4">
        <v>3448.091064453125</v>
      </c>
      <c r="W977" s="5">
        <f t="shared" si="63"/>
        <v>-0.63704304584703952</v>
      </c>
    </row>
    <row r="978" spans="1:23" x14ac:dyDescent="0.25">
      <c r="A978" t="s">
        <v>1358</v>
      </c>
      <c r="B978">
        <v>2015</v>
      </c>
      <c r="C978" t="s">
        <v>120</v>
      </c>
      <c r="D978">
        <v>200</v>
      </c>
      <c r="E978">
        <v>120740</v>
      </c>
      <c r="F978" t="s">
        <v>58</v>
      </c>
      <c r="G978" t="s">
        <v>23</v>
      </c>
      <c r="H978" t="s">
        <v>24</v>
      </c>
      <c r="I978" t="s">
        <v>25</v>
      </c>
      <c r="J978" s="2">
        <v>45356</v>
      </c>
      <c r="K978" t="s">
        <v>25</v>
      </c>
      <c r="L978">
        <v>44135</v>
      </c>
      <c r="M978">
        <v>235</v>
      </c>
      <c r="N978">
        <v>285</v>
      </c>
      <c r="O978" s="4">
        <v>5300</v>
      </c>
      <c r="P978" s="4">
        <v>2652.80126953125</v>
      </c>
      <c r="Q978" s="5">
        <f t="shared" si="60"/>
        <v>-0.49947145857900943</v>
      </c>
      <c r="R978" s="4">
        <v>3592.4532678079081</v>
      </c>
      <c r="S978" s="5">
        <f t="shared" si="61"/>
        <v>-0.32217862871548908</v>
      </c>
      <c r="T978" s="4">
        <v>2643.8998908074941</v>
      </c>
      <c r="U978" s="5">
        <f t="shared" si="62"/>
        <v>-0.50115096399858605</v>
      </c>
      <c r="V978" s="4">
        <v>2477.854736328125</v>
      </c>
      <c r="W978" s="5">
        <f t="shared" si="63"/>
        <v>-0.53248023842865566</v>
      </c>
    </row>
    <row r="979" spans="1:23" x14ac:dyDescent="0.25">
      <c r="A979" t="s">
        <v>1359</v>
      </c>
      <c r="B979">
        <v>2017</v>
      </c>
      <c r="C979" t="s">
        <v>32</v>
      </c>
      <c r="D979" t="s">
        <v>143</v>
      </c>
      <c r="E979">
        <v>70916</v>
      </c>
      <c r="F979" t="s">
        <v>77</v>
      </c>
      <c r="G979" t="s">
        <v>23</v>
      </c>
      <c r="H979" t="s">
        <v>24</v>
      </c>
      <c r="I979" t="s">
        <v>25</v>
      </c>
      <c r="J979" s="2">
        <v>45356</v>
      </c>
      <c r="K979" t="s">
        <v>25</v>
      </c>
      <c r="L979">
        <v>44135</v>
      </c>
      <c r="M979">
        <v>235</v>
      </c>
      <c r="N979">
        <v>285</v>
      </c>
      <c r="O979" s="4">
        <v>6500</v>
      </c>
      <c r="P979" s="4">
        <v>8323.9443359375</v>
      </c>
      <c r="Q979" s="5">
        <f t="shared" si="60"/>
        <v>0.28060682091346156</v>
      </c>
      <c r="R979" s="4">
        <v>11440.399963980921</v>
      </c>
      <c r="S979" s="5">
        <f t="shared" si="61"/>
        <v>0.76006153292014167</v>
      </c>
      <c r="T979" s="4">
        <v>10624.370450154411</v>
      </c>
      <c r="U979" s="5">
        <f t="shared" si="62"/>
        <v>0.63451853079298637</v>
      </c>
      <c r="V979" s="4">
        <v>7587.181640625</v>
      </c>
      <c r="W979" s="5">
        <f t="shared" si="63"/>
        <v>0.16725871394230762</v>
      </c>
    </row>
    <row r="980" spans="1:23" x14ac:dyDescent="0.25">
      <c r="A980" t="s">
        <v>1360</v>
      </c>
      <c r="B980">
        <v>2014</v>
      </c>
      <c r="C980" t="s">
        <v>32</v>
      </c>
      <c r="D980" t="s">
        <v>320</v>
      </c>
      <c r="E980">
        <v>87765</v>
      </c>
      <c r="F980" t="s">
        <v>22</v>
      </c>
      <c r="G980" t="s">
        <v>23</v>
      </c>
      <c r="H980" t="s">
        <v>24</v>
      </c>
      <c r="I980" t="s">
        <v>25</v>
      </c>
      <c r="J980" s="2">
        <v>45575</v>
      </c>
      <c r="K980" t="s">
        <v>25</v>
      </c>
      <c r="L980">
        <v>44135</v>
      </c>
      <c r="M980">
        <v>235</v>
      </c>
      <c r="N980">
        <v>285</v>
      </c>
      <c r="O980" s="4">
        <v>3800</v>
      </c>
      <c r="P980" s="4">
        <v>5364.29345703125</v>
      </c>
      <c r="Q980" s="5">
        <f t="shared" si="60"/>
        <v>0.41165617290296042</v>
      </c>
      <c r="R980" s="4">
        <v>5172.7752330804724</v>
      </c>
      <c r="S980" s="5">
        <f t="shared" si="61"/>
        <v>0.36125664028433491</v>
      </c>
      <c r="T980" s="4">
        <v>9309.436739030667</v>
      </c>
      <c r="U980" s="5">
        <f t="shared" si="62"/>
        <v>1.4498517734291227</v>
      </c>
      <c r="V980" s="4">
        <v>5372.56787109375</v>
      </c>
      <c r="W980" s="5">
        <f t="shared" si="63"/>
        <v>0.41383365028782904</v>
      </c>
    </row>
    <row r="981" spans="1:23" x14ac:dyDescent="0.25">
      <c r="A981" t="s">
        <v>1361</v>
      </c>
      <c r="B981">
        <v>2019</v>
      </c>
      <c r="C981" t="s">
        <v>32</v>
      </c>
      <c r="D981" t="s">
        <v>322</v>
      </c>
      <c r="E981">
        <v>136212</v>
      </c>
      <c r="F981" t="s">
        <v>334</v>
      </c>
      <c r="G981" t="s">
        <v>23</v>
      </c>
      <c r="H981" t="s">
        <v>24</v>
      </c>
      <c r="I981" t="s">
        <v>25</v>
      </c>
      <c r="J981" s="2">
        <v>45566</v>
      </c>
      <c r="K981" t="s">
        <v>25</v>
      </c>
      <c r="L981">
        <v>44135</v>
      </c>
      <c r="M981">
        <v>235</v>
      </c>
      <c r="N981">
        <v>285</v>
      </c>
      <c r="O981" s="4">
        <v>16300</v>
      </c>
      <c r="P981" s="4">
        <v>6618.7958984375</v>
      </c>
      <c r="Q981" s="5">
        <f t="shared" si="60"/>
        <v>-0.59393890193634968</v>
      </c>
      <c r="R981" s="4">
        <v>7334.2198426187806</v>
      </c>
      <c r="S981" s="5">
        <f t="shared" si="61"/>
        <v>-0.55004786241602566</v>
      </c>
      <c r="T981" s="4">
        <v>5883.5241520985201</v>
      </c>
      <c r="U981" s="5">
        <f t="shared" si="62"/>
        <v>-0.63904759803076572</v>
      </c>
      <c r="V981" s="4">
        <v>6385.93603515625</v>
      </c>
      <c r="W981" s="5">
        <f t="shared" si="63"/>
        <v>-0.60822478311924844</v>
      </c>
    </row>
    <row r="982" spans="1:23" x14ac:dyDescent="0.25">
      <c r="A982" t="s">
        <v>1362</v>
      </c>
      <c r="B982">
        <v>2015</v>
      </c>
      <c r="C982" t="s">
        <v>53</v>
      </c>
      <c r="D982" t="s">
        <v>57</v>
      </c>
      <c r="E982">
        <v>85761</v>
      </c>
      <c r="F982" t="s">
        <v>89</v>
      </c>
      <c r="G982" t="s">
        <v>34</v>
      </c>
      <c r="H982" t="s">
        <v>25</v>
      </c>
      <c r="I982" t="s">
        <v>24</v>
      </c>
      <c r="J982" s="2">
        <v>45468</v>
      </c>
      <c r="K982" t="s">
        <v>25</v>
      </c>
      <c r="L982">
        <v>44135</v>
      </c>
      <c r="M982">
        <v>235</v>
      </c>
      <c r="N982">
        <v>285</v>
      </c>
      <c r="O982" s="4">
        <v>4200</v>
      </c>
      <c r="P982" s="4">
        <v>6512.99462890625</v>
      </c>
      <c r="Q982" s="5">
        <f t="shared" si="60"/>
        <v>0.5507130068824404</v>
      </c>
      <c r="R982" s="4">
        <v>6199.5549622957478</v>
      </c>
      <c r="S982" s="5">
        <f t="shared" si="61"/>
        <v>0.47608451483232095</v>
      </c>
      <c r="T982" s="4">
        <v>3526.3979412667868</v>
      </c>
      <c r="U982" s="5">
        <f t="shared" si="62"/>
        <v>-0.160381442555527</v>
      </c>
      <c r="V982" s="4">
        <v>6493.33251953125</v>
      </c>
      <c r="W982" s="5">
        <f t="shared" si="63"/>
        <v>0.5460315522693453</v>
      </c>
    </row>
    <row r="983" spans="1:23" x14ac:dyDescent="0.25">
      <c r="A983" t="s">
        <v>1363</v>
      </c>
      <c r="B983">
        <v>2015</v>
      </c>
      <c r="C983" t="s">
        <v>53</v>
      </c>
      <c r="D983" t="s">
        <v>57</v>
      </c>
      <c r="E983">
        <v>88929</v>
      </c>
      <c r="F983" t="s">
        <v>89</v>
      </c>
      <c r="G983" t="s">
        <v>23</v>
      </c>
      <c r="H983" t="s">
        <v>24</v>
      </c>
      <c r="I983" t="s">
        <v>25</v>
      </c>
      <c r="J983" s="2">
        <v>45454</v>
      </c>
      <c r="K983" t="s">
        <v>25</v>
      </c>
      <c r="L983">
        <v>44135</v>
      </c>
      <c r="M983">
        <v>235</v>
      </c>
      <c r="N983">
        <v>285</v>
      </c>
      <c r="O983" s="4">
        <v>3800</v>
      </c>
      <c r="P983" s="4">
        <v>6180.8349609375</v>
      </c>
      <c r="Q983" s="5">
        <f t="shared" si="60"/>
        <v>0.62653551603618429</v>
      </c>
      <c r="R983" s="4">
        <v>6025.7217870554114</v>
      </c>
      <c r="S983" s="5">
        <f t="shared" si="61"/>
        <v>0.58571625975142405</v>
      </c>
      <c r="T983" s="4">
        <v>3488.2415482139031</v>
      </c>
      <c r="U983" s="5">
        <f t="shared" si="62"/>
        <v>-8.2041697838446503E-2</v>
      </c>
      <c r="V983" s="4">
        <v>6124.21875</v>
      </c>
      <c r="W983" s="5">
        <f t="shared" si="63"/>
        <v>0.61163651315789469</v>
      </c>
    </row>
    <row r="984" spans="1:23" x14ac:dyDescent="0.25">
      <c r="A984" t="s">
        <v>1364</v>
      </c>
      <c r="B984">
        <v>2015</v>
      </c>
      <c r="C984" t="s">
        <v>53</v>
      </c>
      <c r="D984" t="s">
        <v>340</v>
      </c>
      <c r="E984">
        <v>129240</v>
      </c>
      <c r="F984" t="s">
        <v>382</v>
      </c>
      <c r="G984" t="s">
        <v>30</v>
      </c>
      <c r="H984" t="s">
        <v>24</v>
      </c>
      <c r="I984" t="s">
        <v>25</v>
      </c>
      <c r="J984" s="2">
        <v>45454</v>
      </c>
      <c r="K984" t="s">
        <v>25</v>
      </c>
      <c r="L984">
        <v>44135</v>
      </c>
      <c r="M984">
        <v>235</v>
      </c>
      <c r="N984">
        <v>285</v>
      </c>
      <c r="O984" s="4">
        <v>14800</v>
      </c>
      <c r="P984" s="4">
        <v>3379.4951171875</v>
      </c>
      <c r="Q984" s="5">
        <f t="shared" si="60"/>
        <v>-0.77165573532516896</v>
      </c>
      <c r="R984" s="4">
        <v>4189.4154598400437</v>
      </c>
      <c r="S984" s="5">
        <f t="shared" si="61"/>
        <v>-0.71693138784864563</v>
      </c>
      <c r="T984" s="4">
        <v>6511.0449620698282</v>
      </c>
      <c r="U984" s="5">
        <f t="shared" si="62"/>
        <v>-0.56006452958987651</v>
      </c>
      <c r="V984" s="4">
        <v>3069.26806640625</v>
      </c>
      <c r="W984" s="5">
        <f t="shared" si="63"/>
        <v>-0.79261702254011823</v>
      </c>
    </row>
    <row r="985" spans="1:23" x14ac:dyDescent="0.25">
      <c r="A985" t="s">
        <v>1365</v>
      </c>
      <c r="B985">
        <v>2017</v>
      </c>
      <c r="C985" t="s">
        <v>53</v>
      </c>
      <c r="D985" t="s">
        <v>65</v>
      </c>
      <c r="E985">
        <v>127689</v>
      </c>
      <c r="F985" t="s">
        <v>141</v>
      </c>
      <c r="G985" t="s">
        <v>30</v>
      </c>
      <c r="H985" t="s">
        <v>24</v>
      </c>
      <c r="I985" t="s">
        <v>25</v>
      </c>
      <c r="J985" s="2">
        <v>45484</v>
      </c>
      <c r="K985" t="s">
        <v>25</v>
      </c>
      <c r="L985">
        <v>44135</v>
      </c>
      <c r="M985">
        <v>235</v>
      </c>
      <c r="N985">
        <v>285</v>
      </c>
      <c r="O985" s="4">
        <v>8000</v>
      </c>
      <c r="P985" s="4">
        <v>7316.513671875</v>
      </c>
      <c r="Q985" s="5">
        <f t="shared" si="60"/>
        <v>-8.543579101562504E-2</v>
      </c>
      <c r="R985" s="4">
        <v>7513.5875128229754</v>
      </c>
      <c r="S985" s="5">
        <f t="shared" si="61"/>
        <v>-6.0801560897128071E-2</v>
      </c>
      <c r="T985" s="4">
        <v>9614.137670374952</v>
      </c>
      <c r="U985" s="5">
        <f t="shared" si="62"/>
        <v>0.20176720879686894</v>
      </c>
      <c r="V985" s="4">
        <v>7398.59814453125</v>
      </c>
      <c r="W985" s="5">
        <f t="shared" si="63"/>
        <v>-7.5175231933593767E-2</v>
      </c>
    </row>
    <row r="986" spans="1:23" x14ac:dyDescent="0.25">
      <c r="A986" t="s">
        <v>1366</v>
      </c>
      <c r="B986">
        <v>2015</v>
      </c>
      <c r="C986" t="s">
        <v>20</v>
      </c>
      <c r="D986" t="s">
        <v>81</v>
      </c>
      <c r="E986">
        <v>107810</v>
      </c>
      <c r="F986" t="s">
        <v>219</v>
      </c>
      <c r="G986" t="s">
        <v>38</v>
      </c>
      <c r="H986" t="s">
        <v>25</v>
      </c>
      <c r="I986" t="s">
        <v>24</v>
      </c>
      <c r="J986" s="2">
        <v>45449</v>
      </c>
      <c r="K986" t="s">
        <v>25</v>
      </c>
      <c r="L986">
        <v>44135</v>
      </c>
      <c r="M986">
        <v>235</v>
      </c>
      <c r="N986">
        <v>285</v>
      </c>
      <c r="O986" s="4">
        <v>4200</v>
      </c>
      <c r="P986" s="4">
        <v>5070.6259765625</v>
      </c>
      <c r="Q986" s="5">
        <f t="shared" si="60"/>
        <v>0.20729189918154756</v>
      </c>
      <c r="R986" s="4">
        <v>6536.0336859186236</v>
      </c>
      <c r="S986" s="5">
        <f t="shared" si="61"/>
        <v>0.55619849664729126</v>
      </c>
      <c r="T986" s="4">
        <v>4651.6453560315176</v>
      </c>
      <c r="U986" s="5">
        <f t="shared" si="62"/>
        <v>0.10753460857893282</v>
      </c>
      <c r="V986" s="4">
        <v>4555.6455078125</v>
      </c>
      <c r="W986" s="5">
        <f t="shared" si="63"/>
        <v>8.4677501860119131E-2</v>
      </c>
    </row>
    <row r="987" spans="1:23" x14ac:dyDescent="0.25">
      <c r="A987" t="s">
        <v>1367</v>
      </c>
      <c r="B987">
        <v>2013</v>
      </c>
      <c r="C987" t="s">
        <v>20</v>
      </c>
      <c r="D987" t="s">
        <v>74</v>
      </c>
      <c r="E987">
        <v>64848</v>
      </c>
      <c r="F987" t="s">
        <v>58</v>
      </c>
      <c r="G987" t="s">
        <v>38</v>
      </c>
      <c r="H987" t="s">
        <v>25</v>
      </c>
      <c r="I987" t="s">
        <v>24</v>
      </c>
      <c r="J987" s="2">
        <v>45421</v>
      </c>
      <c r="K987" t="s">
        <v>25</v>
      </c>
      <c r="L987">
        <v>44135</v>
      </c>
      <c r="M987">
        <v>235</v>
      </c>
      <c r="N987">
        <v>285</v>
      </c>
      <c r="O987" s="4">
        <v>2700</v>
      </c>
      <c r="P987" s="4">
        <v>5939.6484375</v>
      </c>
      <c r="Q987" s="5">
        <f t="shared" si="60"/>
        <v>1.1998697916666665</v>
      </c>
      <c r="R987" s="4">
        <v>6194.7134564630269</v>
      </c>
      <c r="S987" s="5">
        <f t="shared" si="61"/>
        <v>1.2943383172085285</v>
      </c>
      <c r="T987" s="4">
        <v>3201.533344708228</v>
      </c>
      <c r="U987" s="5">
        <f t="shared" si="62"/>
        <v>0.18575309063267698</v>
      </c>
      <c r="V987" s="4">
        <v>5862.65673828125</v>
      </c>
      <c r="W987" s="5">
        <f t="shared" si="63"/>
        <v>1.1713543475115742</v>
      </c>
    </row>
    <row r="988" spans="1:23" x14ac:dyDescent="0.25">
      <c r="A988" t="s">
        <v>1368</v>
      </c>
      <c r="B988">
        <v>2014</v>
      </c>
      <c r="C988" t="s">
        <v>20</v>
      </c>
      <c r="D988" t="s">
        <v>74</v>
      </c>
      <c r="E988">
        <v>69712</v>
      </c>
      <c r="F988" t="s">
        <v>61</v>
      </c>
      <c r="G988" t="s">
        <v>30</v>
      </c>
      <c r="H988" t="s">
        <v>24</v>
      </c>
      <c r="I988" t="s">
        <v>25</v>
      </c>
      <c r="J988" s="2">
        <v>45664</v>
      </c>
      <c r="K988" t="s">
        <v>25</v>
      </c>
      <c r="L988">
        <v>44135</v>
      </c>
      <c r="M988">
        <v>235</v>
      </c>
      <c r="N988">
        <v>285</v>
      </c>
      <c r="O988" s="4">
        <v>3300</v>
      </c>
      <c r="P988" s="4">
        <v>5431.1650390625</v>
      </c>
      <c r="Q988" s="5">
        <f t="shared" si="60"/>
        <v>0.64580758759469692</v>
      </c>
      <c r="R988" s="4">
        <v>6211.2331488957079</v>
      </c>
      <c r="S988" s="5">
        <f t="shared" si="61"/>
        <v>0.88219186330172961</v>
      </c>
      <c r="T988" s="4">
        <v>3340.748124906891</v>
      </c>
      <c r="U988" s="5">
        <f t="shared" si="62"/>
        <v>1.2347916638451917E-2</v>
      </c>
      <c r="V988" s="4">
        <v>5238.68212890625</v>
      </c>
      <c r="W988" s="5">
        <f t="shared" si="63"/>
        <v>0.58747943300189398</v>
      </c>
    </row>
    <row r="989" spans="1:23" x14ac:dyDescent="0.25">
      <c r="A989" t="s">
        <v>1369</v>
      </c>
      <c r="B989">
        <v>2016</v>
      </c>
      <c r="C989" t="s">
        <v>20</v>
      </c>
      <c r="D989" t="s">
        <v>81</v>
      </c>
      <c r="E989">
        <v>170298</v>
      </c>
      <c r="F989" t="s">
        <v>649</v>
      </c>
      <c r="G989" t="s">
        <v>23</v>
      </c>
      <c r="H989" t="s">
        <v>24</v>
      </c>
      <c r="I989" t="s">
        <v>25</v>
      </c>
      <c r="J989" s="2">
        <v>45678</v>
      </c>
      <c r="K989" t="s">
        <v>25</v>
      </c>
      <c r="L989">
        <v>44135</v>
      </c>
      <c r="M989">
        <v>235</v>
      </c>
      <c r="N989">
        <v>285</v>
      </c>
      <c r="O989" s="4">
        <v>5700</v>
      </c>
      <c r="P989" s="4">
        <v>1710.606567382812</v>
      </c>
      <c r="Q989" s="5">
        <f t="shared" si="60"/>
        <v>-0.6998935846696821</v>
      </c>
      <c r="R989" s="4">
        <v>2777.5677379062772</v>
      </c>
      <c r="S989" s="5">
        <f t="shared" si="61"/>
        <v>-0.51270741440240752</v>
      </c>
      <c r="T989" s="4">
        <v>1671.852234902</v>
      </c>
      <c r="U989" s="5">
        <f t="shared" si="62"/>
        <v>-0.70669259036807019</v>
      </c>
      <c r="V989" s="4">
        <v>1604.464721679688</v>
      </c>
      <c r="W989" s="5">
        <f t="shared" si="63"/>
        <v>-0.71851496110882662</v>
      </c>
    </row>
    <row r="990" spans="1:23" x14ac:dyDescent="0.25">
      <c r="A990" t="s">
        <v>1370</v>
      </c>
      <c r="B990">
        <v>2017</v>
      </c>
      <c r="C990" t="s">
        <v>20</v>
      </c>
      <c r="D990" t="s">
        <v>81</v>
      </c>
      <c r="E990">
        <v>113093</v>
      </c>
      <c r="F990" t="s">
        <v>89</v>
      </c>
      <c r="G990" t="s">
        <v>30</v>
      </c>
      <c r="H990" t="s">
        <v>24</v>
      </c>
      <c r="I990" t="s">
        <v>25</v>
      </c>
      <c r="J990" s="2">
        <v>45666</v>
      </c>
      <c r="K990" t="s">
        <v>25</v>
      </c>
      <c r="L990">
        <v>44135</v>
      </c>
      <c r="M990">
        <v>235</v>
      </c>
      <c r="N990">
        <v>285</v>
      </c>
      <c r="O990" s="4">
        <v>9500</v>
      </c>
      <c r="P990" s="4">
        <v>4220.80126953125</v>
      </c>
      <c r="Q990" s="5">
        <f t="shared" si="60"/>
        <v>-0.55570512952302631</v>
      </c>
      <c r="R990" s="4">
        <v>5365.7520469842939</v>
      </c>
      <c r="S990" s="5">
        <f t="shared" si="61"/>
        <v>-0.43518399505428484</v>
      </c>
      <c r="T990" s="4">
        <v>3888.758028295339</v>
      </c>
      <c r="U990" s="5">
        <f t="shared" si="62"/>
        <v>-0.59065704965312227</v>
      </c>
      <c r="V990" s="4">
        <v>3827.12060546875</v>
      </c>
      <c r="W990" s="5">
        <f t="shared" si="63"/>
        <v>-0.59714519942434219</v>
      </c>
    </row>
    <row r="991" spans="1:23" x14ac:dyDescent="0.25">
      <c r="A991" t="s">
        <v>1371</v>
      </c>
      <c r="B991">
        <v>2010</v>
      </c>
      <c r="C991" t="s">
        <v>91</v>
      </c>
      <c r="D991" t="s">
        <v>92</v>
      </c>
      <c r="E991">
        <v>127809</v>
      </c>
      <c r="F991" t="s">
        <v>246</v>
      </c>
      <c r="G991" t="s">
        <v>34</v>
      </c>
      <c r="H991" t="s">
        <v>25</v>
      </c>
      <c r="I991" t="s">
        <v>24</v>
      </c>
      <c r="J991" s="2">
        <v>45470</v>
      </c>
      <c r="K991" t="s">
        <v>25</v>
      </c>
      <c r="L991">
        <v>44135</v>
      </c>
      <c r="M991">
        <v>235</v>
      </c>
      <c r="N991">
        <v>285</v>
      </c>
      <c r="O991" s="4">
        <v>3400</v>
      </c>
      <c r="P991" s="4">
        <v>1825.224609375</v>
      </c>
      <c r="Q991" s="5">
        <f t="shared" si="60"/>
        <v>-0.46316923253676467</v>
      </c>
      <c r="R991" s="4">
        <v>1777.566985248741</v>
      </c>
      <c r="S991" s="5">
        <f t="shared" si="61"/>
        <v>-0.47718618080919384</v>
      </c>
      <c r="T991" s="4">
        <v>2118.6232787750341</v>
      </c>
      <c r="U991" s="5">
        <f t="shared" si="62"/>
        <v>-0.37687550624263699</v>
      </c>
      <c r="V991" s="4">
        <v>1802.579833984375</v>
      </c>
      <c r="W991" s="5">
        <f t="shared" si="63"/>
        <v>-0.46982946059283093</v>
      </c>
    </row>
    <row r="992" spans="1:23" x14ac:dyDescent="0.25">
      <c r="A992" t="s">
        <v>1372</v>
      </c>
      <c r="B992">
        <v>2017</v>
      </c>
      <c r="C992" t="s">
        <v>185</v>
      </c>
      <c r="D992" t="s">
        <v>229</v>
      </c>
      <c r="E992">
        <v>151885</v>
      </c>
      <c r="F992" t="s">
        <v>66</v>
      </c>
      <c r="G992" t="s">
        <v>23</v>
      </c>
      <c r="H992" t="s">
        <v>24</v>
      </c>
      <c r="I992" t="s">
        <v>25</v>
      </c>
      <c r="J992" s="2">
        <v>45524</v>
      </c>
      <c r="K992" t="s">
        <v>25</v>
      </c>
      <c r="L992">
        <v>44135</v>
      </c>
      <c r="M992">
        <v>235</v>
      </c>
      <c r="N992">
        <v>285</v>
      </c>
      <c r="O992" s="4">
        <v>9700</v>
      </c>
      <c r="P992" s="4">
        <v>2154.762939453125</v>
      </c>
      <c r="Q992" s="5">
        <f t="shared" si="60"/>
        <v>-0.7778594907780283</v>
      </c>
      <c r="R992" s="4">
        <v>2174.3212048178962</v>
      </c>
      <c r="S992" s="5">
        <f t="shared" si="61"/>
        <v>-0.7758431747610417</v>
      </c>
      <c r="T992" s="4">
        <v>2495.1722581374961</v>
      </c>
      <c r="U992" s="5">
        <f t="shared" si="62"/>
        <v>-0.74276574658376326</v>
      </c>
      <c r="V992" s="4">
        <v>2027.951782226562</v>
      </c>
      <c r="W992" s="5">
        <f t="shared" si="63"/>
        <v>-0.79093280595602455</v>
      </c>
    </row>
    <row r="993" spans="1:23" x14ac:dyDescent="0.25">
      <c r="A993" t="s">
        <v>1373</v>
      </c>
      <c r="B993">
        <v>2019</v>
      </c>
      <c r="C993" t="s">
        <v>46</v>
      </c>
      <c r="D993" t="s">
        <v>122</v>
      </c>
      <c r="E993">
        <v>88091</v>
      </c>
      <c r="F993" t="s">
        <v>161</v>
      </c>
      <c r="G993" t="s">
        <v>44</v>
      </c>
      <c r="H993" t="s">
        <v>25</v>
      </c>
      <c r="I993" t="s">
        <v>24</v>
      </c>
      <c r="J993" s="2">
        <v>45342</v>
      </c>
      <c r="K993" t="s">
        <v>25</v>
      </c>
      <c r="L993">
        <v>44135</v>
      </c>
      <c r="M993">
        <v>235</v>
      </c>
      <c r="N993">
        <v>285</v>
      </c>
      <c r="O993" s="4">
        <v>18200</v>
      </c>
      <c r="P993" s="4">
        <v>14733.3017578125</v>
      </c>
      <c r="Q993" s="5">
        <f t="shared" si="60"/>
        <v>-0.19047792539491759</v>
      </c>
      <c r="R993" s="4">
        <v>14792.37874166929</v>
      </c>
      <c r="S993" s="5">
        <f t="shared" si="61"/>
        <v>-0.18723193727091814</v>
      </c>
      <c r="T993" s="4">
        <v>16869.93028471278</v>
      </c>
      <c r="U993" s="5">
        <f t="shared" si="62"/>
        <v>-7.308075358720989E-2</v>
      </c>
      <c r="V993" s="4">
        <v>15001.93359375</v>
      </c>
      <c r="W993" s="5">
        <f t="shared" si="63"/>
        <v>-0.17571793440934069</v>
      </c>
    </row>
    <row r="994" spans="1:23" x14ac:dyDescent="0.25">
      <c r="A994" t="s">
        <v>1374</v>
      </c>
      <c r="B994">
        <v>2014</v>
      </c>
      <c r="C994" t="s">
        <v>369</v>
      </c>
      <c r="D994" t="s">
        <v>419</v>
      </c>
      <c r="E994">
        <v>115573</v>
      </c>
      <c r="F994" t="s">
        <v>89</v>
      </c>
      <c r="G994" t="s">
        <v>30</v>
      </c>
      <c r="H994" t="s">
        <v>24</v>
      </c>
      <c r="I994" t="s">
        <v>25</v>
      </c>
      <c r="J994" s="2">
        <v>45449</v>
      </c>
      <c r="K994" t="s">
        <v>25</v>
      </c>
      <c r="L994">
        <v>44135</v>
      </c>
      <c r="M994">
        <v>235</v>
      </c>
      <c r="N994">
        <v>285</v>
      </c>
      <c r="O994" s="4">
        <v>5000</v>
      </c>
      <c r="P994" s="4">
        <v>4145.251953125</v>
      </c>
      <c r="Q994" s="5">
        <f t="shared" si="60"/>
        <v>-0.17094960937500003</v>
      </c>
      <c r="R994" s="4">
        <v>4186.9634217602379</v>
      </c>
      <c r="S994" s="5">
        <f t="shared" si="61"/>
        <v>-0.16260731564795239</v>
      </c>
      <c r="T994" s="4">
        <v>16712.53464668183</v>
      </c>
      <c r="U994" s="5">
        <f t="shared" si="62"/>
        <v>2.3425069293363658</v>
      </c>
      <c r="V994" s="4">
        <v>4036.29638671875</v>
      </c>
      <c r="W994" s="5">
        <f t="shared" si="63"/>
        <v>-0.19274072265624997</v>
      </c>
    </row>
    <row r="995" spans="1:23" x14ac:dyDescent="0.25">
      <c r="A995" t="s">
        <v>1375</v>
      </c>
      <c r="B995">
        <v>2018</v>
      </c>
      <c r="C995" t="s">
        <v>20</v>
      </c>
      <c r="D995" t="s">
        <v>21</v>
      </c>
      <c r="E995">
        <v>111986</v>
      </c>
      <c r="F995" t="s">
        <v>37</v>
      </c>
      <c r="G995" t="s">
        <v>38</v>
      </c>
      <c r="H995" t="s">
        <v>25</v>
      </c>
      <c r="I995" t="s">
        <v>24</v>
      </c>
      <c r="J995" s="2">
        <v>45622</v>
      </c>
      <c r="K995" t="s">
        <v>25</v>
      </c>
      <c r="L995">
        <v>44135</v>
      </c>
      <c r="M995">
        <v>235</v>
      </c>
      <c r="N995">
        <v>285</v>
      </c>
      <c r="O995" s="4">
        <v>14100</v>
      </c>
      <c r="P995" s="4">
        <v>5490.18603515625</v>
      </c>
      <c r="Q995" s="5">
        <f t="shared" si="60"/>
        <v>-0.61062510388962765</v>
      </c>
      <c r="R995" s="4">
        <v>9911.0837565124693</v>
      </c>
      <c r="S995" s="5">
        <f t="shared" si="61"/>
        <v>-0.297086258403371</v>
      </c>
      <c r="T995" s="4">
        <v>7285.9813699786064</v>
      </c>
      <c r="U995" s="5">
        <f t="shared" si="62"/>
        <v>-0.48326373262563072</v>
      </c>
      <c r="V995" s="4">
        <v>5207.80810546875</v>
      </c>
      <c r="W995" s="5">
        <f t="shared" si="63"/>
        <v>-0.63065190741356381</v>
      </c>
    </row>
    <row r="996" spans="1:23" x14ac:dyDescent="0.25">
      <c r="A996" t="s">
        <v>1376</v>
      </c>
      <c r="B996">
        <v>2018</v>
      </c>
      <c r="C996" t="s">
        <v>32</v>
      </c>
      <c r="D996" t="s">
        <v>143</v>
      </c>
      <c r="E996">
        <v>90962</v>
      </c>
      <c r="F996" t="s">
        <v>161</v>
      </c>
      <c r="G996" t="s">
        <v>44</v>
      </c>
      <c r="H996" t="s">
        <v>25</v>
      </c>
      <c r="I996" t="s">
        <v>24</v>
      </c>
      <c r="J996" s="2">
        <v>45356</v>
      </c>
      <c r="K996" t="s">
        <v>25</v>
      </c>
      <c r="L996">
        <v>44135</v>
      </c>
      <c r="M996">
        <v>235</v>
      </c>
      <c r="N996">
        <v>285</v>
      </c>
      <c r="O996" s="4">
        <v>11200</v>
      </c>
      <c r="P996" s="4">
        <v>11845.919921875</v>
      </c>
      <c r="Q996" s="5">
        <f t="shared" si="60"/>
        <v>5.7671421595982153E-2</v>
      </c>
      <c r="R996" s="4">
        <v>12861.937161133639</v>
      </c>
      <c r="S996" s="5">
        <f t="shared" si="61"/>
        <v>0.1483872465297893</v>
      </c>
      <c r="T996" s="4">
        <v>12666.46093471826</v>
      </c>
      <c r="U996" s="5">
        <f t="shared" si="62"/>
        <v>0.13093401202841592</v>
      </c>
      <c r="V996" s="4">
        <v>12147.7509765625</v>
      </c>
      <c r="W996" s="5">
        <f t="shared" si="63"/>
        <v>8.462062290736605E-2</v>
      </c>
    </row>
    <row r="997" spans="1:23" x14ac:dyDescent="0.25">
      <c r="A997" t="s">
        <v>1377</v>
      </c>
      <c r="B997">
        <v>2019</v>
      </c>
      <c r="C997" t="s">
        <v>53</v>
      </c>
      <c r="D997" t="s">
        <v>590</v>
      </c>
      <c r="E997">
        <v>66413</v>
      </c>
      <c r="F997" t="s">
        <v>43</v>
      </c>
      <c r="G997" t="s">
        <v>44</v>
      </c>
      <c r="H997" t="s">
        <v>25</v>
      </c>
      <c r="I997" t="s">
        <v>24</v>
      </c>
      <c r="J997" s="2">
        <v>45482</v>
      </c>
      <c r="K997" t="s">
        <v>25</v>
      </c>
      <c r="L997">
        <v>44135</v>
      </c>
      <c r="M997">
        <v>235</v>
      </c>
      <c r="N997">
        <v>285</v>
      </c>
      <c r="O997" s="4">
        <v>12200</v>
      </c>
      <c r="P997" s="4">
        <v>16991.931640625</v>
      </c>
      <c r="Q997" s="5">
        <f t="shared" si="60"/>
        <v>0.39278128201844265</v>
      </c>
      <c r="R997" s="4">
        <v>16627.747094254679</v>
      </c>
      <c r="S997" s="5">
        <f t="shared" si="61"/>
        <v>0.36293008969300655</v>
      </c>
      <c r="T997" s="4">
        <v>10930.56832430236</v>
      </c>
      <c r="U997" s="5">
        <f t="shared" si="62"/>
        <v>-0.10405177669652788</v>
      </c>
      <c r="V997" s="4">
        <v>17153.2265625</v>
      </c>
      <c r="W997" s="5">
        <f t="shared" si="63"/>
        <v>0.40600217725409826</v>
      </c>
    </row>
    <row r="998" spans="1:23" x14ac:dyDescent="0.25">
      <c r="A998" t="s">
        <v>1378</v>
      </c>
      <c r="B998">
        <v>2016</v>
      </c>
      <c r="C998" t="s">
        <v>185</v>
      </c>
      <c r="D998" t="s">
        <v>437</v>
      </c>
      <c r="E998">
        <v>94847</v>
      </c>
      <c r="F998" t="s">
        <v>111</v>
      </c>
      <c r="G998" t="s">
        <v>30</v>
      </c>
      <c r="H998" t="s">
        <v>24</v>
      </c>
      <c r="I998" t="s">
        <v>25</v>
      </c>
      <c r="J998" s="2">
        <v>45370</v>
      </c>
      <c r="K998" t="s">
        <v>25</v>
      </c>
      <c r="L998">
        <v>44135</v>
      </c>
      <c r="M998">
        <v>235</v>
      </c>
      <c r="N998">
        <v>285</v>
      </c>
      <c r="O998" s="4">
        <v>3000</v>
      </c>
      <c r="P998" s="4">
        <v>3744.556640625</v>
      </c>
      <c r="Q998" s="5">
        <f t="shared" si="60"/>
        <v>0.24818554687500005</v>
      </c>
      <c r="R998" s="4">
        <v>4020.8290468415039</v>
      </c>
      <c r="S998" s="5">
        <f t="shared" si="61"/>
        <v>0.34027634894716807</v>
      </c>
      <c r="T998" s="4">
        <v>3020.2571296091241</v>
      </c>
      <c r="U998" s="5">
        <f t="shared" si="62"/>
        <v>6.7523765363746158E-3</v>
      </c>
      <c r="V998" s="4">
        <v>3658.721923828125</v>
      </c>
      <c r="W998" s="5">
        <f t="shared" si="63"/>
        <v>0.219573974609375</v>
      </c>
    </row>
    <row r="999" spans="1:23" x14ac:dyDescent="0.25">
      <c r="A999" t="s">
        <v>1379</v>
      </c>
      <c r="B999">
        <v>2021</v>
      </c>
      <c r="C999" t="s">
        <v>185</v>
      </c>
      <c r="D999" t="s">
        <v>437</v>
      </c>
      <c r="E999">
        <v>62551</v>
      </c>
      <c r="F999" t="s">
        <v>89</v>
      </c>
      <c r="G999" t="s">
        <v>34</v>
      </c>
      <c r="H999" t="s">
        <v>25</v>
      </c>
      <c r="I999" t="s">
        <v>24</v>
      </c>
      <c r="J999" s="2">
        <v>45328</v>
      </c>
      <c r="K999" t="s">
        <v>25</v>
      </c>
      <c r="L999">
        <v>44135</v>
      </c>
      <c r="M999">
        <v>235</v>
      </c>
      <c r="N999">
        <v>285</v>
      </c>
      <c r="O999" s="4">
        <v>8000</v>
      </c>
      <c r="P999" s="4">
        <v>11585.607421875</v>
      </c>
      <c r="Q999" s="5">
        <f t="shared" si="60"/>
        <v>0.44820092773437503</v>
      </c>
      <c r="R999" s="4">
        <v>10583.623088193899</v>
      </c>
      <c r="S999" s="5">
        <f t="shared" si="61"/>
        <v>0.32295288602423744</v>
      </c>
      <c r="T999" s="4">
        <v>8028.8937751045214</v>
      </c>
      <c r="U999" s="5">
        <f t="shared" si="62"/>
        <v>3.6117218880651336E-3</v>
      </c>
      <c r="V999" s="4">
        <v>11509.9228515625</v>
      </c>
      <c r="W999" s="5">
        <f t="shared" si="63"/>
        <v>0.43874035644531251</v>
      </c>
    </row>
    <row r="1000" spans="1:23" x14ac:dyDescent="0.25">
      <c r="A1000" t="s">
        <v>1380</v>
      </c>
      <c r="B1000">
        <v>2016</v>
      </c>
      <c r="C1000" t="s">
        <v>113</v>
      </c>
      <c r="D1000" t="s">
        <v>1072</v>
      </c>
      <c r="E1000">
        <v>143720</v>
      </c>
      <c r="F1000" t="s">
        <v>61</v>
      </c>
      <c r="G1000" t="s">
        <v>30</v>
      </c>
      <c r="H1000" t="s">
        <v>24</v>
      </c>
      <c r="I1000" t="s">
        <v>25</v>
      </c>
      <c r="J1000" s="2">
        <v>45580</v>
      </c>
      <c r="K1000" t="s">
        <v>25</v>
      </c>
      <c r="L1000">
        <v>44135</v>
      </c>
      <c r="M1000">
        <v>235</v>
      </c>
      <c r="N1000">
        <v>285</v>
      </c>
      <c r="O1000" s="4">
        <v>5500</v>
      </c>
      <c r="P1000" s="4">
        <v>3892.956298828125</v>
      </c>
      <c r="Q1000" s="5">
        <f t="shared" si="60"/>
        <v>-0.29218976384943185</v>
      </c>
      <c r="R1000" s="4">
        <v>4642.4906048654066</v>
      </c>
      <c r="S1000" s="5">
        <f t="shared" si="61"/>
        <v>-0.15591079911538064</v>
      </c>
      <c r="T1000" s="4">
        <v>6133.3913608976536</v>
      </c>
      <c r="U1000" s="5">
        <f t="shared" si="62"/>
        <v>0.11516206561775522</v>
      </c>
      <c r="V1000" s="4">
        <v>3667.364013671875</v>
      </c>
      <c r="W1000" s="5">
        <f t="shared" si="63"/>
        <v>-0.33320654296874996</v>
      </c>
    </row>
    <row r="1001" spans="1:23" x14ac:dyDescent="0.25">
      <c r="A1001" t="s">
        <v>1381</v>
      </c>
      <c r="B1001">
        <v>2017</v>
      </c>
      <c r="C1001" t="s">
        <v>302</v>
      </c>
      <c r="D1001" t="s">
        <v>669</v>
      </c>
      <c r="E1001">
        <v>123788</v>
      </c>
      <c r="F1001" t="s">
        <v>382</v>
      </c>
      <c r="G1001" t="s">
        <v>23</v>
      </c>
      <c r="H1001" t="s">
        <v>24</v>
      </c>
      <c r="I1001" t="s">
        <v>25</v>
      </c>
      <c r="J1001" s="2">
        <v>45496</v>
      </c>
      <c r="K1001" t="s">
        <v>25</v>
      </c>
      <c r="L1001">
        <v>44135</v>
      </c>
      <c r="M1001">
        <v>235</v>
      </c>
      <c r="N1001">
        <v>285</v>
      </c>
      <c r="O1001" s="4">
        <v>9400</v>
      </c>
      <c r="P1001" s="4">
        <v>4604.09130859375</v>
      </c>
      <c r="Q1001" s="5">
        <f t="shared" si="60"/>
        <v>-0.5102030522772607</v>
      </c>
      <c r="R1001" s="4">
        <v>5700.6536950260706</v>
      </c>
      <c r="S1001" s="5">
        <f t="shared" si="61"/>
        <v>-0.39354747925254563</v>
      </c>
      <c r="T1001" s="4">
        <v>5687.6495314741178</v>
      </c>
      <c r="U1001" s="5">
        <f t="shared" si="62"/>
        <v>-0.39493090090700878</v>
      </c>
      <c r="V1001" s="4">
        <v>4212.8154296875</v>
      </c>
      <c r="W1001" s="5">
        <f t="shared" si="63"/>
        <v>-0.55182814577792549</v>
      </c>
    </row>
    <row r="1002" spans="1:23" x14ac:dyDescent="0.25">
      <c r="A1002" t="s">
        <v>1382</v>
      </c>
      <c r="B1002">
        <v>2013</v>
      </c>
      <c r="C1002" t="s">
        <v>519</v>
      </c>
      <c r="D1002" t="s">
        <v>1154</v>
      </c>
      <c r="E1002">
        <v>189659</v>
      </c>
      <c r="F1002" t="s">
        <v>382</v>
      </c>
      <c r="G1002" t="s">
        <v>30</v>
      </c>
      <c r="H1002" t="s">
        <v>24</v>
      </c>
      <c r="I1002" t="s">
        <v>25</v>
      </c>
      <c r="J1002" s="2">
        <v>45552</v>
      </c>
      <c r="K1002" t="s">
        <v>25</v>
      </c>
      <c r="L1002">
        <v>44135</v>
      </c>
      <c r="M1002">
        <v>235</v>
      </c>
      <c r="N1002">
        <v>285</v>
      </c>
      <c r="O1002" s="4">
        <v>500</v>
      </c>
      <c r="P1002" s="4">
        <v>1587.681030273438</v>
      </c>
      <c r="Q1002" s="5">
        <f t="shared" si="60"/>
        <v>2.1753620605468758</v>
      </c>
      <c r="R1002" s="4">
        <v>1889.1657504514019</v>
      </c>
      <c r="S1002" s="5">
        <f t="shared" si="61"/>
        <v>2.7783315009028038</v>
      </c>
      <c r="T1002" s="4">
        <v>1571.438276520932</v>
      </c>
      <c r="U1002" s="5">
        <f t="shared" si="62"/>
        <v>2.1428765530418641</v>
      </c>
      <c r="V1002" s="4">
        <v>1564.289916992188</v>
      </c>
      <c r="W1002" s="5">
        <f t="shared" si="63"/>
        <v>2.128579833984376</v>
      </c>
    </row>
    <row r="1003" spans="1:23" x14ac:dyDescent="0.25">
      <c r="A1003" t="s">
        <v>1383</v>
      </c>
      <c r="B1003">
        <v>2017</v>
      </c>
      <c r="C1003" t="s">
        <v>91</v>
      </c>
      <c r="D1003" t="s">
        <v>287</v>
      </c>
      <c r="E1003">
        <v>68328</v>
      </c>
      <c r="F1003" t="s">
        <v>261</v>
      </c>
      <c r="G1003" t="s">
        <v>30</v>
      </c>
      <c r="H1003" t="s">
        <v>24</v>
      </c>
      <c r="I1003" t="s">
        <v>25</v>
      </c>
      <c r="J1003" s="2">
        <v>45566</v>
      </c>
      <c r="K1003" t="s">
        <v>25</v>
      </c>
      <c r="L1003">
        <v>44135</v>
      </c>
      <c r="M1003">
        <v>235</v>
      </c>
      <c r="N1003">
        <v>285</v>
      </c>
      <c r="O1003" s="4">
        <v>9000</v>
      </c>
      <c r="P1003" s="4">
        <v>5538.95068359375</v>
      </c>
      <c r="Q1003" s="5">
        <f t="shared" si="60"/>
        <v>-0.38456103515624995</v>
      </c>
      <c r="R1003" s="4">
        <v>7115.4401612763486</v>
      </c>
      <c r="S1003" s="5">
        <f t="shared" si="61"/>
        <v>-0.2093955376359613</v>
      </c>
      <c r="T1003" s="4">
        <v>5153.044431359097</v>
      </c>
      <c r="U1003" s="5">
        <f t="shared" si="62"/>
        <v>-0.42743950762676697</v>
      </c>
      <c r="V1003" s="4">
        <v>5074.451171875</v>
      </c>
      <c r="W1003" s="5">
        <f t="shared" si="63"/>
        <v>-0.43617209201388885</v>
      </c>
    </row>
    <row r="1004" spans="1:23" x14ac:dyDescent="0.25">
      <c r="A1004" t="s">
        <v>1384</v>
      </c>
      <c r="B1004">
        <v>2013</v>
      </c>
      <c r="C1004" t="s">
        <v>156</v>
      </c>
      <c r="D1004" t="s">
        <v>173</v>
      </c>
      <c r="E1004">
        <v>121714</v>
      </c>
      <c r="F1004" t="s">
        <v>649</v>
      </c>
      <c r="G1004" t="s">
        <v>23</v>
      </c>
      <c r="H1004" t="s">
        <v>24</v>
      </c>
      <c r="I1004" t="s">
        <v>25</v>
      </c>
      <c r="J1004" s="2">
        <v>45538</v>
      </c>
      <c r="K1004" t="s">
        <v>25</v>
      </c>
      <c r="L1004">
        <v>44135</v>
      </c>
      <c r="M1004">
        <v>235</v>
      </c>
      <c r="N1004">
        <v>285</v>
      </c>
      <c r="O1004" s="4">
        <v>800</v>
      </c>
      <c r="P1004" s="4">
        <v>1602.92041015625</v>
      </c>
      <c r="Q1004" s="5">
        <f t="shared" si="60"/>
        <v>1.0036505126953124</v>
      </c>
      <c r="R1004" s="4">
        <v>1359.641581833896</v>
      </c>
      <c r="S1004" s="5">
        <f t="shared" si="61"/>
        <v>0.69955197729236995</v>
      </c>
      <c r="T1004" s="4">
        <v>2090.3701848420169</v>
      </c>
      <c r="U1004" s="5">
        <f t="shared" si="62"/>
        <v>1.6129627310525212</v>
      </c>
      <c r="V1004" s="4">
        <v>1612.918701171875</v>
      </c>
      <c r="W1004" s="5">
        <f t="shared" si="63"/>
        <v>1.0161483764648436</v>
      </c>
    </row>
    <row r="1005" spans="1:23" x14ac:dyDescent="0.25">
      <c r="A1005" t="s">
        <v>1385</v>
      </c>
      <c r="B1005">
        <v>2018</v>
      </c>
      <c r="C1005" t="s">
        <v>91</v>
      </c>
      <c r="D1005" t="s">
        <v>1386</v>
      </c>
      <c r="E1005">
        <v>80940</v>
      </c>
      <c r="F1005" t="s">
        <v>82</v>
      </c>
      <c r="G1005" t="s">
        <v>34</v>
      </c>
      <c r="H1005" t="s">
        <v>25</v>
      </c>
      <c r="I1005" t="s">
        <v>24</v>
      </c>
      <c r="J1005" s="2">
        <v>45426</v>
      </c>
      <c r="K1005" t="s">
        <v>25</v>
      </c>
      <c r="L1005">
        <v>44135</v>
      </c>
      <c r="M1005">
        <v>235</v>
      </c>
      <c r="N1005">
        <v>285</v>
      </c>
      <c r="O1005" s="4">
        <v>8800</v>
      </c>
      <c r="P1005" s="4">
        <v>5963.904296875</v>
      </c>
      <c r="Q1005" s="5">
        <f t="shared" si="60"/>
        <v>-0.32228360262784095</v>
      </c>
      <c r="R1005" s="4">
        <v>7251.3532542551211</v>
      </c>
      <c r="S1005" s="5">
        <f t="shared" si="61"/>
        <v>-0.17598258474373629</v>
      </c>
      <c r="T1005" s="4">
        <v>7791.0858599013109</v>
      </c>
      <c r="U1005" s="5">
        <f t="shared" si="62"/>
        <v>-0.11464933410212375</v>
      </c>
      <c r="V1005" s="4">
        <v>5370.76904296875</v>
      </c>
      <c r="W1005" s="5">
        <f t="shared" si="63"/>
        <v>-0.38968533602627842</v>
      </c>
    </row>
    <row r="1006" spans="1:23" x14ac:dyDescent="0.25">
      <c r="A1006" t="s">
        <v>1387</v>
      </c>
      <c r="B1006">
        <v>2015</v>
      </c>
      <c r="C1006" t="s">
        <v>302</v>
      </c>
      <c r="D1006" t="s">
        <v>1388</v>
      </c>
      <c r="E1006">
        <v>114069</v>
      </c>
      <c r="F1006" t="s">
        <v>250</v>
      </c>
      <c r="G1006" t="s">
        <v>34</v>
      </c>
      <c r="H1006" t="s">
        <v>25</v>
      </c>
      <c r="I1006" t="s">
        <v>24</v>
      </c>
      <c r="J1006" s="2">
        <v>45454</v>
      </c>
      <c r="K1006" t="s">
        <v>25</v>
      </c>
      <c r="L1006">
        <v>44135</v>
      </c>
      <c r="M1006">
        <v>235</v>
      </c>
      <c r="N1006">
        <v>285</v>
      </c>
      <c r="O1006" s="4">
        <v>900</v>
      </c>
      <c r="P1006" s="4">
        <v>6467.58056640625</v>
      </c>
      <c r="Q1006" s="5">
        <f t="shared" si="60"/>
        <v>6.186200629340278</v>
      </c>
      <c r="R1006" s="4">
        <v>6716.0707048755794</v>
      </c>
      <c r="S1006" s="5">
        <f t="shared" si="61"/>
        <v>6.4623007831950883</v>
      </c>
      <c r="T1006" s="4">
        <v>9513.9837676834759</v>
      </c>
      <c r="U1006" s="5">
        <f t="shared" si="62"/>
        <v>9.5710930752038621</v>
      </c>
      <c r="V1006" s="4">
        <v>6382.318359375</v>
      </c>
      <c r="W1006" s="5">
        <f t="shared" si="63"/>
        <v>6.0914648437499999</v>
      </c>
    </row>
    <row r="1007" spans="1:23" x14ac:dyDescent="0.25">
      <c r="A1007" t="s">
        <v>1389</v>
      </c>
      <c r="B1007">
        <v>2018</v>
      </c>
      <c r="C1007" t="s">
        <v>32</v>
      </c>
      <c r="D1007" t="s">
        <v>563</v>
      </c>
      <c r="E1007">
        <v>106524</v>
      </c>
      <c r="F1007" t="s">
        <v>58</v>
      </c>
      <c r="G1007" t="s">
        <v>30</v>
      </c>
      <c r="H1007" t="s">
        <v>24</v>
      </c>
      <c r="I1007" t="s">
        <v>25</v>
      </c>
      <c r="J1007" s="2">
        <v>45538</v>
      </c>
      <c r="K1007" t="s">
        <v>25</v>
      </c>
      <c r="L1007">
        <v>44135</v>
      </c>
      <c r="M1007">
        <v>235</v>
      </c>
      <c r="N1007">
        <v>285</v>
      </c>
      <c r="O1007" s="4">
        <v>8100</v>
      </c>
      <c r="P1007" s="4">
        <v>5839.416015625</v>
      </c>
      <c r="Q1007" s="5">
        <f t="shared" si="60"/>
        <v>-0.27908444251543207</v>
      </c>
      <c r="R1007" s="4">
        <v>7212.7704841020104</v>
      </c>
      <c r="S1007" s="5">
        <f t="shared" si="61"/>
        <v>-0.10953450813555432</v>
      </c>
      <c r="T1007" s="4">
        <v>6299.5288853121592</v>
      </c>
      <c r="U1007" s="5">
        <f t="shared" si="62"/>
        <v>-0.22228038452936305</v>
      </c>
      <c r="V1007" s="4">
        <v>5353.60888671875</v>
      </c>
      <c r="W1007" s="5">
        <f t="shared" si="63"/>
        <v>-0.33906063126929009</v>
      </c>
    </row>
    <row r="1008" spans="1:23" x14ac:dyDescent="0.25">
      <c r="A1008" t="s">
        <v>1390</v>
      </c>
      <c r="B1008">
        <v>2018</v>
      </c>
      <c r="C1008" t="s">
        <v>1391</v>
      </c>
      <c r="D1008" t="s">
        <v>1392</v>
      </c>
      <c r="E1008">
        <v>108153</v>
      </c>
      <c r="F1008" t="s">
        <v>115</v>
      </c>
      <c r="G1008" t="s">
        <v>30</v>
      </c>
      <c r="H1008" t="s">
        <v>24</v>
      </c>
      <c r="I1008" t="s">
        <v>25</v>
      </c>
      <c r="J1008" s="2">
        <v>45524</v>
      </c>
      <c r="K1008" t="s">
        <v>25</v>
      </c>
      <c r="L1008">
        <v>44135</v>
      </c>
      <c r="M1008">
        <v>235</v>
      </c>
      <c r="N1008">
        <v>285</v>
      </c>
      <c r="O1008" s="4">
        <v>13800</v>
      </c>
      <c r="P1008" s="4">
        <v>6925.37109375</v>
      </c>
      <c r="Q1008" s="5">
        <f t="shared" si="60"/>
        <v>-0.4981615149456522</v>
      </c>
      <c r="R1008" s="4">
        <v>7200.9330156217866</v>
      </c>
      <c r="S1008" s="5">
        <f t="shared" si="61"/>
        <v>-0.47819325973755167</v>
      </c>
      <c r="T1008" s="4">
        <v>12643.585847624199</v>
      </c>
      <c r="U1008" s="5">
        <f t="shared" si="62"/>
        <v>-8.3798126983753662E-2</v>
      </c>
      <c r="V1008" s="4">
        <v>6795.080078125</v>
      </c>
      <c r="W1008" s="5">
        <f t="shared" si="63"/>
        <v>-0.50760289288949267</v>
      </c>
    </row>
    <row r="1009" spans="1:23" x14ac:dyDescent="0.25">
      <c r="A1009" t="s">
        <v>1393</v>
      </c>
      <c r="B1009">
        <v>2016</v>
      </c>
      <c r="C1009" t="s">
        <v>248</v>
      </c>
      <c r="D1009" t="s">
        <v>1394</v>
      </c>
      <c r="E1009">
        <v>98694</v>
      </c>
      <c r="F1009" t="s">
        <v>382</v>
      </c>
      <c r="G1009" t="s">
        <v>38</v>
      </c>
      <c r="H1009" t="s">
        <v>25</v>
      </c>
      <c r="I1009" t="s">
        <v>24</v>
      </c>
      <c r="J1009" s="2">
        <v>45356</v>
      </c>
      <c r="K1009" t="s">
        <v>25</v>
      </c>
      <c r="L1009">
        <v>44135</v>
      </c>
      <c r="M1009">
        <v>235</v>
      </c>
      <c r="N1009">
        <v>285</v>
      </c>
      <c r="O1009" s="4">
        <v>3600</v>
      </c>
      <c r="P1009" s="4">
        <v>3460.099365234375</v>
      </c>
      <c r="Q1009" s="5">
        <f t="shared" si="60"/>
        <v>-3.8861287434895808E-2</v>
      </c>
      <c r="R1009" s="4">
        <v>5335.0169031183632</v>
      </c>
      <c r="S1009" s="5">
        <f t="shared" si="61"/>
        <v>0.48194913975510079</v>
      </c>
      <c r="T1009" s="4">
        <v>3177.3876927016831</v>
      </c>
      <c r="U1009" s="5">
        <f t="shared" si="62"/>
        <v>-0.11739230758286578</v>
      </c>
      <c r="V1009" s="4">
        <v>3058.68212890625</v>
      </c>
      <c r="W1009" s="5">
        <f t="shared" si="63"/>
        <v>-0.1503660753038194</v>
      </c>
    </row>
    <row r="1010" spans="1:23" x14ac:dyDescent="0.25">
      <c r="A1010" t="s">
        <v>1395</v>
      </c>
      <c r="B1010">
        <v>2019</v>
      </c>
      <c r="C1010" t="s">
        <v>53</v>
      </c>
      <c r="D1010" t="s">
        <v>65</v>
      </c>
      <c r="E1010">
        <v>128448</v>
      </c>
      <c r="F1010" t="s">
        <v>214</v>
      </c>
      <c r="G1010" t="s">
        <v>30</v>
      </c>
      <c r="H1010" t="s">
        <v>24</v>
      </c>
      <c r="I1010" t="s">
        <v>25</v>
      </c>
      <c r="J1010" s="2">
        <v>45666</v>
      </c>
      <c r="K1010" t="s">
        <v>25</v>
      </c>
      <c r="L1010">
        <v>44137</v>
      </c>
      <c r="M1010">
        <v>280</v>
      </c>
      <c r="N1010">
        <v>330</v>
      </c>
      <c r="O1010" s="4">
        <v>9000</v>
      </c>
      <c r="P1010" s="4">
        <v>10630.9072265625</v>
      </c>
      <c r="Q1010" s="5">
        <f t="shared" si="60"/>
        <v>0.18121191406249992</v>
      </c>
      <c r="R1010" s="4">
        <v>12511.464801128061</v>
      </c>
      <c r="S1010" s="5">
        <f t="shared" si="61"/>
        <v>0.39016275568089553</v>
      </c>
      <c r="T1010" s="4">
        <v>14482.197808168259</v>
      </c>
      <c r="U1010" s="5">
        <f t="shared" si="62"/>
        <v>0.60913308979647329</v>
      </c>
      <c r="V1010" s="4">
        <v>10494.8681640625</v>
      </c>
      <c r="W1010" s="5">
        <f t="shared" si="63"/>
        <v>0.166096462673611</v>
      </c>
    </row>
    <row r="1011" spans="1:23" x14ac:dyDescent="0.25">
      <c r="A1011" t="s">
        <v>1396</v>
      </c>
      <c r="B1011">
        <v>2016</v>
      </c>
      <c r="C1011" t="s">
        <v>53</v>
      </c>
      <c r="D1011" t="s">
        <v>69</v>
      </c>
      <c r="E1011">
        <v>111591</v>
      </c>
      <c r="F1011" t="s">
        <v>214</v>
      </c>
      <c r="G1011" t="s">
        <v>30</v>
      </c>
      <c r="H1011" t="s">
        <v>24</v>
      </c>
      <c r="I1011" t="s">
        <v>25</v>
      </c>
      <c r="J1011" s="2">
        <v>45295</v>
      </c>
      <c r="K1011" t="s">
        <v>25</v>
      </c>
      <c r="L1011">
        <v>44137</v>
      </c>
      <c r="M1011">
        <v>280</v>
      </c>
      <c r="N1011">
        <v>330</v>
      </c>
      <c r="O1011" s="4">
        <v>3000</v>
      </c>
      <c r="P1011" s="4">
        <v>7071.8349609375</v>
      </c>
      <c r="Q1011" s="5">
        <f t="shared" si="60"/>
        <v>1.3572783203125001</v>
      </c>
      <c r="R1011" s="4">
        <v>9329.2210114309746</v>
      </c>
      <c r="S1011" s="5">
        <f t="shared" si="61"/>
        <v>2.1097403371436583</v>
      </c>
      <c r="T1011" s="4">
        <v>11825.292976850071</v>
      </c>
      <c r="U1011" s="5">
        <f t="shared" si="62"/>
        <v>2.9417643256166901</v>
      </c>
      <c r="V1011" s="4">
        <v>6553.01513671875</v>
      </c>
      <c r="W1011" s="5">
        <f t="shared" si="63"/>
        <v>1.1843383789062498</v>
      </c>
    </row>
    <row r="1012" spans="1:23" x14ac:dyDescent="0.25">
      <c r="A1012" t="s">
        <v>1397</v>
      </c>
      <c r="B1012">
        <v>2014</v>
      </c>
      <c r="C1012" t="s">
        <v>53</v>
      </c>
      <c r="D1012" t="s">
        <v>69</v>
      </c>
      <c r="E1012">
        <v>122189</v>
      </c>
      <c r="F1012" t="s">
        <v>66</v>
      </c>
      <c r="G1012" t="s">
        <v>23</v>
      </c>
      <c r="H1012" t="s">
        <v>24</v>
      </c>
      <c r="I1012" t="s">
        <v>25</v>
      </c>
      <c r="J1012" s="2">
        <v>45435</v>
      </c>
      <c r="K1012" t="s">
        <v>25</v>
      </c>
      <c r="L1012">
        <v>44137</v>
      </c>
      <c r="M1012">
        <v>280</v>
      </c>
      <c r="N1012">
        <v>330</v>
      </c>
      <c r="O1012" s="4">
        <v>10000</v>
      </c>
      <c r="P1012" s="4">
        <v>3351.00634765625</v>
      </c>
      <c r="Q1012" s="5">
        <f t="shared" si="60"/>
        <v>-0.66489936523437498</v>
      </c>
      <c r="R1012" s="4">
        <v>3394.6692948477898</v>
      </c>
      <c r="S1012" s="5">
        <f t="shared" si="61"/>
        <v>-0.66053307051522103</v>
      </c>
      <c r="T1012" s="4">
        <v>5640.6946300163518</v>
      </c>
      <c r="U1012" s="5">
        <f t="shared" si="62"/>
        <v>-0.43593053699836481</v>
      </c>
      <c r="V1012" s="4">
        <v>3318.94091796875</v>
      </c>
      <c r="W1012" s="5">
        <f t="shared" si="63"/>
        <v>-0.66810590820312499</v>
      </c>
    </row>
    <row r="1013" spans="1:23" x14ac:dyDescent="0.25">
      <c r="A1013" t="s">
        <v>1398</v>
      </c>
      <c r="B1013">
        <v>2015</v>
      </c>
      <c r="C1013" t="s">
        <v>20</v>
      </c>
      <c r="D1013" t="s">
        <v>81</v>
      </c>
      <c r="E1013">
        <v>127644</v>
      </c>
      <c r="F1013" t="s">
        <v>77</v>
      </c>
      <c r="G1013" t="s">
        <v>38</v>
      </c>
      <c r="H1013" t="s">
        <v>25</v>
      </c>
      <c r="I1013" t="s">
        <v>24</v>
      </c>
      <c r="J1013" s="2">
        <v>45498</v>
      </c>
      <c r="K1013" t="s">
        <v>25</v>
      </c>
      <c r="L1013">
        <v>44137</v>
      </c>
      <c r="M1013">
        <v>280</v>
      </c>
      <c r="N1013">
        <v>330</v>
      </c>
      <c r="O1013" s="4">
        <v>3200</v>
      </c>
      <c r="P1013" s="4">
        <v>2628.525146484375</v>
      </c>
      <c r="Q1013" s="5">
        <f t="shared" si="60"/>
        <v>-0.17858589172363282</v>
      </c>
      <c r="R1013" s="4">
        <v>5408.9846472653944</v>
      </c>
      <c r="S1013" s="5">
        <f t="shared" si="61"/>
        <v>0.69030770227043581</v>
      </c>
      <c r="T1013" s="4">
        <v>3508.5674779721999</v>
      </c>
      <c r="U1013" s="5">
        <f t="shared" si="62"/>
        <v>9.6427336866312441E-2</v>
      </c>
      <c r="V1013" s="4">
        <v>2380.294189453125</v>
      </c>
      <c r="W1013" s="5">
        <f t="shared" si="63"/>
        <v>-0.25615806579589839</v>
      </c>
    </row>
    <row r="1014" spans="1:23" x14ac:dyDescent="0.25">
      <c r="A1014" t="s">
        <v>1399</v>
      </c>
      <c r="B1014">
        <v>2014</v>
      </c>
      <c r="C1014" t="s">
        <v>20</v>
      </c>
      <c r="D1014" t="s">
        <v>81</v>
      </c>
      <c r="E1014">
        <v>179546</v>
      </c>
      <c r="F1014" t="s">
        <v>55</v>
      </c>
      <c r="G1014" t="s">
        <v>30</v>
      </c>
      <c r="H1014" t="s">
        <v>24</v>
      </c>
      <c r="I1014" t="s">
        <v>25</v>
      </c>
      <c r="J1014" s="2">
        <v>45631</v>
      </c>
      <c r="K1014" t="s">
        <v>25</v>
      </c>
      <c r="L1014">
        <v>44137</v>
      </c>
      <c r="M1014">
        <v>280</v>
      </c>
      <c r="N1014">
        <v>330</v>
      </c>
      <c r="O1014" s="4">
        <v>9200</v>
      </c>
      <c r="P1014" s="4">
        <v>1364.407104492188</v>
      </c>
      <c r="Q1014" s="5">
        <f t="shared" si="60"/>
        <v>-0.85169487994650128</v>
      </c>
      <c r="R1014" s="4">
        <v>2249.2302203957038</v>
      </c>
      <c r="S1014" s="5">
        <f t="shared" si="61"/>
        <v>-0.75551845430481479</v>
      </c>
      <c r="T1014" s="4">
        <v>1300.4925913993341</v>
      </c>
      <c r="U1014" s="5">
        <f t="shared" si="62"/>
        <v>-0.85864210963050713</v>
      </c>
      <c r="V1014" s="4">
        <v>1367.74462890625</v>
      </c>
      <c r="W1014" s="5">
        <f t="shared" si="63"/>
        <v>-0.85133210555366845</v>
      </c>
    </row>
    <row r="1015" spans="1:23" x14ac:dyDescent="0.25">
      <c r="A1015" t="s">
        <v>1400</v>
      </c>
      <c r="B1015">
        <v>2017</v>
      </c>
      <c r="C1015" t="s">
        <v>20</v>
      </c>
      <c r="D1015" t="s">
        <v>76</v>
      </c>
      <c r="E1015">
        <v>128359</v>
      </c>
      <c r="F1015" t="s">
        <v>334</v>
      </c>
      <c r="G1015" t="s">
        <v>30</v>
      </c>
      <c r="H1015" t="s">
        <v>24</v>
      </c>
      <c r="I1015" t="s">
        <v>25</v>
      </c>
      <c r="J1015" s="2">
        <v>45701</v>
      </c>
      <c r="K1015" t="s">
        <v>25</v>
      </c>
      <c r="L1015">
        <v>44137</v>
      </c>
      <c r="M1015">
        <v>280</v>
      </c>
      <c r="N1015">
        <v>330</v>
      </c>
      <c r="O1015" s="4">
        <v>7700</v>
      </c>
      <c r="P1015" s="4">
        <v>4001.26513671875</v>
      </c>
      <c r="Q1015" s="5">
        <f t="shared" si="60"/>
        <v>-0.48035517704951303</v>
      </c>
      <c r="R1015" s="4">
        <v>5102.8324059825591</v>
      </c>
      <c r="S1015" s="5">
        <f t="shared" si="61"/>
        <v>-0.33729449272953782</v>
      </c>
      <c r="T1015" s="4">
        <v>2392.7967737963568</v>
      </c>
      <c r="U1015" s="5">
        <f t="shared" si="62"/>
        <v>-0.68924717223423937</v>
      </c>
      <c r="V1015" s="4">
        <v>3650.082275390625</v>
      </c>
      <c r="W1015" s="5">
        <f t="shared" si="63"/>
        <v>-0.52596334085836038</v>
      </c>
    </row>
    <row r="1016" spans="1:23" x14ac:dyDescent="0.25">
      <c r="A1016" t="s">
        <v>1401</v>
      </c>
      <c r="B1016">
        <v>2011</v>
      </c>
      <c r="C1016" t="s">
        <v>32</v>
      </c>
      <c r="D1016" t="s">
        <v>36</v>
      </c>
      <c r="E1016">
        <v>105865</v>
      </c>
      <c r="F1016" t="s">
        <v>115</v>
      </c>
      <c r="G1016" t="s">
        <v>30</v>
      </c>
      <c r="H1016" t="s">
        <v>24</v>
      </c>
      <c r="I1016" t="s">
        <v>25</v>
      </c>
      <c r="J1016" s="2">
        <v>45561</v>
      </c>
      <c r="K1016" t="s">
        <v>25</v>
      </c>
      <c r="L1016">
        <v>44137</v>
      </c>
      <c r="M1016">
        <v>280</v>
      </c>
      <c r="N1016">
        <v>330</v>
      </c>
      <c r="O1016" s="4">
        <v>1800</v>
      </c>
      <c r="P1016" s="4">
        <v>3573.504150390625</v>
      </c>
      <c r="Q1016" s="5">
        <f t="shared" si="60"/>
        <v>0.98528008355034724</v>
      </c>
      <c r="R1016" s="4">
        <v>3250.94285403615</v>
      </c>
      <c r="S1016" s="5">
        <f t="shared" si="61"/>
        <v>0.80607936335341668</v>
      </c>
      <c r="T1016" s="4">
        <v>6593.4414988091376</v>
      </c>
      <c r="U1016" s="5">
        <f t="shared" si="62"/>
        <v>2.6630230548939653</v>
      </c>
      <c r="V1016" s="4">
        <v>3544.873291015625</v>
      </c>
      <c r="W1016" s="5">
        <f t="shared" si="63"/>
        <v>0.96937405056423609</v>
      </c>
    </row>
    <row r="1017" spans="1:23" x14ac:dyDescent="0.25">
      <c r="A1017" t="s">
        <v>1402</v>
      </c>
      <c r="B1017">
        <v>2018</v>
      </c>
      <c r="C1017" t="s">
        <v>185</v>
      </c>
      <c r="D1017" t="s">
        <v>536</v>
      </c>
      <c r="E1017">
        <v>112353</v>
      </c>
      <c r="F1017" t="s">
        <v>141</v>
      </c>
      <c r="G1017" t="s">
        <v>34</v>
      </c>
      <c r="H1017" t="s">
        <v>25</v>
      </c>
      <c r="I1017" t="s">
        <v>24</v>
      </c>
      <c r="J1017" s="2">
        <v>45617</v>
      </c>
      <c r="K1017" t="s">
        <v>25</v>
      </c>
      <c r="L1017">
        <v>44137</v>
      </c>
      <c r="M1017">
        <v>280</v>
      </c>
      <c r="N1017">
        <v>330</v>
      </c>
      <c r="O1017" s="4">
        <v>11500</v>
      </c>
      <c r="P1017" s="4">
        <v>6303.8896484375</v>
      </c>
      <c r="Q1017" s="5">
        <f t="shared" si="60"/>
        <v>-0.4518356827445652</v>
      </c>
      <c r="R1017" s="4">
        <v>6976.1343891659544</v>
      </c>
      <c r="S1017" s="5">
        <f t="shared" si="61"/>
        <v>-0.3933796183333953</v>
      </c>
      <c r="T1017" s="4">
        <v>8009.0772870994042</v>
      </c>
      <c r="U1017" s="5">
        <f t="shared" si="62"/>
        <v>-0.30355849677396485</v>
      </c>
      <c r="V1017" s="4">
        <v>6062.078125</v>
      </c>
      <c r="W1017" s="5">
        <f t="shared" si="63"/>
        <v>-0.47286277173913038</v>
      </c>
    </row>
    <row r="1018" spans="1:23" x14ac:dyDescent="0.25">
      <c r="A1018" t="s">
        <v>1403</v>
      </c>
      <c r="B1018">
        <v>2021</v>
      </c>
      <c r="C1018" t="s">
        <v>266</v>
      </c>
      <c r="D1018" t="s">
        <v>1404</v>
      </c>
      <c r="E1018">
        <v>85539</v>
      </c>
      <c r="F1018" t="s">
        <v>161</v>
      </c>
      <c r="G1018" t="s">
        <v>34</v>
      </c>
      <c r="H1018" t="s">
        <v>25</v>
      </c>
      <c r="I1018" t="s">
        <v>24</v>
      </c>
      <c r="J1018" s="2">
        <v>45645</v>
      </c>
      <c r="K1018" t="s">
        <v>25</v>
      </c>
      <c r="L1018">
        <v>44137</v>
      </c>
      <c r="M1018">
        <v>280</v>
      </c>
      <c r="N1018">
        <v>330</v>
      </c>
      <c r="O1018" s="4">
        <v>10800</v>
      </c>
      <c r="P1018" s="4">
        <v>15150.9423828125</v>
      </c>
      <c r="Q1018" s="5">
        <f t="shared" si="60"/>
        <v>0.40286503544560182</v>
      </c>
      <c r="R1018" s="4">
        <v>16198.859891708191</v>
      </c>
      <c r="S1018" s="5">
        <f t="shared" si="61"/>
        <v>0.49989443441742498</v>
      </c>
      <c r="T1018" s="4">
        <v>15007.16475082617</v>
      </c>
      <c r="U1018" s="5">
        <f t="shared" si="62"/>
        <v>0.38955229174316397</v>
      </c>
      <c r="V1018" s="4">
        <v>15188.853515625</v>
      </c>
      <c r="W1018" s="5">
        <f t="shared" si="63"/>
        <v>0.40637532552083333</v>
      </c>
    </row>
    <row r="1019" spans="1:23" x14ac:dyDescent="0.25">
      <c r="A1019" t="s">
        <v>1405</v>
      </c>
      <c r="B1019">
        <v>2012</v>
      </c>
      <c r="C1019" t="s">
        <v>266</v>
      </c>
      <c r="D1019" t="s">
        <v>833</v>
      </c>
      <c r="E1019">
        <v>95898</v>
      </c>
      <c r="F1019" t="s">
        <v>66</v>
      </c>
      <c r="G1019" t="s">
        <v>23</v>
      </c>
      <c r="H1019" t="s">
        <v>24</v>
      </c>
      <c r="I1019" t="s">
        <v>25</v>
      </c>
      <c r="J1019" s="2">
        <v>45372</v>
      </c>
      <c r="K1019" t="s">
        <v>25</v>
      </c>
      <c r="L1019">
        <v>44137</v>
      </c>
      <c r="M1019">
        <v>280</v>
      </c>
      <c r="N1019">
        <v>330</v>
      </c>
      <c r="O1019" s="4">
        <v>1600</v>
      </c>
      <c r="P1019" s="4">
        <v>2358.36474609375</v>
      </c>
      <c r="Q1019" s="5">
        <f t="shared" si="60"/>
        <v>0.47397796630859368</v>
      </c>
      <c r="R1019" s="4">
        <v>2146.8072773903059</v>
      </c>
      <c r="S1019" s="5">
        <f t="shared" si="61"/>
        <v>0.34175454836894126</v>
      </c>
      <c r="T1019" s="4">
        <v>3910.5236292939639</v>
      </c>
      <c r="U1019" s="5">
        <f t="shared" si="62"/>
        <v>1.4440772683087273</v>
      </c>
      <c r="V1019" s="4">
        <v>2330.412841796875</v>
      </c>
      <c r="W1019" s="5">
        <f t="shared" si="63"/>
        <v>0.45650802612304697</v>
      </c>
    </row>
    <row r="1020" spans="1:23" x14ac:dyDescent="0.25">
      <c r="A1020" t="s">
        <v>1406</v>
      </c>
      <c r="B1020">
        <v>2017</v>
      </c>
      <c r="C1020" t="s">
        <v>46</v>
      </c>
      <c r="D1020" t="s">
        <v>381</v>
      </c>
      <c r="E1020">
        <v>52552</v>
      </c>
      <c r="F1020" t="s">
        <v>22</v>
      </c>
      <c r="G1020" t="s">
        <v>38</v>
      </c>
      <c r="H1020" t="s">
        <v>25</v>
      </c>
      <c r="I1020" t="s">
        <v>24</v>
      </c>
      <c r="J1020" s="2">
        <v>45610</v>
      </c>
      <c r="K1020" t="s">
        <v>25</v>
      </c>
      <c r="L1020">
        <v>44137</v>
      </c>
      <c r="M1020">
        <v>280</v>
      </c>
      <c r="N1020">
        <v>330</v>
      </c>
      <c r="O1020" s="4">
        <v>27000</v>
      </c>
      <c r="P1020" s="4">
        <v>10333.7138671875</v>
      </c>
      <c r="Q1020" s="5">
        <f t="shared" si="60"/>
        <v>-0.61726985677083335</v>
      </c>
      <c r="R1020" s="4">
        <v>10112.556638704589</v>
      </c>
      <c r="S1020" s="5">
        <f t="shared" si="61"/>
        <v>-0.62546086523316335</v>
      </c>
      <c r="T1020" s="4">
        <v>10605.34211130073</v>
      </c>
      <c r="U1020" s="5">
        <f t="shared" si="62"/>
        <v>-0.60720955143330624</v>
      </c>
      <c r="V1020" s="4">
        <v>10615.923828125</v>
      </c>
      <c r="W1020" s="5">
        <f t="shared" si="63"/>
        <v>-0.60681763599537031</v>
      </c>
    </row>
    <row r="1021" spans="1:23" x14ac:dyDescent="0.25">
      <c r="A1021" t="s">
        <v>1407</v>
      </c>
      <c r="B1021">
        <v>2020</v>
      </c>
      <c r="C1021" t="s">
        <v>20</v>
      </c>
      <c r="D1021" t="s">
        <v>134</v>
      </c>
      <c r="E1021">
        <v>92802</v>
      </c>
      <c r="F1021" t="s">
        <v>1408</v>
      </c>
      <c r="G1021" t="s">
        <v>44</v>
      </c>
      <c r="H1021" t="s">
        <v>25</v>
      </c>
      <c r="I1021" t="s">
        <v>24</v>
      </c>
      <c r="J1021" s="2">
        <v>45400</v>
      </c>
      <c r="K1021" t="s">
        <v>25</v>
      </c>
      <c r="L1021">
        <v>44137</v>
      </c>
      <c r="M1021">
        <v>280</v>
      </c>
      <c r="N1021">
        <v>330</v>
      </c>
      <c r="O1021" s="4">
        <v>20600</v>
      </c>
      <c r="P1021" s="4">
        <v>14569.603515625</v>
      </c>
      <c r="Q1021" s="5">
        <f t="shared" si="60"/>
        <v>-0.2927376934162621</v>
      </c>
      <c r="R1021" s="4">
        <v>17744.737709275811</v>
      </c>
      <c r="S1021" s="5">
        <f t="shared" si="61"/>
        <v>-0.13860496556913537</v>
      </c>
      <c r="T1021" s="4">
        <v>21192.582616073149</v>
      </c>
      <c r="U1021" s="5">
        <f t="shared" si="62"/>
        <v>2.8766146411317806E-2</v>
      </c>
      <c r="V1021" s="4">
        <v>14412.6669921875</v>
      </c>
      <c r="W1021" s="5">
        <f t="shared" si="63"/>
        <v>-0.30035597125303393</v>
      </c>
    </row>
    <row r="1022" spans="1:23" x14ac:dyDescent="0.25">
      <c r="A1022" t="s">
        <v>1409</v>
      </c>
      <c r="B1022">
        <v>2017</v>
      </c>
      <c r="C1022" t="s">
        <v>156</v>
      </c>
      <c r="D1022" t="s">
        <v>157</v>
      </c>
      <c r="E1022">
        <v>98443</v>
      </c>
      <c r="F1022" t="s">
        <v>111</v>
      </c>
      <c r="G1022" t="s">
        <v>30</v>
      </c>
      <c r="H1022" t="s">
        <v>24</v>
      </c>
      <c r="I1022" t="s">
        <v>25</v>
      </c>
      <c r="J1022" s="2">
        <v>45351</v>
      </c>
      <c r="K1022" t="s">
        <v>25</v>
      </c>
      <c r="L1022">
        <v>44137</v>
      </c>
      <c r="M1022">
        <v>280</v>
      </c>
      <c r="N1022">
        <v>330</v>
      </c>
      <c r="O1022" s="4">
        <v>8100</v>
      </c>
      <c r="P1022" s="4">
        <v>3736.4658203125</v>
      </c>
      <c r="Q1022" s="5">
        <f t="shared" si="60"/>
        <v>-0.53870792341820994</v>
      </c>
      <c r="R1022" s="4">
        <v>3514.192039771186</v>
      </c>
      <c r="S1022" s="5">
        <f t="shared" si="61"/>
        <v>-0.56614913089244623</v>
      </c>
      <c r="T1022" s="4">
        <v>3706.9349112273562</v>
      </c>
      <c r="U1022" s="5">
        <f t="shared" si="62"/>
        <v>-0.5423537146632893</v>
      </c>
      <c r="V1022" s="4">
        <v>3776.3642578125</v>
      </c>
      <c r="W1022" s="5">
        <f t="shared" si="63"/>
        <v>-0.53378219039351849</v>
      </c>
    </row>
    <row r="1023" spans="1:23" x14ac:dyDescent="0.25">
      <c r="A1023" t="s">
        <v>1410</v>
      </c>
      <c r="B1023">
        <v>2015</v>
      </c>
      <c r="C1023" t="s">
        <v>185</v>
      </c>
      <c r="D1023" t="s">
        <v>1257</v>
      </c>
      <c r="E1023">
        <v>122820</v>
      </c>
      <c r="F1023" t="s">
        <v>63</v>
      </c>
      <c r="G1023" t="s">
        <v>34</v>
      </c>
      <c r="H1023" t="s">
        <v>25</v>
      </c>
      <c r="I1023" t="s">
        <v>24</v>
      </c>
      <c r="J1023" s="2">
        <v>45596</v>
      </c>
      <c r="K1023" t="s">
        <v>25</v>
      </c>
      <c r="L1023">
        <v>44137</v>
      </c>
      <c r="M1023">
        <v>280</v>
      </c>
      <c r="N1023">
        <v>330</v>
      </c>
      <c r="O1023" s="4">
        <v>3200</v>
      </c>
      <c r="P1023" s="4">
        <v>6057.818359375</v>
      </c>
      <c r="Q1023" s="5">
        <f t="shared" si="60"/>
        <v>0.89306823730468743</v>
      </c>
      <c r="R1023" s="4">
        <v>5802.9932157820322</v>
      </c>
      <c r="S1023" s="5">
        <f t="shared" si="61"/>
        <v>0.81343537993188497</v>
      </c>
      <c r="T1023" s="4">
        <v>6709.8176150693653</v>
      </c>
      <c r="U1023" s="5">
        <f t="shared" si="62"/>
        <v>1.0968180047091765</v>
      </c>
      <c r="V1023" s="4">
        <v>6116.775390625</v>
      </c>
      <c r="W1023" s="5">
        <f t="shared" si="63"/>
        <v>0.91149230957031246</v>
      </c>
    </row>
    <row r="1024" spans="1:23" x14ac:dyDescent="0.25">
      <c r="A1024" t="s">
        <v>1411</v>
      </c>
      <c r="B1024">
        <v>2020</v>
      </c>
      <c r="C1024" t="s">
        <v>185</v>
      </c>
      <c r="D1024" t="s">
        <v>1298</v>
      </c>
      <c r="E1024">
        <v>56169</v>
      </c>
      <c r="F1024" t="s">
        <v>63</v>
      </c>
      <c r="G1024" t="s">
        <v>44</v>
      </c>
      <c r="H1024" t="s">
        <v>25</v>
      </c>
      <c r="I1024" t="s">
        <v>24</v>
      </c>
      <c r="J1024" s="2">
        <v>45344</v>
      </c>
      <c r="K1024" t="s">
        <v>25</v>
      </c>
      <c r="L1024">
        <v>44137</v>
      </c>
      <c r="M1024">
        <v>280</v>
      </c>
      <c r="N1024">
        <v>330</v>
      </c>
      <c r="O1024" s="4">
        <v>17400</v>
      </c>
      <c r="P1024" s="4">
        <v>14461.771484375</v>
      </c>
      <c r="Q1024" s="5">
        <f t="shared" si="60"/>
        <v>-0.16886370779454019</v>
      </c>
      <c r="R1024" s="4">
        <v>14880.01758167094</v>
      </c>
      <c r="S1024" s="5">
        <f t="shared" si="61"/>
        <v>-0.14482657576603797</v>
      </c>
      <c r="T1024" s="4">
        <v>17035.55738422395</v>
      </c>
      <c r="U1024" s="5">
        <f t="shared" si="62"/>
        <v>-2.0944977918163743E-2</v>
      </c>
      <c r="V1024" s="4">
        <v>14535.9248046875</v>
      </c>
      <c r="W1024" s="5">
        <f t="shared" si="63"/>
        <v>-0.16460202271910918</v>
      </c>
    </row>
    <row r="1025" spans="1:23" x14ac:dyDescent="0.25">
      <c r="A1025" t="s">
        <v>1412</v>
      </c>
      <c r="B1025">
        <v>2017</v>
      </c>
      <c r="C1025" t="s">
        <v>185</v>
      </c>
      <c r="D1025" t="s">
        <v>1413</v>
      </c>
      <c r="E1025">
        <v>103574</v>
      </c>
      <c r="F1025" t="s">
        <v>37</v>
      </c>
      <c r="G1025" t="s">
        <v>30</v>
      </c>
      <c r="H1025" t="s">
        <v>24</v>
      </c>
      <c r="I1025" t="s">
        <v>25</v>
      </c>
      <c r="J1025" s="2">
        <v>45659</v>
      </c>
      <c r="K1025" t="s">
        <v>25</v>
      </c>
      <c r="L1025">
        <v>44137</v>
      </c>
      <c r="M1025">
        <v>280</v>
      </c>
      <c r="N1025">
        <v>330</v>
      </c>
      <c r="O1025" s="4">
        <v>14000</v>
      </c>
      <c r="P1025" s="4">
        <v>4553.39306640625</v>
      </c>
      <c r="Q1025" s="5">
        <f t="shared" si="60"/>
        <v>-0.67475763811383926</v>
      </c>
      <c r="R1025" s="4">
        <v>6267.2786574623369</v>
      </c>
      <c r="S1025" s="5">
        <f t="shared" si="61"/>
        <v>-0.55233723875269014</v>
      </c>
      <c r="T1025" s="4">
        <v>7806.4713388681121</v>
      </c>
      <c r="U1025" s="5">
        <f t="shared" si="62"/>
        <v>-0.44239490436656337</v>
      </c>
      <c r="V1025" s="4">
        <v>4085.975830078125</v>
      </c>
      <c r="W1025" s="5">
        <f t="shared" si="63"/>
        <v>-0.7081445835658482</v>
      </c>
    </row>
    <row r="1026" spans="1:23" x14ac:dyDescent="0.25">
      <c r="A1026" t="s">
        <v>1414</v>
      </c>
      <c r="B1026">
        <v>2009</v>
      </c>
      <c r="C1026" t="s">
        <v>167</v>
      </c>
      <c r="D1026" t="s">
        <v>1415</v>
      </c>
      <c r="E1026">
        <v>172584</v>
      </c>
      <c r="F1026" t="s">
        <v>82</v>
      </c>
      <c r="G1026" t="s">
        <v>30</v>
      </c>
      <c r="H1026" t="s">
        <v>24</v>
      </c>
      <c r="I1026" t="s">
        <v>25</v>
      </c>
      <c r="J1026" s="2">
        <v>45379</v>
      </c>
      <c r="K1026" t="s">
        <v>25</v>
      </c>
      <c r="L1026">
        <v>44137</v>
      </c>
      <c r="M1026">
        <v>280</v>
      </c>
      <c r="N1026">
        <v>330</v>
      </c>
      <c r="O1026" s="4">
        <v>2600</v>
      </c>
      <c r="P1026" s="4">
        <v>508.22982788085938</v>
      </c>
      <c r="Q1026" s="5">
        <f t="shared" si="60"/>
        <v>-0.8045269892765925</v>
      </c>
      <c r="R1026" s="4">
        <v>203.2471565584456</v>
      </c>
      <c r="S1026" s="5">
        <f t="shared" si="61"/>
        <v>-0.92182801670829018</v>
      </c>
      <c r="T1026" s="4">
        <v>730.52973037512675</v>
      </c>
      <c r="U1026" s="5">
        <f t="shared" si="62"/>
        <v>-0.71902702677879748</v>
      </c>
      <c r="V1026" s="4">
        <v>792.91680908203125</v>
      </c>
      <c r="W1026" s="5">
        <f t="shared" si="63"/>
        <v>-0.69503199650691105</v>
      </c>
    </row>
    <row r="1027" spans="1:23" x14ac:dyDescent="0.25">
      <c r="A1027" t="s">
        <v>1416</v>
      </c>
      <c r="B1027">
        <v>2015</v>
      </c>
      <c r="C1027" t="s">
        <v>167</v>
      </c>
      <c r="D1027" t="s">
        <v>168</v>
      </c>
      <c r="E1027">
        <v>125538</v>
      </c>
      <c r="F1027" t="s">
        <v>61</v>
      </c>
      <c r="G1027" t="s">
        <v>30</v>
      </c>
      <c r="H1027" t="s">
        <v>24</v>
      </c>
      <c r="I1027" t="s">
        <v>25</v>
      </c>
      <c r="J1027" s="2">
        <v>45722</v>
      </c>
      <c r="K1027" t="s">
        <v>25</v>
      </c>
      <c r="L1027">
        <v>44137</v>
      </c>
      <c r="M1027">
        <v>280</v>
      </c>
      <c r="N1027">
        <v>330</v>
      </c>
      <c r="O1027" s="4">
        <v>6200</v>
      </c>
      <c r="P1027" s="4">
        <v>2191.97265625</v>
      </c>
      <c r="Q1027" s="5">
        <f t="shared" ref="Q1027:Q1090" si="64">(P1027/$O1027)-1</f>
        <v>-0.6464560231854839</v>
      </c>
      <c r="R1027" s="4">
        <v>2518.921311519794</v>
      </c>
      <c r="S1027" s="5">
        <f t="shared" ref="S1027:S1090" si="65">(R1027/$O1027)-1</f>
        <v>-0.59372236910971066</v>
      </c>
      <c r="T1027" s="4">
        <v>2492.7206339686072</v>
      </c>
      <c r="U1027" s="5">
        <f t="shared" ref="U1027:U1090" si="66">(T1027/$O1027)-1</f>
        <v>-0.59794828484377305</v>
      </c>
      <c r="V1027" s="4">
        <v>2133.89306640625</v>
      </c>
      <c r="W1027" s="5">
        <f t="shared" ref="W1027:W1090" si="67">(V1027/$O1027)-1</f>
        <v>-0.65582369896673387</v>
      </c>
    </row>
    <row r="1028" spans="1:23" x14ac:dyDescent="0.25">
      <c r="A1028" t="s">
        <v>1417</v>
      </c>
      <c r="B1028">
        <v>2018</v>
      </c>
      <c r="C1028" t="s">
        <v>156</v>
      </c>
      <c r="D1028" t="s">
        <v>173</v>
      </c>
      <c r="E1028">
        <v>99887</v>
      </c>
      <c r="F1028" t="s">
        <v>621</v>
      </c>
      <c r="G1028" t="s">
        <v>44</v>
      </c>
      <c r="H1028" t="s">
        <v>25</v>
      </c>
      <c r="I1028" t="s">
        <v>24</v>
      </c>
      <c r="J1028" s="2">
        <v>45309</v>
      </c>
      <c r="K1028" t="s">
        <v>25</v>
      </c>
      <c r="L1028">
        <v>44137</v>
      </c>
      <c r="M1028">
        <v>280</v>
      </c>
      <c r="N1028">
        <v>330</v>
      </c>
      <c r="O1028" s="4">
        <v>12300</v>
      </c>
      <c r="P1028" s="4">
        <v>8622.6796875</v>
      </c>
      <c r="Q1028" s="5">
        <f t="shared" si="64"/>
        <v>-0.29896913109756096</v>
      </c>
      <c r="R1028" s="4">
        <v>10817.80086985064</v>
      </c>
      <c r="S1028" s="5">
        <f t="shared" si="65"/>
        <v>-0.12050399432108616</v>
      </c>
      <c r="T1028" s="4">
        <v>8366.7951799213843</v>
      </c>
      <c r="U1028" s="5">
        <f t="shared" si="66"/>
        <v>-0.31977274959988744</v>
      </c>
      <c r="V1028" s="4">
        <v>7831.41650390625</v>
      </c>
      <c r="W1028" s="5">
        <f t="shared" si="67"/>
        <v>-0.36329947122713413</v>
      </c>
    </row>
    <row r="1029" spans="1:23" x14ac:dyDescent="0.25">
      <c r="A1029" t="s">
        <v>1418</v>
      </c>
      <c r="B1029">
        <v>2018</v>
      </c>
      <c r="C1029" t="s">
        <v>91</v>
      </c>
      <c r="D1029" t="s">
        <v>1419</v>
      </c>
      <c r="E1029">
        <v>75092</v>
      </c>
      <c r="F1029" t="s">
        <v>161</v>
      </c>
      <c r="G1029" t="s">
        <v>44</v>
      </c>
      <c r="H1029" t="s">
        <v>25</v>
      </c>
      <c r="I1029" t="s">
        <v>24</v>
      </c>
      <c r="J1029" s="2">
        <v>45603</v>
      </c>
      <c r="K1029" t="s">
        <v>25</v>
      </c>
      <c r="L1029">
        <v>44137</v>
      </c>
      <c r="M1029">
        <v>280</v>
      </c>
      <c r="N1029">
        <v>330</v>
      </c>
      <c r="O1029" s="4">
        <v>12600</v>
      </c>
      <c r="P1029" s="4">
        <v>12759.02734375</v>
      </c>
      <c r="Q1029" s="5">
        <f t="shared" si="64"/>
        <v>1.2621217757936565E-2</v>
      </c>
      <c r="R1029" s="4">
        <v>13120.71388855958</v>
      </c>
      <c r="S1029" s="5">
        <f t="shared" si="65"/>
        <v>4.1326499092030122E-2</v>
      </c>
      <c r="T1029" s="4">
        <v>12216.835542214551</v>
      </c>
      <c r="U1029" s="5">
        <f t="shared" si="66"/>
        <v>-3.0409877602019852E-2</v>
      </c>
      <c r="V1029" s="4">
        <v>12849.728515625</v>
      </c>
      <c r="W1029" s="5">
        <f t="shared" si="67"/>
        <v>1.9819723462301653E-2</v>
      </c>
    </row>
    <row r="1030" spans="1:23" x14ac:dyDescent="0.25">
      <c r="A1030" t="s">
        <v>1420</v>
      </c>
      <c r="B1030">
        <v>2015</v>
      </c>
      <c r="C1030" t="s">
        <v>167</v>
      </c>
      <c r="D1030" t="s">
        <v>188</v>
      </c>
      <c r="E1030">
        <v>95813</v>
      </c>
      <c r="F1030" t="s">
        <v>66</v>
      </c>
      <c r="G1030" t="s">
        <v>23</v>
      </c>
      <c r="H1030" t="s">
        <v>24</v>
      </c>
      <c r="I1030" t="s">
        <v>25</v>
      </c>
      <c r="J1030" s="2">
        <v>45561</v>
      </c>
      <c r="K1030" t="s">
        <v>25</v>
      </c>
      <c r="L1030">
        <v>44137</v>
      </c>
      <c r="M1030">
        <v>280</v>
      </c>
      <c r="N1030">
        <v>330</v>
      </c>
      <c r="O1030" s="4">
        <v>2000</v>
      </c>
      <c r="P1030" s="4">
        <v>3274.697021484375</v>
      </c>
      <c r="Q1030" s="5">
        <f t="shared" si="64"/>
        <v>0.63734851074218746</v>
      </c>
      <c r="R1030" s="4">
        <v>3652.957880757343</v>
      </c>
      <c r="S1030" s="5">
        <f t="shared" si="65"/>
        <v>0.82647894037867142</v>
      </c>
      <c r="T1030" s="4">
        <v>5559.9966309313659</v>
      </c>
      <c r="U1030" s="5">
        <f t="shared" si="66"/>
        <v>1.7799983154656829</v>
      </c>
      <c r="V1030" s="4">
        <v>3172.5634765625</v>
      </c>
      <c r="W1030" s="5">
        <f t="shared" si="67"/>
        <v>0.58628173828124996</v>
      </c>
    </row>
    <row r="1031" spans="1:23" x14ac:dyDescent="0.25">
      <c r="A1031" t="s">
        <v>1421</v>
      </c>
      <c r="B1031">
        <v>2016</v>
      </c>
      <c r="C1031" t="s">
        <v>156</v>
      </c>
      <c r="D1031" t="s">
        <v>157</v>
      </c>
      <c r="E1031">
        <v>125907</v>
      </c>
      <c r="F1031" t="s">
        <v>77</v>
      </c>
      <c r="G1031" t="s">
        <v>38</v>
      </c>
      <c r="H1031" t="s">
        <v>25</v>
      </c>
      <c r="I1031" t="s">
        <v>24</v>
      </c>
      <c r="J1031" s="2">
        <v>45463</v>
      </c>
      <c r="K1031" t="s">
        <v>25</v>
      </c>
      <c r="L1031">
        <v>44137</v>
      </c>
      <c r="M1031">
        <v>280</v>
      </c>
      <c r="N1031">
        <v>330</v>
      </c>
      <c r="O1031" s="4">
        <v>5900</v>
      </c>
      <c r="P1031" s="4">
        <v>2541.368408203125</v>
      </c>
      <c r="Q1031" s="5">
        <f t="shared" si="64"/>
        <v>-0.56925959182997876</v>
      </c>
      <c r="R1031" s="4">
        <v>4468.3966329965006</v>
      </c>
      <c r="S1031" s="5">
        <f t="shared" si="65"/>
        <v>-0.24264463847516937</v>
      </c>
      <c r="T1031" s="4">
        <v>3925.313651474863</v>
      </c>
      <c r="U1031" s="5">
        <f t="shared" si="66"/>
        <v>-0.33469260144493851</v>
      </c>
      <c r="V1031" s="4">
        <v>2361.666015625</v>
      </c>
      <c r="W1031" s="5">
        <f t="shared" si="67"/>
        <v>-0.59971762447033905</v>
      </c>
    </row>
    <row r="1032" spans="1:23" x14ac:dyDescent="0.25">
      <c r="A1032" t="s">
        <v>1422</v>
      </c>
      <c r="B1032">
        <v>2015</v>
      </c>
      <c r="C1032" t="s">
        <v>156</v>
      </c>
      <c r="D1032" t="s">
        <v>903</v>
      </c>
      <c r="E1032">
        <v>106538</v>
      </c>
      <c r="F1032" t="s">
        <v>246</v>
      </c>
      <c r="G1032" t="s">
        <v>30</v>
      </c>
      <c r="H1032" t="s">
        <v>24</v>
      </c>
      <c r="I1032" t="s">
        <v>25</v>
      </c>
      <c r="J1032" s="2">
        <v>45351</v>
      </c>
      <c r="K1032" t="s">
        <v>25</v>
      </c>
      <c r="L1032">
        <v>44137</v>
      </c>
      <c r="M1032">
        <v>280</v>
      </c>
      <c r="N1032">
        <v>330</v>
      </c>
      <c r="O1032" s="4">
        <v>5200</v>
      </c>
      <c r="P1032" s="4">
        <v>3076.441162109375</v>
      </c>
      <c r="Q1032" s="5">
        <f t="shared" si="64"/>
        <v>-0.40837669959435097</v>
      </c>
      <c r="R1032" s="4">
        <v>3057.3707738760149</v>
      </c>
      <c r="S1032" s="5">
        <f t="shared" si="65"/>
        <v>-0.41204408194692022</v>
      </c>
      <c r="T1032" s="4">
        <v>5646.4055193573349</v>
      </c>
      <c r="U1032" s="5">
        <f t="shared" si="66"/>
        <v>8.58472152610259E-2</v>
      </c>
      <c r="V1032" s="4">
        <v>3074.977294921875</v>
      </c>
      <c r="W1032" s="5">
        <f t="shared" si="67"/>
        <v>-0.40865821251502399</v>
      </c>
    </row>
    <row r="1033" spans="1:23" x14ac:dyDescent="0.25">
      <c r="A1033" t="s">
        <v>1423</v>
      </c>
      <c r="B1033">
        <v>2017</v>
      </c>
      <c r="C1033" t="s">
        <v>156</v>
      </c>
      <c r="D1033" t="s">
        <v>1327</v>
      </c>
      <c r="E1033">
        <v>99045</v>
      </c>
      <c r="F1033" t="s">
        <v>79</v>
      </c>
      <c r="G1033" t="s">
        <v>34</v>
      </c>
      <c r="H1033" t="s">
        <v>25</v>
      </c>
      <c r="I1033" t="s">
        <v>24</v>
      </c>
      <c r="J1033" s="2">
        <v>45736</v>
      </c>
      <c r="K1033" t="s">
        <v>25</v>
      </c>
      <c r="L1033">
        <v>44137</v>
      </c>
      <c r="M1033">
        <v>280</v>
      </c>
      <c r="N1033">
        <v>330</v>
      </c>
      <c r="O1033" s="4">
        <v>10800</v>
      </c>
      <c r="P1033" s="4">
        <v>3999.5888671875</v>
      </c>
      <c r="Q1033" s="5">
        <f t="shared" si="64"/>
        <v>-0.62966769748263896</v>
      </c>
      <c r="R1033" s="4">
        <v>4026.164088575279</v>
      </c>
      <c r="S1033" s="5">
        <f t="shared" si="65"/>
        <v>-0.62720702883562229</v>
      </c>
      <c r="T1033" s="4">
        <v>6831.859269700326</v>
      </c>
      <c r="U1033" s="5">
        <f t="shared" si="66"/>
        <v>-0.36742043799071056</v>
      </c>
      <c r="V1033" s="4">
        <v>3966.1533203125</v>
      </c>
      <c r="W1033" s="5">
        <f t="shared" si="67"/>
        <v>-0.6327635814525463</v>
      </c>
    </row>
    <row r="1034" spans="1:23" x14ac:dyDescent="0.25">
      <c r="A1034" t="s">
        <v>1424</v>
      </c>
      <c r="B1034">
        <v>2017</v>
      </c>
      <c r="C1034" t="s">
        <v>156</v>
      </c>
      <c r="D1034" t="s">
        <v>903</v>
      </c>
      <c r="E1034">
        <v>114417</v>
      </c>
      <c r="F1034" t="s">
        <v>79</v>
      </c>
      <c r="G1034" t="s">
        <v>38</v>
      </c>
      <c r="H1034" t="s">
        <v>25</v>
      </c>
      <c r="I1034" t="s">
        <v>24</v>
      </c>
      <c r="J1034" s="2">
        <v>45463</v>
      </c>
      <c r="K1034" t="s">
        <v>25</v>
      </c>
      <c r="L1034">
        <v>44137</v>
      </c>
      <c r="M1034">
        <v>280</v>
      </c>
      <c r="N1034">
        <v>330</v>
      </c>
      <c r="O1034" s="4">
        <v>12000</v>
      </c>
      <c r="P1034" s="4">
        <v>3474.082275390625</v>
      </c>
      <c r="Q1034" s="5">
        <f t="shared" si="64"/>
        <v>-0.71049314371744798</v>
      </c>
      <c r="R1034" s="4">
        <v>3367.99356092683</v>
      </c>
      <c r="S1034" s="5">
        <f t="shared" si="65"/>
        <v>-0.71933386992276416</v>
      </c>
      <c r="T1034" s="4">
        <v>6063.1828190727747</v>
      </c>
      <c r="U1034" s="5">
        <f t="shared" si="66"/>
        <v>-0.49473476507726877</v>
      </c>
      <c r="V1034" s="4">
        <v>3416.3837890625</v>
      </c>
      <c r="W1034" s="5">
        <f t="shared" si="67"/>
        <v>-0.7153013509114583</v>
      </c>
    </row>
    <row r="1035" spans="1:23" x14ac:dyDescent="0.25">
      <c r="A1035" t="s">
        <v>1425</v>
      </c>
      <c r="B1035">
        <v>2015</v>
      </c>
      <c r="C1035" t="s">
        <v>32</v>
      </c>
      <c r="D1035" t="s">
        <v>497</v>
      </c>
      <c r="E1035">
        <v>101496</v>
      </c>
      <c r="F1035" t="s">
        <v>98</v>
      </c>
      <c r="G1035" t="s">
        <v>44</v>
      </c>
      <c r="H1035" t="s">
        <v>25</v>
      </c>
      <c r="I1035" t="s">
        <v>24</v>
      </c>
      <c r="J1035" s="2">
        <v>45365</v>
      </c>
      <c r="K1035" t="s">
        <v>25</v>
      </c>
      <c r="L1035">
        <v>44137</v>
      </c>
      <c r="M1035">
        <v>280</v>
      </c>
      <c r="N1035">
        <v>330</v>
      </c>
      <c r="O1035" s="4">
        <v>3200</v>
      </c>
      <c r="P1035" s="4">
        <v>7315.45654296875</v>
      </c>
      <c r="Q1035" s="5">
        <f t="shared" si="64"/>
        <v>1.2860801696777342</v>
      </c>
      <c r="R1035" s="4">
        <v>8679.6060002140148</v>
      </c>
      <c r="S1035" s="5">
        <f t="shared" si="65"/>
        <v>1.7123768750668797</v>
      </c>
      <c r="T1035" s="4">
        <v>12091.573013513969</v>
      </c>
      <c r="U1035" s="5">
        <f t="shared" si="66"/>
        <v>2.7786165667231155</v>
      </c>
      <c r="V1035" s="4">
        <v>6875.98486328125</v>
      </c>
      <c r="W1035" s="5">
        <f t="shared" si="67"/>
        <v>1.1487452697753908</v>
      </c>
    </row>
    <row r="1036" spans="1:23" x14ac:dyDescent="0.25">
      <c r="A1036" t="s">
        <v>1426</v>
      </c>
      <c r="B1036">
        <v>2012</v>
      </c>
      <c r="C1036" t="s">
        <v>32</v>
      </c>
      <c r="D1036" t="s">
        <v>1427</v>
      </c>
      <c r="E1036">
        <v>164609</v>
      </c>
      <c r="F1036" t="s">
        <v>79</v>
      </c>
      <c r="G1036" t="s">
        <v>30</v>
      </c>
      <c r="H1036" t="s">
        <v>24</v>
      </c>
      <c r="I1036" t="s">
        <v>25</v>
      </c>
      <c r="J1036" s="2">
        <v>45568</v>
      </c>
      <c r="K1036" t="s">
        <v>25</v>
      </c>
      <c r="L1036">
        <v>44144</v>
      </c>
      <c r="M1036">
        <v>235</v>
      </c>
      <c r="N1036">
        <v>285</v>
      </c>
      <c r="O1036" s="4">
        <v>3600</v>
      </c>
      <c r="P1036" s="4">
        <v>2411.87158203125</v>
      </c>
      <c r="Q1036" s="5">
        <f t="shared" si="64"/>
        <v>-0.33003567165798608</v>
      </c>
      <c r="R1036" s="4">
        <v>2194.7219940680989</v>
      </c>
      <c r="S1036" s="5">
        <f t="shared" si="65"/>
        <v>-0.39035500164775028</v>
      </c>
      <c r="T1036" s="4">
        <v>3462.8189140957579</v>
      </c>
      <c r="U1036" s="5">
        <f t="shared" si="66"/>
        <v>-3.8105857195622761E-2</v>
      </c>
      <c r="V1036" s="4">
        <v>2373.243408203125</v>
      </c>
      <c r="W1036" s="5">
        <f t="shared" si="67"/>
        <v>-0.34076571994357641</v>
      </c>
    </row>
    <row r="1037" spans="1:23" x14ac:dyDescent="0.25">
      <c r="A1037" t="s">
        <v>1428</v>
      </c>
      <c r="B1037">
        <v>2015</v>
      </c>
      <c r="C1037" t="s">
        <v>53</v>
      </c>
      <c r="D1037" t="s">
        <v>928</v>
      </c>
      <c r="E1037">
        <v>71120</v>
      </c>
      <c r="F1037" t="s">
        <v>161</v>
      </c>
      <c r="G1037" t="s">
        <v>44</v>
      </c>
      <c r="H1037" t="s">
        <v>25</v>
      </c>
      <c r="I1037" t="s">
        <v>24</v>
      </c>
      <c r="J1037" s="2">
        <v>45664</v>
      </c>
      <c r="K1037" t="s">
        <v>25</v>
      </c>
      <c r="L1037">
        <v>44144</v>
      </c>
      <c r="M1037">
        <v>235</v>
      </c>
      <c r="N1037">
        <v>285</v>
      </c>
      <c r="O1037" s="4">
        <v>21500</v>
      </c>
      <c r="P1037" s="4">
        <v>16678.677734375</v>
      </c>
      <c r="Q1037" s="5">
        <f t="shared" si="64"/>
        <v>-0.22424754723837215</v>
      </c>
      <c r="R1037" s="4">
        <v>17612.13333581882</v>
      </c>
      <c r="S1037" s="5">
        <f t="shared" si="65"/>
        <v>-0.18083100763633397</v>
      </c>
      <c r="T1037" s="4">
        <v>17956.030880951232</v>
      </c>
      <c r="U1037" s="5">
        <f t="shared" si="66"/>
        <v>-0.16483577297901253</v>
      </c>
      <c r="V1037" s="4">
        <v>16417.888671875</v>
      </c>
      <c r="W1037" s="5">
        <f t="shared" si="67"/>
        <v>-0.23637727107558137</v>
      </c>
    </row>
    <row r="1038" spans="1:23" x14ac:dyDescent="0.25">
      <c r="A1038" t="s">
        <v>1429</v>
      </c>
      <c r="B1038">
        <v>2012</v>
      </c>
      <c r="C1038" t="s">
        <v>113</v>
      </c>
      <c r="D1038" t="s">
        <v>576</v>
      </c>
      <c r="E1038">
        <v>214761</v>
      </c>
      <c r="F1038" t="s">
        <v>22</v>
      </c>
      <c r="G1038" t="s">
        <v>30</v>
      </c>
      <c r="H1038" t="s">
        <v>24</v>
      </c>
      <c r="I1038" t="s">
        <v>25</v>
      </c>
      <c r="J1038" s="2">
        <v>45680</v>
      </c>
      <c r="K1038" t="s">
        <v>25</v>
      </c>
      <c r="L1038">
        <v>44144</v>
      </c>
      <c r="M1038">
        <v>235</v>
      </c>
      <c r="N1038">
        <v>285</v>
      </c>
      <c r="O1038" s="4">
        <v>4000</v>
      </c>
      <c r="P1038" s="4">
        <v>2440.25</v>
      </c>
      <c r="Q1038" s="5">
        <f t="shared" si="64"/>
        <v>-0.38993750000000005</v>
      </c>
      <c r="R1038" s="4">
        <v>2342.0385622965309</v>
      </c>
      <c r="S1038" s="5">
        <f t="shared" si="65"/>
        <v>-0.41449035942586732</v>
      </c>
      <c r="T1038" s="4">
        <v>2109.2352155671601</v>
      </c>
      <c r="U1038" s="5">
        <f t="shared" si="66"/>
        <v>-0.47269119610820998</v>
      </c>
      <c r="V1038" s="4">
        <v>2373.243408203125</v>
      </c>
      <c r="W1038" s="5">
        <f t="shared" si="67"/>
        <v>-0.40668914794921873</v>
      </c>
    </row>
    <row r="1039" spans="1:23" x14ac:dyDescent="0.25">
      <c r="A1039" t="s">
        <v>1430</v>
      </c>
      <c r="B1039">
        <v>2017</v>
      </c>
      <c r="C1039" t="s">
        <v>46</v>
      </c>
      <c r="D1039" t="s">
        <v>234</v>
      </c>
      <c r="E1039">
        <v>109253</v>
      </c>
      <c r="F1039" t="s">
        <v>89</v>
      </c>
      <c r="G1039" t="s">
        <v>38</v>
      </c>
      <c r="H1039" t="s">
        <v>25</v>
      </c>
      <c r="I1039" t="s">
        <v>24</v>
      </c>
      <c r="J1039" s="2">
        <v>45636</v>
      </c>
      <c r="K1039" t="s">
        <v>25</v>
      </c>
      <c r="L1039">
        <v>44144</v>
      </c>
      <c r="M1039">
        <v>235</v>
      </c>
      <c r="N1039">
        <v>285</v>
      </c>
      <c r="O1039" s="4">
        <v>7900</v>
      </c>
      <c r="P1039" s="4">
        <v>5616.763671875</v>
      </c>
      <c r="Q1039" s="5">
        <f t="shared" si="64"/>
        <v>-0.28901725672468359</v>
      </c>
      <c r="R1039" s="4">
        <v>6024.9470815918694</v>
      </c>
      <c r="S1039" s="5">
        <f t="shared" si="65"/>
        <v>-0.23734847068457354</v>
      </c>
      <c r="T1039" s="4">
        <v>3770.8143384015239</v>
      </c>
      <c r="U1039" s="5">
        <f t="shared" si="66"/>
        <v>-0.52268172931626278</v>
      </c>
      <c r="V1039" s="4">
        <v>5610.6728515625</v>
      </c>
      <c r="W1039" s="5">
        <f t="shared" si="67"/>
        <v>-0.28978824663765823</v>
      </c>
    </row>
    <row r="1040" spans="1:23" x14ac:dyDescent="0.25">
      <c r="A1040" t="s">
        <v>1431</v>
      </c>
      <c r="B1040">
        <v>2014</v>
      </c>
      <c r="C1040" t="s">
        <v>20</v>
      </c>
      <c r="D1040" t="s">
        <v>242</v>
      </c>
      <c r="E1040">
        <v>128740</v>
      </c>
      <c r="F1040" t="s">
        <v>219</v>
      </c>
      <c r="G1040" t="s">
        <v>30</v>
      </c>
      <c r="H1040" t="s">
        <v>24</v>
      </c>
      <c r="I1040" t="s">
        <v>25</v>
      </c>
      <c r="J1040" s="2">
        <v>45666</v>
      </c>
      <c r="K1040" t="s">
        <v>25</v>
      </c>
      <c r="L1040">
        <v>44144</v>
      </c>
      <c r="M1040">
        <v>235</v>
      </c>
      <c r="N1040">
        <v>285</v>
      </c>
      <c r="O1040" s="4">
        <v>9500</v>
      </c>
      <c r="P1040" s="4">
        <v>4379.00341796875</v>
      </c>
      <c r="Q1040" s="5">
        <f t="shared" si="64"/>
        <v>-0.53905227179276316</v>
      </c>
      <c r="R1040" s="4">
        <v>4764.8552819632569</v>
      </c>
      <c r="S1040" s="5">
        <f t="shared" si="65"/>
        <v>-0.49843628610913082</v>
      </c>
      <c r="T1040" s="4">
        <v>5883.3715858988644</v>
      </c>
      <c r="U1040" s="5">
        <f t="shared" si="66"/>
        <v>-0.38069772780011957</v>
      </c>
      <c r="V1040" s="4">
        <v>4320.58935546875</v>
      </c>
      <c r="W1040" s="5">
        <f t="shared" si="67"/>
        <v>-0.54520112047697367</v>
      </c>
    </row>
    <row r="1041" spans="1:23" x14ac:dyDescent="0.25">
      <c r="A1041" t="s">
        <v>1432</v>
      </c>
      <c r="B1041">
        <v>2014</v>
      </c>
      <c r="C1041" t="s">
        <v>53</v>
      </c>
      <c r="D1041" t="s">
        <v>148</v>
      </c>
      <c r="E1041">
        <v>117800</v>
      </c>
      <c r="F1041" t="s">
        <v>77</v>
      </c>
      <c r="G1041" t="s">
        <v>34</v>
      </c>
      <c r="H1041" t="s">
        <v>25</v>
      </c>
      <c r="I1041" t="s">
        <v>24</v>
      </c>
      <c r="J1041" s="2">
        <v>45645</v>
      </c>
      <c r="K1041" t="s">
        <v>25</v>
      </c>
      <c r="L1041">
        <v>44144</v>
      </c>
      <c r="M1041">
        <v>235</v>
      </c>
      <c r="N1041">
        <v>285</v>
      </c>
      <c r="O1041" s="4">
        <v>9000</v>
      </c>
      <c r="P1041" s="4">
        <v>4145.251953125</v>
      </c>
      <c r="Q1041" s="5">
        <f t="shared" si="64"/>
        <v>-0.5394164496527778</v>
      </c>
      <c r="R1041" s="4">
        <v>5632.3014174534746</v>
      </c>
      <c r="S1041" s="5">
        <f t="shared" si="65"/>
        <v>-0.37418873139405839</v>
      </c>
      <c r="T1041" s="4">
        <v>7848.7470515839523</v>
      </c>
      <c r="U1041" s="5">
        <f t="shared" si="66"/>
        <v>-0.12791699426844971</v>
      </c>
      <c r="V1041" s="4">
        <v>3572.79931640625</v>
      </c>
      <c r="W1041" s="5">
        <f t="shared" si="67"/>
        <v>-0.60302229817708342</v>
      </c>
    </row>
    <row r="1042" spans="1:23" x14ac:dyDescent="0.25">
      <c r="A1042" t="s">
        <v>1433</v>
      </c>
      <c r="B1042">
        <v>2015</v>
      </c>
      <c r="C1042" t="s">
        <v>266</v>
      </c>
      <c r="D1042" t="s">
        <v>1434</v>
      </c>
      <c r="E1042">
        <v>105300</v>
      </c>
      <c r="F1042" t="s">
        <v>22</v>
      </c>
      <c r="G1042" t="s">
        <v>23</v>
      </c>
      <c r="H1042" t="s">
        <v>24</v>
      </c>
      <c r="I1042" t="s">
        <v>25</v>
      </c>
      <c r="J1042" s="2">
        <v>45722</v>
      </c>
      <c r="K1042" t="s">
        <v>25</v>
      </c>
      <c r="L1042">
        <v>44144</v>
      </c>
      <c r="M1042">
        <v>235</v>
      </c>
      <c r="N1042">
        <v>285</v>
      </c>
      <c r="O1042" s="4">
        <v>7154.5454545454504</v>
      </c>
      <c r="P1042" s="4">
        <v>3070.204345703125</v>
      </c>
      <c r="Q1042" s="5">
        <f t="shared" si="64"/>
        <v>-0.5708735984404778</v>
      </c>
      <c r="R1042" s="4">
        <v>3524.3684835618219</v>
      </c>
      <c r="S1042" s="5">
        <f t="shared" si="65"/>
        <v>-0.50739449403837278</v>
      </c>
      <c r="T1042" s="4">
        <v>3367.374400328943</v>
      </c>
      <c r="U1042" s="5">
        <f t="shared" si="66"/>
        <v>-0.52933775853089715</v>
      </c>
      <c r="V1042" s="4">
        <v>2968.17919921875</v>
      </c>
      <c r="W1042" s="5">
        <f t="shared" si="67"/>
        <v>-0.58513378409903094</v>
      </c>
    </row>
    <row r="1043" spans="1:23" x14ac:dyDescent="0.25">
      <c r="A1043" t="s">
        <v>1435</v>
      </c>
      <c r="B1043">
        <v>2014</v>
      </c>
      <c r="C1043" t="s">
        <v>156</v>
      </c>
      <c r="D1043" t="s">
        <v>176</v>
      </c>
      <c r="E1043">
        <v>97789</v>
      </c>
      <c r="F1043" t="s">
        <v>106</v>
      </c>
      <c r="G1043" t="s">
        <v>34</v>
      </c>
      <c r="H1043" t="s">
        <v>25</v>
      </c>
      <c r="I1043" t="s">
        <v>24</v>
      </c>
      <c r="J1043" s="2">
        <v>45547</v>
      </c>
      <c r="K1043" t="s">
        <v>25</v>
      </c>
      <c r="L1043">
        <v>44144</v>
      </c>
      <c r="M1043">
        <v>235</v>
      </c>
      <c r="N1043">
        <v>285</v>
      </c>
      <c r="O1043" s="4">
        <v>10500</v>
      </c>
      <c r="P1043" s="4">
        <v>4396.38330078125</v>
      </c>
      <c r="Q1043" s="5">
        <f t="shared" si="64"/>
        <v>-0.5812968284970238</v>
      </c>
      <c r="R1043" s="4">
        <v>4493.2599684982179</v>
      </c>
      <c r="S1043" s="5">
        <f t="shared" si="65"/>
        <v>-0.57207047919064591</v>
      </c>
      <c r="T1043" s="4">
        <v>6364.0441464612941</v>
      </c>
      <c r="U1043" s="5">
        <f t="shared" si="66"/>
        <v>-0.39390055747987673</v>
      </c>
      <c r="V1043" s="4">
        <v>4430.8681640625</v>
      </c>
      <c r="W1043" s="5">
        <f t="shared" si="67"/>
        <v>-0.57801255580357136</v>
      </c>
    </row>
    <row r="1044" spans="1:23" x14ac:dyDescent="0.25">
      <c r="A1044" t="s">
        <v>1436</v>
      </c>
      <c r="B1044">
        <v>2017</v>
      </c>
      <c r="C1044" t="s">
        <v>167</v>
      </c>
      <c r="D1044" t="s">
        <v>293</v>
      </c>
      <c r="E1044">
        <v>42937</v>
      </c>
      <c r="F1044" t="s">
        <v>89</v>
      </c>
      <c r="G1044" t="s">
        <v>38</v>
      </c>
      <c r="H1044" t="s">
        <v>25</v>
      </c>
      <c r="I1044" t="s">
        <v>24</v>
      </c>
      <c r="J1044" s="2">
        <v>45687</v>
      </c>
      <c r="K1044" t="s">
        <v>25</v>
      </c>
      <c r="L1044">
        <v>44144</v>
      </c>
      <c r="M1044">
        <v>235</v>
      </c>
      <c r="N1044">
        <v>285</v>
      </c>
      <c r="O1044" s="4">
        <v>12100</v>
      </c>
      <c r="P1044" s="4">
        <v>6729.22900390625</v>
      </c>
      <c r="Q1044" s="5">
        <f t="shared" si="64"/>
        <v>-0.44386537157799588</v>
      </c>
      <c r="R1044" s="4">
        <v>8136.4217530008746</v>
      </c>
      <c r="S1044" s="5">
        <f t="shared" si="65"/>
        <v>-0.32756845016521696</v>
      </c>
      <c r="T1044" s="4">
        <v>6308.0090246179816</v>
      </c>
      <c r="U1044" s="5">
        <f t="shared" si="66"/>
        <v>-0.47867694011421635</v>
      </c>
      <c r="V1044" s="4">
        <v>6155.61328125</v>
      </c>
      <c r="W1044" s="5">
        <f t="shared" si="67"/>
        <v>-0.49127162964876037</v>
      </c>
    </row>
    <row r="1045" spans="1:23" x14ac:dyDescent="0.25">
      <c r="A1045" t="s">
        <v>1437</v>
      </c>
      <c r="B1045">
        <v>2015</v>
      </c>
      <c r="C1045" t="s">
        <v>20</v>
      </c>
      <c r="D1045" t="s">
        <v>108</v>
      </c>
      <c r="E1045">
        <v>174412</v>
      </c>
      <c r="F1045" t="s">
        <v>48</v>
      </c>
      <c r="G1045" t="s">
        <v>30</v>
      </c>
      <c r="H1045" t="s">
        <v>24</v>
      </c>
      <c r="I1045" t="s">
        <v>25</v>
      </c>
      <c r="J1045" s="2">
        <v>45309</v>
      </c>
      <c r="K1045" t="s">
        <v>25</v>
      </c>
      <c r="L1045">
        <v>44146</v>
      </c>
      <c r="M1045">
        <v>235</v>
      </c>
      <c r="N1045">
        <v>285</v>
      </c>
      <c r="O1045" s="4">
        <v>10800</v>
      </c>
      <c r="P1045" s="4">
        <v>2967.625244140625</v>
      </c>
      <c r="Q1045" s="5">
        <f t="shared" si="64"/>
        <v>-0.725219884801794</v>
      </c>
      <c r="R1045" s="4">
        <v>4748.8336493495372</v>
      </c>
      <c r="S1045" s="5">
        <f t="shared" si="65"/>
        <v>-0.56029318061578359</v>
      </c>
      <c r="T1045" s="4">
        <v>5356.5118087010687</v>
      </c>
      <c r="U1045" s="5">
        <f t="shared" si="66"/>
        <v>-0.50402668437953069</v>
      </c>
      <c r="V1045" s="4">
        <v>2616.571044921875</v>
      </c>
      <c r="W1045" s="5">
        <f t="shared" si="67"/>
        <v>-0.75772490324797448</v>
      </c>
    </row>
    <row r="1046" spans="1:23" x14ac:dyDescent="0.25">
      <c r="A1046" t="s">
        <v>1438</v>
      </c>
      <c r="B1046">
        <v>2015</v>
      </c>
      <c r="C1046" t="s">
        <v>519</v>
      </c>
      <c r="D1046" t="s">
        <v>772</v>
      </c>
      <c r="E1046">
        <v>164780</v>
      </c>
      <c r="F1046" t="s">
        <v>219</v>
      </c>
      <c r="G1046" t="s">
        <v>30</v>
      </c>
      <c r="H1046" t="s">
        <v>24</v>
      </c>
      <c r="I1046" t="s">
        <v>25</v>
      </c>
      <c r="J1046" s="2">
        <v>45708</v>
      </c>
      <c r="K1046" t="s">
        <v>25</v>
      </c>
      <c r="L1046">
        <v>44146</v>
      </c>
      <c r="M1046">
        <v>235</v>
      </c>
      <c r="N1046">
        <v>285</v>
      </c>
      <c r="O1046" s="4">
        <v>9600</v>
      </c>
      <c r="P1046" s="4">
        <v>4018.28076171875</v>
      </c>
      <c r="Q1046" s="5">
        <f t="shared" si="64"/>
        <v>-0.58142908732096354</v>
      </c>
      <c r="R1046" s="4">
        <v>4455.3585814909957</v>
      </c>
      <c r="S1046" s="5">
        <f t="shared" si="65"/>
        <v>-0.53590014776135464</v>
      </c>
      <c r="T1046" s="4">
        <v>4109.622753258378</v>
      </c>
      <c r="U1046" s="5">
        <f t="shared" si="66"/>
        <v>-0.57191429653558568</v>
      </c>
      <c r="V1046" s="4">
        <v>4023.49267578125</v>
      </c>
      <c r="W1046" s="5">
        <f t="shared" si="67"/>
        <v>-0.58088617960611977</v>
      </c>
    </row>
    <row r="1047" spans="1:23" x14ac:dyDescent="0.25">
      <c r="A1047" t="s">
        <v>1439</v>
      </c>
      <c r="B1047">
        <v>2016</v>
      </c>
      <c r="C1047" t="s">
        <v>519</v>
      </c>
      <c r="D1047" t="s">
        <v>1154</v>
      </c>
      <c r="E1047">
        <v>107682</v>
      </c>
      <c r="F1047" t="s">
        <v>66</v>
      </c>
      <c r="G1047" t="s">
        <v>85</v>
      </c>
      <c r="H1047" t="s">
        <v>24</v>
      </c>
      <c r="I1047" t="s">
        <v>25</v>
      </c>
      <c r="J1047" s="2">
        <v>45426</v>
      </c>
      <c r="K1047" t="s">
        <v>25</v>
      </c>
      <c r="L1047">
        <v>44146</v>
      </c>
      <c r="M1047">
        <v>235</v>
      </c>
      <c r="N1047">
        <v>285</v>
      </c>
      <c r="O1047" s="4">
        <v>12100</v>
      </c>
      <c r="P1047" s="4">
        <v>4229.03076171875</v>
      </c>
      <c r="Q1047" s="5">
        <f t="shared" si="64"/>
        <v>-0.65049332547778926</v>
      </c>
      <c r="R1047" s="4">
        <v>4418.8545076296687</v>
      </c>
      <c r="S1047" s="5">
        <f t="shared" si="65"/>
        <v>-0.63480541259258938</v>
      </c>
      <c r="T1047" s="4">
        <v>5239.893898096454</v>
      </c>
      <c r="U1047" s="5">
        <f t="shared" si="66"/>
        <v>-0.56695091751268978</v>
      </c>
      <c r="V1047" s="4">
        <v>4207.12060546875</v>
      </c>
      <c r="W1047" s="5">
        <f t="shared" si="67"/>
        <v>-0.65230408219266534</v>
      </c>
    </row>
    <row r="1048" spans="1:23" x14ac:dyDescent="0.25">
      <c r="A1048" t="s">
        <v>1440</v>
      </c>
      <c r="B1048">
        <v>2019</v>
      </c>
      <c r="C1048" t="s">
        <v>185</v>
      </c>
      <c r="D1048" t="s">
        <v>186</v>
      </c>
      <c r="E1048">
        <v>98868</v>
      </c>
      <c r="F1048" t="s">
        <v>63</v>
      </c>
      <c r="G1048" t="s">
        <v>44</v>
      </c>
      <c r="H1048" t="s">
        <v>25</v>
      </c>
      <c r="I1048" t="s">
        <v>24</v>
      </c>
      <c r="J1048" s="2">
        <v>45720</v>
      </c>
      <c r="K1048" t="s">
        <v>25</v>
      </c>
      <c r="L1048">
        <v>44146</v>
      </c>
      <c r="M1048">
        <v>235</v>
      </c>
      <c r="N1048">
        <v>285</v>
      </c>
      <c r="O1048" s="4">
        <v>14600</v>
      </c>
      <c r="P1048" s="4">
        <v>10665.9404296875</v>
      </c>
      <c r="Q1048" s="5">
        <f t="shared" si="64"/>
        <v>-0.26945613495291099</v>
      </c>
      <c r="R1048" s="4">
        <v>10525.788382529659</v>
      </c>
      <c r="S1048" s="5">
        <f t="shared" si="65"/>
        <v>-0.27905559023769455</v>
      </c>
      <c r="T1048" s="4">
        <v>10948.27408434654</v>
      </c>
      <c r="U1048" s="5">
        <f t="shared" si="66"/>
        <v>-0.25011821340092188</v>
      </c>
      <c r="V1048" s="4">
        <v>10864.2216796875</v>
      </c>
      <c r="W1048" s="5">
        <f t="shared" si="67"/>
        <v>-0.25587522741866442</v>
      </c>
    </row>
    <row r="1049" spans="1:23" x14ac:dyDescent="0.25">
      <c r="A1049" t="s">
        <v>1441</v>
      </c>
      <c r="B1049">
        <v>2012</v>
      </c>
      <c r="C1049" t="s">
        <v>113</v>
      </c>
      <c r="D1049" t="s">
        <v>701</v>
      </c>
      <c r="E1049">
        <v>104101</v>
      </c>
      <c r="F1049" t="s">
        <v>37</v>
      </c>
      <c r="G1049" t="s">
        <v>38</v>
      </c>
      <c r="H1049" t="s">
        <v>25</v>
      </c>
      <c r="I1049" t="s">
        <v>24</v>
      </c>
      <c r="J1049" s="2">
        <v>45400</v>
      </c>
      <c r="K1049" t="s">
        <v>25</v>
      </c>
      <c r="L1049">
        <v>44203</v>
      </c>
      <c r="M1049">
        <v>235</v>
      </c>
      <c r="N1049">
        <v>285</v>
      </c>
      <c r="O1049" s="4">
        <v>7400</v>
      </c>
      <c r="P1049" s="4">
        <v>4055.953369140625</v>
      </c>
      <c r="Q1049" s="5">
        <f t="shared" si="64"/>
        <v>-0.45189819335937498</v>
      </c>
      <c r="R1049" s="4">
        <v>5177.8669839675422</v>
      </c>
      <c r="S1049" s="5">
        <f t="shared" si="65"/>
        <v>-0.3002882454097916</v>
      </c>
      <c r="T1049" s="4">
        <v>5704.9534881720574</v>
      </c>
      <c r="U1049" s="5">
        <f t="shared" si="66"/>
        <v>-0.2290603394362084</v>
      </c>
      <c r="V1049" s="4">
        <v>3663.965576171875</v>
      </c>
      <c r="W1049" s="5">
        <f t="shared" si="67"/>
        <v>-0.50486951673353042</v>
      </c>
    </row>
    <row r="1050" spans="1:23" x14ac:dyDescent="0.25">
      <c r="A1050" t="s">
        <v>1442</v>
      </c>
      <c r="B1050">
        <v>2014</v>
      </c>
      <c r="C1050" t="s">
        <v>53</v>
      </c>
      <c r="D1050" t="s">
        <v>54</v>
      </c>
      <c r="E1050">
        <v>81782</v>
      </c>
      <c r="F1050" t="s">
        <v>89</v>
      </c>
      <c r="G1050" t="s">
        <v>34</v>
      </c>
      <c r="H1050" t="s">
        <v>25</v>
      </c>
      <c r="I1050" t="s">
        <v>24</v>
      </c>
      <c r="J1050" s="2">
        <v>45440</v>
      </c>
      <c r="K1050" t="s">
        <v>25</v>
      </c>
      <c r="L1050">
        <v>44203</v>
      </c>
      <c r="M1050">
        <v>235</v>
      </c>
      <c r="N1050">
        <v>285</v>
      </c>
      <c r="O1050" s="4">
        <v>7500</v>
      </c>
      <c r="P1050" s="4">
        <v>5733.1884765625</v>
      </c>
      <c r="Q1050" s="5">
        <f t="shared" si="64"/>
        <v>-0.23557486979166664</v>
      </c>
      <c r="R1050" s="4">
        <v>5595.5889505951263</v>
      </c>
      <c r="S1050" s="5">
        <f t="shared" si="65"/>
        <v>-0.25392147325398318</v>
      </c>
      <c r="T1050" s="4">
        <v>9957.5110532578256</v>
      </c>
      <c r="U1050" s="5">
        <f t="shared" si="66"/>
        <v>0.32766814043437664</v>
      </c>
      <c r="V1050" s="4">
        <v>5838.05322265625</v>
      </c>
      <c r="W1050" s="5">
        <f t="shared" si="67"/>
        <v>-0.22159290364583328</v>
      </c>
    </row>
    <row r="1051" spans="1:23" x14ac:dyDescent="0.25">
      <c r="A1051" t="s">
        <v>1443</v>
      </c>
      <c r="B1051">
        <v>2016</v>
      </c>
      <c r="C1051" t="s">
        <v>53</v>
      </c>
      <c r="D1051" t="s">
        <v>684</v>
      </c>
      <c r="E1051">
        <v>141642</v>
      </c>
      <c r="F1051" t="s">
        <v>475</v>
      </c>
      <c r="G1051" t="s">
        <v>34</v>
      </c>
      <c r="H1051" t="s">
        <v>25</v>
      </c>
      <c r="I1051" t="s">
        <v>24</v>
      </c>
      <c r="J1051" s="2">
        <v>45708</v>
      </c>
      <c r="K1051" t="s">
        <v>25</v>
      </c>
      <c r="L1051">
        <v>44203</v>
      </c>
      <c r="M1051">
        <v>235</v>
      </c>
      <c r="N1051">
        <v>285</v>
      </c>
      <c r="O1051" s="4">
        <v>16900</v>
      </c>
      <c r="P1051" s="4">
        <v>5519.31787109375</v>
      </c>
      <c r="Q1051" s="5">
        <f t="shared" si="64"/>
        <v>-0.67341314372226324</v>
      </c>
      <c r="R1051" s="4">
        <v>6084.7127361398534</v>
      </c>
      <c r="S1051" s="5">
        <f t="shared" si="65"/>
        <v>-0.63995782626391406</v>
      </c>
      <c r="T1051" s="4">
        <v>7534.7180572770894</v>
      </c>
      <c r="U1051" s="5">
        <f t="shared" si="66"/>
        <v>-0.55415869483567515</v>
      </c>
      <c r="V1051" s="4">
        <v>5427.3447265625</v>
      </c>
      <c r="W1051" s="5">
        <f t="shared" si="67"/>
        <v>-0.67885534162352079</v>
      </c>
    </row>
    <row r="1052" spans="1:23" x14ac:dyDescent="0.25">
      <c r="A1052" t="s">
        <v>1444</v>
      </c>
      <c r="B1052">
        <v>2014</v>
      </c>
      <c r="C1052" t="s">
        <v>20</v>
      </c>
      <c r="D1052" t="s">
        <v>21</v>
      </c>
      <c r="E1052">
        <v>92564</v>
      </c>
      <c r="F1052" t="s">
        <v>1408</v>
      </c>
      <c r="G1052" t="s">
        <v>44</v>
      </c>
      <c r="H1052" t="s">
        <v>25</v>
      </c>
      <c r="I1052" t="s">
        <v>24</v>
      </c>
      <c r="J1052" s="2">
        <v>45482</v>
      </c>
      <c r="K1052" t="s">
        <v>25</v>
      </c>
      <c r="L1052">
        <v>44203</v>
      </c>
      <c r="M1052">
        <v>235</v>
      </c>
      <c r="N1052">
        <v>285</v>
      </c>
      <c r="O1052" s="4">
        <v>5700</v>
      </c>
      <c r="P1052" s="4">
        <v>7118.49169921875</v>
      </c>
      <c r="Q1052" s="5">
        <f t="shared" si="64"/>
        <v>0.24885819284539479</v>
      </c>
      <c r="R1052" s="4">
        <v>10108.302617793859</v>
      </c>
      <c r="S1052" s="5">
        <f t="shared" si="65"/>
        <v>0.77338642417436132</v>
      </c>
      <c r="T1052" s="4">
        <v>9377.7395465979662</v>
      </c>
      <c r="U1052" s="5">
        <f t="shared" si="66"/>
        <v>0.6452174643154327</v>
      </c>
      <c r="V1052" s="4">
        <v>6788.71826171875</v>
      </c>
      <c r="W1052" s="5">
        <f t="shared" si="67"/>
        <v>0.19100320381030711</v>
      </c>
    </row>
    <row r="1053" spans="1:23" x14ac:dyDescent="0.25">
      <c r="A1053" t="s">
        <v>1445</v>
      </c>
      <c r="B1053">
        <v>2017</v>
      </c>
      <c r="C1053" t="s">
        <v>185</v>
      </c>
      <c r="D1053" t="s">
        <v>229</v>
      </c>
      <c r="E1053">
        <v>95796</v>
      </c>
      <c r="F1053" t="s">
        <v>82</v>
      </c>
      <c r="G1053" t="s">
        <v>23</v>
      </c>
      <c r="H1053" t="s">
        <v>24</v>
      </c>
      <c r="I1053" t="s">
        <v>25</v>
      </c>
      <c r="J1053" s="2">
        <v>45496</v>
      </c>
      <c r="K1053" t="s">
        <v>25</v>
      </c>
      <c r="L1053">
        <v>44203</v>
      </c>
      <c r="M1053">
        <v>235</v>
      </c>
      <c r="N1053">
        <v>285</v>
      </c>
      <c r="O1053" s="4">
        <v>10500</v>
      </c>
      <c r="P1053" s="4">
        <v>4231.09814453125</v>
      </c>
      <c r="Q1053" s="5">
        <f t="shared" si="64"/>
        <v>-0.59703827194940473</v>
      </c>
      <c r="R1053" s="4">
        <v>4285.5249442026516</v>
      </c>
      <c r="S1053" s="5">
        <f t="shared" si="65"/>
        <v>-0.59185476721879504</v>
      </c>
      <c r="T1053" s="4">
        <v>4534.8266459796369</v>
      </c>
      <c r="U1053" s="5">
        <f t="shared" si="66"/>
        <v>-0.56811174800193931</v>
      </c>
      <c r="V1053" s="4">
        <v>4202.115234375</v>
      </c>
      <c r="W1053" s="5">
        <f t="shared" si="67"/>
        <v>-0.59979854910714292</v>
      </c>
    </row>
    <row r="1054" spans="1:23" x14ac:dyDescent="0.25">
      <c r="A1054" t="s">
        <v>1446</v>
      </c>
      <c r="B1054">
        <v>2018</v>
      </c>
      <c r="C1054" t="s">
        <v>266</v>
      </c>
      <c r="D1054" t="s">
        <v>512</v>
      </c>
      <c r="E1054">
        <v>51460</v>
      </c>
      <c r="F1054" t="s">
        <v>174</v>
      </c>
      <c r="G1054" t="s">
        <v>44</v>
      </c>
      <c r="H1054" t="s">
        <v>25</v>
      </c>
      <c r="I1054" t="s">
        <v>24</v>
      </c>
      <c r="J1054" s="2">
        <v>45344</v>
      </c>
      <c r="K1054" t="s">
        <v>25</v>
      </c>
      <c r="L1054">
        <v>44203</v>
      </c>
      <c r="M1054">
        <v>235</v>
      </c>
      <c r="N1054">
        <v>285</v>
      </c>
      <c r="O1054" s="4">
        <v>9600</v>
      </c>
      <c r="P1054" s="4">
        <v>14285.810546875</v>
      </c>
      <c r="Q1054" s="5">
        <f t="shared" si="64"/>
        <v>0.48810526529947906</v>
      </c>
      <c r="R1054" s="4">
        <v>16412.128554049941</v>
      </c>
      <c r="S1054" s="5">
        <f t="shared" si="65"/>
        <v>0.70959672438020216</v>
      </c>
      <c r="T1054" s="4">
        <v>13847.31349505827</v>
      </c>
      <c r="U1054" s="5">
        <f t="shared" si="66"/>
        <v>0.44242848906856969</v>
      </c>
      <c r="V1054" s="4">
        <v>13709.390625</v>
      </c>
      <c r="W1054" s="5">
        <f t="shared" si="67"/>
        <v>0.42806152343750004</v>
      </c>
    </row>
    <row r="1055" spans="1:23" x14ac:dyDescent="0.25">
      <c r="A1055" t="s">
        <v>1447</v>
      </c>
      <c r="B1055">
        <v>2017</v>
      </c>
      <c r="C1055" t="s">
        <v>46</v>
      </c>
      <c r="D1055" t="s">
        <v>124</v>
      </c>
      <c r="E1055">
        <v>61016</v>
      </c>
      <c r="F1055" t="s">
        <v>189</v>
      </c>
      <c r="G1055" t="s">
        <v>44</v>
      </c>
      <c r="H1055" t="s">
        <v>25</v>
      </c>
      <c r="I1055" t="s">
        <v>24</v>
      </c>
      <c r="J1055" s="2">
        <v>45356</v>
      </c>
      <c r="K1055" t="s">
        <v>25</v>
      </c>
      <c r="L1055">
        <v>44203</v>
      </c>
      <c r="M1055">
        <v>235</v>
      </c>
      <c r="N1055">
        <v>285</v>
      </c>
      <c r="O1055" s="4">
        <v>20000</v>
      </c>
      <c r="P1055" s="4">
        <v>14639.7880859375</v>
      </c>
      <c r="Q1055" s="5">
        <f t="shared" si="64"/>
        <v>-0.26801059570312502</v>
      </c>
      <c r="R1055" s="4">
        <v>16104.0824197563</v>
      </c>
      <c r="S1055" s="5">
        <f t="shared" si="65"/>
        <v>-0.19479587901218498</v>
      </c>
      <c r="T1055" s="4">
        <v>17641.157989102601</v>
      </c>
      <c r="U1055" s="5">
        <f t="shared" si="66"/>
        <v>-0.11794210054486998</v>
      </c>
      <c r="V1055" s="4">
        <v>14329.0478515625</v>
      </c>
      <c r="W1055" s="5">
        <f t="shared" si="67"/>
        <v>-0.28354760742187501</v>
      </c>
    </row>
    <row r="1056" spans="1:23" x14ac:dyDescent="0.25">
      <c r="A1056" t="s">
        <v>1448</v>
      </c>
      <c r="B1056">
        <v>2017</v>
      </c>
      <c r="C1056" t="s">
        <v>20</v>
      </c>
      <c r="D1056" t="s">
        <v>134</v>
      </c>
      <c r="E1056">
        <v>103664</v>
      </c>
      <c r="F1056" t="s">
        <v>1408</v>
      </c>
      <c r="G1056" t="s">
        <v>44</v>
      </c>
      <c r="H1056" t="s">
        <v>25</v>
      </c>
      <c r="I1056" t="s">
        <v>24</v>
      </c>
      <c r="J1056" s="2">
        <v>45463</v>
      </c>
      <c r="K1056" t="s">
        <v>25</v>
      </c>
      <c r="L1056">
        <v>44203</v>
      </c>
      <c r="M1056">
        <v>235</v>
      </c>
      <c r="N1056">
        <v>285</v>
      </c>
      <c r="O1056" s="4">
        <v>15100</v>
      </c>
      <c r="P1056" s="4">
        <v>10296.75</v>
      </c>
      <c r="Q1056" s="5">
        <f t="shared" si="64"/>
        <v>-0.31809602649006619</v>
      </c>
      <c r="R1056" s="4">
        <v>12441.77842046655</v>
      </c>
      <c r="S1056" s="5">
        <f t="shared" si="65"/>
        <v>-0.17604116420751326</v>
      </c>
      <c r="T1056" s="4">
        <v>16237.638219157539</v>
      </c>
      <c r="U1056" s="5">
        <f t="shared" si="66"/>
        <v>7.5340279414406686E-2</v>
      </c>
      <c r="V1056" s="4">
        <v>10085.013671875</v>
      </c>
      <c r="W1056" s="5">
        <f t="shared" si="67"/>
        <v>-0.33211829987582786</v>
      </c>
    </row>
    <row r="1057" spans="1:23" x14ac:dyDescent="0.25">
      <c r="A1057" t="s">
        <v>1449</v>
      </c>
      <c r="B1057">
        <v>2017</v>
      </c>
      <c r="C1057" t="s">
        <v>159</v>
      </c>
      <c r="D1057" t="s">
        <v>260</v>
      </c>
      <c r="E1057">
        <v>50716</v>
      </c>
      <c r="F1057" t="s">
        <v>98</v>
      </c>
      <c r="G1057" t="s">
        <v>44</v>
      </c>
      <c r="H1057" t="s">
        <v>25</v>
      </c>
      <c r="I1057" t="s">
        <v>24</v>
      </c>
      <c r="J1057" s="2">
        <v>45314</v>
      </c>
      <c r="K1057" t="s">
        <v>25</v>
      </c>
      <c r="L1057">
        <v>44203</v>
      </c>
      <c r="M1057">
        <v>235</v>
      </c>
      <c r="N1057">
        <v>285</v>
      </c>
      <c r="O1057" s="4">
        <v>8900</v>
      </c>
      <c r="P1057" s="4">
        <v>15176.685546875</v>
      </c>
      <c r="Q1057" s="5">
        <f t="shared" si="64"/>
        <v>0.70524556706460673</v>
      </c>
      <c r="R1057" s="4">
        <v>15003.71591721305</v>
      </c>
      <c r="S1057" s="5">
        <f t="shared" si="65"/>
        <v>0.68581077721494954</v>
      </c>
      <c r="T1057" s="4">
        <v>11466.738975087779</v>
      </c>
      <c r="U1057" s="5">
        <f t="shared" si="66"/>
        <v>0.28839763765031234</v>
      </c>
      <c r="V1057" s="4">
        <v>15429.326171875</v>
      </c>
      <c r="W1057" s="5">
        <f t="shared" si="67"/>
        <v>0.73363215414325844</v>
      </c>
    </row>
    <row r="1058" spans="1:23" x14ac:dyDescent="0.25">
      <c r="A1058" t="s">
        <v>1450</v>
      </c>
      <c r="B1058">
        <v>2020</v>
      </c>
      <c r="C1058" t="s">
        <v>266</v>
      </c>
      <c r="D1058" t="s">
        <v>267</v>
      </c>
      <c r="E1058">
        <v>22144</v>
      </c>
      <c r="F1058" t="s">
        <v>102</v>
      </c>
      <c r="G1058" t="s">
        <v>44</v>
      </c>
      <c r="H1058" t="s">
        <v>25</v>
      </c>
      <c r="I1058" t="s">
        <v>24</v>
      </c>
      <c r="J1058" s="2">
        <v>45580</v>
      </c>
      <c r="K1058" t="s">
        <v>25</v>
      </c>
      <c r="L1058">
        <v>44203</v>
      </c>
      <c r="M1058">
        <v>235</v>
      </c>
      <c r="N1058">
        <v>285</v>
      </c>
      <c r="O1058" s="4">
        <v>8200</v>
      </c>
      <c r="P1058" s="4">
        <v>19125.013671875</v>
      </c>
      <c r="Q1058" s="5">
        <f t="shared" si="64"/>
        <v>1.3323187404725609</v>
      </c>
      <c r="R1058" s="4">
        <v>19062.25853809213</v>
      </c>
      <c r="S1058" s="5">
        <f t="shared" si="65"/>
        <v>1.3246656753770889</v>
      </c>
      <c r="T1058" s="4">
        <v>18124.665839603222</v>
      </c>
      <c r="U1058" s="5">
        <f t="shared" si="66"/>
        <v>1.210325102390637</v>
      </c>
      <c r="V1058" s="4">
        <v>19516.072265625</v>
      </c>
      <c r="W1058" s="5">
        <f t="shared" si="67"/>
        <v>1.3800088128810977</v>
      </c>
    </row>
    <row r="1059" spans="1:23" x14ac:dyDescent="0.25">
      <c r="A1059" t="s">
        <v>1451</v>
      </c>
      <c r="B1059">
        <v>2015</v>
      </c>
      <c r="C1059" t="s">
        <v>159</v>
      </c>
      <c r="D1059" t="s">
        <v>1452</v>
      </c>
      <c r="E1059">
        <v>93222</v>
      </c>
      <c r="F1059" t="s">
        <v>87</v>
      </c>
      <c r="G1059" t="s">
        <v>44</v>
      </c>
      <c r="H1059" t="s">
        <v>25</v>
      </c>
      <c r="I1059" t="s">
        <v>24</v>
      </c>
      <c r="J1059" s="2">
        <v>45552</v>
      </c>
      <c r="K1059" t="s">
        <v>25</v>
      </c>
      <c r="L1059">
        <v>44203</v>
      </c>
      <c r="M1059">
        <v>235</v>
      </c>
      <c r="N1059">
        <v>285</v>
      </c>
      <c r="O1059" s="4">
        <v>6200</v>
      </c>
      <c r="P1059" s="4">
        <v>8357.376953125</v>
      </c>
      <c r="Q1059" s="5">
        <f t="shared" si="64"/>
        <v>0.34796402469758059</v>
      </c>
      <c r="R1059" s="4">
        <v>9422.7852071866473</v>
      </c>
      <c r="S1059" s="5">
        <f t="shared" si="65"/>
        <v>0.5198040656752656</v>
      </c>
      <c r="T1059" s="4">
        <v>8145.2460735546429</v>
      </c>
      <c r="U1059" s="5">
        <f t="shared" si="66"/>
        <v>0.31374936670236164</v>
      </c>
      <c r="V1059" s="4">
        <v>8238.6298828125</v>
      </c>
      <c r="W1059" s="5">
        <f t="shared" si="67"/>
        <v>0.3288112714213709</v>
      </c>
    </row>
    <row r="1060" spans="1:23" x14ac:dyDescent="0.25">
      <c r="A1060" t="s">
        <v>1453</v>
      </c>
      <c r="B1060">
        <v>2018</v>
      </c>
      <c r="C1060" t="s">
        <v>167</v>
      </c>
      <c r="D1060" t="s">
        <v>171</v>
      </c>
      <c r="E1060">
        <v>78233</v>
      </c>
      <c r="F1060" t="s">
        <v>115</v>
      </c>
      <c r="G1060" t="s">
        <v>30</v>
      </c>
      <c r="H1060" t="s">
        <v>24</v>
      </c>
      <c r="I1060" t="s">
        <v>25</v>
      </c>
      <c r="J1060" s="2">
        <v>45398</v>
      </c>
      <c r="K1060" t="s">
        <v>25</v>
      </c>
      <c r="L1060">
        <v>44203</v>
      </c>
      <c r="M1060">
        <v>235</v>
      </c>
      <c r="N1060">
        <v>285</v>
      </c>
      <c r="O1060" s="4">
        <v>8000</v>
      </c>
      <c r="P1060" s="4">
        <v>6218.8818359375</v>
      </c>
      <c r="Q1060" s="5">
        <f t="shared" si="64"/>
        <v>-0.22263977050781247</v>
      </c>
      <c r="R1060" s="4">
        <v>5714.6332999924098</v>
      </c>
      <c r="S1060" s="5">
        <f t="shared" si="65"/>
        <v>-0.28567083750094879</v>
      </c>
      <c r="T1060" s="4">
        <v>6495.0623996707809</v>
      </c>
      <c r="U1060" s="5">
        <f t="shared" si="66"/>
        <v>-0.1881172000411524</v>
      </c>
      <c r="V1060" s="4">
        <v>6116.775390625</v>
      </c>
      <c r="W1060" s="5">
        <f t="shared" si="67"/>
        <v>-0.23540307617187495</v>
      </c>
    </row>
    <row r="1061" spans="1:23" x14ac:dyDescent="0.25">
      <c r="A1061" t="s">
        <v>1454</v>
      </c>
      <c r="B1061">
        <v>2017</v>
      </c>
      <c r="C1061" t="s">
        <v>167</v>
      </c>
      <c r="D1061" t="s">
        <v>188</v>
      </c>
      <c r="E1061">
        <v>115379</v>
      </c>
      <c r="F1061" t="s">
        <v>22</v>
      </c>
      <c r="G1061" t="s">
        <v>23</v>
      </c>
      <c r="H1061" t="s">
        <v>24</v>
      </c>
      <c r="I1061" t="s">
        <v>25</v>
      </c>
      <c r="J1061" s="2">
        <v>45449</v>
      </c>
      <c r="K1061" t="s">
        <v>25</v>
      </c>
      <c r="L1061">
        <v>44203</v>
      </c>
      <c r="M1061">
        <v>235</v>
      </c>
      <c r="N1061">
        <v>285</v>
      </c>
      <c r="O1061" s="4">
        <v>4300</v>
      </c>
      <c r="P1061" s="4">
        <v>3386.075439453125</v>
      </c>
      <c r="Q1061" s="5">
        <f t="shared" si="64"/>
        <v>-0.21254059547601745</v>
      </c>
      <c r="R1061" s="4">
        <v>3416.5185488321431</v>
      </c>
      <c r="S1061" s="5">
        <f t="shared" si="65"/>
        <v>-0.20546080259717603</v>
      </c>
      <c r="T1061" s="4">
        <v>5400.1910327595651</v>
      </c>
      <c r="U1061" s="5">
        <f t="shared" si="66"/>
        <v>0.25585837971152681</v>
      </c>
      <c r="V1061" s="4">
        <v>3318.94091796875</v>
      </c>
      <c r="W1061" s="5">
        <f t="shared" si="67"/>
        <v>-0.22815327489098836</v>
      </c>
    </row>
    <row r="1062" spans="1:23" x14ac:dyDescent="0.25">
      <c r="A1062" t="s">
        <v>1455</v>
      </c>
      <c r="B1062">
        <v>2016</v>
      </c>
      <c r="C1062" t="s">
        <v>167</v>
      </c>
      <c r="D1062" t="s">
        <v>890</v>
      </c>
      <c r="E1062">
        <v>125288</v>
      </c>
      <c r="F1062" t="s">
        <v>334</v>
      </c>
      <c r="G1062" t="s">
        <v>23</v>
      </c>
      <c r="H1062" t="s">
        <v>24</v>
      </c>
      <c r="I1062" t="s">
        <v>25</v>
      </c>
      <c r="J1062" s="2">
        <v>45468</v>
      </c>
      <c r="K1062" t="s">
        <v>25</v>
      </c>
      <c r="L1062">
        <v>44203</v>
      </c>
      <c r="M1062">
        <v>235</v>
      </c>
      <c r="N1062">
        <v>285</v>
      </c>
      <c r="O1062" s="4">
        <v>6700</v>
      </c>
      <c r="P1062" s="4">
        <v>2523.17431640625</v>
      </c>
      <c r="Q1062" s="5">
        <f t="shared" si="64"/>
        <v>-0.62340681844682844</v>
      </c>
      <c r="R1062" s="4">
        <v>2666.1255099339751</v>
      </c>
      <c r="S1062" s="5">
        <f t="shared" si="65"/>
        <v>-0.60207081941283946</v>
      </c>
      <c r="T1062" s="4">
        <v>3632.824017525591</v>
      </c>
      <c r="U1062" s="5">
        <f t="shared" si="66"/>
        <v>-0.45778746007080728</v>
      </c>
      <c r="V1062" s="4">
        <v>2487.482177734375</v>
      </c>
      <c r="W1062" s="5">
        <f t="shared" si="67"/>
        <v>-0.6287340033232276</v>
      </c>
    </row>
    <row r="1063" spans="1:23" x14ac:dyDescent="0.25">
      <c r="A1063" t="s">
        <v>1456</v>
      </c>
      <c r="B1063">
        <v>2017</v>
      </c>
      <c r="C1063" t="s">
        <v>113</v>
      </c>
      <c r="D1063" t="s">
        <v>701</v>
      </c>
      <c r="E1063">
        <v>119483</v>
      </c>
      <c r="F1063" t="s">
        <v>106</v>
      </c>
      <c r="G1063" t="s">
        <v>38</v>
      </c>
      <c r="H1063" t="s">
        <v>25</v>
      </c>
      <c r="I1063" t="s">
        <v>24</v>
      </c>
      <c r="J1063" s="2">
        <v>45412</v>
      </c>
      <c r="K1063" t="s">
        <v>25</v>
      </c>
      <c r="L1063">
        <v>44224</v>
      </c>
      <c r="M1063">
        <v>235</v>
      </c>
      <c r="N1063">
        <v>285</v>
      </c>
      <c r="O1063" s="4">
        <v>4000</v>
      </c>
      <c r="P1063" s="4">
        <v>8001.86279296875</v>
      </c>
      <c r="Q1063" s="5">
        <f t="shared" si="64"/>
        <v>1.0004656982421873</v>
      </c>
      <c r="R1063" s="4">
        <v>8748.1037542241684</v>
      </c>
      <c r="S1063" s="5">
        <f t="shared" si="65"/>
        <v>1.187025938556042</v>
      </c>
      <c r="T1063" s="4">
        <v>8547.8910835114057</v>
      </c>
      <c r="U1063" s="5">
        <f t="shared" si="66"/>
        <v>1.1369727708778514</v>
      </c>
      <c r="V1063" s="4">
        <v>7749.33251953125</v>
      </c>
      <c r="W1063" s="5">
        <f t="shared" si="67"/>
        <v>0.93733312988281248</v>
      </c>
    </row>
    <row r="1064" spans="1:23" x14ac:dyDescent="0.25">
      <c r="A1064" t="s">
        <v>1457</v>
      </c>
      <c r="B1064">
        <v>2016</v>
      </c>
      <c r="C1064" t="s">
        <v>120</v>
      </c>
      <c r="D1064">
        <v>200</v>
      </c>
      <c r="E1064">
        <v>75247</v>
      </c>
      <c r="F1064" t="s">
        <v>61</v>
      </c>
      <c r="G1064" t="s">
        <v>23</v>
      </c>
      <c r="H1064" t="s">
        <v>24</v>
      </c>
      <c r="I1064" t="s">
        <v>25</v>
      </c>
      <c r="J1064" s="2">
        <v>45454</v>
      </c>
      <c r="K1064" t="s">
        <v>25</v>
      </c>
      <c r="L1064">
        <v>44224</v>
      </c>
      <c r="M1064">
        <v>235</v>
      </c>
      <c r="N1064">
        <v>285</v>
      </c>
      <c r="O1064" s="4">
        <v>9800</v>
      </c>
      <c r="P1064" s="4">
        <v>5275.36083984375</v>
      </c>
      <c r="Q1064" s="5">
        <f t="shared" si="64"/>
        <v>-0.46169787348533164</v>
      </c>
      <c r="R1064" s="4">
        <v>6396.337528815945</v>
      </c>
      <c r="S1064" s="5">
        <f t="shared" si="65"/>
        <v>-0.34731249705959744</v>
      </c>
      <c r="T1064" s="4">
        <v>4625.3160417560512</v>
      </c>
      <c r="U1064" s="5">
        <f t="shared" si="66"/>
        <v>-0.52802897533101523</v>
      </c>
      <c r="V1064" s="4">
        <v>4885.01416015625</v>
      </c>
      <c r="W1064" s="5">
        <f t="shared" si="67"/>
        <v>-0.50152916733099495</v>
      </c>
    </row>
    <row r="1065" spans="1:23" x14ac:dyDescent="0.25">
      <c r="A1065" t="s">
        <v>1458</v>
      </c>
      <c r="B1065">
        <v>2015</v>
      </c>
      <c r="C1065" t="s">
        <v>120</v>
      </c>
      <c r="D1065">
        <v>200</v>
      </c>
      <c r="E1065">
        <v>51253</v>
      </c>
      <c r="F1065" t="s">
        <v>89</v>
      </c>
      <c r="G1065" t="s">
        <v>30</v>
      </c>
      <c r="H1065" t="s">
        <v>24</v>
      </c>
      <c r="I1065" t="s">
        <v>25</v>
      </c>
      <c r="J1065" s="2">
        <v>45384</v>
      </c>
      <c r="K1065" t="s">
        <v>25</v>
      </c>
      <c r="L1065">
        <v>44224</v>
      </c>
      <c r="M1065">
        <v>235</v>
      </c>
      <c r="N1065">
        <v>285</v>
      </c>
      <c r="O1065" s="4">
        <v>7200</v>
      </c>
      <c r="P1065" s="4">
        <v>9973.873046875</v>
      </c>
      <c r="Q1065" s="5">
        <f t="shared" si="64"/>
        <v>0.38526014539930564</v>
      </c>
      <c r="R1065" s="4">
        <v>8129.2989414055337</v>
      </c>
      <c r="S1065" s="5">
        <f t="shared" si="65"/>
        <v>0.12906929741743522</v>
      </c>
      <c r="T1065" s="4">
        <v>5412.9321350040254</v>
      </c>
      <c r="U1065" s="5">
        <f t="shared" si="66"/>
        <v>-0.24820387013832979</v>
      </c>
      <c r="V1065" s="4">
        <v>9817.451171875</v>
      </c>
      <c r="W1065" s="5">
        <f t="shared" si="67"/>
        <v>0.36353488498263897</v>
      </c>
    </row>
    <row r="1066" spans="1:23" x14ac:dyDescent="0.25">
      <c r="A1066" t="s">
        <v>1459</v>
      </c>
      <c r="B1066">
        <v>2016</v>
      </c>
      <c r="C1066" t="s">
        <v>32</v>
      </c>
      <c r="D1066" t="s">
        <v>210</v>
      </c>
      <c r="E1066">
        <v>141144</v>
      </c>
      <c r="F1066" t="s">
        <v>77</v>
      </c>
      <c r="G1066" t="s">
        <v>30</v>
      </c>
      <c r="H1066" t="s">
        <v>24</v>
      </c>
      <c r="I1066" t="s">
        <v>25</v>
      </c>
      <c r="J1066" s="2">
        <v>45722</v>
      </c>
      <c r="K1066" t="s">
        <v>25</v>
      </c>
      <c r="L1066">
        <v>44224</v>
      </c>
      <c r="M1066">
        <v>235</v>
      </c>
      <c r="N1066">
        <v>285</v>
      </c>
      <c r="O1066" s="4">
        <v>2900</v>
      </c>
      <c r="P1066" s="4">
        <v>3770.90625</v>
      </c>
      <c r="Q1066" s="5">
        <f t="shared" si="64"/>
        <v>0.30031249999999998</v>
      </c>
      <c r="R1066" s="4">
        <v>6050.1341945956374</v>
      </c>
      <c r="S1066" s="5">
        <f t="shared" si="65"/>
        <v>1.0862531705502199</v>
      </c>
      <c r="T1066" s="4">
        <v>6894.0988783151988</v>
      </c>
      <c r="U1066" s="5">
        <f t="shared" si="66"/>
        <v>1.3772754752811029</v>
      </c>
      <c r="V1066" s="4">
        <v>3265.89794921875</v>
      </c>
      <c r="W1066" s="5">
        <f t="shared" si="67"/>
        <v>0.12617170662715527</v>
      </c>
    </row>
    <row r="1067" spans="1:23" x14ac:dyDescent="0.25">
      <c r="A1067" t="s">
        <v>1460</v>
      </c>
      <c r="B1067">
        <v>2016</v>
      </c>
      <c r="C1067" t="s">
        <v>32</v>
      </c>
      <c r="D1067" t="s">
        <v>36</v>
      </c>
      <c r="E1067">
        <v>102267</v>
      </c>
      <c r="F1067" t="s">
        <v>382</v>
      </c>
      <c r="G1067" t="s">
        <v>34</v>
      </c>
      <c r="H1067" t="s">
        <v>25</v>
      </c>
      <c r="I1067" t="s">
        <v>24</v>
      </c>
      <c r="J1067" s="2">
        <v>45407</v>
      </c>
      <c r="K1067" t="s">
        <v>25</v>
      </c>
      <c r="L1067">
        <v>44224</v>
      </c>
      <c r="M1067">
        <v>235</v>
      </c>
      <c r="N1067">
        <v>285</v>
      </c>
      <c r="O1067" s="4">
        <v>7800</v>
      </c>
      <c r="P1067" s="4">
        <v>4537.64453125</v>
      </c>
      <c r="Q1067" s="5">
        <f t="shared" si="64"/>
        <v>-0.41825070112179485</v>
      </c>
      <c r="R1067" s="4">
        <v>5381.8844045413161</v>
      </c>
      <c r="S1067" s="5">
        <f t="shared" si="65"/>
        <v>-0.31001481993060054</v>
      </c>
      <c r="T1067" s="4">
        <v>9452.4221884282233</v>
      </c>
      <c r="U1067" s="5">
        <f t="shared" si="66"/>
        <v>0.2118489985164389</v>
      </c>
      <c r="V1067" s="4">
        <v>4193.56494140625</v>
      </c>
      <c r="W1067" s="5">
        <f t="shared" si="67"/>
        <v>-0.46236346905048076</v>
      </c>
    </row>
    <row r="1068" spans="1:23" x14ac:dyDescent="0.25">
      <c r="A1068" t="s">
        <v>1461</v>
      </c>
      <c r="B1068">
        <v>2014</v>
      </c>
      <c r="C1068" t="s">
        <v>32</v>
      </c>
      <c r="D1068" t="s">
        <v>36</v>
      </c>
      <c r="E1068">
        <v>129347</v>
      </c>
      <c r="F1068" t="s">
        <v>79</v>
      </c>
      <c r="G1068" t="s">
        <v>30</v>
      </c>
      <c r="H1068" t="s">
        <v>24</v>
      </c>
      <c r="I1068" t="s">
        <v>25</v>
      </c>
      <c r="J1068" s="2">
        <v>45715</v>
      </c>
      <c r="K1068" t="s">
        <v>25</v>
      </c>
      <c r="L1068">
        <v>44224</v>
      </c>
      <c r="M1068">
        <v>235</v>
      </c>
      <c r="N1068">
        <v>285</v>
      </c>
      <c r="O1068" s="4">
        <v>6400</v>
      </c>
      <c r="P1068" s="4">
        <v>3637.805419921875</v>
      </c>
      <c r="Q1068" s="5">
        <f t="shared" si="64"/>
        <v>-0.431592903137207</v>
      </c>
      <c r="R1068" s="4">
        <v>3576.2915523584602</v>
      </c>
      <c r="S1068" s="5">
        <f t="shared" si="65"/>
        <v>-0.44120444494399058</v>
      </c>
      <c r="T1068" s="4">
        <v>5924.505283352004</v>
      </c>
      <c r="U1068" s="5">
        <f t="shared" si="66"/>
        <v>-7.4296049476249348E-2</v>
      </c>
      <c r="V1068" s="4">
        <v>3635.765380859375</v>
      </c>
      <c r="W1068" s="5">
        <f t="shared" si="67"/>
        <v>-0.43191165924072261</v>
      </c>
    </row>
    <row r="1069" spans="1:23" x14ac:dyDescent="0.25">
      <c r="A1069" t="s">
        <v>1462</v>
      </c>
      <c r="B1069">
        <v>2014</v>
      </c>
      <c r="C1069" t="s">
        <v>32</v>
      </c>
      <c r="D1069" t="s">
        <v>320</v>
      </c>
      <c r="E1069">
        <v>128455</v>
      </c>
      <c r="F1069" t="s">
        <v>29</v>
      </c>
      <c r="G1069" t="s">
        <v>30</v>
      </c>
      <c r="H1069" t="s">
        <v>24</v>
      </c>
      <c r="I1069" t="s">
        <v>25</v>
      </c>
      <c r="J1069" s="2">
        <v>45645</v>
      </c>
      <c r="K1069" t="s">
        <v>25</v>
      </c>
      <c r="L1069">
        <v>44224</v>
      </c>
      <c r="M1069">
        <v>235</v>
      </c>
      <c r="N1069">
        <v>285</v>
      </c>
      <c r="O1069" s="4">
        <v>8200</v>
      </c>
      <c r="P1069" s="4">
        <v>3637.805419921875</v>
      </c>
      <c r="Q1069" s="5">
        <f t="shared" si="64"/>
        <v>-0.55636519269245421</v>
      </c>
      <c r="R1069" s="4">
        <v>4860.0504577901684</v>
      </c>
      <c r="S1069" s="5">
        <f t="shared" si="65"/>
        <v>-0.40731091978168676</v>
      </c>
      <c r="T1069" s="4">
        <v>6632.9397940774152</v>
      </c>
      <c r="U1069" s="5">
        <f t="shared" si="66"/>
        <v>-0.19110490316129081</v>
      </c>
      <c r="V1069" s="4">
        <v>3267.585205078125</v>
      </c>
      <c r="W1069" s="5">
        <f t="shared" si="67"/>
        <v>-0.60151399938071648</v>
      </c>
    </row>
    <row r="1070" spans="1:23" x14ac:dyDescent="0.25">
      <c r="A1070" t="s">
        <v>1463</v>
      </c>
      <c r="B1070">
        <v>2016</v>
      </c>
      <c r="C1070" t="s">
        <v>32</v>
      </c>
      <c r="D1070" t="s">
        <v>320</v>
      </c>
      <c r="E1070">
        <v>100880</v>
      </c>
      <c r="F1070" t="s">
        <v>115</v>
      </c>
      <c r="G1070" t="s">
        <v>30</v>
      </c>
      <c r="H1070" t="s">
        <v>24</v>
      </c>
      <c r="I1070" t="s">
        <v>25</v>
      </c>
      <c r="J1070" s="2">
        <v>45701</v>
      </c>
      <c r="K1070" t="s">
        <v>25</v>
      </c>
      <c r="L1070">
        <v>44224</v>
      </c>
      <c r="M1070">
        <v>235</v>
      </c>
      <c r="N1070">
        <v>285</v>
      </c>
      <c r="O1070" s="4">
        <v>10500</v>
      </c>
      <c r="P1070" s="4">
        <v>5485.5595703125</v>
      </c>
      <c r="Q1070" s="5">
        <f t="shared" si="64"/>
        <v>-0.47756575520833333</v>
      </c>
      <c r="R1070" s="4">
        <v>5704.1757012753806</v>
      </c>
      <c r="S1070" s="5">
        <f t="shared" si="65"/>
        <v>-0.45674517130710657</v>
      </c>
      <c r="T1070" s="4">
        <v>9388.0558588488111</v>
      </c>
      <c r="U1070" s="5">
        <f t="shared" si="66"/>
        <v>-0.10589944201439894</v>
      </c>
      <c r="V1070" s="4">
        <v>5490.18310546875</v>
      </c>
      <c r="W1070" s="5">
        <f t="shared" si="67"/>
        <v>-0.47712541852678569</v>
      </c>
    </row>
    <row r="1071" spans="1:23" x14ac:dyDescent="0.25">
      <c r="A1071" t="s">
        <v>1464</v>
      </c>
      <c r="B1071">
        <v>2014</v>
      </c>
      <c r="C1071" t="s">
        <v>32</v>
      </c>
      <c r="D1071" t="s">
        <v>320</v>
      </c>
      <c r="E1071">
        <v>199855</v>
      </c>
      <c r="F1071" t="s">
        <v>66</v>
      </c>
      <c r="G1071" t="s">
        <v>23</v>
      </c>
      <c r="H1071" t="s">
        <v>24</v>
      </c>
      <c r="I1071" t="s">
        <v>25</v>
      </c>
      <c r="J1071" s="2">
        <v>45666</v>
      </c>
      <c r="K1071" t="s">
        <v>25</v>
      </c>
      <c r="L1071">
        <v>44224</v>
      </c>
      <c r="M1071">
        <v>235</v>
      </c>
      <c r="N1071">
        <v>285</v>
      </c>
      <c r="O1071" s="4">
        <v>4500</v>
      </c>
      <c r="P1071" s="4">
        <v>2256.59912109375</v>
      </c>
      <c r="Q1071" s="5">
        <f t="shared" si="64"/>
        <v>-0.49853352864583333</v>
      </c>
      <c r="R1071" s="4">
        <v>2314.3748821890549</v>
      </c>
      <c r="S1071" s="5">
        <f t="shared" si="65"/>
        <v>-0.48569447062465443</v>
      </c>
      <c r="T1071" s="4">
        <v>3796.4848178878628</v>
      </c>
      <c r="U1071" s="5">
        <f t="shared" si="66"/>
        <v>-0.15633670713603043</v>
      </c>
      <c r="V1071" s="4">
        <v>2185.947998046875</v>
      </c>
      <c r="W1071" s="5">
        <f t="shared" si="67"/>
        <v>-0.5142337782118056</v>
      </c>
    </row>
    <row r="1072" spans="1:23" x14ac:dyDescent="0.25">
      <c r="A1072" t="s">
        <v>1465</v>
      </c>
      <c r="B1072">
        <v>2014</v>
      </c>
      <c r="C1072" t="s">
        <v>50</v>
      </c>
      <c r="D1072" t="s">
        <v>1466</v>
      </c>
      <c r="E1072">
        <v>87815</v>
      </c>
      <c r="F1072" t="s">
        <v>55</v>
      </c>
      <c r="G1072" t="s">
        <v>34</v>
      </c>
      <c r="H1072" t="s">
        <v>25</v>
      </c>
      <c r="I1072" t="s">
        <v>24</v>
      </c>
      <c r="J1072" s="2">
        <v>45715</v>
      </c>
      <c r="K1072" t="s">
        <v>25</v>
      </c>
      <c r="L1072">
        <v>44224</v>
      </c>
      <c r="M1072">
        <v>235</v>
      </c>
      <c r="N1072">
        <v>285</v>
      </c>
      <c r="O1072" s="4">
        <v>8000</v>
      </c>
      <c r="P1072" s="4">
        <v>7954.74072265625</v>
      </c>
      <c r="Q1072" s="5">
        <f t="shared" si="64"/>
        <v>-5.6574096679687935E-3</v>
      </c>
      <c r="R1072" s="4">
        <v>8449.5421508579748</v>
      </c>
      <c r="S1072" s="5">
        <f t="shared" si="65"/>
        <v>5.6192768857246778E-2</v>
      </c>
      <c r="T1072" s="4">
        <v>8893.1863427053358</v>
      </c>
      <c r="U1072" s="5">
        <f t="shared" si="66"/>
        <v>0.11164829283816702</v>
      </c>
      <c r="V1072" s="4">
        <v>7773.81884765625</v>
      </c>
      <c r="W1072" s="5">
        <f t="shared" si="67"/>
        <v>-2.8272644042968698E-2</v>
      </c>
    </row>
    <row r="1073" spans="1:23" x14ac:dyDescent="0.25">
      <c r="A1073" t="s">
        <v>1467</v>
      </c>
      <c r="B1073">
        <v>2014</v>
      </c>
      <c r="C1073" t="s">
        <v>53</v>
      </c>
      <c r="D1073" t="s">
        <v>340</v>
      </c>
      <c r="E1073">
        <v>120599</v>
      </c>
      <c r="F1073" t="s">
        <v>29</v>
      </c>
      <c r="G1073" t="s">
        <v>38</v>
      </c>
      <c r="H1073" t="s">
        <v>25</v>
      </c>
      <c r="I1073" t="s">
        <v>24</v>
      </c>
      <c r="J1073" s="2">
        <v>45356</v>
      </c>
      <c r="K1073" t="s">
        <v>25</v>
      </c>
      <c r="L1073">
        <v>44224</v>
      </c>
      <c r="M1073">
        <v>235</v>
      </c>
      <c r="N1073">
        <v>285</v>
      </c>
      <c r="O1073" s="4">
        <v>6300</v>
      </c>
      <c r="P1073" s="4">
        <v>3951.4267578125</v>
      </c>
      <c r="Q1073" s="5">
        <f t="shared" si="64"/>
        <v>-0.37278940352182544</v>
      </c>
      <c r="R1073" s="4">
        <v>5303.3270572298352</v>
      </c>
      <c r="S1073" s="5">
        <f t="shared" si="65"/>
        <v>-0.15820205440796264</v>
      </c>
      <c r="T1073" s="4">
        <v>7681.8993855090866</v>
      </c>
      <c r="U1073" s="5">
        <f t="shared" si="66"/>
        <v>0.21934910881096603</v>
      </c>
      <c r="V1073" s="4">
        <v>3614.501953125</v>
      </c>
      <c r="W1073" s="5">
        <f t="shared" si="67"/>
        <v>-0.42626953125</v>
      </c>
    </row>
    <row r="1074" spans="1:23" x14ac:dyDescent="0.25">
      <c r="A1074" t="s">
        <v>1468</v>
      </c>
      <c r="B1074">
        <v>2018</v>
      </c>
      <c r="C1074" t="s">
        <v>53</v>
      </c>
      <c r="D1074" t="s">
        <v>340</v>
      </c>
      <c r="E1074">
        <v>134107</v>
      </c>
      <c r="F1074" t="s">
        <v>37</v>
      </c>
      <c r="G1074" t="s">
        <v>38</v>
      </c>
      <c r="H1074" t="s">
        <v>25</v>
      </c>
      <c r="I1074" t="s">
        <v>24</v>
      </c>
      <c r="J1074" s="2">
        <v>45454</v>
      </c>
      <c r="K1074" t="s">
        <v>25</v>
      </c>
      <c r="L1074">
        <v>44224</v>
      </c>
      <c r="M1074">
        <v>235</v>
      </c>
      <c r="N1074">
        <v>285</v>
      </c>
      <c r="O1074" s="4">
        <v>19800</v>
      </c>
      <c r="P1074" s="4">
        <v>5919.18359375</v>
      </c>
      <c r="Q1074" s="5">
        <f t="shared" si="64"/>
        <v>-0.70105133364898986</v>
      </c>
      <c r="R1074" s="4">
        <v>9012.9590201625961</v>
      </c>
      <c r="S1074" s="5">
        <f t="shared" si="65"/>
        <v>-0.54480004948673755</v>
      </c>
      <c r="T1074" s="4">
        <v>10747.275760763439</v>
      </c>
      <c r="U1074" s="5">
        <f t="shared" si="66"/>
        <v>-0.4572082949109374</v>
      </c>
      <c r="V1074" s="4">
        <v>5421.2490234375</v>
      </c>
      <c r="W1074" s="5">
        <f t="shared" si="67"/>
        <v>-0.72619954427083333</v>
      </c>
    </row>
    <row r="1075" spans="1:23" x14ac:dyDescent="0.25">
      <c r="A1075" t="s">
        <v>1469</v>
      </c>
      <c r="B1075">
        <v>2016</v>
      </c>
      <c r="C1075" t="s">
        <v>53</v>
      </c>
      <c r="D1075" t="s">
        <v>1470</v>
      </c>
      <c r="E1075">
        <v>115689</v>
      </c>
      <c r="F1075" t="s">
        <v>37</v>
      </c>
      <c r="G1075" t="s">
        <v>30</v>
      </c>
      <c r="H1075" t="s">
        <v>24</v>
      </c>
      <c r="I1075" t="s">
        <v>25</v>
      </c>
      <c r="J1075" s="2">
        <v>45729</v>
      </c>
      <c r="K1075" t="s">
        <v>25</v>
      </c>
      <c r="L1075">
        <v>44224</v>
      </c>
      <c r="M1075">
        <v>235</v>
      </c>
      <c r="N1075">
        <v>285</v>
      </c>
      <c r="O1075" s="4">
        <v>9600</v>
      </c>
      <c r="P1075" s="4">
        <v>4695.81298828125</v>
      </c>
      <c r="Q1075" s="5">
        <f t="shared" si="64"/>
        <v>-0.51085281372070313</v>
      </c>
      <c r="R1075" s="4">
        <v>7392.5530839583671</v>
      </c>
      <c r="S1075" s="5">
        <f t="shared" si="65"/>
        <v>-0.22994238708767012</v>
      </c>
      <c r="T1075" s="4">
        <v>10160.69725002254</v>
      </c>
      <c r="U1075" s="5">
        <f t="shared" si="66"/>
        <v>5.8405963544014616E-2</v>
      </c>
      <c r="V1075" s="4">
        <v>4638.6328125</v>
      </c>
      <c r="W1075" s="5">
        <f t="shared" si="67"/>
        <v>-0.51680908203124998</v>
      </c>
    </row>
    <row r="1076" spans="1:23" x14ac:dyDescent="0.25">
      <c r="A1076" t="s">
        <v>1471</v>
      </c>
      <c r="B1076">
        <v>2019</v>
      </c>
      <c r="C1076" t="s">
        <v>53</v>
      </c>
      <c r="D1076" t="s">
        <v>69</v>
      </c>
      <c r="E1076">
        <v>138516</v>
      </c>
      <c r="F1076" t="s">
        <v>254</v>
      </c>
      <c r="G1076" t="s">
        <v>30</v>
      </c>
      <c r="H1076" t="s">
        <v>24</v>
      </c>
      <c r="I1076" t="s">
        <v>25</v>
      </c>
      <c r="J1076" s="2">
        <v>45701</v>
      </c>
      <c r="K1076" t="s">
        <v>25</v>
      </c>
      <c r="L1076">
        <v>44224</v>
      </c>
      <c r="M1076">
        <v>235</v>
      </c>
      <c r="N1076">
        <v>285</v>
      </c>
      <c r="O1076" s="4">
        <v>10500</v>
      </c>
      <c r="P1076" s="4">
        <v>10477.73828125</v>
      </c>
      <c r="Q1076" s="5">
        <f t="shared" si="64"/>
        <v>-2.1201636904761845E-3</v>
      </c>
      <c r="R1076" s="4">
        <v>10472.078664804691</v>
      </c>
      <c r="S1076" s="5">
        <f t="shared" si="65"/>
        <v>-2.659174780505702E-3</v>
      </c>
      <c r="T1076" s="4">
        <v>12123.2900516671</v>
      </c>
      <c r="U1076" s="5">
        <f t="shared" si="66"/>
        <v>0.15459905253972384</v>
      </c>
      <c r="V1076" s="4">
        <v>10615.923828125</v>
      </c>
      <c r="W1076" s="5">
        <f t="shared" si="67"/>
        <v>1.104036458333324E-2</v>
      </c>
    </row>
    <row r="1077" spans="1:23" x14ac:dyDescent="0.25">
      <c r="A1077" t="s">
        <v>1472</v>
      </c>
      <c r="B1077">
        <v>2014</v>
      </c>
      <c r="C1077" t="s">
        <v>20</v>
      </c>
      <c r="D1077" t="s">
        <v>81</v>
      </c>
      <c r="E1077">
        <v>77159</v>
      </c>
      <c r="F1077" t="s">
        <v>66</v>
      </c>
      <c r="G1077" t="s">
        <v>23</v>
      </c>
      <c r="H1077" t="s">
        <v>24</v>
      </c>
      <c r="I1077" t="s">
        <v>25</v>
      </c>
      <c r="J1077" s="2">
        <v>45722</v>
      </c>
      <c r="K1077" t="s">
        <v>25</v>
      </c>
      <c r="L1077">
        <v>44224</v>
      </c>
      <c r="M1077">
        <v>235</v>
      </c>
      <c r="N1077">
        <v>285</v>
      </c>
      <c r="O1077" s="4">
        <v>7400</v>
      </c>
      <c r="P1077" s="4">
        <v>3574.063232421875</v>
      </c>
      <c r="Q1077" s="5">
        <f t="shared" si="64"/>
        <v>-0.517018482105152</v>
      </c>
      <c r="R1077" s="4">
        <v>4864.4639760116224</v>
      </c>
      <c r="S1077" s="5">
        <f t="shared" si="65"/>
        <v>-0.34264000324167265</v>
      </c>
      <c r="T1077" s="4">
        <v>3732.3188614015098</v>
      </c>
      <c r="U1077" s="5">
        <f t="shared" si="66"/>
        <v>-0.49563258629709328</v>
      </c>
      <c r="V1077" s="4">
        <v>3177.620849609375</v>
      </c>
      <c r="W1077" s="5">
        <f t="shared" si="67"/>
        <v>-0.57059177707981412</v>
      </c>
    </row>
    <row r="1078" spans="1:23" x14ac:dyDescent="0.25">
      <c r="A1078" t="s">
        <v>1473</v>
      </c>
      <c r="B1078">
        <v>2015</v>
      </c>
      <c r="C1078" t="s">
        <v>20</v>
      </c>
      <c r="D1078" t="s">
        <v>81</v>
      </c>
      <c r="E1078">
        <v>153468</v>
      </c>
      <c r="F1078" t="s">
        <v>22</v>
      </c>
      <c r="G1078" t="s">
        <v>30</v>
      </c>
      <c r="H1078" t="s">
        <v>24</v>
      </c>
      <c r="I1078" t="s">
        <v>25</v>
      </c>
      <c r="J1078" s="2">
        <v>45393</v>
      </c>
      <c r="K1078" t="s">
        <v>25</v>
      </c>
      <c r="L1078">
        <v>44224</v>
      </c>
      <c r="M1078">
        <v>235</v>
      </c>
      <c r="N1078">
        <v>285</v>
      </c>
      <c r="O1078" s="4">
        <v>650</v>
      </c>
      <c r="P1078" s="4">
        <v>2079.876220703125</v>
      </c>
      <c r="Q1078" s="5">
        <f t="shared" si="64"/>
        <v>2.1998095703125</v>
      </c>
      <c r="R1078" s="4">
        <v>3163.4068377560461</v>
      </c>
      <c r="S1078" s="5">
        <f t="shared" si="65"/>
        <v>3.866779750393917</v>
      </c>
      <c r="T1078" s="4">
        <v>1995.4465212402879</v>
      </c>
      <c r="U1078" s="5">
        <f t="shared" si="66"/>
        <v>2.0699177249850584</v>
      </c>
      <c r="V1078" s="4">
        <v>1972.464111328125</v>
      </c>
      <c r="W1078" s="5">
        <f t="shared" si="67"/>
        <v>2.0345601712740384</v>
      </c>
    </row>
    <row r="1079" spans="1:23" x14ac:dyDescent="0.25">
      <c r="A1079" t="s">
        <v>1474</v>
      </c>
      <c r="B1079">
        <v>2012</v>
      </c>
      <c r="C1079" t="s">
        <v>20</v>
      </c>
      <c r="D1079" t="s">
        <v>74</v>
      </c>
      <c r="E1079">
        <v>90213</v>
      </c>
      <c r="F1079" t="s">
        <v>254</v>
      </c>
      <c r="G1079" t="s">
        <v>34</v>
      </c>
      <c r="H1079" t="s">
        <v>25</v>
      </c>
      <c r="I1079" t="s">
        <v>24</v>
      </c>
      <c r="J1079" s="2">
        <v>45706</v>
      </c>
      <c r="K1079" t="s">
        <v>25</v>
      </c>
      <c r="L1079">
        <v>44224</v>
      </c>
      <c r="M1079">
        <v>235</v>
      </c>
      <c r="N1079">
        <v>285</v>
      </c>
      <c r="O1079" s="4">
        <v>1900</v>
      </c>
      <c r="P1079" s="4">
        <v>5437.1484375</v>
      </c>
      <c r="Q1079" s="5">
        <f t="shared" si="64"/>
        <v>1.8616570723684212</v>
      </c>
      <c r="R1079" s="4">
        <v>5311.0190877788318</v>
      </c>
      <c r="S1079" s="5">
        <f t="shared" si="65"/>
        <v>1.7952732040941219</v>
      </c>
      <c r="T1079" s="4">
        <v>3011.9517681435082</v>
      </c>
      <c r="U1079" s="5">
        <f t="shared" si="66"/>
        <v>0.58523777270710964</v>
      </c>
      <c r="V1079" s="4">
        <v>5427.54833984375</v>
      </c>
      <c r="W1079" s="5">
        <f t="shared" si="67"/>
        <v>1.8566043893914475</v>
      </c>
    </row>
    <row r="1080" spans="1:23" x14ac:dyDescent="0.25">
      <c r="A1080" t="s">
        <v>1475</v>
      </c>
      <c r="B1080">
        <v>2015</v>
      </c>
      <c r="C1080" t="s">
        <v>20</v>
      </c>
      <c r="D1080" t="s">
        <v>372</v>
      </c>
      <c r="E1080">
        <v>119222</v>
      </c>
      <c r="F1080" t="s">
        <v>58</v>
      </c>
      <c r="G1080" t="s">
        <v>30</v>
      </c>
      <c r="H1080" t="s">
        <v>24</v>
      </c>
      <c r="I1080" t="s">
        <v>25</v>
      </c>
      <c r="J1080" s="2">
        <v>45680</v>
      </c>
      <c r="K1080" t="s">
        <v>25</v>
      </c>
      <c r="L1080">
        <v>44224</v>
      </c>
      <c r="M1080">
        <v>235</v>
      </c>
      <c r="N1080">
        <v>285</v>
      </c>
      <c r="O1080" s="4">
        <v>2400</v>
      </c>
      <c r="P1080" s="4">
        <v>3426.300048828125</v>
      </c>
      <c r="Q1080" s="5">
        <f t="shared" si="64"/>
        <v>0.42762502034505201</v>
      </c>
      <c r="R1080" s="4">
        <v>4567.0747444473218</v>
      </c>
      <c r="S1080" s="5">
        <f t="shared" si="65"/>
        <v>0.90294781018638415</v>
      </c>
      <c r="T1080" s="4">
        <v>6278.3843910209735</v>
      </c>
      <c r="U1080" s="5">
        <f t="shared" si="66"/>
        <v>1.615993496258739</v>
      </c>
      <c r="V1080" s="4">
        <v>2996.976318359375</v>
      </c>
      <c r="W1080" s="5">
        <f t="shared" si="67"/>
        <v>0.2487401326497396</v>
      </c>
    </row>
    <row r="1081" spans="1:23" x14ac:dyDescent="0.25">
      <c r="A1081" t="s">
        <v>1476</v>
      </c>
      <c r="B1081">
        <v>2018</v>
      </c>
      <c r="C1081" t="s">
        <v>113</v>
      </c>
      <c r="D1081" t="s">
        <v>114</v>
      </c>
      <c r="E1081">
        <v>144179</v>
      </c>
      <c r="F1081" t="s">
        <v>77</v>
      </c>
      <c r="G1081" t="s">
        <v>38</v>
      </c>
      <c r="H1081" t="s">
        <v>25</v>
      </c>
      <c r="I1081" t="s">
        <v>24</v>
      </c>
      <c r="J1081" s="2">
        <v>45300</v>
      </c>
      <c r="K1081" t="s">
        <v>25</v>
      </c>
      <c r="L1081">
        <v>44224</v>
      </c>
      <c r="M1081">
        <v>235</v>
      </c>
      <c r="N1081">
        <v>285</v>
      </c>
      <c r="O1081" s="4">
        <v>10300</v>
      </c>
      <c r="P1081" s="4">
        <v>6081.2802734375</v>
      </c>
      <c r="Q1081" s="5">
        <f t="shared" si="64"/>
        <v>-0.40958443947208734</v>
      </c>
      <c r="R1081" s="4">
        <v>9140.9890304678866</v>
      </c>
      <c r="S1081" s="5">
        <f t="shared" si="65"/>
        <v>-0.11252533684777799</v>
      </c>
      <c r="T1081" s="4">
        <v>9489.1384776264676</v>
      </c>
      <c r="U1081" s="5">
        <f t="shared" si="66"/>
        <v>-7.8724419647915767E-2</v>
      </c>
      <c r="V1081" s="4">
        <v>5671.26904296875</v>
      </c>
      <c r="W1081" s="5">
        <f t="shared" si="67"/>
        <v>-0.44939135505157768</v>
      </c>
    </row>
    <row r="1082" spans="1:23" x14ac:dyDescent="0.25">
      <c r="A1082" t="s">
        <v>1477</v>
      </c>
      <c r="B1082">
        <v>2016</v>
      </c>
      <c r="C1082" t="s">
        <v>185</v>
      </c>
      <c r="D1082" t="s">
        <v>536</v>
      </c>
      <c r="E1082">
        <v>110422</v>
      </c>
      <c r="F1082" t="s">
        <v>214</v>
      </c>
      <c r="G1082" t="s">
        <v>44</v>
      </c>
      <c r="H1082" t="s">
        <v>25</v>
      </c>
      <c r="I1082" t="s">
        <v>24</v>
      </c>
      <c r="J1082" s="2">
        <v>45407</v>
      </c>
      <c r="K1082" t="s">
        <v>25</v>
      </c>
      <c r="L1082">
        <v>44224</v>
      </c>
      <c r="M1082">
        <v>235</v>
      </c>
      <c r="N1082">
        <v>285</v>
      </c>
      <c r="O1082" s="4">
        <v>10000</v>
      </c>
      <c r="P1082" s="4">
        <v>5795.66455078125</v>
      </c>
      <c r="Q1082" s="5">
        <f t="shared" si="64"/>
        <v>-0.42043354492187501</v>
      </c>
      <c r="R1082" s="4">
        <v>7139.9298714895804</v>
      </c>
      <c r="S1082" s="5">
        <f t="shared" si="65"/>
        <v>-0.28600701285104191</v>
      </c>
      <c r="T1082" s="4">
        <v>7938.9809163744676</v>
      </c>
      <c r="U1082" s="5">
        <f t="shared" si="66"/>
        <v>-0.20610190836255327</v>
      </c>
      <c r="V1082" s="4">
        <v>5370.3037109375</v>
      </c>
      <c r="W1082" s="5">
        <f t="shared" si="67"/>
        <v>-0.46296962890625004</v>
      </c>
    </row>
    <row r="1083" spans="1:23" x14ac:dyDescent="0.25">
      <c r="A1083" t="s">
        <v>1478</v>
      </c>
      <c r="B1083">
        <v>2017</v>
      </c>
      <c r="C1083" t="s">
        <v>185</v>
      </c>
      <c r="D1083" t="s">
        <v>536</v>
      </c>
      <c r="E1083">
        <v>166464</v>
      </c>
      <c r="F1083" t="s">
        <v>382</v>
      </c>
      <c r="G1083" t="s">
        <v>30</v>
      </c>
      <c r="H1083" t="s">
        <v>24</v>
      </c>
      <c r="I1083" t="s">
        <v>25</v>
      </c>
      <c r="J1083" s="2">
        <v>45589</v>
      </c>
      <c r="K1083" t="s">
        <v>25</v>
      </c>
      <c r="L1083">
        <v>44224</v>
      </c>
      <c r="M1083">
        <v>235</v>
      </c>
      <c r="N1083">
        <v>285</v>
      </c>
      <c r="O1083" s="4">
        <v>9300</v>
      </c>
      <c r="P1083" s="4">
        <v>2071.2080078125</v>
      </c>
      <c r="Q1083" s="5">
        <f t="shared" si="64"/>
        <v>-0.77728946152553768</v>
      </c>
      <c r="R1083" s="4">
        <v>2389.8499305500368</v>
      </c>
      <c r="S1083" s="5">
        <f t="shared" si="65"/>
        <v>-0.74302688918816806</v>
      </c>
      <c r="T1083" s="4">
        <v>3628.84879649194</v>
      </c>
      <c r="U1083" s="5">
        <f t="shared" si="66"/>
        <v>-0.60980120467828602</v>
      </c>
      <c r="V1083" s="4">
        <v>2020.225341796875</v>
      </c>
      <c r="W1083" s="5">
        <f t="shared" si="67"/>
        <v>-0.78277146862399194</v>
      </c>
    </row>
    <row r="1084" spans="1:23" x14ac:dyDescent="0.25">
      <c r="A1084" t="s">
        <v>1479</v>
      </c>
      <c r="B1084">
        <v>2014</v>
      </c>
      <c r="C1084" t="s">
        <v>185</v>
      </c>
      <c r="D1084" t="s">
        <v>536</v>
      </c>
      <c r="E1084">
        <v>180447</v>
      </c>
      <c r="F1084" t="s">
        <v>141</v>
      </c>
      <c r="G1084" t="s">
        <v>30</v>
      </c>
      <c r="H1084" t="s">
        <v>24</v>
      </c>
      <c r="I1084" t="s">
        <v>25</v>
      </c>
      <c r="J1084" s="2">
        <v>45309</v>
      </c>
      <c r="K1084" t="s">
        <v>25</v>
      </c>
      <c r="L1084">
        <v>44224</v>
      </c>
      <c r="M1084">
        <v>235</v>
      </c>
      <c r="N1084">
        <v>285</v>
      </c>
      <c r="O1084" s="4">
        <v>3500</v>
      </c>
      <c r="P1084" s="4">
        <v>1976.37548828125</v>
      </c>
      <c r="Q1084" s="5">
        <f t="shared" si="64"/>
        <v>-0.43532128906250001</v>
      </c>
      <c r="R1084" s="4">
        <v>2123.2069073749099</v>
      </c>
      <c r="S1084" s="5">
        <f t="shared" si="65"/>
        <v>-0.39336945503574006</v>
      </c>
      <c r="T1084" s="4">
        <v>2883.3160656883142</v>
      </c>
      <c r="U1084" s="5">
        <f t="shared" si="66"/>
        <v>-0.17619540980333881</v>
      </c>
      <c r="V1084" s="4">
        <v>1947.177490234375</v>
      </c>
      <c r="W1084" s="5">
        <f t="shared" si="67"/>
        <v>-0.44366357421875002</v>
      </c>
    </row>
    <row r="1085" spans="1:23" x14ac:dyDescent="0.25">
      <c r="A1085" t="s">
        <v>1480</v>
      </c>
      <c r="B1085">
        <v>2013</v>
      </c>
      <c r="C1085" t="s">
        <v>185</v>
      </c>
      <c r="D1085" t="s">
        <v>536</v>
      </c>
      <c r="E1085">
        <v>117243</v>
      </c>
      <c r="F1085" t="s">
        <v>111</v>
      </c>
      <c r="G1085" t="s">
        <v>30</v>
      </c>
      <c r="H1085" t="s">
        <v>24</v>
      </c>
      <c r="I1085" t="s">
        <v>25</v>
      </c>
      <c r="J1085" s="2">
        <v>45645</v>
      </c>
      <c r="K1085" t="s">
        <v>25</v>
      </c>
      <c r="L1085">
        <v>44224</v>
      </c>
      <c r="M1085">
        <v>235</v>
      </c>
      <c r="N1085">
        <v>285</v>
      </c>
      <c r="O1085" s="4">
        <v>2900</v>
      </c>
      <c r="P1085" s="4">
        <v>2059.769775390625</v>
      </c>
      <c r="Q1085" s="5">
        <f t="shared" si="64"/>
        <v>-0.28973456021012933</v>
      </c>
      <c r="R1085" s="4">
        <v>1914.227606107994</v>
      </c>
      <c r="S1085" s="5">
        <f t="shared" si="65"/>
        <v>-0.33992151513517443</v>
      </c>
      <c r="T1085" s="4">
        <v>3377.7363570703592</v>
      </c>
      <c r="U1085" s="5">
        <f t="shared" si="66"/>
        <v>0.16473667485184795</v>
      </c>
      <c r="V1085" s="4">
        <v>2027.951782226562</v>
      </c>
      <c r="W1085" s="5">
        <f t="shared" si="67"/>
        <v>-0.30070628199084071</v>
      </c>
    </row>
    <row r="1086" spans="1:23" x14ac:dyDescent="0.25">
      <c r="A1086" t="s">
        <v>1481</v>
      </c>
      <c r="B1086">
        <v>2016</v>
      </c>
      <c r="C1086" t="s">
        <v>266</v>
      </c>
      <c r="D1086" t="s">
        <v>755</v>
      </c>
      <c r="E1086">
        <v>107624</v>
      </c>
      <c r="F1086" t="s">
        <v>254</v>
      </c>
      <c r="G1086" t="s">
        <v>30</v>
      </c>
      <c r="H1086" t="s">
        <v>24</v>
      </c>
      <c r="I1086" t="s">
        <v>25</v>
      </c>
      <c r="J1086" s="2">
        <v>45622</v>
      </c>
      <c r="K1086" t="s">
        <v>25</v>
      </c>
      <c r="L1086">
        <v>44224</v>
      </c>
      <c r="M1086">
        <v>235</v>
      </c>
      <c r="N1086">
        <v>285</v>
      </c>
      <c r="O1086" s="4">
        <v>10000</v>
      </c>
      <c r="P1086" s="4">
        <v>5184.21142578125</v>
      </c>
      <c r="Q1086" s="5">
        <f t="shared" si="64"/>
        <v>-0.48157885742187501</v>
      </c>
      <c r="R1086" s="4">
        <v>5997.3213074308933</v>
      </c>
      <c r="S1086" s="5">
        <f t="shared" si="65"/>
        <v>-0.40026786925691071</v>
      </c>
      <c r="T1086" s="4">
        <v>4206.2904101853901</v>
      </c>
      <c r="U1086" s="5">
        <f t="shared" si="66"/>
        <v>-0.57937095898146107</v>
      </c>
      <c r="V1086" s="4">
        <v>4990.490234375</v>
      </c>
      <c r="W1086" s="5">
        <f t="shared" si="67"/>
        <v>-0.50095097656249998</v>
      </c>
    </row>
    <row r="1087" spans="1:23" x14ac:dyDescent="0.25">
      <c r="A1087" t="s">
        <v>1482</v>
      </c>
      <c r="B1087">
        <v>2014</v>
      </c>
      <c r="C1087" t="s">
        <v>53</v>
      </c>
      <c r="D1087" t="s">
        <v>568</v>
      </c>
      <c r="E1087">
        <v>70710</v>
      </c>
      <c r="F1087" t="s">
        <v>334</v>
      </c>
      <c r="G1087" t="s">
        <v>30</v>
      </c>
      <c r="H1087" t="s">
        <v>24</v>
      </c>
      <c r="I1087" t="s">
        <v>25</v>
      </c>
      <c r="J1087" s="2">
        <v>45622</v>
      </c>
      <c r="K1087" t="s">
        <v>25</v>
      </c>
      <c r="L1087">
        <v>44224</v>
      </c>
      <c r="M1087">
        <v>235</v>
      </c>
      <c r="N1087">
        <v>285</v>
      </c>
      <c r="O1087" s="4">
        <v>1400</v>
      </c>
      <c r="P1087" s="4">
        <v>6858.7763671875</v>
      </c>
      <c r="Q1087" s="5">
        <f t="shared" si="64"/>
        <v>3.8991259765624999</v>
      </c>
      <c r="R1087" s="4">
        <v>6532.0075357342021</v>
      </c>
      <c r="S1087" s="5">
        <f t="shared" si="65"/>
        <v>3.6657196683815725</v>
      </c>
      <c r="T1087" s="4">
        <v>12651.83267471868</v>
      </c>
      <c r="U1087" s="5">
        <f t="shared" si="66"/>
        <v>8.0370233390847723</v>
      </c>
      <c r="V1087" s="4">
        <v>6800.65673828125</v>
      </c>
      <c r="W1087" s="5">
        <f t="shared" si="67"/>
        <v>3.8576119559151785</v>
      </c>
    </row>
    <row r="1088" spans="1:23" x14ac:dyDescent="0.25">
      <c r="A1088" t="s">
        <v>1483</v>
      </c>
      <c r="B1088">
        <v>2018</v>
      </c>
      <c r="C1088" t="s">
        <v>53</v>
      </c>
      <c r="D1088" t="s">
        <v>392</v>
      </c>
      <c r="E1088">
        <v>104490</v>
      </c>
      <c r="F1088" t="s">
        <v>135</v>
      </c>
      <c r="G1088" t="s">
        <v>44</v>
      </c>
      <c r="H1088" t="s">
        <v>25</v>
      </c>
      <c r="I1088" t="s">
        <v>24</v>
      </c>
      <c r="J1088" s="2">
        <v>45435</v>
      </c>
      <c r="K1088" t="s">
        <v>25</v>
      </c>
      <c r="L1088">
        <v>44224</v>
      </c>
      <c r="M1088">
        <v>235</v>
      </c>
      <c r="N1088">
        <v>285</v>
      </c>
      <c r="O1088" s="4">
        <v>10100</v>
      </c>
      <c r="P1088" s="4">
        <v>11908.662109375</v>
      </c>
      <c r="Q1088" s="5">
        <f t="shared" si="64"/>
        <v>0.17907545637376243</v>
      </c>
      <c r="R1088" s="4">
        <v>14394.93105464514</v>
      </c>
      <c r="S1088" s="5">
        <f t="shared" si="65"/>
        <v>0.42524069847971679</v>
      </c>
      <c r="T1088" s="4">
        <v>18410.568356162861</v>
      </c>
      <c r="U1088" s="5">
        <f t="shared" si="66"/>
        <v>0.82282855011513467</v>
      </c>
      <c r="V1088" s="4">
        <v>11315.7744140625</v>
      </c>
      <c r="W1088" s="5">
        <f t="shared" si="67"/>
        <v>0.12037370436262385</v>
      </c>
    </row>
    <row r="1089" spans="1:23" x14ac:dyDescent="0.25">
      <c r="A1089" t="s">
        <v>1484</v>
      </c>
      <c r="B1089">
        <v>2016</v>
      </c>
      <c r="C1089" t="s">
        <v>20</v>
      </c>
      <c r="D1089" t="s">
        <v>1485</v>
      </c>
      <c r="E1089">
        <v>120068</v>
      </c>
      <c r="F1089" t="s">
        <v>102</v>
      </c>
      <c r="G1089" t="s">
        <v>30</v>
      </c>
      <c r="H1089" t="s">
        <v>24</v>
      </c>
      <c r="I1089" t="s">
        <v>25</v>
      </c>
      <c r="J1089" s="2">
        <v>45617</v>
      </c>
      <c r="K1089" t="s">
        <v>25</v>
      </c>
      <c r="L1089">
        <v>44224</v>
      </c>
      <c r="M1089">
        <v>235</v>
      </c>
      <c r="N1089">
        <v>285</v>
      </c>
      <c r="O1089" s="4">
        <v>8300</v>
      </c>
      <c r="P1089" s="4">
        <v>7939.60205078125</v>
      </c>
      <c r="Q1089" s="5">
        <f t="shared" si="64"/>
        <v>-4.3421439664909633E-2</v>
      </c>
      <c r="R1089" s="4">
        <v>8850.6499937248336</v>
      </c>
      <c r="S1089" s="5">
        <f t="shared" si="65"/>
        <v>6.6343372737931672E-2</v>
      </c>
      <c r="T1089" s="4">
        <v>5134.1854859967279</v>
      </c>
      <c r="U1089" s="5">
        <f t="shared" si="66"/>
        <v>-0.38142343542208101</v>
      </c>
      <c r="V1089" s="4">
        <v>7462.84130859375</v>
      </c>
      <c r="W1089" s="5">
        <f t="shared" si="67"/>
        <v>-0.10086249294051208</v>
      </c>
    </row>
    <row r="1090" spans="1:23" x14ac:dyDescent="0.25">
      <c r="A1090" t="s">
        <v>1486</v>
      </c>
      <c r="B1090">
        <v>2017</v>
      </c>
      <c r="C1090" t="s">
        <v>104</v>
      </c>
      <c r="D1090" t="s">
        <v>126</v>
      </c>
      <c r="E1090">
        <v>102601</v>
      </c>
      <c r="F1090" t="s">
        <v>89</v>
      </c>
      <c r="G1090" t="s">
        <v>30</v>
      </c>
      <c r="H1090" t="s">
        <v>24</v>
      </c>
      <c r="I1090" t="s">
        <v>25</v>
      </c>
      <c r="J1090" s="2">
        <v>45692</v>
      </c>
      <c r="K1090" t="s">
        <v>25</v>
      </c>
      <c r="L1090">
        <v>44224</v>
      </c>
      <c r="M1090">
        <v>235</v>
      </c>
      <c r="N1090">
        <v>285</v>
      </c>
      <c r="O1090" s="4">
        <v>1000</v>
      </c>
      <c r="P1090" s="4">
        <v>6529.06787109375</v>
      </c>
      <c r="Q1090" s="5">
        <f t="shared" si="64"/>
        <v>5.5290678710937504</v>
      </c>
      <c r="R1090" s="4">
        <v>9668.5704038192671</v>
      </c>
      <c r="S1090" s="5">
        <f t="shared" si="65"/>
        <v>8.6685704038192668</v>
      </c>
      <c r="T1090" s="4">
        <v>8388.5736910980813</v>
      </c>
      <c r="U1090" s="5">
        <f t="shared" si="66"/>
        <v>7.388573691098081</v>
      </c>
      <c r="V1090" s="4">
        <v>5822.9580078125</v>
      </c>
      <c r="W1090" s="5">
        <f t="shared" si="67"/>
        <v>4.8229580078124998</v>
      </c>
    </row>
    <row r="1091" spans="1:23" x14ac:dyDescent="0.25">
      <c r="A1091" t="s">
        <v>1487</v>
      </c>
      <c r="B1091">
        <v>2014</v>
      </c>
      <c r="C1091" t="s">
        <v>20</v>
      </c>
      <c r="D1091" t="s">
        <v>21</v>
      </c>
      <c r="E1091">
        <v>123580</v>
      </c>
      <c r="F1091" t="s">
        <v>29</v>
      </c>
      <c r="G1091" t="s">
        <v>38</v>
      </c>
      <c r="H1091" t="s">
        <v>25</v>
      </c>
      <c r="I1091" t="s">
        <v>24</v>
      </c>
      <c r="J1091" s="2">
        <v>45370</v>
      </c>
      <c r="K1091" t="s">
        <v>25</v>
      </c>
      <c r="L1091">
        <v>44224</v>
      </c>
      <c r="M1091">
        <v>235</v>
      </c>
      <c r="N1091">
        <v>285</v>
      </c>
      <c r="O1091" s="4">
        <v>1800</v>
      </c>
      <c r="P1091" s="4">
        <v>2756.298828125</v>
      </c>
      <c r="Q1091" s="5">
        <f t="shared" ref="Q1091:Q1154" si="68">(P1091/$O1091)-1</f>
        <v>0.53127712673611116</v>
      </c>
      <c r="R1091" s="4">
        <v>4857.4711772042328</v>
      </c>
      <c r="S1091" s="5">
        <f t="shared" ref="S1091:S1154" si="69">(R1091/$O1091)-1</f>
        <v>1.6985950984467961</v>
      </c>
      <c r="T1091" s="4">
        <v>4249.0700545556729</v>
      </c>
      <c r="U1091" s="5">
        <f t="shared" ref="U1091:U1154" si="70">(T1091/$O1091)-1</f>
        <v>1.3605944747531518</v>
      </c>
      <c r="V1091" s="4">
        <v>2428.10693359375</v>
      </c>
      <c r="W1091" s="5">
        <f t="shared" ref="W1091:W1154" si="71">(V1091/$O1091)-1</f>
        <v>0.34894829644097225</v>
      </c>
    </row>
    <row r="1092" spans="1:23" x14ac:dyDescent="0.25">
      <c r="A1092" t="s">
        <v>1488</v>
      </c>
      <c r="B1092">
        <v>2015</v>
      </c>
      <c r="C1092" t="s">
        <v>20</v>
      </c>
      <c r="D1092" t="s">
        <v>21</v>
      </c>
      <c r="E1092">
        <v>104144</v>
      </c>
      <c r="F1092" t="s">
        <v>106</v>
      </c>
      <c r="G1092" t="s">
        <v>38</v>
      </c>
      <c r="H1092" t="s">
        <v>25</v>
      </c>
      <c r="I1092" t="s">
        <v>24</v>
      </c>
      <c r="J1092" s="2">
        <v>45664</v>
      </c>
      <c r="K1092" t="s">
        <v>25</v>
      </c>
      <c r="L1092">
        <v>44224</v>
      </c>
      <c r="M1092">
        <v>235</v>
      </c>
      <c r="N1092">
        <v>285</v>
      </c>
      <c r="O1092" s="4">
        <v>9500</v>
      </c>
      <c r="P1092" s="4">
        <v>5509.4423828125</v>
      </c>
      <c r="Q1092" s="5">
        <f t="shared" si="68"/>
        <v>-0.42005869654605266</v>
      </c>
      <c r="R1092" s="4">
        <v>6710.4833518200976</v>
      </c>
      <c r="S1092" s="5">
        <f t="shared" si="69"/>
        <v>-0.29363333138735814</v>
      </c>
      <c r="T1092" s="4">
        <v>6060.88248590085</v>
      </c>
      <c r="U1092" s="5">
        <f t="shared" si="70"/>
        <v>-0.36201236990517371</v>
      </c>
      <c r="V1092" s="4">
        <v>5168.53857421875</v>
      </c>
      <c r="W1092" s="5">
        <f t="shared" si="71"/>
        <v>-0.45594330797697369</v>
      </c>
    </row>
    <row r="1093" spans="1:23" x14ac:dyDescent="0.25">
      <c r="A1093" t="s">
        <v>1489</v>
      </c>
      <c r="B1093">
        <v>2015</v>
      </c>
      <c r="C1093" t="s">
        <v>20</v>
      </c>
      <c r="D1093" t="s">
        <v>134</v>
      </c>
      <c r="E1093">
        <v>157155</v>
      </c>
      <c r="F1093" t="s">
        <v>115</v>
      </c>
      <c r="G1093" t="s">
        <v>30</v>
      </c>
      <c r="H1093" t="s">
        <v>24</v>
      </c>
      <c r="I1093" t="s">
        <v>25</v>
      </c>
      <c r="J1093" s="2">
        <v>45673</v>
      </c>
      <c r="K1093" t="s">
        <v>25</v>
      </c>
      <c r="L1093">
        <v>44224</v>
      </c>
      <c r="M1093">
        <v>235</v>
      </c>
      <c r="N1093">
        <v>285</v>
      </c>
      <c r="O1093" s="4">
        <v>9000</v>
      </c>
      <c r="P1093" s="4">
        <v>3057.26318359375</v>
      </c>
      <c r="Q1093" s="5">
        <f t="shared" si="68"/>
        <v>-0.66030409071180562</v>
      </c>
      <c r="R1093" s="4">
        <v>3517.4702356025459</v>
      </c>
      <c r="S1093" s="5">
        <f t="shared" si="69"/>
        <v>-0.60916997382193938</v>
      </c>
      <c r="T1093" s="4">
        <v>4931.7850070608511</v>
      </c>
      <c r="U1093" s="5">
        <f t="shared" si="70"/>
        <v>-0.4520238881043499</v>
      </c>
      <c r="V1093" s="4">
        <v>2893.640380859375</v>
      </c>
      <c r="W1093" s="5">
        <f t="shared" si="71"/>
        <v>-0.67848440212673611</v>
      </c>
    </row>
    <row r="1094" spans="1:23" x14ac:dyDescent="0.25">
      <c r="A1094" t="s">
        <v>1490</v>
      </c>
      <c r="B1094">
        <v>2018</v>
      </c>
      <c r="C1094" t="s">
        <v>20</v>
      </c>
      <c r="D1094" t="s">
        <v>21</v>
      </c>
      <c r="E1094">
        <v>77574</v>
      </c>
      <c r="F1094" t="s">
        <v>29</v>
      </c>
      <c r="G1094" t="s">
        <v>38</v>
      </c>
      <c r="H1094" t="s">
        <v>25</v>
      </c>
      <c r="I1094" t="s">
        <v>24</v>
      </c>
      <c r="J1094" s="2">
        <v>45426</v>
      </c>
      <c r="K1094" t="s">
        <v>25</v>
      </c>
      <c r="L1094">
        <v>44224</v>
      </c>
      <c r="M1094">
        <v>235</v>
      </c>
      <c r="N1094">
        <v>285</v>
      </c>
      <c r="O1094" s="4">
        <v>9400</v>
      </c>
      <c r="P1094" s="4">
        <v>7850.42919921875</v>
      </c>
      <c r="Q1094" s="5">
        <f t="shared" si="68"/>
        <v>-0.16484795752992021</v>
      </c>
      <c r="R1094" s="4">
        <v>12680.309816204441</v>
      </c>
      <c r="S1094" s="5">
        <f t="shared" si="69"/>
        <v>0.34896912938345115</v>
      </c>
      <c r="T1094" s="4">
        <v>9823.7014608394056</v>
      </c>
      <c r="U1094" s="5">
        <f t="shared" si="70"/>
        <v>4.5074623493553734E-2</v>
      </c>
      <c r="V1094" s="4">
        <v>7800.31689453125</v>
      </c>
      <c r="W1094" s="5">
        <f t="shared" si="71"/>
        <v>-0.17017905377327125</v>
      </c>
    </row>
    <row r="1095" spans="1:23" x14ac:dyDescent="0.25">
      <c r="A1095" t="s">
        <v>1491</v>
      </c>
      <c r="B1095">
        <v>2015</v>
      </c>
      <c r="C1095" t="s">
        <v>20</v>
      </c>
      <c r="D1095" t="s">
        <v>108</v>
      </c>
      <c r="E1095">
        <v>116310</v>
      </c>
      <c r="F1095" t="s">
        <v>55</v>
      </c>
      <c r="G1095" t="s">
        <v>34</v>
      </c>
      <c r="H1095" t="s">
        <v>25</v>
      </c>
      <c r="I1095" t="s">
        <v>24</v>
      </c>
      <c r="J1095" s="2">
        <v>45715</v>
      </c>
      <c r="K1095" t="s">
        <v>25</v>
      </c>
      <c r="L1095">
        <v>44224</v>
      </c>
      <c r="M1095">
        <v>235</v>
      </c>
      <c r="N1095">
        <v>285</v>
      </c>
      <c r="O1095" s="4">
        <v>5600</v>
      </c>
      <c r="P1095" s="4">
        <v>4176.0400390625</v>
      </c>
      <c r="Q1095" s="5">
        <f t="shared" si="68"/>
        <v>-0.25427856445312502</v>
      </c>
      <c r="R1095" s="4">
        <v>4701.7067098029229</v>
      </c>
      <c r="S1095" s="5">
        <f t="shared" si="69"/>
        <v>-0.16040951610662091</v>
      </c>
      <c r="T1095" s="4">
        <v>6855.3970670397839</v>
      </c>
      <c r="U1095" s="5">
        <f t="shared" si="70"/>
        <v>0.22417804768567562</v>
      </c>
      <c r="V1095" s="4">
        <v>4060.41748046875</v>
      </c>
      <c r="W1095" s="5">
        <f t="shared" si="71"/>
        <v>-0.27492544991629464</v>
      </c>
    </row>
    <row r="1096" spans="1:23" x14ac:dyDescent="0.25">
      <c r="A1096" t="s">
        <v>1492</v>
      </c>
      <c r="B1096">
        <v>2015</v>
      </c>
      <c r="C1096" t="s">
        <v>20</v>
      </c>
      <c r="D1096" t="s">
        <v>108</v>
      </c>
      <c r="E1096">
        <v>134191</v>
      </c>
      <c r="F1096" t="s">
        <v>22</v>
      </c>
      <c r="G1096" t="s">
        <v>23</v>
      </c>
      <c r="H1096" t="s">
        <v>24</v>
      </c>
      <c r="I1096" t="s">
        <v>25</v>
      </c>
      <c r="J1096" s="2">
        <v>45610</v>
      </c>
      <c r="K1096" t="s">
        <v>25</v>
      </c>
      <c r="L1096">
        <v>44224</v>
      </c>
      <c r="M1096">
        <v>235</v>
      </c>
      <c r="N1096">
        <v>285</v>
      </c>
      <c r="O1096" s="4">
        <v>8200</v>
      </c>
      <c r="P1096" s="4">
        <v>3640.95849609375</v>
      </c>
      <c r="Q1096" s="5">
        <f t="shared" si="68"/>
        <v>-0.55598067120807926</v>
      </c>
      <c r="R1096" s="4">
        <v>3965.6566076038471</v>
      </c>
      <c r="S1096" s="5">
        <f t="shared" si="69"/>
        <v>-0.51638334053611623</v>
      </c>
      <c r="T1096" s="4">
        <v>5658.275476079998</v>
      </c>
      <c r="U1096" s="5">
        <f t="shared" si="70"/>
        <v>-0.30996640535609776</v>
      </c>
      <c r="V1096" s="4">
        <v>3515.105224609375</v>
      </c>
      <c r="W1096" s="5">
        <f t="shared" si="71"/>
        <v>-0.57132863114519816</v>
      </c>
    </row>
    <row r="1097" spans="1:23" x14ac:dyDescent="0.25">
      <c r="A1097" t="s">
        <v>1493</v>
      </c>
      <c r="B1097">
        <v>2017</v>
      </c>
      <c r="C1097" t="s">
        <v>20</v>
      </c>
      <c r="D1097" t="s">
        <v>108</v>
      </c>
      <c r="E1097">
        <v>170188</v>
      </c>
      <c r="F1097" t="s">
        <v>254</v>
      </c>
      <c r="G1097" t="s">
        <v>23</v>
      </c>
      <c r="H1097" t="s">
        <v>24</v>
      </c>
      <c r="I1097" t="s">
        <v>25</v>
      </c>
      <c r="J1097" s="2">
        <v>45484</v>
      </c>
      <c r="K1097" t="s">
        <v>25</v>
      </c>
      <c r="L1097">
        <v>44224</v>
      </c>
      <c r="M1097">
        <v>235</v>
      </c>
      <c r="N1097">
        <v>285</v>
      </c>
      <c r="O1097" s="4">
        <v>12500</v>
      </c>
      <c r="P1097" s="4">
        <v>5926.8193359375</v>
      </c>
      <c r="Q1097" s="5">
        <f t="shared" si="68"/>
        <v>-0.52585445312500001</v>
      </c>
      <c r="R1097" s="4">
        <v>6217.0088558000662</v>
      </c>
      <c r="S1097" s="5">
        <f t="shared" si="69"/>
        <v>-0.50263929153599474</v>
      </c>
      <c r="T1097" s="4">
        <v>6753.6362891456538</v>
      </c>
      <c r="U1097" s="5">
        <f t="shared" si="70"/>
        <v>-0.45970909686834771</v>
      </c>
      <c r="V1097" s="4">
        <v>5845.49658203125</v>
      </c>
      <c r="W1097" s="5">
        <f t="shared" si="71"/>
        <v>-0.53236027343749992</v>
      </c>
    </row>
    <row r="1098" spans="1:23" x14ac:dyDescent="0.25">
      <c r="A1098" t="s">
        <v>1494</v>
      </c>
      <c r="B1098">
        <v>2018</v>
      </c>
      <c r="C1098" t="s">
        <v>32</v>
      </c>
      <c r="D1098" t="s">
        <v>143</v>
      </c>
      <c r="E1098">
        <v>127778</v>
      </c>
      <c r="F1098" t="s">
        <v>72</v>
      </c>
      <c r="G1098" t="s">
        <v>30</v>
      </c>
      <c r="H1098" t="s">
        <v>24</v>
      </c>
      <c r="I1098" t="s">
        <v>25</v>
      </c>
      <c r="J1098" s="2">
        <v>45678</v>
      </c>
      <c r="K1098" t="s">
        <v>25</v>
      </c>
      <c r="L1098">
        <v>44224</v>
      </c>
      <c r="M1098">
        <v>235</v>
      </c>
      <c r="N1098">
        <v>285</v>
      </c>
      <c r="O1098" s="4">
        <v>14800</v>
      </c>
      <c r="P1098" s="4">
        <v>7555.6337890625</v>
      </c>
      <c r="Q1098" s="5">
        <f t="shared" si="68"/>
        <v>-0.48948420344172294</v>
      </c>
      <c r="R1098" s="4">
        <v>10549.410752927</v>
      </c>
      <c r="S1098" s="5">
        <f t="shared" si="69"/>
        <v>-0.28720197615358101</v>
      </c>
      <c r="T1098" s="4">
        <v>10142.079384116219</v>
      </c>
      <c r="U1098" s="5">
        <f t="shared" si="70"/>
        <v>-0.31472436593809328</v>
      </c>
      <c r="V1098" s="4">
        <v>7095.64990234375</v>
      </c>
      <c r="W1098" s="5">
        <f t="shared" si="71"/>
        <v>-0.52056419578758439</v>
      </c>
    </row>
    <row r="1099" spans="1:23" x14ac:dyDescent="0.25">
      <c r="A1099" t="s">
        <v>1495</v>
      </c>
      <c r="B1099">
        <v>2018</v>
      </c>
      <c r="C1099" t="s">
        <v>32</v>
      </c>
      <c r="D1099" t="s">
        <v>143</v>
      </c>
      <c r="E1099">
        <v>42800</v>
      </c>
      <c r="F1099" t="s">
        <v>189</v>
      </c>
      <c r="G1099" t="s">
        <v>44</v>
      </c>
      <c r="H1099" t="s">
        <v>25</v>
      </c>
      <c r="I1099" t="s">
        <v>24</v>
      </c>
      <c r="J1099" s="2">
        <v>45314</v>
      </c>
      <c r="K1099" t="s">
        <v>25</v>
      </c>
      <c r="L1099">
        <v>44224</v>
      </c>
      <c r="M1099">
        <v>235</v>
      </c>
      <c r="N1099">
        <v>285</v>
      </c>
      <c r="O1099" s="4">
        <v>13500</v>
      </c>
      <c r="P1099" s="4">
        <v>15729.6083984375</v>
      </c>
      <c r="Q1099" s="5">
        <f t="shared" si="68"/>
        <v>0.16515617766203694</v>
      </c>
      <c r="R1099" s="4">
        <v>19915.676818279571</v>
      </c>
      <c r="S1099" s="5">
        <f t="shared" si="69"/>
        <v>0.47523531987256074</v>
      </c>
      <c r="T1099" s="4">
        <v>19787.23492818436</v>
      </c>
      <c r="U1099" s="5">
        <f t="shared" si="70"/>
        <v>0.46572110579143411</v>
      </c>
      <c r="V1099" s="4">
        <v>15087.20703125</v>
      </c>
      <c r="W1099" s="5">
        <f t="shared" si="71"/>
        <v>0.11757089120370368</v>
      </c>
    </row>
    <row r="1100" spans="1:23" x14ac:dyDescent="0.25">
      <c r="A1100" t="s">
        <v>1496</v>
      </c>
      <c r="B1100">
        <v>2017</v>
      </c>
      <c r="C1100" t="s">
        <v>46</v>
      </c>
      <c r="D1100" t="s">
        <v>1497</v>
      </c>
      <c r="E1100">
        <v>99999</v>
      </c>
      <c r="F1100" t="s">
        <v>261</v>
      </c>
      <c r="G1100" t="s">
        <v>30</v>
      </c>
      <c r="H1100" t="s">
        <v>24</v>
      </c>
      <c r="I1100" t="s">
        <v>25</v>
      </c>
      <c r="J1100" s="2">
        <v>45498</v>
      </c>
      <c r="K1100" t="s">
        <v>25</v>
      </c>
      <c r="L1100">
        <v>44224</v>
      </c>
      <c r="M1100">
        <v>235</v>
      </c>
      <c r="N1100">
        <v>285</v>
      </c>
      <c r="O1100" s="4">
        <v>11500</v>
      </c>
      <c r="P1100" s="4">
        <v>5328.3779296875</v>
      </c>
      <c r="Q1100" s="5">
        <f t="shared" si="68"/>
        <v>-0.53666278872282613</v>
      </c>
      <c r="R1100" s="4">
        <v>6064.2468843612669</v>
      </c>
      <c r="S1100" s="5">
        <f t="shared" si="69"/>
        <v>-0.47267418396858552</v>
      </c>
      <c r="T1100" s="4">
        <v>6612.8376424863454</v>
      </c>
      <c r="U1100" s="5">
        <f t="shared" si="70"/>
        <v>-0.42497063978379601</v>
      </c>
      <c r="V1100" s="4">
        <v>5197.5830078125</v>
      </c>
      <c r="W1100" s="5">
        <f t="shared" si="71"/>
        <v>-0.54803626019021734</v>
      </c>
    </row>
    <row r="1101" spans="1:23" x14ac:dyDescent="0.25">
      <c r="A1101" t="s">
        <v>1498</v>
      </c>
      <c r="B1101">
        <v>2014</v>
      </c>
      <c r="C1101" t="s">
        <v>53</v>
      </c>
      <c r="D1101" t="s">
        <v>148</v>
      </c>
      <c r="E1101">
        <v>114314</v>
      </c>
      <c r="F1101" t="s">
        <v>82</v>
      </c>
      <c r="G1101" t="s">
        <v>30</v>
      </c>
      <c r="H1101" t="s">
        <v>24</v>
      </c>
      <c r="I1101" t="s">
        <v>25</v>
      </c>
      <c r="J1101" s="2">
        <v>45687</v>
      </c>
      <c r="K1101" t="s">
        <v>25</v>
      </c>
      <c r="L1101">
        <v>44224</v>
      </c>
      <c r="M1101">
        <v>235</v>
      </c>
      <c r="N1101">
        <v>285</v>
      </c>
      <c r="O1101" s="4">
        <v>1600</v>
      </c>
      <c r="P1101" s="4">
        <v>3537.6796875</v>
      </c>
      <c r="Q1101" s="5">
        <f t="shared" si="68"/>
        <v>1.2110498046874998</v>
      </c>
      <c r="R1101" s="4">
        <v>3746.7085248830108</v>
      </c>
      <c r="S1101" s="5">
        <f t="shared" si="69"/>
        <v>1.3416928280518818</v>
      </c>
      <c r="T1101" s="4">
        <v>6378.3365006627228</v>
      </c>
      <c r="U1101" s="5">
        <f t="shared" si="70"/>
        <v>2.9864603129142018</v>
      </c>
      <c r="V1101" s="4">
        <v>3466.266845703125</v>
      </c>
      <c r="W1101" s="5">
        <f t="shared" si="71"/>
        <v>1.1664167785644532</v>
      </c>
    </row>
    <row r="1102" spans="1:23" x14ac:dyDescent="0.25">
      <c r="A1102" t="s">
        <v>1499</v>
      </c>
      <c r="B1102">
        <v>2018</v>
      </c>
      <c r="C1102" t="s">
        <v>53</v>
      </c>
      <c r="D1102" t="s">
        <v>148</v>
      </c>
      <c r="E1102">
        <v>126241</v>
      </c>
      <c r="F1102" t="s">
        <v>22</v>
      </c>
      <c r="G1102" t="s">
        <v>23</v>
      </c>
      <c r="H1102" t="s">
        <v>24</v>
      </c>
      <c r="I1102" t="s">
        <v>25</v>
      </c>
      <c r="J1102" s="2">
        <v>45603</v>
      </c>
      <c r="K1102" t="s">
        <v>25</v>
      </c>
      <c r="L1102">
        <v>44224</v>
      </c>
      <c r="M1102">
        <v>235</v>
      </c>
      <c r="N1102">
        <v>285</v>
      </c>
      <c r="O1102" s="4">
        <v>11800</v>
      </c>
      <c r="P1102" s="4">
        <v>6010.685546875</v>
      </c>
      <c r="Q1102" s="5">
        <f t="shared" si="68"/>
        <v>-0.4906198689088983</v>
      </c>
      <c r="R1102" s="4">
        <v>6527.9145925518533</v>
      </c>
      <c r="S1102" s="5">
        <f t="shared" si="69"/>
        <v>-0.44678689893628365</v>
      </c>
      <c r="T1102" s="4">
        <v>8999.3784106001021</v>
      </c>
      <c r="U1102" s="5">
        <f t="shared" si="70"/>
        <v>-0.23734081266100826</v>
      </c>
      <c r="V1102" s="4">
        <v>5826.84765625</v>
      </c>
      <c r="W1102" s="5">
        <f t="shared" si="71"/>
        <v>-0.50619935116525427</v>
      </c>
    </row>
    <row r="1103" spans="1:23" x14ac:dyDescent="0.25">
      <c r="A1103" t="s">
        <v>1500</v>
      </c>
      <c r="B1103">
        <v>2021</v>
      </c>
      <c r="C1103" t="s">
        <v>167</v>
      </c>
      <c r="D1103" t="s">
        <v>555</v>
      </c>
      <c r="E1103">
        <v>84873</v>
      </c>
      <c r="F1103" t="s">
        <v>141</v>
      </c>
      <c r="G1103" t="s">
        <v>38</v>
      </c>
      <c r="H1103" t="s">
        <v>25</v>
      </c>
      <c r="I1103" t="s">
        <v>24</v>
      </c>
      <c r="J1103" s="2">
        <v>45708</v>
      </c>
      <c r="K1103" t="s">
        <v>25</v>
      </c>
      <c r="L1103">
        <v>44224</v>
      </c>
      <c r="M1103">
        <v>235</v>
      </c>
      <c r="N1103">
        <v>285</v>
      </c>
      <c r="O1103" s="4">
        <v>11500</v>
      </c>
      <c r="P1103" s="4">
        <v>12440.4091796875</v>
      </c>
      <c r="Q1103" s="5">
        <f t="shared" si="68"/>
        <v>8.1774711277173839E-2</v>
      </c>
      <c r="R1103" s="4">
        <v>14121.486072896831</v>
      </c>
      <c r="S1103" s="5">
        <f t="shared" si="69"/>
        <v>0.22795531068668096</v>
      </c>
      <c r="T1103" s="4">
        <v>9964.6914630938427</v>
      </c>
      <c r="U1103" s="5">
        <f t="shared" si="70"/>
        <v>-0.13350509016575285</v>
      </c>
      <c r="V1103" s="4">
        <v>11915.4111328125</v>
      </c>
      <c r="W1103" s="5">
        <f t="shared" si="71"/>
        <v>3.6122707201087012E-2</v>
      </c>
    </row>
    <row r="1104" spans="1:23" x14ac:dyDescent="0.25">
      <c r="A1104" t="s">
        <v>1501</v>
      </c>
      <c r="B1104">
        <v>2021</v>
      </c>
      <c r="C1104" t="s">
        <v>185</v>
      </c>
      <c r="D1104" t="s">
        <v>437</v>
      </c>
      <c r="E1104">
        <v>91390</v>
      </c>
      <c r="F1104" t="s">
        <v>79</v>
      </c>
      <c r="G1104" t="s">
        <v>34</v>
      </c>
      <c r="H1104" t="s">
        <v>25</v>
      </c>
      <c r="I1104" t="s">
        <v>24</v>
      </c>
      <c r="J1104" s="2">
        <v>45680</v>
      </c>
      <c r="K1104" t="s">
        <v>25</v>
      </c>
      <c r="L1104">
        <v>44224</v>
      </c>
      <c r="M1104">
        <v>235</v>
      </c>
      <c r="N1104">
        <v>285</v>
      </c>
      <c r="O1104" s="4">
        <v>11500</v>
      </c>
      <c r="P1104" s="4">
        <v>8153.15234375</v>
      </c>
      <c r="Q1104" s="5">
        <f t="shared" si="68"/>
        <v>-0.29103023097826086</v>
      </c>
      <c r="R1104" s="4">
        <v>8627.4116920261386</v>
      </c>
      <c r="S1104" s="5">
        <f t="shared" si="69"/>
        <v>-0.24979028764990097</v>
      </c>
      <c r="T1104" s="4">
        <v>6070.4855906086814</v>
      </c>
      <c r="U1104" s="5">
        <f t="shared" si="70"/>
        <v>-0.47213168777315817</v>
      </c>
      <c r="V1104" s="4">
        <v>7972.42333984375</v>
      </c>
      <c r="W1104" s="5">
        <f t="shared" si="71"/>
        <v>-0.30674579653532608</v>
      </c>
    </row>
    <row r="1105" spans="1:23" x14ac:dyDescent="0.25">
      <c r="A1105" t="s">
        <v>1502</v>
      </c>
      <c r="B1105">
        <v>2014</v>
      </c>
      <c r="C1105" t="s">
        <v>266</v>
      </c>
      <c r="D1105" t="s">
        <v>267</v>
      </c>
      <c r="E1105">
        <v>88292</v>
      </c>
      <c r="F1105" t="s">
        <v>79</v>
      </c>
      <c r="G1105" t="s">
        <v>38</v>
      </c>
      <c r="H1105" t="s">
        <v>25</v>
      </c>
      <c r="I1105" t="s">
        <v>24</v>
      </c>
      <c r="J1105" s="2">
        <v>45664</v>
      </c>
      <c r="K1105" t="s">
        <v>25</v>
      </c>
      <c r="L1105">
        <v>44224</v>
      </c>
      <c r="M1105">
        <v>235</v>
      </c>
      <c r="N1105">
        <v>285</v>
      </c>
      <c r="O1105" s="4">
        <v>6900</v>
      </c>
      <c r="P1105" s="4">
        <v>3782.659423828125</v>
      </c>
      <c r="Q1105" s="5">
        <f t="shared" si="68"/>
        <v>-0.45178848930027171</v>
      </c>
      <c r="R1105" s="4">
        <v>3714.351187408623</v>
      </c>
      <c r="S1105" s="5">
        <f t="shared" si="69"/>
        <v>-0.46168823370889522</v>
      </c>
      <c r="T1105" s="4">
        <v>3150.6688117437602</v>
      </c>
      <c r="U1105" s="5">
        <f t="shared" si="70"/>
        <v>-0.54338133163133917</v>
      </c>
      <c r="V1105" s="4">
        <v>3752.453857421875</v>
      </c>
      <c r="W1105" s="5">
        <f t="shared" si="71"/>
        <v>-0.45616610762001808</v>
      </c>
    </row>
    <row r="1106" spans="1:23" x14ac:dyDescent="0.25">
      <c r="A1106" t="s">
        <v>1503</v>
      </c>
      <c r="B1106">
        <v>2014</v>
      </c>
      <c r="C1106" t="s">
        <v>139</v>
      </c>
      <c r="D1106" t="s">
        <v>273</v>
      </c>
      <c r="E1106">
        <v>126688</v>
      </c>
      <c r="F1106" t="s">
        <v>77</v>
      </c>
      <c r="G1106" t="s">
        <v>38</v>
      </c>
      <c r="H1106" t="s">
        <v>25</v>
      </c>
      <c r="I1106" t="s">
        <v>24</v>
      </c>
      <c r="J1106" s="2">
        <v>45729</v>
      </c>
      <c r="K1106" t="s">
        <v>25</v>
      </c>
      <c r="L1106">
        <v>44224</v>
      </c>
      <c r="M1106">
        <v>235</v>
      </c>
      <c r="N1106">
        <v>285</v>
      </c>
      <c r="O1106" s="4">
        <v>13300</v>
      </c>
      <c r="P1106" s="4">
        <v>5445.99365234375</v>
      </c>
      <c r="Q1106" s="5">
        <f t="shared" si="68"/>
        <v>-0.59052679305686095</v>
      </c>
      <c r="R1106" s="4">
        <v>6205.3096238917578</v>
      </c>
      <c r="S1106" s="5">
        <f t="shared" si="69"/>
        <v>-0.53343536662467983</v>
      </c>
      <c r="T1106" s="4">
        <v>7470.1894205415292</v>
      </c>
      <c r="U1106" s="5">
        <f t="shared" si="70"/>
        <v>-0.43833162251567448</v>
      </c>
      <c r="V1106" s="4">
        <v>5238.68212890625</v>
      </c>
      <c r="W1106" s="5">
        <f t="shared" si="71"/>
        <v>-0.60611412564614664</v>
      </c>
    </row>
    <row r="1107" spans="1:23" x14ac:dyDescent="0.25">
      <c r="A1107" t="s">
        <v>1504</v>
      </c>
      <c r="B1107">
        <v>2014</v>
      </c>
      <c r="C1107" t="s">
        <v>139</v>
      </c>
      <c r="D1107" t="s">
        <v>163</v>
      </c>
      <c r="E1107">
        <v>150668</v>
      </c>
      <c r="F1107" t="s">
        <v>246</v>
      </c>
      <c r="G1107" t="s">
        <v>38</v>
      </c>
      <c r="H1107" t="s">
        <v>25</v>
      </c>
      <c r="I1107" t="s">
        <v>24</v>
      </c>
      <c r="J1107" s="2">
        <v>45314</v>
      </c>
      <c r="K1107" t="s">
        <v>25</v>
      </c>
      <c r="L1107">
        <v>44224</v>
      </c>
      <c r="M1107">
        <v>235</v>
      </c>
      <c r="N1107">
        <v>285</v>
      </c>
      <c r="O1107" s="4">
        <v>2000</v>
      </c>
      <c r="P1107" s="4">
        <v>4676.76806640625</v>
      </c>
      <c r="Q1107" s="5">
        <f t="shared" si="68"/>
        <v>1.3383840332031252</v>
      </c>
      <c r="R1107" s="4">
        <v>4265.9701477686722</v>
      </c>
      <c r="S1107" s="5">
        <f t="shared" si="69"/>
        <v>1.1329850738843361</v>
      </c>
      <c r="T1107" s="4">
        <v>5842.5331634842496</v>
      </c>
      <c r="U1107" s="5">
        <f t="shared" si="70"/>
        <v>1.9212665817421248</v>
      </c>
      <c r="V1107" s="4">
        <v>4681.25537109375</v>
      </c>
      <c r="W1107" s="5">
        <f t="shared" si="71"/>
        <v>1.3406276855468748</v>
      </c>
    </row>
    <row r="1108" spans="1:23" x14ac:dyDescent="0.25">
      <c r="A1108" t="s">
        <v>1505</v>
      </c>
      <c r="B1108">
        <v>2018</v>
      </c>
      <c r="C1108" t="s">
        <v>113</v>
      </c>
      <c r="D1108" t="s">
        <v>1506</v>
      </c>
      <c r="E1108">
        <v>96731</v>
      </c>
      <c r="F1108" t="s">
        <v>250</v>
      </c>
      <c r="G1108" t="s">
        <v>30</v>
      </c>
      <c r="H1108" t="s">
        <v>24</v>
      </c>
      <c r="I1108" t="s">
        <v>25</v>
      </c>
      <c r="J1108" s="2">
        <v>45736</v>
      </c>
      <c r="K1108" t="s">
        <v>25</v>
      </c>
      <c r="L1108">
        <v>44224</v>
      </c>
      <c r="M1108">
        <v>235</v>
      </c>
      <c r="N1108">
        <v>285</v>
      </c>
      <c r="O1108" s="4">
        <v>20200</v>
      </c>
      <c r="P1108" s="4">
        <v>11901.2568359375</v>
      </c>
      <c r="Q1108" s="5">
        <f t="shared" si="68"/>
        <v>-0.41082886950804454</v>
      </c>
      <c r="R1108" s="4">
        <v>11983.53892242751</v>
      </c>
      <c r="S1108" s="5">
        <f t="shared" si="69"/>
        <v>-0.40675549888972728</v>
      </c>
      <c r="T1108" s="4">
        <v>10891.72405544291</v>
      </c>
      <c r="U1108" s="5">
        <f t="shared" si="70"/>
        <v>-0.46080573982955886</v>
      </c>
      <c r="V1108" s="4">
        <v>12158.181640625</v>
      </c>
      <c r="W1108" s="5">
        <f t="shared" si="71"/>
        <v>-0.39810981977103965</v>
      </c>
    </row>
    <row r="1109" spans="1:23" x14ac:dyDescent="0.25">
      <c r="A1109" t="s">
        <v>1507</v>
      </c>
      <c r="B1109">
        <v>2013</v>
      </c>
      <c r="C1109" t="s">
        <v>185</v>
      </c>
      <c r="D1109" t="s">
        <v>1257</v>
      </c>
      <c r="E1109">
        <v>133223</v>
      </c>
      <c r="F1109" t="s">
        <v>246</v>
      </c>
      <c r="G1109" t="s">
        <v>30</v>
      </c>
      <c r="H1109" t="s">
        <v>24</v>
      </c>
      <c r="I1109" t="s">
        <v>25</v>
      </c>
      <c r="J1109" s="2">
        <v>45687</v>
      </c>
      <c r="K1109" t="s">
        <v>25</v>
      </c>
      <c r="L1109">
        <v>44224</v>
      </c>
      <c r="M1109">
        <v>235</v>
      </c>
      <c r="N1109">
        <v>285</v>
      </c>
      <c r="O1109" s="4">
        <v>600</v>
      </c>
      <c r="P1109" s="4">
        <v>1836.971923828125</v>
      </c>
      <c r="Q1109" s="5">
        <f t="shared" si="68"/>
        <v>2.0616198730468751</v>
      </c>
      <c r="R1109" s="4">
        <v>1758.4890517389031</v>
      </c>
      <c r="S1109" s="5">
        <f t="shared" si="69"/>
        <v>1.930815086231505</v>
      </c>
      <c r="T1109" s="4">
        <v>3219.609501168889</v>
      </c>
      <c r="U1109" s="5">
        <f t="shared" si="70"/>
        <v>4.3660158352814813</v>
      </c>
      <c r="V1109" s="4">
        <v>1802.579833984375</v>
      </c>
      <c r="W1109" s="5">
        <f t="shared" si="71"/>
        <v>2.0042997233072914</v>
      </c>
    </row>
    <row r="1110" spans="1:23" x14ac:dyDescent="0.25">
      <c r="A1110" t="s">
        <v>1508</v>
      </c>
      <c r="B1110">
        <v>2017</v>
      </c>
      <c r="C1110" t="s">
        <v>185</v>
      </c>
      <c r="D1110" t="s">
        <v>186</v>
      </c>
      <c r="E1110">
        <v>116855</v>
      </c>
      <c r="F1110" t="s">
        <v>98</v>
      </c>
      <c r="G1110" t="s">
        <v>44</v>
      </c>
      <c r="H1110" t="s">
        <v>25</v>
      </c>
      <c r="I1110" t="s">
        <v>24</v>
      </c>
      <c r="J1110" s="2">
        <v>45482</v>
      </c>
      <c r="K1110" t="s">
        <v>25</v>
      </c>
      <c r="L1110">
        <v>44224</v>
      </c>
      <c r="M1110">
        <v>235</v>
      </c>
      <c r="N1110">
        <v>285</v>
      </c>
      <c r="O1110" s="4">
        <v>13000</v>
      </c>
      <c r="P1110" s="4">
        <v>6217.20703125</v>
      </c>
      <c r="Q1110" s="5">
        <f t="shared" si="68"/>
        <v>-0.52175330528846153</v>
      </c>
      <c r="R1110" s="4">
        <v>7490.748632972286</v>
      </c>
      <c r="S1110" s="5">
        <f t="shared" si="69"/>
        <v>-0.42378856669443954</v>
      </c>
      <c r="T1110" s="4">
        <v>7765.6804899677663</v>
      </c>
      <c r="U1110" s="5">
        <f t="shared" si="70"/>
        <v>-0.40263996231017185</v>
      </c>
      <c r="V1110" s="4">
        <v>5684.76025390625</v>
      </c>
      <c r="W1110" s="5">
        <f t="shared" si="71"/>
        <v>-0.56271074969951917</v>
      </c>
    </row>
    <row r="1111" spans="1:23" x14ac:dyDescent="0.25">
      <c r="A1111" t="s">
        <v>1509</v>
      </c>
      <c r="B1111">
        <v>2018</v>
      </c>
      <c r="C1111" t="s">
        <v>167</v>
      </c>
      <c r="D1111" t="s">
        <v>168</v>
      </c>
      <c r="E1111">
        <v>122810</v>
      </c>
      <c r="F1111" t="s">
        <v>334</v>
      </c>
      <c r="G1111" t="s">
        <v>30</v>
      </c>
      <c r="H1111" t="s">
        <v>24</v>
      </c>
      <c r="I1111" t="s">
        <v>25</v>
      </c>
      <c r="J1111" s="2">
        <v>45300</v>
      </c>
      <c r="K1111" t="s">
        <v>25</v>
      </c>
      <c r="L1111">
        <v>44224</v>
      </c>
      <c r="M1111">
        <v>235</v>
      </c>
      <c r="N1111">
        <v>285</v>
      </c>
      <c r="O1111" s="4">
        <v>14400</v>
      </c>
      <c r="P1111" s="4">
        <v>3948.397216796875</v>
      </c>
      <c r="Q1111" s="5">
        <f t="shared" si="68"/>
        <v>-0.72580574883355031</v>
      </c>
      <c r="R1111" s="4">
        <v>3652.7868568954768</v>
      </c>
      <c r="S1111" s="5">
        <f t="shared" si="69"/>
        <v>-0.74633424604892529</v>
      </c>
      <c r="T1111" s="4">
        <v>3554.7324353701988</v>
      </c>
      <c r="U1111" s="5">
        <f t="shared" si="70"/>
        <v>-0.75314358087706956</v>
      </c>
      <c r="V1111" s="4">
        <v>4033.624267578125</v>
      </c>
      <c r="W1111" s="5">
        <f t="shared" si="71"/>
        <v>-0.71988720364040804</v>
      </c>
    </row>
    <row r="1112" spans="1:23" x14ac:dyDescent="0.25">
      <c r="A1112" t="s">
        <v>1510</v>
      </c>
      <c r="B1112">
        <v>2016</v>
      </c>
      <c r="C1112" t="s">
        <v>167</v>
      </c>
      <c r="D1112" t="s">
        <v>171</v>
      </c>
      <c r="E1112">
        <v>77528</v>
      </c>
      <c r="F1112" t="s">
        <v>22</v>
      </c>
      <c r="G1112" t="s">
        <v>30</v>
      </c>
      <c r="H1112" t="s">
        <v>24</v>
      </c>
      <c r="I1112" t="s">
        <v>25</v>
      </c>
      <c r="J1112" s="2">
        <v>45356</v>
      </c>
      <c r="K1112" t="s">
        <v>25</v>
      </c>
      <c r="L1112">
        <v>44224</v>
      </c>
      <c r="M1112">
        <v>235</v>
      </c>
      <c r="N1112">
        <v>285</v>
      </c>
      <c r="O1112" s="4">
        <v>9700</v>
      </c>
      <c r="P1112" s="4">
        <v>5175.48974609375</v>
      </c>
      <c r="Q1112" s="5">
        <f t="shared" si="68"/>
        <v>-0.46644435607280932</v>
      </c>
      <c r="R1112" s="4">
        <v>4811.8754608602894</v>
      </c>
      <c r="S1112" s="5">
        <f t="shared" si="69"/>
        <v>-0.50393036485976395</v>
      </c>
      <c r="T1112" s="4">
        <v>5255.347362478572</v>
      </c>
      <c r="U1112" s="5">
        <f t="shared" si="70"/>
        <v>-0.45821161211561112</v>
      </c>
      <c r="V1112" s="4">
        <v>5165.44580078125</v>
      </c>
      <c r="W1112" s="5">
        <f t="shared" si="71"/>
        <v>-0.46747981435244845</v>
      </c>
    </row>
    <row r="1113" spans="1:23" x14ac:dyDescent="0.25">
      <c r="A1113" t="s">
        <v>1511</v>
      </c>
      <c r="B1113">
        <v>2018</v>
      </c>
      <c r="C1113" t="s">
        <v>167</v>
      </c>
      <c r="D1113" t="s">
        <v>171</v>
      </c>
      <c r="E1113">
        <v>63954</v>
      </c>
      <c r="F1113" t="s">
        <v>22</v>
      </c>
      <c r="G1113" t="s">
        <v>23</v>
      </c>
      <c r="H1113" t="s">
        <v>24</v>
      </c>
      <c r="I1113" t="s">
        <v>25</v>
      </c>
      <c r="J1113" s="2">
        <v>45330</v>
      </c>
      <c r="K1113" t="s">
        <v>25</v>
      </c>
      <c r="L1113">
        <v>44224</v>
      </c>
      <c r="M1113">
        <v>235</v>
      </c>
      <c r="N1113">
        <v>285</v>
      </c>
      <c r="O1113" s="4">
        <v>12800</v>
      </c>
      <c r="P1113" s="4">
        <v>6683.14794921875</v>
      </c>
      <c r="Q1113" s="5">
        <f t="shared" si="68"/>
        <v>-0.47787906646728517</v>
      </c>
      <c r="R1113" s="4">
        <v>6423.2223965889116</v>
      </c>
      <c r="S1113" s="5">
        <f t="shared" si="69"/>
        <v>-0.49818575026649126</v>
      </c>
      <c r="T1113" s="4">
        <v>7231.8954020366091</v>
      </c>
      <c r="U1113" s="5">
        <f t="shared" si="70"/>
        <v>-0.4350081717158899</v>
      </c>
      <c r="V1113" s="4">
        <v>6687.8173828125</v>
      </c>
      <c r="W1113" s="5">
        <f t="shared" si="71"/>
        <v>-0.47751426696777344</v>
      </c>
    </row>
    <row r="1114" spans="1:23" x14ac:dyDescent="0.25">
      <c r="A1114" t="s">
        <v>1512</v>
      </c>
      <c r="B1114">
        <v>2014</v>
      </c>
      <c r="C1114" t="s">
        <v>302</v>
      </c>
      <c r="D1114" t="s">
        <v>669</v>
      </c>
      <c r="E1114">
        <v>95192</v>
      </c>
      <c r="F1114" t="s">
        <v>55</v>
      </c>
      <c r="G1114" t="s">
        <v>30</v>
      </c>
      <c r="H1114" t="s">
        <v>24</v>
      </c>
      <c r="I1114" t="s">
        <v>25</v>
      </c>
      <c r="J1114" s="2">
        <v>45580</v>
      </c>
      <c r="K1114" t="s">
        <v>25</v>
      </c>
      <c r="L1114">
        <v>44224</v>
      </c>
      <c r="M1114">
        <v>235</v>
      </c>
      <c r="N1114">
        <v>285</v>
      </c>
      <c r="O1114" s="4">
        <v>5600</v>
      </c>
      <c r="P1114" s="4">
        <v>4911.52001953125</v>
      </c>
      <c r="Q1114" s="5">
        <f t="shared" si="68"/>
        <v>-0.12294285365513391</v>
      </c>
      <c r="R1114" s="4">
        <v>5078.2112458782112</v>
      </c>
      <c r="S1114" s="5">
        <f t="shared" si="69"/>
        <v>-9.3176563236033738E-2</v>
      </c>
      <c r="T1114" s="4">
        <v>4999.5232085310063</v>
      </c>
      <c r="U1114" s="5">
        <f t="shared" si="70"/>
        <v>-0.10722799847660602</v>
      </c>
      <c r="V1114" s="4">
        <v>4713.65673828125</v>
      </c>
      <c r="W1114" s="5">
        <f t="shared" si="71"/>
        <v>-0.1582755824497768</v>
      </c>
    </row>
    <row r="1115" spans="1:23" x14ac:dyDescent="0.25">
      <c r="A1115" t="s">
        <v>1513</v>
      </c>
      <c r="B1115">
        <v>2016</v>
      </c>
      <c r="C1115" t="s">
        <v>156</v>
      </c>
      <c r="D1115" t="s">
        <v>178</v>
      </c>
      <c r="E1115">
        <v>108206</v>
      </c>
      <c r="F1115" t="s">
        <v>102</v>
      </c>
      <c r="G1115" t="s">
        <v>30</v>
      </c>
      <c r="H1115" t="s">
        <v>24</v>
      </c>
      <c r="I1115" t="s">
        <v>25</v>
      </c>
      <c r="J1115" s="2">
        <v>45344</v>
      </c>
      <c r="K1115" t="s">
        <v>25</v>
      </c>
      <c r="L1115">
        <v>44224</v>
      </c>
      <c r="M1115">
        <v>235</v>
      </c>
      <c r="N1115">
        <v>285</v>
      </c>
      <c r="O1115" s="4">
        <v>8400</v>
      </c>
      <c r="P1115" s="4">
        <v>6229.36767578125</v>
      </c>
      <c r="Q1115" s="5">
        <f t="shared" si="68"/>
        <v>-0.25840861002604165</v>
      </c>
      <c r="R1115" s="4">
        <v>7018.2293182001868</v>
      </c>
      <c r="S1115" s="5">
        <f t="shared" si="69"/>
        <v>-0.16449650973807306</v>
      </c>
      <c r="T1115" s="4">
        <v>8166.8486917408654</v>
      </c>
      <c r="U1115" s="5">
        <f t="shared" si="70"/>
        <v>-2.775610812608742E-2</v>
      </c>
      <c r="V1115" s="4">
        <v>5973.29443359375</v>
      </c>
      <c r="W1115" s="5">
        <f t="shared" si="71"/>
        <v>-0.2888935198102679</v>
      </c>
    </row>
    <row r="1116" spans="1:23" x14ac:dyDescent="0.25">
      <c r="A1116" t="s">
        <v>1514</v>
      </c>
      <c r="B1116">
        <v>2019</v>
      </c>
      <c r="C1116" t="s">
        <v>465</v>
      </c>
      <c r="D1116" t="s">
        <v>713</v>
      </c>
      <c r="E1116">
        <v>85361</v>
      </c>
      <c r="F1116" t="s">
        <v>246</v>
      </c>
      <c r="G1116" t="s">
        <v>38</v>
      </c>
      <c r="H1116" t="s">
        <v>25</v>
      </c>
      <c r="I1116" t="s">
        <v>24</v>
      </c>
      <c r="J1116" s="2">
        <v>45566</v>
      </c>
      <c r="K1116" t="s">
        <v>25</v>
      </c>
      <c r="L1116">
        <v>44224</v>
      </c>
      <c r="M1116">
        <v>235</v>
      </c>
      <c r="N1116">
        <v>285</v>
      </c>
      <c r="O1116" s="4">
        <v>10000</v>
      </c>
      <c r="P1116" s="4">
        <v>5468.24853515625</v>
      </c>
      <c r="Q1116" s="5">
        <f t="shared" si="68"/>
        <v>-0.45317514648437496</v>
      </c>
      <c r="R1116" s="4">
        <v>5227.0718091932031</v>
      </c>
      <c r="S1116" s="5">
        <f t="shared" si="69"/>
        <v>-0.47729281908067966</v>
      </c>
      <c r="T1116" s="4">
        <v>7564.2083451177359</v>
      </c>
      <c r="U1116" s="5">
        <f t="shared" si="70"/>
        <v>-0.24357916548822645</v>
      </c>
      <c r="V1116" s="4">
        <v>5493.57666015625</v>
      </c>
      <c r="W1116" s="5">
        <f t="shared" si="71"/>
        <v>-0.45064233398437503</v>
      </c>
    </row>
    <row r="1117" spans="1:23" x14ac:dyDescent="0.25">
      <c r="A1117" t="s">
        <v>1515</v>
      </c>
      <c r="B1117">
        <v>2015</v>
      </c>
      <c r="C1117" t="s">
        <v>182</v>
      </c>
      <c r="D1117" t="s">
        <v>1516</v>
      </c>
      <c r="E1117">
        <v>115764</v>
      </c>
      <c r="F1117" t="s">
        <v>82</v>
      </c>
      <c r="G1117" t="s">
        <v>30</v>
      </c>
      <c r="H1117" t="s">
        <v>24</v>
      </c>
      <c r="I1117" t="s">
        <v>25</v>
      </c>
      <c r="J1117" s="2">
        <v>45482</v>
      </c>
      <c r="K1117" t="s">
        <v>25</v>
      </c>
      <c r="L1117">
        <v>44224</v>
      </c>
      <c r="M1117">
        <v>235</v>
      </c>
      <c r="N1117">
        <v>285</v>
      </c>
      <c r="O1117" s="4">
        <v>9200</v>
      </c>
      <c r="P1117" s="4">
        <v>3504.479736328125</v>
      </c>
      <c r="Q1117" s="5">
        <f t="shared" si="68"/>
        <v>-0.61907828952955168</v>
      </c>
      <c r="R1117" s="4">
        <v>4192.402952114202</v>
      </c>
      <c r="S1117" s="5">
        <f t="shared" si="69"/>
        <v>-0.5443040269441084</v>
      </c>
      <c r="T1117" s="4">
        <v>3142.3772377872392</v>
      </c>
      <c r="U1117" s="5">
        <f t="shared" si="70"/>
        <v>-0.65843725676225662</v>
      </c>
      <c r="V1117" s="4">
        <v>3229.638916015625</v>
      </c>
      <c r="W1117" s="5">
        <f t="shared" si="71"/>
        <v>-0.64895229173743207</v>
      </c>
    </row>
    <row r="1118" spans="1:23" x14ac:dyDescent="0.25">
      <c r="A1118" t="s">
        <v>1517</v>
      </c>
      <c r="B1118">
        <v>2007</v>
      </c>
      <c r="C1118" t="s">
        <v>113</v>
      </c>
      <c r="D1118" t="s">
        <v>1518</v>
      </c>
      <c r="E1118">
        <v>208797</v>
      </c>
      <c r="F1118" t="s">
        <v>55</v>
      </c>
      <c r="G1118" t="s">
        <v>30</v>
      </c>
      <c r="H1118" t="s">
        <v>24</v>
      </c>
      <c r="I1118" t="s">
        <v>25</v>
      </c>
      <c r="J1118" s="2">
        <v>45393</v>
      </c>
      <c r="K1118" t="s">
        <v>25</v>
      </c>
      <c r="L1118">
        <v>44224</v>
      </c>
      <c r="M1118">
        <v>235</v>
      </c>
      <c r="N1118">
        <v>285</v>
      </c>
      <c r="O1118" s="4">
        <v>11729.8876404494</v>
      </c>
      <c r="P1118" s="4">
        <v>1751.045776367188</v>
      </c>
      <c r="Q1118" s="5">
        <f t="shared" si="68"/>
        <v>-0.85071930524476014</v>
      </c>
      <c r="R1118" s="4">
        <v>1453.5441897469079</v>
      </c>
      <c r="S1118" s="5">
        <f t="shared" si="69"/>
        <v>-0.87608200229177824</v>
      </c>
      <c r="T1118" s="4">
        <v>1220.6680242868661</v>
      </c>
      <c r="U1118" s="5">
        <f t="shared" si="70"/>
        <v>-0.89593523299596589</v>
      </c>
      <c r="V1118" s="4">
        <v>1702.28759765625</v>
      </c>
      <c r="W1118" s="5">
        <f t="shared" si="71"/>
        <v>-0.85487605253897969</v>
      </c>
    </row>
    <row r="1119" spans="1:23" x14ac:dyDescent="0.25">
      <c r="A1119" t="s">
        <v>1519</v>
      </c>
      <c r="B1119">
        <v>2016</v>
      </c>
      <c r="C1119" t="s">
        <v>185</v>
      </c>
      <c r="D1119" t="s">
        <v>1287</v>
      </c>
      <c r="E1119">
        <v>76367</v>
      </c>
      <c r="F1119" t="s">
        <v>63</v>
      </c>
      <c r="G1119" t="s">
        <v>44</v>
      </c>
      <c r="H1119" t="s">
        <v>25</v>
      </c>
      <c r="I1119" t="s">
        <v>24</v>
      </c>
      <c r="J1119" s="2">
        <v>45538</v>
      </c>
      <c r="K1119" t="s">
        <v>25</v>
      </c>
      <c r="L1119">
        <v>44224</v>
      </c>
      <c r="M1119">
        <v>235</v>
      </c>
      <c r="N1119">
        <v>285</v>
      </c>
      <c r="O1119" s="4">
        <v>13078.5714285714</v>
      </c>
      <c r="P1119" s="4">
        <v>9917.8447265625</v>
      </c>
      <c r="Q1119" s="5">
        <f t="shared" si="68"/>
        <v>-0.24167216727539431</v>
      </c>
      <c r="R1119" s="4">
        <v>9444.765994032261</v>
      </c>
      <c r="S1119" s="5">
        <f t="shared" si="69"/>
        <v>-0.2778442167315569</v>
      </c>
      <c r="T1119" s="4">
        <v>10942.1593213585</v>
      </c>
      <c r="U1119" s="5">
        <f t="shared" si="70"/>
        <v>-0.16335209995074096</v>
      </c>
      <c r="V1119" s="4">
        <v>9909.63671875</v>
      </c>
      <c r="W1119" s="5">
        <f t="shared" si="71"/>
        <v>-0.24229975935281101</v>
      </c>
    </row>
    <row r="1120" spans="1:23" x14ac:dyDescent="0.25">
      <c r="A1120" t="s">
        <v>1520</v>
      </c>
      <c r="B1120">
        <v>2017</v>
      </c>
      <c r="C1120" t="s">
        <v>185</v>
      </c>
      <c r="D1120" t="s">
        <v>1289</v>
      </c>
      <c r="E1120">
        <v>86042</v>
      </c>
      <c r="F1120" t="s">
        <v>77</v>
      </c>
      <c r="G1120" t="s">
        <v>34</v>
      </c>
      <c r="H1120" t="s">
        <v>25</v>
      </c>
      <c r="I1120" t="s">
        <v>24</v>
      </c>
      <c r="J1120" s="2">
        <v>45510</v>
      </c>
      <c r="K1120" t="s">
        <v>25</v>
      </c>
      <c r="L1120">
        <v>44224</v>
      </c>
      <c r="M1120">
        <v>235</v>
      </c>
      <c r="N1120">
        <v>285</v>
      </c>
      <c r="O1120" s="4">
        <v>10000</v>
      </c>
      <c r="P1120" s="4">
        <v>5825.8505859375</v>
      </c>
      <c r="Q1120" s="5">
        <f t="shared" si="68"/>
        <v>-0.41741494140625002</v>
      </c>
      <c r="R1120" s="4">
        <v>7751.3071840641896</v>
      </c>
      <c r="S1120" s="5">
        <f t="shared" si="69"/>
        <v>-0.22486928159358099</v>
      </c>
      <c r="T1120" s="4">
        <v>7993.1415862448102</v>
      </c>
      <c r="U1120" s="5">
        <f t="shared" si="70"/>
        <v>-0.20068584137551893</v>
      </c>
      <c r="V1120" s="4">
        <v>5335.79443359375</v>
      </c>
      <c r="W1120" s="5">
        <f t="shared" si="71"/>
        <v>-0.46642055664062498</v>
      </c>
    </row>
    <row r="1121" spans="1:23" x14ac:dyDescent="0.25">
      <c r="A1121" t="s">
        <v>1521</v>
      </c>
      <c r="B1121">
        <v>2014</v>
      </c>
      <c r="C1121" t="s">
        <v>185</v>
      </c>
      <c r="D1121" t="s">
        <v>514</v>
      </c>
      <c r="E1121">
        <v>106161</v>
      </c>
      <c r="F1121" t="s">
        <v>89</v>
      </c>
      <c r="G1121" t="s">
        <v>30</v>
      </c>
      <c r="H1121" t="s">
        <v>24</v>
      </c>
      <c r="I1121" t="s">
        <v>25</v>
      </c>
      <c r="J1121" s="2">
        <v>45454</v>
      </c>
      <c r="K1121" t="s">
        <v>25</v>
      </c>
      <c r="L1121">
        <v>44224</v>
      </c>
      <c r="M1121">
        <v>235</v>
      </c>
      <c r="N1121">
        <v>285</v>
      </c>
      <c r="O1121" s="4">
        <v>3600</v>
      </c>
      <c r="P1121" s="4">
        <v>3062.412353515625</v>
      </c>
      <c r="Q1121" s="5">
        <f t="shared" si="68"/>
        <v>-0.1493299018012153</v>
      </c>
      <c r="R1121" s="4">
        <v>2908.7261946710619</v>
      </c>
      <c r="S1121" s="5">
        <f t="shared" si="69"/>
        <v>-0.19202050148026062</v>
      </c>
      <c r="T1121" s="4">
        <v>2090.6892816825889</v>
      </c>
      <c r="U1121" s="5">
        <f t="shared" si="70"/>
        <v>-0.41925297731039202</v>
      </c>
      <c r="V1121" s="4">
        <v>3008.4228515625</v>
      </c>
      <c r="W1121" s="5">
        <f t="shared" si="71"/>
        <v>-0.16432698567708337</v>
      </c>
    </row>
    <row r="1122" spans="1:23" x14ac:dyDescent="0.25">
      <c r="A1122" t="s">
        <v>1522</v>
      </c>
      <c r="B1122">
        <v>2017</v>
      </c>
      <c r="C1122" t="s">
        <v>91</v>
      </c>
      <c r="D1122" t="s">
        <v>287</v>
      </c>
      <c r="E1122">
        <v>154588</v>
      </c>
      <c r="F1122" t="s">
        <v>58</v>
      </c>
      <c r="G1122" t="s">
        <v>30</v>
      </c>
      <c r="H1122" t="s">
        <v>24</v>
      </c>
      <c r="I1122" t="s">
        <v>25</v>
      </c>
      <c r="J1122" s="2">
        <v>45342</v>
      </c>
      <c r="K1122" t="s">
        <v>25</v>
      </c>
      <c r="L1122">
        <v>44224</v>
      </c>
      <c r="M1122">
        <v>235</v>
      </c>
      <c r="N1122">
        <v>285</v>
      </c>
      <c r="O1122" s="4">
        <v>10600</v>
      </c>
      <c r="P1122" s="4">
        <v>2479.764892578125</v>
      </c>
      <c r="Q1122" s="5">
        <f t="shared" si="68"/>
        <v>-0.76605991579451649</v>
      </c>
      <c r="R1122" s="4">
        <v>3825.7096537455741</v>
      </c>
      <c r="S1122" s="5">
        <f t="shared" si="69"/>
        <v>-0.63908399492966284</v>
      </c>
      <c r="T1122" s="4">
        <v>2546.25047683304</v>
      </c>
      <c r="U1122" s="5">
        <f t="shared" si="70"/>
        <v>-0.75978769086480757</v>
      </c>
      <c r="V1122" s="4">
        <v>2260.002685546875</v>
      </c>
      <c r="W1122" s="5">
        <f t="shared" si="71"/>
        <v>-0.78679219947670997</v>
      </c>
    </row>
    <row r="1123" spans="1:23" x14ac:dyDescent="0.25">
      <c r="A1123" t="s">
        <v>1523</v>
      </c>
      <c r="B1123">
        <v>2017</v>
      </c>
      <c r="C1123" t="s">
        <v>167</v>
      </c>
      <c r="D1123" t="s">
        <v>675</v>
      </c>
      <c r="E1123">
        <v>88972</v>
      </c>
      <c r="F1123" t="s">
        <v>77</v>
      </c>
      <c r="G1123" t="s">
        <v>34</v>
      </c>
      <c r="H1123" t="s">
        <v>25</v>
      </c>
      <c r="I1123" t="s">
        <v>24</v>
      </c>
      <c r="J1123" s="2">
        <v>45610</v>
      </c>
      <c r="K1123" t="s">
        <v>25</v>
      </c>
      <c r="L1123">
        <v>44224</v>
      </c>
      <c r="M1123">
        <v>235</v>
      </c>
      <c r="N1123">
        <v>285</v>
      </c>
      <c r="O1123" s="4">
        <v>11400</v>
      </c>
      <c r="P1123" s="4">
        <v>5296.7548828125</v>
      </c>
      <c r="Q1123" s="5">
        <f t="shared" si="68"/>
        <v>-0.5353723787006579</v>
      </c>
      <c r="R1123" s="4">
        <v>7064.7751388280813</v>
      </c>
      <c r="S1123" s="5">
        <f t="shared" si="69"/>
        <v>-0.38028288255894027</v>
      </c>
      <c r="T1123" s="4">
        <v>8624.8340912266176</v>
      </c>
      <c r="U1123" s="5">
        <f t="shared" si="70"/>
        <v>-0.24343560603275283</v>
      </c>
      <c r="V1123" s="4">
        <v>4951.43408203125</v>
      </c>
      <c r="W1123" s="5">
        <f t="shared" si="71"/>
        <v>-0.56566367701480269</v>
      </c>
    </row>
    <row r="1124" spans="1:23" x14ac:dyDescent="0.25">
      <c r="A1124" t="s">
        <v>1524</v>
      </c>
      <c r="B1124">
        <v>2019</v>
      </c>
      <c r="C1124" t="s">
        <v>167</v>
      </c>
      <c r="D1124" t="s">
        <v>293</v>
      </c>
      <c r="E1124">
        <v>128301</v>
      </c>
      <c r="F1124" t="s">
        <v>115</v>
      </c>
      <c r="G1124" t="s">
        <v>38</v>
      </c>
      <c r="H1124" t="s">
        <v>25</v>
      </c>
      <c r="I1124" t="s">
        <v>24</v>
      </c>
      <c r="J1124" s="2">
        <v>45701</v>
      </c>
      <c r="K1124" t="s">
        <v>25</v>
      </c>
      <c r="L1124">
        <v>44224</v>
      </c>
      <c r="M1124">
        <v>235</v>
      </c>
      <c r="N1124">
        <v>285</v>
      </c>
      <c r="O1124" s="4">
        <v>14200</v>
      </c>
      <c r="P1124" s="4">
        <v>4597.96484375</v>
      </c>
      <c r="Q1124" s="5">
        <f t="shared" si="68"/>
        <v>-0.67619965889084499</v>
      </c>
      <c r="R1124" s="4">
        <v>4518.6817450149283</v>
      </c>
      <c r="S1124" s="5">
        <f t="shared" si="69"/>
        <v>-0.68178297570317414</v>
      </c>
      <c r="T1124" s="4">
        <v>4560.3531377437239</v>
      </c>
      <c r="U1124" s="5">
        <f t="shared" si="70"/>
        <v>-0.67884837058142788</v>
      </c>
      <c r="V1124" s="4">
        <v>4616.42529296875</v>
      </c>
      <c r="W1124" s="5">
        <f t="shared" si="71"/>
        <v>-0.67489962725572183</v>
      </c>
    </row>
    <row r="1125" spans="1:23" x14ac:dyDescent="0.25">
      <c r="A1125" t="s">
        <v>1525</v>
      </c>
      <c r="B1125">
        <v>2014</v>
      </c>
      <c r="C1125" t="s">
        <v>156</v>
      </c>
      <c r="D1125" t="s">
        <v>157</v>
      </c>
      <c r="E1125">
        <v>113842</v>
      </c>
      <c r="F1125" t="s">
        <v>58</v>
      </c>
      <c r="G1125" t="s">
        <v>30</v>
      </c>
      <c r="H1125" t="s">
        <v>24</v>
      </c>
      <c r="I1125" t="s">
        <v>25</v>
      </c>
      <c r="J1125" s="2">
        <v>45687</v>
      </c>
      <c r="K1125" t="s">
        <v>25</v>
      </c>
      <c r="L1125">
        <v>44224</v>
      </c>
      <c r="M1125">
        <v>235</v>
      </c>
      <c r="N1125">
        <v>285</v>
      </c>
      <c r="O1125" s="4">
        <v>4100</v>
      </c>
      <c r="P1125" s="4">
        <v>1862.481201171875</v>
      </c>
      <c r="Q1125" s="5">
        <f t="shared" si="68"/>
        <v>-0.54573629239710364</v>
      </c>
      <c r="R1125" s="4">
        <v>2585.6241265405092</v>
      </c>
      <c r="S1125" s="5">
        <f t="shared" si="69"/>
        <v>-0.36935996913646119</v>
      </c>
      <c r="T1125" s="4">
        <v>2907.8297906866428</v>
      </c>
      <c r="U1125" s="5">
        <f t="shared" si="70"/>
        <v>-0.29077322178374565</v>
      </c>
      <c r="V1125" s="4">
        <v>1809.097900390625</v>
      </c>
      <c r="W1125" s="5">
        <f t="shared" si="71"/>
        <v>-0.55875660966082319</v>
      </c>
    </row>
    <row r="1126" spans="1:23" x14ac:dyDescent="0.25">
      <c r="A1126" t="s">
        <v>1526</v>
      </c>
      <c r="B1126">
        <v>2014</v>
      </c>
      <c r="C1126" t="s">
        <v>156</v>
      </c>
      <c r="D1126" t="s">
        <v>196</v>
      </c>
      <c r="E1126">
        <v>86724</v>
      </c>
      <c r="F1126" t="s">
        <v>246</v>
      </c>
      <c r="G1126" t="s">
        <v>30</v>
      </c>
      <c r="H1126" t="s">
        <v>24</v>
      </c>
      <c r="I1126" t="s">
        <v>25</v>
      </c>
      <c r="J1126" s="2">
        <v>45701</v>
      </c>
      <c r="K1126" t="s">
        <v>25</v>
      </c>
      <c r="L1126">
        <v>44224</v>
      </c>
      <c r="M1126">
        <v>235</v>
      </c>
      <c r="N1126">
        <v>285</v>
      </c>
      <c r="O1126" s="4">
        <v>2800</v>
      </c>
      <c r="P1126" s="4">
        <v>3496.322265625</v>
      </c>
      <c r="Q1126" s="5">
        <f t="shared" si="68"/>
        <v>0.24868652343749997</v>
      </c>
      <c r="R1126" s="4">
        <v>3241.7872384217339</v>
      </c>
      <c r="S1126" s="5">
        <f t="shared" si="69"/>
        <v>0.15778115657919067</v>
      </c>
      <c r="T1126" s="4">
        <v>3363.356769999134</v>
      </c>
      <c r="U1126" s="5">
        <f t="shared" si="70"/>
        <v>0.20119884642826213</v>
      </c>
      <c r="V1126" s="4">
        <v>3453.9658203125</v>
      </c>
      <c r="W1126" s="5">
        <f t="shared" si="71"/>
        <v>0.2335592215401785</v>
      </c>
    </row>
    <row r="1127" spans="1:23" x14ac:dyDescent="0.25">
      <c r="A1127" t="s">
        <v>1527</v>
      </c>
      <c r="B1127">
        <v>2016</v>
      </c>
      <c r="C1127" t="s">
        <v>1528</v>
      </c>
      <c r="D1127" t="s">
        <v>1529</v>
      </c>
      <c r="E1127">
        <v>112667</v>
      </c>
      <c r="F1127" t="s">
        <v>696</v>
      </c>
      <c r="G1127" t="s">
        <v>23</v>
      </c>
      <c r="H1127" t="s">
        <v>24</v>
      </c>
      <c r="I1127" t="s">
        <v>25</v>
      </c>
      <c r="J1127" s="2">
        <v>45314</v>
      </c>
      <c r="K1127" t="s">
        <v>25</v>
      </c>
      <c r="L1127">
        <v>44224</v>
      </c>
      <c r="M1127">
        <v>235</v>
      </c>
      <c r="N1127">
        <v>285</v>
      </c>
      <c r="O1127" s="4">
        <v>34772.972972973002</v>
      </c>
      <c r="P1127" s="4">
        <v>8485.8173828125</v>
      </c>
      <c r="Q1127" s="5">
        <f t="shared" si="68"/>
        <v>-0.75596514599404463</v>
      </c>
      <c r="R1127" s="4">
        <v>12498.88275392974</v>
      </c>
      <c r="S1127" s="5">
        <f t="shared" si="69"/>
        <v>-0.64055754554997668</v>
      </c>
      <c r="T1127" s="4">
        <v>16224.832555683181</v>
      </c>
      <c r="U1127" s="5">
        <f t="shared" si="70"/>
        <v>-0.53340680509849436</v>
      </c>
      <c r="V1127" s="4">
        <v>7766.92626953125</v>
      </c>
      <c r="W1127" s="5">
        <f t="shared" si="71"/>
        <v>-0.77663899271517489</v>
      </c>
    </row>
    <row r="1128" spans="1:23" x14ac:dyDescent="0.25">
      <c r="A1128" t="s">
        <v>1530</v>
      </c>
      <c r="B1128">
        <v>2021</v>
      </c>
      <c r="C1128" t="s">
        <v>269</v>
      </c>
      <c r="D1128" t="s">
        <v>1531</v>
      </c>
      <c r="E1128">
        <v>48588</v>
      </c>
      <c r="F1128" t="s">
        <v>141</v>
      </c>
      <c r="G1128" t="s">
        <v>44</v>
      </c>
      <c r="H1128" t="s">
        <v>25</v>
      </c>
      <c r="I1128" t="s">
        <v>24</v>
      </c>
      <c r="J1128" s="2">
        <v>45496</v>
      </c>
      <c r="K1128" t="s">
        <v>25</v>
      </c>
      <c r="L1128">
        <v>44224</v>
      </c>
      <c r="M1128">
        <v>235</v>
      </c>
      <c r="N1128">
        <v>285</v>
      </c>
      <c r="O1128" s="4">
        <v>30600</v>
      </c>
      <c r="P1128" s="4">
        <v>31017.89453125</v>
      </c>
      <c r="Q1128" s="5">
        <f t="shared" si="68"/>
        <v>1.3656684027777866E-2</v>
      </c>
      <c r="R1128" s="4">
        <v>30526.150456731331</v>
      </c>
      <c r="S1128" s="5">
        <f t="shared" si="69"/>
        <v>-2.4133837669499947E-3</v>
      </c>
      <c r="T1128" s="4">
        <v>26906.145478820301</v>
      </c>
      <c r="U1128" s="5">
        <f t="shared" si="70"/>
        <v>-0.12071420003855227</v>
      </c>
      <c r="V1128" s="4">
        <v>30533.73828125</v>
      </c>
      <c r="W1128" s="5">
        <f t="shared" si="71"/>
        <v>-2.1654156454248286E-3</v>
      </c>
    </row>
    <row r="1129" spans="1:23" x14ac:dyDescent="0.25">
      <c r="A1129" t="s">
        <v>1532</v>
      </c>
      <c r="B1129">
        <v>2011</v>
      </c>
      <c r="C1129" t="s">
        <v>487</v>
      </c>
      <c r="D1129" t="s">
        <v>1533</v>
      </c>
      <c r="E1129">
        <v>99999</v>
      </c>
      <c r="F1129" t="s">
        <v>48</v>
      </c>
      <c r="G1129" t="s">
        <v>30</v>
      </c>
      <c r="H1129" t="s">
        <v>24</v>
      </c>
      <c r="I1129" t="s">
        <v>25</v>
      </c>
      <c r="J1129" s="2">
        <v>45706</v>
      </c>
      <c r="K1129" t="s">
        <v>25</v>
      </c>
      <c r="L1129">
        <v>44224</v>
      </c>
      <c r="M1129">
        <v>235</v>
      </c>
      <c r="N1129">
        <v>285</v>
      </c>
      <c r="O1129" s="4">
        <v>1600</v>
      </c>
      <c r="P1129" s="4">
        <v>3847.778564453125</v>
      </c>
      <c r="Q1129" s="5">
        <f t="shared" si="68"/>
        <v>1.4048616027832033</v>
      </c>
      <c r="R1129" s="4">
        <v>5019.2373316371622</v>
      </c>
      <c r="S1129" s="5">
        <f t="shared" si="69"/>
        <v>2.1370233322732264</v>
      </c>
      <c r="T1129" s="4">
        <v>4243.7570529217064</v>
      </c>
      <c r="U1129" s="5">
        <f t="shared" si="70"/>
        <v>1.6523481580760664</v>
      </c>
      <c r="V1129" s="4">
        <v>3409.481689453125</v>
      </c>
      <c r="W1129" s="5">
        <f t="shared" si="71"/>
        <v>1.1309260559082031</v>
      </c>
    </row>
    <row r="1130" spans="1:23" x14ac:dyDescent="0.25">
      <c r="A1130" t="s">
        <v>1534</v>
      </c>
      <c r="B1130">
        <v>2015</v>
      </c>
      <c r="C1130" t="s">
        <v>487</v>
      </c>
      <c r="D1130" t="s">
        <v>1535</v>
      </c>
      <c r="E1130">
        <v>74350</v>
      </c>
      <c r="F1130" t="s">
        <v>214</v>
      </c>
      <c r="G1130" t="s">
        <v>44</v>
      </c>
      <c r="H1130" t="s">
        <v>25</v>
      </c>
      <c r="I1130" t="s">
        <v>24</v>
      </c>
      <c r="J1130" s="2">
        <v>45608</v>
      </c>
      <c r="K1130" t="s">
        <v>25</v>
      </c>
      <c r="L1130">
        <v>44224</v>
      </c>
      <c r="M1130">
        <v>235</v>
      </c>
      <c r="N1130">
        <v>285</v>
      </c>
      <c r="O1130" s="4">
        <v>11000</v>
      </c>
      <c r="P1130" s="4">
        <v>9905.30859375</v>
      </c>
      <c r="Q1130" s="5">
        <f t="shared" si="68"/>
        <v>-9.9517400568181813E-2</v>
      </c>
      <c r="R1130" s="4">
        <v>11108.511569843789</v>
      </c>
      <c r="S1130" s="5">
        <f t="shared" si="69"/>
        <v>9.8646881676172082E-3</v>
      </c>
      <c r="T1130" s="4">
        <v>10457.076150000161</v>
      </c>
      <c r="U1130" s="5">
        <f t="shared" si="70"/>
        <v>-4.935671363634897E-2</v>
      </c>
      <c r="V1130" s="4">
        <v>9032.7490234375</v>
      </c>
      <c r="W1130" s="5">
        <f t="shared" si="71"/>
        <v>-0.17884099786931817</v>
      </c>
    </row>
    <row r="1131" spans="1:23" x14ac:dyDescent="0.25">
      <c r="A1131" t="s">
        <v>1536</v>
      </c>
      <c r="B1131">
        <v>2015</v>
      </c>
      <c r="C1131" t="s">
        <v>269</v>
      </c>
      <c r="D1131" t="s">
        <v>741</v>
      </c>
      <c r="E1131">
        <v>71260</v>
      </c>
      <c r="F1131" t="s">
        <v>98</v>
      </c>
      <c r="G1131" t="s">
        <v>44</v>
      </c>
      <c r="H1131" t="s">
        <v>25</v>
      </c>
      <c r="I1131" t="s">
        <v>24</v>
      </c>
      <c r="J1131" s="2">
        <v>45692</v>
      </c>
      <c r="K1131" t="s">
        <v>25</v>
      </c>
      <c r="L1131">
        <v>44224</v>
      </c>
      <c r="M1131">
        <v>235</v>
      </c>
      <c r="N1131">
        <v>285</v>
      </c>
      <c r="O1131" s="4">
        <v>6600</v>
      </c>
      <c r="P1131" s="4">
        <v>10359.8876953125</v>
      </c>
      <c r="Q1131" s="5">
        <f t="shared" si="68"/>
        <v>0.56967995383522729</v>
      </c>
      <c r="R1131" s="4">
        <v>11876.54901848975</v>
      </c>
      <c r="S1131" s="5">
        <f t="shared" si="69"/>
        <v>0.79947712401359849</v>
      </c>
      <c r="T1131" s="4">
        <v>16879.385401888361</v>
      </c>
      <c r="U1131" s="5">
        <f t="shared" si="70"/>
        <v>1.5574826366497518</v>
      </c>
      <c r="V1131" s="4">
        <v>10172.478515625</v>
      </c>
      <c r="W1131" s="5">
        <f t="shared" si="71"/>
        <v>0.54128462357954543</v>
      </c>
    </row>
    <row r="1132" spans="1:23" x14ac:dyDescent="0.25">
      <c r="A1132" t="s">
        <v>1537</v>
      </c>
      <c r="B1132">
        <v>2017</v>
      </c>
      <c r="C1132" t="s">
        <v>558</v>
      </c>
      <c r="D1132" t="s">
        <v>559</v>
      </c>
      <c r="E1132">
        <v>122624</v>
      </c>
      <c r="F1132" t="s">
        <v>82</v>
      </c>
      <c r="G1132" t="s">
        <v>30</v>
      </c>
      <c r="H1132" t="s">
        <v>24</v>
      </c>
      <c r="I1132" t="s">
        <v>25</v>
      </c>
      <c r="J1132" s="2">
        <v>45510</v>
      </c>
      <c r="K1132" t="s">
        <v>25</v>
      </c>
      <c r="L1132">
        <v>44224</v>
      </c>
      <c r="M1132">
        <v>235</v>
      </c>
      <c r="N1132">
        <v>285</v>
      </c>
      <c r="O1132" s="4">
        <v>14200</v>
      </c>
      <c r="P1132" s="4">
        <v>8269.908203125</v>
      </c>
      <c r="Q1132" s="5">
        <f t="shared" si="68"/>
        <v>-0.41761209837147883</v>
      </c>
      <c r="R1132" s="4">
        <v>9352.1481701644807</v>
      </c>
      <c r="S1132" s="5">
        <f t="shared" si="69"/>
        <v>-0.34139801618559995</v>
      </c>
      <c r="T1132" s="4">
        <v>14130.62102312167</v>
      </c>
      <c r="U1132" s="5">
        <f t="shared" si="70"/>
        <v>-4.8858434421359398E-3</v>
      </c>
      <c r="V1132" s="4">
        <v>7938.92333984375</v>
      </c>
      <c r="W1132" s="5">
        <f t="shared" si="71"/>
        <v>-0.44092089156029934</v>
      </c>
    </row>
    <row r="1133" spans="1:23" x14ac:dyDescent="0.25">
      <c r="A1133" t="s">
        <v>1538</v>
      </c>
      <c r="B1133">
        <v>2016</v>
      </c>
      <c r="C1133" t="s">
        <v>32</v>
      </c>
      <c r="D1133" t="s">
        <v>497</v>
      </c>
      <c r="E1133">
        <v>72400</v>
      </c>
      <c r="F1133" t="s">
        <v>174</v>
      </c>
      <c r="G1133" t="s">
        <v>44</v>
      </c>
      <c r="H1133" t="s">
        <v>25</v>
      </c>
      <c r="I1133" t="s">
        <v>24</v>
      </c>
      <c r="J1133" s="2">
        <v>45498</v>
      </c>
      <c r="K1133" t="s">
        <v>25</v>
      </c>
      <c r="L1133">
        <v>44224</v>
      </c>
      <c r="M1133">
        <v>235</v>
      </c>
      <c r="N1133">
        <v>285</v>
      </c>
      <c r="O1133" s="4">
        <v>9500</v>
      </c>
      <c r="P1133" s="4">
        <v>12048.8720703125</v>
      </c>
      <c r="Q1133" s="5">
        <f t="shared" si="68"/>
        <v>0.2683023231907895</v>
      </c>
      <c r="R1133" s="4">
        <v>14188.130372683119</v>
      </c>
      <c r="S1133" s="5">
        <f t="shared" si="69"/>
        <v>0.49348740765085464</v>
      </c>
      <c r="T1133" s="4">
        <v>15698.23158903997</v>
      </c>
      <c r="U1133" s="5">
        <f t="shared" si="70"/>
        <v>0.65244543042526004</v>
      </c>
      <c r="V1133" s="4">
        <v>11315.7744140625</v>
      </c>
      <c r="W1133" s="5">
        <f t="shared" si="71"/>
        <v>0.19113414884868418</v>
      </c>
    </row>
    <row r="1134" spans="1:23" x14ac:dyDescent="0.25">
      <c r="A1134" t="s">
        <v>1539</v>
      </c>
      <c r="B1134">
        <v>2013</v>
      </c>
      <c r="C1134" t="s">
        <v>53</v>
      </c>
      <c r="D1134" t="s">
        <v>57</v>
      </c>
      <c r="E1134">
        <v>122334</v>
      </c>
      <c r="F1134" t="s">
        <v>115</v>
      </c>
      <c r="G1134" t="s">
        <v>30</v>
      </c>
      <c r="H1134" t="s">
        <v>24</v>
      </c>
      <c r="I1134" t="s">
        <v>25</v>
      </c>
      <c r="J1134" s="2">
        <v>45678</v>
      </c>
      <c r="K1134" t="s">
        <v>25</v>
      </c>
      <c r="L1134">
        <v>44278</v>
      </c>
      <c r="M1134">
        <v>235</v>
      </c>
      <c r="N1134">
        <v>285</v>
      </c>
      <c r="O1134" s="4">
        <v>4400</v>
      </c>
      <c r="P1134" s="4">
        <v>3464.441650390625</v>
      </c>
      <c r="Q1134" s="5">
        <f t="shared" si="68"/>
        <v>-0.21262689763849429</v>
      </c>
      <c r="R1134" s="4">
        <v>3470.3928570192861</v>
      </c>
      <c r="S1134" s="5">
        <f t="shared" si="69"/>
        <v>-0.21127435067743494</v>
      </c>
      <c r="T1134" s="4">
        <v>1770.943067819097</v>
      </c>
      <c r="U1134" s="5">
        <f t="shared" si="70"/>
        <v>-0.59751293913202341</v>
      </c>
      <c r="V1134" s="4">
        <v>3408.173828125</v>
      </c>
      <c r="W1134" s="5">
        <f t="shared" si="71"/>
        <v>-0.22541503906250004</v>
      </c>
    </row>
    <row r="1135" spans="1:23" x14ac:dyDescent="0.25">
      <c r="A1135" t="s">
        <v>1540</v>
      </c>
      <c r="B1135">
        <v>2017</v>
      </c>
      <c r="C1135" t="s">
        <v>167</v>
      </c>
      <c r="D1135" t="s">
        <v>1263</v>
      </c>
      <c r="E1135">
        <v>111704</v>
      </c>
      <c r="F1135" t="s">
        <v>87</v>
      </c>
      <c r="G1135" t="s">
        <v>34</v>
      </c>
      <c r="H1135" t="s">
        <v>25</v>
      </c>
      <c r="I1135" t="s">
        <v>24</v>
      </c>
      <c r="J1135" s="2">
        <v>45468</v>
      </c>
      <c r="K1135" t="s">
        <v>25</v>
      </c>
      <c r="L1135">
        <v>44278</v>
      </c>
      <c r="M1135">
        <v>235</v>
      </c>
      <c r="N1135">
        <v>285</v>
      </c>
      <c r="O1135" s="4">
        <v>9700</v>
      </c>
      <c r="P1135" s="4">
        <v>4930.5595703125</v>
      </c>
      <c r="Q1135" s="5">
        <f t="shared" si="68"/>
        <v>-0.49169488965850516</v>
      </c>
      <c r="R1135" s="4">
        <v>7028.4626851920257</v>
      </c>
      <c r="S1135" s="5">
        <f t="shared" si="69"/>
        <v>-0.27541621802144067</v>
      </c>
      <c r="T1135" s="4">
        <v>5875.0223849750082</v>
      </c>
      <c r="U1135" s="5">
        <f t="shared" si="70"/>
        <v>-0.39432758917783417</v>
      </c>
      <c r="V1135" s="4">
        <v>4465.10205078125</v>
      </c>
      <c r="W1135" s="5">
        <f t="shared" si="71"/>
        <v>-0.5396802009503866</v>
      </c>
    </row>
    <row r="1136" spans="1:23" x14ac:dyDescent="0.25">
      <c r="A1136" t="s">
        <v>1541</v>
      </c>
      <c r="B1136">
        <v>2012</v>
      </c>
      <c r="C1136" t="s">
        <v>120</v>
      </c>
      <c r="D1136" t="s">
        <v>1542</v>
      </c>
      <c r="E1136">
        <v>200134</v>
      </c>
      <c r="F1136" t="s">
        <v>55</v>
      </c>
      <c r="G1136" t="s">
        <v>30</v>
      </c>
      <c r="H1136" t="s">
        <v>24</v>
      </c>
      <c r="I1136" t="s">
        <v>25</v>
      </c>
      <c r="J1136" s="2">
        <v>45540</v>
      </c>
      <c r="K1136" t="s">
        <v>25</v>
      </c>
      <c r="L1136">
        <v>44307</v>
      </c>
      <c r="M1136">
        <v>235</v>
      </c>
      <c r="N1136">
        <v>285</v>
      </c>
      <c r="O1136" s="4">
        <v>1200</v>
      </c>
      <c r="P1136" s="4">
        <v>1020.468872070312</v>
      </c>
      <c r="Q1136" s="5">
        <f t="shared" si="68"/>
        <v>-0.14960927327473994</v>
      </c>
      <c r="R1136" s="4">
        <v>997.3838618015925</v>
      </c>
      <c r="S1136" s="5">
        <f t="shared" si="69"/>
        <v>-0.1688467818320063</v>
      </c>
      <c r="T1136" s="4">
        <v>1746.7255682554901</v>
      </c>
      <c r="U1136" s="5">
        <f t="shared" si="70"/>
        <v>0.45560464021290836</v>
      </c>
      <c r="V1136" s="4">
        <v>1205.018920898438</v>
      </c>
      <c r="W1136" s="5">
        <f t="shared" si="71"/>
        <v>4.1824340820315609E-3</v>
      </c>
    </row>
    <row r="1137" spans="1:23" x14ac:dyDescent="0.25">
      <c r="A1137" t="s">
        <v>1543</v>
      </c>
      <c r="B1137">
        <v>2015</v>
      </c>
      <c r="C1137" t="s">
        <v>46</v>
      </c>
      <c r="D1137" t="s">
        <v>315</v>
      </c>
      <c r="E1137">
        <v>62766</v>
      </c>
      <c r="F1137" t="s">
        <v>77</v>
      </c>
      <c r="G1137" t="s">
        <v>38</v>
      </c>
      <c r="H1137" t="s">
        <v>25</v>
      </c>
      <c r="I1137" t="s">
        <v>24</v>
      </c>
      <c r="J1137" s="2">
        <v>45664</v>
      </c>
      <c r="K1137" t="s">
        <v>25</v>
      </c>
      <c r="L1137">
        <v>44307</v>
      </c>
      <c r="M1137">
        <v>235</v>
      </c>
      <c r="N1137">
        <v>285</v>
      </c>
      <c r="O1137" s="4">
        <v>6000</v>
      </c>
      <c r="P1137" s="4">
        <v>8452.81640625</v>
      </c>
      <c r="Q1137" s="5">
        <f t="shared" si="68"/>
        <v>0.40880273437500003</v>
      </c>
      <c r="R1137" s="4">
        <v>10805.507981694929</v>
      </c>
      <c r="S1137" s="5">
        <f t="shared" si="69"/>
        <v>0.80091799694915489</v>
      </c>
      <c r="T1137" s="4">
        <v>5267.9190846467154</v>
      </c>
      <c r="U1137" s="5">
        <f t="shared" si="70"/>
        <v>-0.12201348589221406</v>
      </c>
      <c r="V1137" s="4">
        <v>7716.25732421875</v>
      </c>
      <c r="W1137" s="5">
        <f t="shared" si="71"/>
        <v>0.28604288736979178</v>
      </c>
    </row>
    <row r="1138" spans="1:23" x14ac:dyDescent="0.25">
      <c r="A1138" t="s">
        <v>1544</v>
      </c>
      <c r="B1138">
        <v>2017</v>
      </c>
      <c r="C1138" t="s">
        <v>32</v>
      </c>
      <c r="D1138" t="s">
        <v>318</v>
      </c>
      <c r="E1138">
        <v>198605</v>
      </c>
      <c r="F1138" t="s">
        <v>55</v>
      </c>
      <c r="G1138" t="s">
        <v>30</v>
      </c>
      <c r="H1138" t="s">
        <v>24</v>
      </c>
      <c r="I1138" t="s">
        <v>25</v>
      </c>
      <c r="J1138" s="2">
        <v>45384</v>
      </c>
      <c r="K1138" t="s">
        <v>25</v>
      </c>
      <c r="L1138">
        <v>44307</v>
      </c>
      <c r="M1138">
        <v>235</v>
      </c>
      <c r="N1138">
        <v>285</v>
      </c>
      <c r="O1138" s="4">
        <v>1500</v>
      </c>
      <c r="P1138" s="4">
        <v>4200.02783203125</v>
      </c>
      <c r="Q1138" s="5">
        <f t="shared" si="68"/>
        <v>1.8000185546875</v>
      </c>
      <c r="R1138" s="4">
        <v>3858.0690117290042</v>
      </c>
      <c r="S1138" s="5">
        <f t="shared" si="69"/>
        <v>1.5720460078193361</v>
      </c>
      <c r="T1138" s="4">
        <v>1589.1905204879661</v>
      </c>
      <c r="U1138" s="5">
        <f t="shared" si="70"/>
        <v>5.9460346991977442E-2</v>
      </c>
      <c r="V1138" s="4">
        <v>4202.115234375</v>
      </c>
      <c r="W1138" s="5">
        <f t="shared" si="71"/>
        <v>1.8014101562499998</v>
      </c>
    </row>
    <row r="1139" spans="1:23" x14ac:dyDescent="0.25">
      <c r="A1139" t="s">
        <v>1545</v>
      </c>
      <c r="B1139">
        <v>2017</v>
      </c>
      <c r="C1139" t="s">
        <v>32</v>
      </c>
      <c r="D1139" t="s">
        <v>524</v>
      </c>
      <c r="E1139">
        <v>46550</v>
      </c>
      <c r="F1139" t="s">
        <v>66</v>
      </c>
      <c r="G1139" t="s">
        <v>85</v>
      </c>
      <c r="H1139" t="s">
        <v>24</v>
      </c>
      <c r="I1139" t="s">
        <v>25</v>
      </c>
      <c r="J1139" s="2">
        <v>45645</v>
      </c>
      <c r="K1139" t="s">
        <v>25</v>
      </c>
      <c r="L1139">
        <v>44307</v>
      </c>
      <c r="M1139">
        <v>235</v>
      </c>
      <c r="N1139">
        <v>285</v>
      </c>
      <c r="O1139" s="4">
        <v>3700</v>
      </c>
      <c r="P1139" s="4">
        <v>10258.1416015625</v>
      </c>
      <c r="Q1139" s="5">
        <f t="shared" si="68"/>
        <v>1.7724707031250002</v>
      </c>
      <c r="R1139" s="4">
        <v>10667.986488837851</v>
      </c>
      <c r="S1139" s="5">
        <f t="shared" si="69"/>
        <v>1.8832395915777975</v>
      </c>
      <c r="T1139" s="4">
        <v>14384.35068090833</v>
      </c>
      <c r="U1139" s="5">
        <f t="shared" si="70"/>
        <v>2.8876623461914406</v>
      </c>
      <c r="V1139" s="4">
        <v>10626.7236328125</v>
      </c>
      <c r="W1139" s="5">
        <f t="shared" si="71"/>
        <v>1.8720874683277029</v>
      </c>
    </row>
    <row r="1140" spans="1:23" x14ac:dyDescent="0.25">
      <c r="A1140" t="s">
        <v>1546</v>
      </c>
      <c r="B1140">
        <v>2016</v>
      </c>
      <c r="C1140" t="s">
        <v>32</v>
      </c>
      <c r="D1140" t="s">
        <v>322</v>
      </c>
      <c r="E1140">
        <v>69637</v>
      </c>
      <c r="F1140" t="s">
        <v>214</v>
      </c>
      <c r="G1140" t="s">
        <v>34</v>
      </c>
      <c r="H1140" t="s">
        <v>25</v>
      </c>
      <c r="I1140" t="s">
        <v>24</v>
      </c>
      <c r="J1140" s="2">
        <v>45482</v>
      </c>
      <c r="K1140" t="s">
        <v>25</v>
      </c>
      <c r="L1140">
        <v>44307</v>
      </c>
      <c r="M1140">
        <v>235</v>
      </c>
      <c r="N1140">
        <v>285</v>
      </c>
      <c r="O1140" s="4">
        <v>6800</v>
      </c>
      <c r="P1140" s="4">
        <v>11810.521484375</v>
      </c>
      <c r="Q1140" s="5">
        <f t="shared" si="68"/>
        <v>0.7368413947610295</v>
      </c>
      <c r="R1140" s="4">
        <v>12136.36879187442</v>
      </c>
      <c r="S1140" s="5">
        <f t="shared" si="69"/>
        <v>0.78476011645212052</v>
      </c>
      <c r="T1140" s="4">
        <v>11251.10943555465</v>
      </c>
      <c r="U1140" s="5">
        <f t="shared" si="70"/>
        <v>0.65457491699333081</v>
      </c>
      <c r="V1140" s="4">
        <v>11698.5341796875</v>
      </c>
      <c r="W1140" s="5">
        <f t="shared" si="71"/>
        <v>0.72037267348345591</v>
      </c>
    </row>
    <row r="1141" spans="1:23" x14ac:dyDescent="0.25">
      <c r="A1141" t="s">
        <v>1547</v>
      </c>
      <c r="B1141">
        <v>2014</v>
      </c>
      <c r="C1141" t="s">
        <v>53</v>
      </c>
      <c r="D1141" t="s">
        <v>65</v>
      </c>
      <c r="E1141">
        <v>107554</v>
      </c>
      <c r="F1141" t="s">
        <v>261</v>
      </c>
      <c r="G1141" t="s">
        <v>38</v>
      </c>
      <c r="H1141" t="s">
        <v>25</v>
      </c>
      <c r="I1141" t="s">
        <v>24</v>
      </c>
      <c r="J1141" s="2">
        <v>45449</v>
      </c>
      <c r="K1141" t="s">
        <v>25</v>
      </c>
      <c r="L1141">
        <v>44307</v>
      </c>
      <c r="M1141">
        <v>235</v>
      </c>
      <c r="N1141">
        <v>285</v>
      </c>
      <c r="O1141" s="4">
        <v>3200</v>
      </c>
      <c r="P1141" s="4">
        <v>3769.716064453125</v>
      </c>
      <c r="Q1141" s="5">
        <f t="shared" si="68"/>
        <v>0.17803627014160162</v>
      </c>
      <c r="R1141" s="4">
        <v>3899.9206916819362</v>
      </c>
      <c r="S1141" s="5">
        <f t="shared" si="69"/>
        <v>0.21872521615060503</v>
      </c>
      <c r="T1141" s="4">
        <v>6707.3361429119886</v>
      </c>
      <c r="U1141" s="5">
        <f t="shared" si="70"/>
        <v>1.0960425446599964</v>
      </c>
      <c r="V1141" s="4">
        <v>3658.721923828125</v>
      </c>
      <c r="W1141" s="5">
        <f t="shared" si="71"/>
        <v>0.14335060119628906</v>
      </c>
    </row>
    <row r="1142" spans="1:23" x14ac:dyDescent="0.25">
      <c r="A1142" t="s">
        <v>1548</v>
      </c>
      <c r="B1142">
        <v>2014</v>
      </c>
      <c r="C1142" t="s">
        <v>53</v>
      </c>
      <c r="D1142" t="s">
        <v>65</v>
      </c>
      <c r="E1142">
        <v>117530</v>
      </c>
      <c r="F1142" t="s">
        <v>87</v>
      </c>
      <c r="G1142" t="s">
        <v>30</v>
      </c>
      <c r="H1142" t="s">
        <v>24</v>
      </c>
      <c r="I1142" t="s">
        <v>25</v>
      </c>
      <c r="J1142" s="2">
        <v>45302</v>
      </c>
      <c r="K1142" t="s">
        <v>25</v>
      </c>
      <c r="L1142">
        <v>44307</v>
      </c>
      <c r="M1142">
        <v>235</v>
      </c>
      <c r="N1142">
        <v>285</v>
      </c>
      <c r="O1142" s="4">
        <v>2200</v>
      </c>
      <c r="P1142" s="4">
        <v>5327.13037109375</v>
      </c>
      <c r="Q1142" s="5">
        <f t="shared" si="68"/>
        <v>1.4214228959517046</v>
      </c>
      <c r="R1142" s="4">
        <v>7192.777317192983</v>
      </c>
      <c r="S1142" s="5">
        <f t="shared" si="69"/>
        <v>2.2694442350877195</v>
      </c>
      <c r="T1142" s="4">
        <v>9085.9940536290233</v>
      </c>
      <c r="U1142" s="5">
        <f t="shared" si="70"/>
        <v>3.1299972971041017</v>
      </c>
      <c r="V1142" s="4">
        <v>4809.88134765625</v>
      </c>
      <c r="W1142" s="5">
        <f t="shared" si="71"/>
        <v>1.1863097034801138</v>
      </c>
    </row>
    <row r="1143" spans="1:23" x14ac:dyDescent="0.25">
      <c r="A1143" t="s">
        <v>1549</v>
      </c>
      <c r="B1143">
        <v>2014</v>
      </c>
      <c r="C1143" t="s">
        <v>53</v>
      </c>
      <c r="D1143" t="s">
        <v>69</v>
      </c>
      <c r="E1143">
        <v>132744</v>
      </c>
      <c r="F1143" t="s">
        <v>261</v>
      </c>
      <c r="G1143" t="s">
        <v>30</v>
      </c>
      <c r="H1143" t="s">
        <v>24</v>
      </c>
      <c r="I1143" t="s">
        <v>25</v>
      </c>
      <c r="J1143" s="2">
        <v>45337</v>
      </c>
      <c r="K1143" t="s">
        <v>25</v>
      </c>
      <c r="L1143">
        <v>44307</v>
      </c>
      <c r="M1143">
        <v>235</v>
      </c>
      <c r="N1143">
        <v>285</v>
      </c>
      <c r="O1143" s="4">
        <v>7700</v>
      </c>
      <c r="P1143" s="4">
        <v>3012.036376953125</v>
      </c>
      <c r="Q1143" s="5">
        <f t="shared" si="68"/>
        <v>-0.60882644455154222</v>
      </c>
      <c r="R1143" s="4">
        <v>3056.6077279869669</v>
      </c>
      <c r="S1143" s="5">
        <f t="shared" si="69"/>
        <v>-0.60303795740429</v>
      </c>
      <c r="T1143" s="4">
        <v>4950.9004873314443</v>
      </c>
      <c r="U1143" s="5">
        <f t="shared" si="70"/>
        <v>-0.35702591073617607</v>
      </c>
      <c r="V1143" s="4">
        <v>2907.46142578125</v>
      </c>
      <c r="W1143" s="5">
        <f t="shared" si="71"/>
        <v>-0.62240760704139608</v>
      </c>
    </row>
    <row r="1144" spans="1:23" x14ac:dyDescent="0.25">
      <c r="A1144" t="s">
        <v>1550</v>
      </c>
      <c r="B1144">
        <v>2018</v>
      </c>
      <c r="C1144" t="s">
        <v>53</v>
      </c>
      <c r="D1144" t="s">
        <v>928</v>
      </c>
      <c r="E1144">
        <v>143766</v>
      </c>
      <c r="F1144" t="s">
        <v>89</v>
      </c>
      <c r="G1144" t="s">
        <v>30</v>
      </c>
      <c r="H1144" t="s">
        <v>24</v>
      </c>
      <c r="I1144" t="s">
        <v>25</v>
      </c>
      <c r="J1144" s="2">
        <v>45678</v>
      </c>
      <c r="K1144" t="s">
        <v>25</v>
      </c>
      <c r="L1144">
        <v>44307</v>
      </c>
      <c r="M1144">
        <v>235</v>
      </c>
      <c r="N1144">
        <v>285</v>
      </c>
      <c r="O1144" s="4">
        <v>29200</v>
      </c>
      <c r="P1144" s="4">
        <v>9169.701171875</v>
      </c>
      <c r="Q1144" s="5">
        <f t="shared" si="68"/>
        <v>-0.68596913794948633</v>
      </c>
      <c r="R1144" s="4">
        <v>9594.8975009584337</v>
      </c>
      <c r="S1144" s="5">
        <f t="shared" si="69"/>
        <v>-0.67140761983019059</v>
      </c>
      <c r="T1144" s="4">
        <v>10350.79269350548</v>
      </c>
      <c r="U1144" s="5">
        <f t="shared" si="70"/>
        <v>-0.64552079816762054</v>
      </c>
      <c r="V1144" s="4">
        <v>9276.90625</v>
      </c>
      <c r="W1144" s="5">
        <f t="shared" si="71"/>
        <v>-0.68229773116438364</v>
      </c>
    </row>
    <row r="1145" spans="1:23" x14ac:dyDescent="0.25">
      <c r="A1145" t="s">
        <v>1551</v>
      </c>
      <c r="B1145">
        <v>2016</v>
      </c>
      <c r="C1145" t="s">
        <v>20</v>
      </c>
      <c r="D1145" t="s">
        <v>915</v>
      </c>
      <c r="E1145">
        <v>131040</v>
      </c>
      <c r="F1145" t="s">
        <v>246</v>
      </c>
      <c r="G1145" t="s">
        <v>38</v>
      </c>
      <c r="H1145" t="s">
        <v>25</v>
      </c>
      <c r="I1145" t="s">
        <v>24</v>
      </c>
      <c r="J1145" s="2">
        <v>45538</v>
      </c>
      <c r="K1145" t="s">
        <v>25</v>
      </c>
      <c r="L1145">
        <v>44307</v>
      </c>
      <c r="M1145">
        <v>235</v>
      </c>
      <c r="N1145">
        <v>285</v>
      </c>
      <c r="O1145" s="4">
        <v>1600</v>
      </c>
      <c r="P1145" s="4">
        <v>3709.903076171875</v>
      </c>
      <c r="Q1145" s="5">
        <f t="shared" si="68"/>
        <v>1.3186894226074219</v>
      </c>
      <c r="R1145" s="4">
        <v>4390.9151985469553</v>
      </c>
      <c r="S1145" s="5">
        <f t="shared" si="69"/>
        <v>1.7443219990918468</v>
      </c>
      <c r="T1145" s="4">
        <v>4353.7165964574842</v>
      </c>
      <c r="U1145" s="5">
        <f t="shared" si="70"/>
        <v>1.7210728727859275</v>
      </c>
      <c r="V1145" s="4">
        <v>3526.648193359375</v>
      </c>
      <c r="W1145" s="5">
        <f t="shared" si="71"/>
        <v>1.2041551208496095</v>
      </c>
    </row>
    <row r="1146" spans="1:23" x14ac:dyDescent="0.25">
      <c r="A1146" t="s">
        <v>1552</v>
      </c>
      <c r="B1146">
        <v>2017</v>
      </c>
      <c r="C1146" t="s">
        <v>20</v>
      </c>
      <c r="D1146" t="s">
        <v>74</v>
      </c>
      <c r="E1146">
        <v>77302</v>
      </c>
      <c r="F1146" t="s">
        <v>250</v>
      </c>
      <c r="G1146" t="s">
        <v>30</v>
      </c>
      <c r="H1146" t="s">
        <v>24</v>
      </c>
      <c r="I1146" t="s">
        <v>25</v>
      </c>
      <c r="J1146" s="2">
        <v>45706</v>
      </c>
      <c r="K1146" t="s">
        <v>25</v>
      </c>
      <c r="L1146">
        <v>44307</v>
      </c>
      <c r="M1146">
        <v>235</v>
      </c>
      <c r="N1146">
        <v>285</v>
      </c>
      <c r="O1146" s="4">
        <v>8200</v>
      </c>
      <c r="P1146" s="4">
        <v>11616.71875</v>
      </c>
      <c r="Q1146" s="5">
        <f t="shared" si="68"/>
        <v>0.416673018292683</v>
      </c>
      <c r="R1146" s="4">
        <v>11136.918978496</v>
      </c>
      <c r="S1146" s="5">
        <f t="shared" si="69"/>
        <v>0.35816085103609763</v>
      </c>
      <c r="T1146" s="4">
        <v>5922.3870697671773</v>
      </c>
      <c r="U1146" s="5">
        <f t="shared" si="70"/>
        <v>-0.27775767441863697</v>
      </c>
      <c r="V1146" s="4">
        <v>11509.9228515625</v>
      </c>
      <c r="W1146" s="5">
        <f t="shared" si="71"/>
        <v>0.4036491282393293</v>
      </c>
    </row>
    <row r="1147" spans="1:23" x14ac:dyDescent="0.25">
      <c r="A1147" t="s">
        <v>1553</v>
      </c>
      <c r="B1147">
        <v>2016</v>
      </c>
      <c r="C1147" t="s">
        <v>20</v>
      </c>
      <c r="D1147" t="s">
        <v>81</v>
      </c>
      <c r="E1147">
        <v>60415</v>
      </c>
      <c r="F1147" t="s">
        <v>87</v>
      </c>
      <c r="G1147" t="s">
        <v>34</v>
      </c>
      <c r="H1147" t="s">
        <v>25</v>
      </c>
      <c r="I1147" t="s">
        <v>24</v>
      </c>
      <c r="J1147" s="2">
        <v>45524</v>
      </c>
      <c r="K1147" t="s">
        <v>25</v>
      </c>
      <c r="L1147">
        <v>44307</v>
      </c>
      <c r="M1147">
        <v>235</v>
      </c>
      <c r="N1147">
        <v>285</v>
      </c>
      <c r="O1147" s="4">
        <v>5500</v>
      </c>
      <c r="P1147" s="4">
        <v>11447.4697265625</v>
      </c>
      <c r="Q1147" s="5">
        <f t="shared" si="68"/>
        <v>1.0813581321022729</v>
      </c>
      <c r="R1147" s="4">
        <v>12218.316146052999</v>
      </c>
      <c r="S1147" s="5">
        <f t="shared" si="69"/>
        <v>1.2215120265550907</v>
      </c>
      <c r="T1147" s="4">
        <v>10189.84158742422</v>
      </c>
      <c r="U1147" s="5">
        <f t="shared" si="70"/>
        <v>0.85269847044076719</v>
      </c>
      <c r="V1147" s="4">
        <v>11425.79296875</v>
      </c>
      <c r="W1147" s="5">
        <f t="shared" si="71"/>
        <v>1.077416903409091</v>
      </c>
    </row>
    <row r="1148" spans="1:23" x14ac:dyDescent="0.25">
      <c r="A1148" t="s">
        <v>1554</v>
      </c>
      <c r="B1148">
        <v>2017</v>
      </c>
      <c r="C1148" t="s">
        <v>20</v>
      </c>
      <c r="D1148" t="s">
        <v>81</v>
      </c>
      <c r="E1148">
        <v>60108</v>
      </c>
      <c r="F1148" t="s">
        <v>111</v>
      </c>
      <c r="G1148" t="s">
        <v>30</v>
      </c>
      <c r="H1148" t="s">
        <v>24</v>
      </c>
      <c r="I1148" t="s">
        <v>25</v>
      </c>
      <c r="J1148" s="2">
        <v>45510</v>
      </c>
      <c r="K1148" t="s">
        <v>25</v>
      </c>
      <c r="L1148">
        <v>44307</v>
      </c>
      <c r="M1148">
        <v>235</v>
      </c>
      <c r="N1148">
        <v>285</v>
      </c>
      <c r="O1148" s="4">
        <v>15300</v>
      </c>
      <c r="P1148" s="4">
        <v>6280.90966796875</v>
      </c>
      <c r="Q1148" s="5">
        <f t="shared" si="68"/>
        <v>-0.58948302823733667</v>
      </c>
      <c r="R1148" s="4">
        <v>7581.1548677506344</v>
      </c>
      <c r="S1148" s="5">
        <f t="shared" si="69"/>
        <v>-0.50449968184636385</v>
      </c>
      <c r="T1148" s="4">
        <v>6274.9880284251894</v>
      </c>
      <c r="U1148" s="5">
        <f t="shared" si="70"/>
        <v>-0.58987006350162163</v>
      </c>
      <c r="V1148" s="4">
        <v>5761.8798828125</v>
      </c>
      <c r="W1148" s="5">
        <f t="shared" si="71"/>
        <v>-0.62340654360702619</v>
      </c>
    </row>
    <row r="1149" spans="1:23" x14ac:dyDescent="0.25">
      <c r="A1149" t="s">
        <v>1555</v>
      </c>
      <c r="B1149">
        <v>2015</v>
      </c>
      <c r="C1149" t="s">
        <v>20</v>
      </c>
      <c r="D1149" t="s">
        <v>97</v>
      </c>
      <c r="E1149">
        <v>173175</v>
      </c>
      <c r="F1149" t="s">
        <v>55</v>
      </c>
      <c r="G1149" t="s">
        <v>30</v>
      </c>
      <c r="H1149" t="s">
        <v>24</v>
      </c>
      <c r="I1149" t="s">
        <v>25</v>
      </c>
      <c r="J1149" s="2">
        <v>45328</v>
      </c>
      <c r="K1149" t="s">
        <v>25</v>
      </c>
      <c r="L1149">
        <v>44307</v>
      </c>
      <c r="M1149">
        <v>235</v>
      </c>
      <c r="N1149">
        <v>285</v>
      </c>
      <c r="O1149" s="4">
        <v>12000</v>
      </c>
      <c r="P1149" s="4">
        <v>7371.84765625</v>
      </c>
      <c r="Q1149" s="5">
        <f t="shared" si="68"/>
        <v>-0.38567936197916663</v>
      </c>
      <c r="R1149" s="4">
        <v>3300.984506354027</v>
      </c>
      <c r="S1149" s="5">
        <f t="shared" si="69"/>
        <v>-0.72491795780383106</v>
      </c>
      <c r="T1149" s="4">
        <v>9567.9613776399765</v>
      </c>
      <c r="U1149" s="5">
        <f t="shared" si="70"/>
        <v>-0.20266988519666862</v>
      </c>
      <c r="V1149" s="4">
        <v>7777.16015625</v>
      </c>
      <c r="W1149" s="5">
        <f t="shared" si="71"/>
        <v>-0.35190332031250005</v>
      </c>
    </row>
    <row r="1150" spans="1:23" x14ac:dyDescent="0.25">
      <c r="A1150" t="s">
        <v>1556</v>
      </c>
      <c r="B1150">
        <v>2014</v>
      </c>
      <c r="C1150" t="s">
        <v>104</v>
      </c>
      <c r="D1150" t="s">
        <v>105</v>
      </c>
      <c r="E1150">
        <v>159986</v>
      </c>
      <c r="F1150" t="s">
        <v>475</v>
      </c>
      <c r="G1150" t="s">
        <v>30</v>
      </c>
      <c r="H1150" t="s">
        <v>24</v>
      </c>
      <c r="I1150" t="s">
        <v>25</v>
      </c>
      <c r="J1150" s="2">
        <v>45734</v>
      </c>
      <c r="K1150" t="s">
        <v>25</v>
      </c>
      <c r="L1150">
        <v>44307</v>
      </c>
      <c r="M1150">
        <v>235</v>
      </c>
      <c r="N1150">
        <v>285</v>
      </c>
      <c r="O1150" s="4">
        <v>500</v>
      </c>
      <c r="P1150" s="4">
        <v>4477.03515625</v>
      </c>
      <c r="Q1150" s="5">
        <f t="shared" si="68"/>
        <v>7.9540703125000007</v>
      </c>
      <c r="R1150" s="4">
        <v>5541.5630865937828</v>
      </c>
      <c r="S1150" s="5">
        <f t="shared" si="69"/>
        <v>10.083126173187566</v>
      </c>
      <c r="T1150" s="4">
        <v>4514.7943727458087</v>
      </c>
      <c r="U1150" s="5">
        <f t="shared" si="70"/>
        <v>8.0295887454916173</v>
      </c>
      <c r="V1150" s="4">
        <v>4123.47607421875</v>
      </c>
      <c r="W1150" s="5">
        <f t="shared" si="71"/>
        <v>7.2469521484375008</v>
      </c>
    </row>
    <row r="1151" spans="1:23" x14ac:dyDescent="0.25">
      <c r="A1151" t="s">
        <v>1557</v>
      </c>
      <c r="B1151">
        <v>2012</v>
      </c>
      <c r="C1151" t="s">
        <v>53</v>
      </c>
      <c r="D1151" t="s">
        <v>568</v>
      </c>
      <c r="E1151">
        <v>51775</v>
      </c>
      <c r="F1151" t="s">
        <v>77</v>
      </c>
      <c r="G1151" t="s">
        <v>23</v>
      </c>
      <c r="H1151" t="s">
        <v>24</v>
      </c>
      <c r="I1151" t="s">
        <v>25</v>
      </c>
      <c r="J1151" s="2">
        <v>45608</v>
      </c>
      <c r="K1151" t="s">
        <v>25</v>
      </c>
      <c r="L1151">
        <v>44307</v>
      </c>
      <c r="M1151">
        <v>235</v>
      </c>
      <c r="N1151">
        <v>285</v>
      </c>
      <c r="O1151" s="4">
        <v>3000</v>
      </c>
      <c r="P1151" s="4">
        <v>9255.9345703125</v>
      </c>
      <c r="Q1151" s="5">
        <f t="shared" si="68"/>
        <v>2.0853115234374999</v>
      </c>
      <c r="R1151" s="4">
        <v>9290.1947618530394</v>
      </c>
      <c r="S1151" s="5">
        <f t="shared" si="69"/>
        <v>2.0967315872843466</v>
      </c>
      <c r="T1151" s="4">
        <v>14209.966189974421</v>
      </c>
      <c r="U1151" s="5">
        <f t="shared" si="70"/>
        <v>3.7366553966581399</v>
      </c>
      <c r="V1151" s="4">
        <v>9395.5107421875</v>
      </c>
      <c r="W1151" s="5">
        <f t="shared" si="71"/>
        <v>2.1318369140625002</v>
      </c>
    </row>
    <row r="1152" spans="1:23" x14ac:dyDescent="0.25">
      <c r="A1152" t="s">
        <v>1558</v>
      </c>
      <c r="B1152">
        <v>2011</v>
      </c>
      <c r="C1152" t="s">
        <v>91</v>
      </c>
      <c r="D1152" t="s">
        <v>130</v>
      </c>
      <c r="E1152">
        <v>64725</v>
      </c>
      <c r="F1152" t="s">
        <v>334</v>
      </c>
      <c r="G1152" t="s">
        <v>34</v>
      </c>
      <c r="H1152" t="s">
        <v>25</v>
      </c>
      <c r="I1152" t="s">
        <v>24</v>
      </c>
      <c r="J1152" s="2">
        <v>45608</v>
      </c>
      <c r="K1152" t="s">
        <v>25</v>
      </c>
      <c r="L1152">
        <v>44307</v>
      </c>
      <c r="M1152">
        <v>235</v>
      </c>
      <c r="N1152">
        <v>285</v>
      </c>
      <c r="O1152" s="4">
        <v>3000</v>
      </c>
      <c r="P1152" s="4">
        <v>4102.861328125</v>
      </c>
      <c r="Q1152" s="5">
        <f t="shared" si="68"/>
        <v>0.36762044270833338</v>
      </c>
      <c r="R1152" s="4">
        <v>4893.9737592337497</v>
      </c>
      <c r="S1152" s="5">
        <f t="shared" si="69"/>
        <v>0.63132458641124978</v>
      </c>
      <c r="T1152" s="4">
        <v>5022.8470567043296</v>
      </c>
      <c r="U1152" s="5">
        <f t="shared" si="70"/>
        <v>0.67428235223477651</v>
      </c>
      <c r="V1152" s="4">
        <v>3864.322509765625</v>
      </c>
      <c r="W1152" s="5">
        <f t="shared" si="71"/>
        <v>0.28810750325520829</v>
      </c>
    </row>
    <row r="1153" spans="1:23" x14ac:dyDescent="0.25">
      <c r="A1153" t="s">
        <v>1559</v>
      </c>
      <c r="B1153">
        <v>2015</v>
      </c>
      <c r="C1153" t="s">
        <v>104</v>
      </c>
      <c r="D1153" t="s">
        <v>126</v>
      </c>
      <c r="E1153">
        <v>101779</v>
      </c>
      <c r="F1153" t="s">
        <v>246</v>
      </c>
      <c r="G1153" t="s">
        <v>30</v>
      </c>
      <c r="H1153" t="s">
        <v>24</v>
      </c>
      <c r="I1153" t="s">
        <v>25</v>
      </c>
      <c r="J1153" s="2">
        <v>45622</v>
      </c>
      <c r="K1153" t="s">
        <v>25</v>
      </c>
      <c r="L1153">
        <v>44307</v>
      </c>
      <c r="M1153">
        <v>235</v>
      </c>
      <c r="N1153">
        <v>285</v>
      </c>
      <c r="O1153" s="4">
        <v>4900</v>
      </c>
      <c r="P1153" s="4">
        <v>5113.34912109375</v>
      </c>
      <c r="Q1153" s="5">
        <f t="shared" si="68"/>
        <v>4.3540636957908108E-2</v>
      </c>
      <c r="R1153" s="4">
        <v>8064.049733560063</v>
      </c>
      <c r="S1153" s="5">
        <f t="shared" si="69"/>
        <v>0.64572443542042102</v>
      </c>
      <c r="T1153" s="4">
        <v>6536.7905748222429</v>
      </c>
      <c r="U1153" s="5">
        <f t="shared" si="70"/>
        <v>0.33403889282086596</v>
      </c>
      <c r="V1153" s="4">
        <v>4603.03857421875</v>
      </c>
      <c r="W1153" s="5">
        <f t="shared" si="71"/>
        <v>-6.0604372608418333E-2</v>
      </c>
    </row>
    <row r="1154" spans="1:23" x14ac:dyDescent="0.25">
      <c r="A1154" t="s">
        <v>1560</v>
      </c>
      <c r="B1154">
        <v>2015</v>
      </c>
      <c r="C1154" t="s">
        <v>369</v>
      </c>
      <c r="D1154" t="s">
        <v>132</v>
      </c>
      <c r="E1154">
        <v>63493</v>
      </c>
      <c r="F1154" t="s">
        <v>43</v>
      </c>
      <c r="G1154" t="s">
        <v>44</v>
      </c>
      <c r="H1154" t="s">
        <v>25</v>
      </c>
      <c r="I1154" t="s">
        <v>24</v>
      </c>
      <c r="J1154" s="2">
        <v>45386</v>
      </c>
      <c r="K1154" t="s">
        <v>25</v>
      </c>
      <c r="L1154">
        <v>44307</v>
      </c>
      <c r="M1154">
        <v>235</v>
      </c>
      <c r="N1154">
        <v>285</v>
      </c>
      <c r="O1154" s="4">
        <v>2600</v>
      </c>
      <c r="P1154" s="4">
        <v>11811.1103515625</v>
      </c>
      <c r="Q1154" s="5">
        <f t="shared" si="68"/>
        <v>3.5427347506009612</v>
      </c>
      <c r="R1154" s="4">
        <v>11968.65851848624</v>
      </c>
      <c r="S1154" s="5">
        <f t="shared" si="69"/>
        <v>3.6033301994177842</v>
      </c>
      <c r="T1154" s="4">
        <v>23206.166214028279</v>
      </c>
      <c r="U1154" s="5">
        <f t="shared" si="70"/>
        <v>7.9254485438570299</v>
      </c>
      <c r="V1154" s="4">
        <v>11684.7646484375</v>
      </c>
      <c r="W1154" s="5">
        <f t="shared" si="71"/>
        <v>3.4941402493990381</v>
      </c>
    </row>
    <row r="1155" spans="1:23" x14ac:dyDescent="0.25">
      <c r="A1155" t="s">
        <v>1561</v>
      </c>
      <c r="B1155">
        <v>2017</v>
      </c>
      <c r="C1155" t="s">
        <v>20</v>
      </c>
      <c r="D1155" t="s">
        <v>21</v>
      </c>
      <c r="E1155">
        <v>96483</v>
      </c>
      <c r="F1155" t="s">
        <v>79</v>
      </c>
      <c r="G1155" t="s">
        <v>30</v>
      </c>
      <c r="H1155" t="s">
        <v>24</v>
      </c>
      <c r="I1155" t="s">
        <v>25</v>
      </c>
      <c r="J1155" s="2">
        <v>45384</v>
      </c>
      <c r="K1155" t="s">
        <v>25</v>
      </c>
      <c r="L1155">
        <v>44307</v>
      </c>
      <c r="M1155">
        <v>235</v>
      </c>
      <c r="N1155">
        <v>285</v>
      </c>
      <c r="O1155" s="4">
        <v>12200</v>
      </c>
      <c r="P1155" s="4">
        <v>5444.95166015625</v>
      </c>
      <c r="Q1155" s="5">
        <f t="shared" ref="Q1155:Q1218" si="72">(P1155/$O1155)-1</f>
        <v>-0.55369248687243855</v>
      </c>
      <c r="R1155" s="4">
        <v>6510.3571779416061</v>
      </c>
      <c r="S1155" s="5">
        <f t="shared" ref="S1155:S1218" si="73">(R1155/$O1155)-1</f>
        <v>-0.46636416574249129</v>
      </c>
      <c r="T1155" s="4">
        <v>6370.0778984105636</v>
      </c>
      <c r="U1155" s="5">
        <f t="shared" ref="U1155:U1218" si="74">(T1155/$O1155)-1</f>
        <v>-0.47786246734339644</v>
      </c>
      <c r="V1155" s="4">
        <v>5114.859375</v>
      </c>
      <c r="W1155" s="5">
        <f t="shared" ref="W1155:W1218" si="75">(V1155/$O1155)-1</f>
        <v>-0.58074923155737701</v>
      </c>
    </row>
    <row r="1156" spans="1:23" x14ac:dyDescent="0.25">
      <c r="A1156" t="s">
        <v>1562</v>
      </c>
      <c r="B1156">
        <v>2015</v>
      </c>
      <c r="C1156" t="s">
        <v>20</v>
      </c>
      <c r="D1156" t="s">
        <v>108</v>
      </c>
      <c r="E1156">
        <v>119968</v>
      </c>
      <c r="F1156" t="s">
        <v>22</v>
      </c>
      <c r="G1156" t="s">
        <v>23</v>
      </c>
      <c r="H1156" t="s">
        <v>24</v>
      </c>
      <c r="I1156" t="s">
        <v>25</v>
      </c>
      <c r="J1156" s="2">
        <v>45421</v>
      </c>
      <c r="K1156" t="s">
        <v>25</v>
      </c>
      <c r="L1156">
        <v>44307</v>
      </c>
      <c r="M1156">
        <v>235</v>
      </c>
      <c r="N1156">
        <v>285</v>
      </c>
      <c r="O1156" s="4">
        <v>10500</v>
      </c>
      <c r="P1156" s="4">
        <v>4023.0517578125</v>
      </c>
      <c r="Q1156" s="5">
        <f t="shared" si="72"/>
        <v>-0.61685221354166675</v>
      </c>
      <c r="R1156" s="4">
        <v>4567.0747444473218</v>
      </c>
      <c r="S1156" s="5">
        <f t="shared" si="73"/>
        <v>-0.56504050052882648</v>
      </c>
      <c r="T1156" s="4">
        <v>6278.3843910209735</v>
      </c>
      <c r="U1156" s="5">
        <f t="shared" si="74"/>
        <v>-0.402058629426574</v>
      </c>
      <c r="V1156" s="4">
        <v>3859.7646484375</v>
      </c>
      <c r="W1156" s="5">
        <f t="shared" si="75"/>
        <v>-0.63240336681547626</v>
      </c>
    </row>
    <row r="1157" spans="1:23" x14ac:dyDescent="0.25">
      <c r="A1157" t="s">
        <v>1563</v>
      </c>
      <c r="B1157">
        <v>2015</v>
      </c>
      <c r="C1157" t="s">
        <v>113</v>
      </c>
      <c r="D1157" t="s">
        <v>701</v>
      </c>
      <c r="E1157">
        <v>100211</v>
      </c>
      <c r="F1157" t="s">
        <v>29</v>
      </c>
      <c r="G1157" t="s">
        <v>38</v>
      </c>
      <c r="H1157" t="s">
        <v>25</v>
      </c>
      <c r="I1157" t="s">
        <v>24</v>
      </c>
      <c r="J1157" s="2">
        <v>45454</v>
      </c>
      <c r="K1157" t="s">
        <v>25</v>
      </c>
      <c r="L1157">
        <v>44307</v>
      </c>
      <c r="M1157">
        <v>235</v>
      </c>
      <c r="N1157">
        <v>285</v>
      </c>
      <c r="O1157" s="4">
        <v>8600</v>
      </c>
      <c r="P1157" s="4">
        <v>6370.17431640625</v>
      </c>
      <c r="Q1157" s="5">
        <f t="shared" si="72"/>
        <v>-0.25928205623183143</v>
      </c>
      <c r="R1157" s="4">
        <v>7938.6782260205337</v>
      </c>
      <c r="S1157" s="5">
        <f t="shared" si="73"/>
        <v>-7.6897880695286802E-2</v>
      </c>
      <c r="T1157" s="4">
        <v>8281.0041238066642</v>
      </c>
      <c r="U1157" s="5">
        <f t="shared" si="74"/>
        <v>-3.7092543743411088E-2</v>
      </c>
      <c r="V1157" s="4">
        <v>5614.2333984375</v>
      </c>
      <c r="W1157" s="5">
        <f t="shared" si="75"/>
        <v>-0.34718216297238369</v>
      </c>
    </row>
    <row r="1158" spans="1:23" x14ac:dyDescent="0.25">
      <c r="A1158" t="s">
        <v>1564</v>
      </c>
      <c r="B1158">
        <v>2016</v>
      </c>
      <c r="C1158" t="s">
        <v>113</v>
      </c>
      <c r="D1158" t="s">
        <v>1565</v>
      </c>
      <c r="E1158">
        <v>106000</v>
      </c>
      <c r="F1158" t="s">
        <v>89</v>
      </c>
      <c r="G1158" t="s">
        <v>30</v>
      </c>
      <c r="H1158" t="s">
        <v>24</v>
      </c>
      <c r="I1158" t="s">
        <v>25</v>
      </c>
      <c r="J1158" s="2">
        <v>45666</v>
      </c>
      <c r="K1158" t="s">
        <v>25</v>
      </c>
      <c r="L1158">
        <v>44307</v>
      </c>
      <c r="M1158">
        <v>235</v>
      </c>
      <c r="N1158">
        <v>285</v>
      </c>
      <c r="O1158" s="4">
        <v>8600</v>
      </c>
      <c r="P1158" s="4">
        <v>6132.11376953125</v>
      </c>
      <c r="Q1158" s="5">
        <f t="shared" si="72"/>
        <v>-0.28696351517078489</v>
      </c>
      <c r="R1158" s="4">
        <v>5925.3703477265926</v>
      </c>
      <c r="S1158" s="5">
        <f t="shared" si="73"/>
        <v>-0.31100344793876833</v>
      </c>
      <c r="T1158" s="4">
        <v>6396.1293099445029</v>
      </c>
      <c r="U1158" s="5">
        <f t="shared" si="74"/>
        <v>-0.25626403372738338</v>
      </c>
      <c r="V1158" s="4">
        <v>6124.21875</v>
      </c>
      <c r="W1158" s="5">
        <f t="shared" si="75"/>
        <v>-0.28788154069767447</v>
      </c>
    </row>
    <row r="1159" spans="1:23" x14ac:dyDescent="0.25">
      <c r="A1159" t="s">
        <v>1566</v>
      </c>
      <c r="B1159">
        <v>2013</v>
      </c>
      <c r="C1159" t="s">
        <v>248</v>
      </c>
      <c r="D1159">
        <v>500</v>
      </c>
      <c r="E1159">
        <v>83081</v>
      </c>
      <c r="F1159" t="s">
        <v>87</v>
      </c>
      <c r="G1159" t="s">
        <v>23</v>
      </c>
      <c r="H1159" t="s">
        <v>24</v>
      </c>
      <c r="I1159" t="s">
        <v>25</v>
      </c>
      <c r="J1159" s="2">
        <v>45580</v>
      </c>
      <c r="K1159" t="s">
        <v>25</v>
      </c>
      <c r="L1159">
        <v>44307</v>
      </c>
      <c r="M1159">
        <v>235</v>
      </c>
      <c r="N1159">
        <v>285</v>
      </c>
      <c r="O1159" s="4">
        <v>600</v>
      </c>
      <c r="P1159" s="4">
        <v>4418.0615234375</v>
      </c>
      <c r="Q1159" s="5">
        <f t="shared" si="72"/>
        <v>6.3634358723958337</v>
      </c>
      <c r="R1159" s="4">
        <v>7305.5852040289856</v>
      </c>
      <c r="S1159" s="5">
        <f t="shared" si="73"/>
        <v>11.175975340048309</v>
      </c>
      <c r="T1159" s="4">
        <v>4382.1162503950491</v>
      </c>
      <c r="U1159" s="5">
        <f t="shared" si="74"/>
        <v>6.3035270839917485</v>
      </c>
      <c r="V1159" s="4">
        <v>4365.345703125</v>
      </c>
      <c r="W1159" s="5">
        <f t="shared" si="75"/>
        <v>6.2755761718749996</v>
      </c>
    </row>
    <row r="1160" spans="1:23" x14ac:dyDescent="0.25">
      <c r="A1160" t="s">
        <v>1567</v>
      </c>
      <c r="B1160">
        <v>2017</v>
      </c>
      <c r="C1160" t="s">
        <v>53</v>
      </c>
      <c r="D1160" t="s">
        <v>148</v>
      </c>
      <c r="E1160">
        <v>112551</v>
      </c>
      <c r="F1160" t="s">
        <v>475</v>
      </c>
      <c r="G1160" t="s">
        <v>30</v>
      </c>
      <c r="H1160" t="s">
        <v>24</v>
      </c>
      <c r="I1160" t="s">
        <v>25</v>
      </c>
      <c r="J1160" s="2">
        <v>45309</v>
      </c>
      <c r="K1160" t="s">
        <v>25</v>
      </c>
      <c r="L1160">
        <v>44307</v>
      </c>
      <c r="M1160">
        <v>235</v>
      </c>
      <c r="N1160">
        <v>285</v>
      </c>
      <c r="O1160" s="4">
        <v>9000</v>
      </c>
      <c r="P1160" s="4">
        <v>8153.427734375</v>
      </c>
      <c r="Q1160" s="5">
        <f t="shared" si="72"/>
        <v>-9.4063585069444455E-2</v>
      </c>
      <c r="R1160" s="4">
        <v>8598.0477026908411</v>
      </c>
      <c r="S1160" s="5">
        <f t="shared" si="73"/>
        <v>-4.4661366367684363E-2</v>
      </c>
      <c r="T1160" s="4">
        <v>11336.22828526766</v>
      </c>
      <c r="U1160" s="5">
        <f t="shared" si="74"/>
        <v>0.25958092058529547</v>
      </c>
      <c r="V1160" s="4">
        <v>7972.42333984375</v>
      </c>
      <c r="W1160" s="5">
        <f t="shared" si="75"/>
        <v>-0.11417518446180552</v>
      </c>
    </row>
    <row r="1161" spans="1:23" x14ac:dyDescent="0.25">
      <c r="A1161" t="s">
        <v>1568</v>
      </c>
      <c r="B1161">
        <v>2012</v>
      </c>
      <c r="C1161" t="s">
        <v>53</v>
      </c>
      <c r="D1161" t="s">
        <v>1569</v>
      </c>
      <c r="E1161">
        <v>174845</v>
      </c>
      <c r="F1161" t="s">
        <v>29</v>
      </c>
      <c r="G1161" t="s">
        <v>30</v>
      </c>
      <c r="H1161" t="s">
        <v>24</v>
      </c>
      <c r="I1161" t="s">
        <v>25</v>
      </c>
      <c r="J1161" s="2">
        <v>45610</v>
      </c>
      <c r="K1161" t="s">
        <v>25</v>
      </c>
      <c r="L1161">
        <v>44307</v>
      </c>
      <c r="M1161">
        <v>235</v>
      </c>
      <c r="N1161">
        <v>285</v>
      </c>
      <c r="O1161" s="4">
        <v>6900</v>
      </c>
      <c r="P1161" s="4">
        <v>2243.011962890625</v>
      </c>
      <c r="Q1161" s="5">
        <f t="shared" si="72"/>
        <v>-0.67492580247961964</v>
      </c>
      <c r="R1161" s="4">
        <v>2916.6583728190558</v>
      </c>
      <c r="S1161" s="5">
        <f t="shared" si="73"/>
        <v>-0.5772958879972383</v>
      </c>
      <c r="T1161" s="4">
        <v>4166.9563718688842</v>
      </c>
      <c r="U1161" s="5">
        <f t="shared" si="74"/>
        <v>-0.39609327943929218</v>
      </c>
      <c r="V1161" s="4">
        <v>2155.593994140625</v>
      </c>
      <c r="W1161" s="5">
        <f t="shared" si="75"/>
        <v>-0.68759507331295289</v>
      </c>
    </row>
    <row r="1162" spans="1:23" x14ac:dyDescent="0.25">
      <c r="A1162" t="s">
        <v>1570</v>
      </c>
      <c r="B1162">
        <v>2017</v>
      </c>
      <c r="C1162" t="s">
        <v>20</v>
      </c>
      <c r="D1162" t="s">
        <v>472</v>
      </c>
      <c r="E1162">
        <v>66628</v>
      </c>
      <c r="F1162" t="s">
        <v>37</v>
      </c>
      <c r="G1162" t="s">
        <v>30</v>
      </c>
      <c r="H1162" t="s">
        <v>24</v>
      </c>
      <c r="I1162" t="s">
        <v>25</v>
      </c>
      <c r="J1162" s="2">
        <v>45617</v>
      </c>
      <c r="K1162" t="s">
        <v>25</v>
      </c>
      <c r="L1162">
        <v>44307</v>
      </c>
      <c r="M1162">
        <v>235</v>
      </c>
      <c r="N1162">
        <v>285</v>
      </c>
      <c r="O1162" s="4">
        <v>7100</v>
      </c>
      <c r="P1162" s="4">
        <v>8858.4140625</v>
      </c>
      <c r="Q1162" s="5">
        <f t="shared" si="72"/>
        <v>0.24766395246478878</v>
      </c>
      <c r="R1162" s="4">
        <v>12094.727819322819</v>
      </c>
      <c r="S1162" s="5">
        <f t="shared" si="73"/>
        <v>0.70348279145391812</v>
      </c>
      <c r="T1162" s="4">
        <v>14385.954229227469</v>
      </c>
      <c r="U1162" s="5">
        <f t="shared" si="74"/>
        <v>1.0261907365109111</v>
      </c>
      <c r="V1162" s="4">
        <v>8170.91748046875</v>
      </c>
      <c r="W1162" s="5">
        <f t="shared" si="75"/>
        <v>0.15083344795334508</v>
      </c>
    </row>
    <row r="1163" spans="1:23" x14ac:dyDescent="0.25">
      <c r="A1163" t="s">
        <v>1571</v>
      </c>
      <c r="B1163">
        <v>2017</v>
      </c>
      <c r="C1163" t="s">
        <v>266</v>
      </c>
      <c r="D1163" t="s">
        <v>267</v>
      </c>
      <c r="E1163">
        <v>177122</v>
      </c>
      <c r="F1163" t="s">
        <v>37</v>
      </c>
      <c r="G1163" t="s">
        <v>30</v>
      </c>
      <c r="H1163" t="s">
        <v>24</v>
      </c>
      <c r="I1163" t="s">
        <v>25</v>
      </c>
      <c r="J1163" s="2">
        <v>45666</v>
      </c>
      <c r="K1163" t="s">
        <v>25</v>
      </c>
      <c r="L1163">
        <v>44307</v>
      </c>
      <c r="M1163">
        <v>235</v>
      </c>
      <c r="N1163">
        <v>285</v>
      </c>
      <c r="O1163" s="4">
        <v>2700</v>
      </c>
      <c r="P1163" s="4">
        <v>2672.927978515625</v>
      </c>
      <c r="Q1163" s="5">
        <f t="shared" si="72"/>
        <v>-1.0026674623842546E-2</v>
      </c>
      <c r="R1163" s="4">
        <v>4708.0403241952181</v>
      </c>
      <c r="S1163" s="5">
        <f t="shared" si="73"/>
        <v>0.74371863859082143</v>
      </c>
      <c r="T1163" s="4">
        <v>2621.424578371963</v>
      </c>
      <c r="U1163" s="5">
        <f t="shared" si="74"/>
        <v>-2.9102008010384095E-2</v>
      </c>
      <c r="V1163" s="4">
        <v>2387.146728515625</v>
      </c>
      <c r="W1163" s="5">
        <f t="shared" si="75"/>
        <v>-0.11587158203125003</v>
      </c>
    </row>
    <row r="1164" spans="1:23" x14ac:dyDescent="0.25">
      <c r="A1164" t="s">
        <v>1572</v>
      </c>
      <c r="B1164">
        <v>2017</v>
      </c>
      <c r="C1164" t="s">
        <v>182</v>
      </c>
      <c r="D1164" t="s">
        <v>608</v>
      </c>
      <c r="E1164">
        <v>30571</v>
      </c>
      <c r="F1164" t="s">
        <v>161</v>
      </c>
      <c r="G1164" t="s">
        <v>44</v>
      </c>
      <c r="H1164" t="s">
        <v>25</v>
      </c>
      <c r="I1164" t="s">
        <v>24</v>
      </c>
      <c r="J1164" s="2">
        <v>45510</v>
      </c>
      <c r="K1164" t="s">
        <v>25</v>
      </c>
      <c r="L1164">
        <v>44307</v>
      </c>
      <c r="M1164">
        <v>235</v>
      </c>
      <c r="N1164">
        <v>285</v>
      </c>
      <c r="O1164" s="4">
        <v>13200</v>
      </c>
      <c r="P1164" s="4">
        <v>18524.603515625</v>
      </c>
      <c r="Q1164" s="5">
        <f t="shared" si="72"/>
        <v>0.40337905421401521</v>
      </c>
      <c r="R1164" s="4">
        <v>18302.18227742835</v>
      </c>
      <c r="S1164" s="5">
        <f t="shared" si="73"/>
        <v>0.38652896041123874</v>
      </c>
      <c r="T1164" s="4">
        <v>13852.37659184995</v>
      </c>
      <c r="U1164" s="5">
        <f t="shared" si="74"/>
        <v>4.9422469079541731E-2</v>
      </c>
      <c r="V1164" s="4">
        <v>18585.392578125</v>
      </c>
      <c r="W1164" s="5">
        <f t="shared" si="75"/>
        <v>0.407984286221591</v>
      </c>
    </row>
    <row r="1165" spans="1:23" x14ac:dyDescent="0.25">
      <c r="A1165" t="s">
        <v>1573</v>
      </c>
      <c r="B1165">
        <v>2018</v>
      </c>
      <c r="C1165" t="s">
        <v>139</v>
      </c>
      <c r="D1165" t="s">
        <v>273</v>
      </c>
      <c r="E1165">
        <v>114559</v>
      </c>
      <c r="F1165" t="s">
        <v>48</v>
      </c>
      <c r="G1165" t="s">
        <v>34</v>
      </c>
      <c r="H1165" t="s">
        <v>25</v>
      </c>
      <c r="I1165" t="s">
        <v>24</v>
      </c>
      <c r="J1165" s="2">
        <v>45715</v>
      </c>
      <c r="K1165" t="s">
        <v>25</v>
      </c>
      <c r="L1165">
        <v>44307</v>
      </c>
      <c r="M1165">
        <v>235</v>
      </c>
      <c r="N1165">
        <v>285</v>
      </c>
      <c r="O1165" s="4">
        <v>13600</v>
      </c>
      <c r="P1165" s="4">
        <v>8336.6787109375</v>
      </c>
      <c r="Q1165" s="5">
        <f t="shared" si="72"/>
        <v>-0.3870089183134191</v>
      </c>
      <c r="R1165" s="4">
        <v>11310.233720288939</v>
      </c>
      <c r="S1165" s="5">
        <f t="shared" si="73"/>
        <v>-0.16836516762581333</v>
      </c>
      <c r="T1165" s="4">
        <v>13507.08095921478</v>
      </c>
      <c r="U1165" s="5">
        <f t="shared" si="74"/>
        <v>-6.8322824106779034E-3</v>
      </c>
      <c r="V1165" s="4">
        <v>7473.4501953125</v>
      </c>
      <c r="W1165" s="5">
        <f t="shared" si="75"/>
        <v>-0.45048160328584563</v>
      </c>
    </row>
    <row r="1166" spans="1:23" x14ac:dyDescent="0.25">
      <c r="A1166" t="s">
        <v>1574</v>
      </c>
      <c r="B1166">
        <v>2017</v>
      </c>
      <c r="C1166" t="s">
        <v>159</v>
      </c>
      <c r="D1166" t="s">
        <v>1452</v>
      </c>
      <c r="E1166">
        <v>116705</v>
      </c>
      <c r="F1166" t="s">
        <v>98</v>
      </c>
      <c r="G1166" t="s">
        <v>44</v>
      </c>
      <c r="H1166" t="s">
        <v>25</v>
      </c>
      <c r="I1166" t="s">
        <v>24</v>
      </c>
      <c r="J1166" s="2">
        <v>45706</v>
      </c>
      <c r="K1166" t="s">
        <v>25</v>
      </c>
      <c r="L1166">
        <v>44307</v>
      </c>
      <c r="M1166">
        <v>235</v>
      </c>
      <c r="N1166">
        <v>285</v>
      </c>
      <c r="O1166" s="4">
        <v>13900</v>
      </c>
      <c r="P1166" s="4">
        <v>8030.83203125</v>
      </c>
      <c r="Q1166" s="5">
        <f t="shared" si="72"/>
        <v>-0.42224229991007189</v>
      </c>
      <c r="R1166" s="4">
        <v>9871.2006470252163</v>
      </c>
      <c r="S1166" s="5">
        <f t="shared" si="73"/>
        <v>-0.28984168007012834</v>
      </c>
      <c r="T1166" s="4">
        <v>8371.5024623070494</v>
      </c>
      <c r="U1166" s="5">
        <f t="shared" si="74"/>
        <v>-0.39773363580524823</v>
      </c>
      <c r="V1166" s="4">
        <v>7324.25927734375</v>
      </c>
      <c r="W1166" s="5">
        <f t="shared" si="75"/>
        <v>-0.47307487213354316</v>
      </c>
    </row>
    <row r="1167" spans="1:23" x14ac:dyDescent="0.25">
      <c r="A1167" t="s">
        <v>1575</v>
      </c>
      <c r="B1167">
        <v>2015</v>
      </c>
      <c r="C1167" t="s">
        <v>185</v>
      </c>
      <c r="D1167" t="s">
        <v>186</v>
      </c>
      <c r="E1167">
        <v>135985</v>
      </c>
      <c r="F1167" t="s">
        <v>649</v>
      </c>
      <c r="G1167" t="s">
        <v>23</v>
      </c>
      <c r="H1167" t="s">
        <v>24</v>
      </c>
      <c r="I1167" t="s">
        <v>25</v>
      </c>
      <c r="J1167" s="2">
        <v>45314</v>
      </c>
      <c r="K1167" t="s">
        <v>25</v>
      </c>
      <c r="L1167">
        <v>44307</v>
      </c>
      <c r="M1167">
        <v>235</v>
      </c>
      <c r="N1167">
        <v>285</v>
      </c>
      <c r="O1167" s="4">
        <v>11800</v>
      </c>
      <c r="P1167" s="4">
        <v>1720.374633789062</v>
      </c>
      <c r="Q1167" s="5">
        <f t="shared" si="72"/>
        <v>-0.85420553950940148</v>
      </c>
      <c r="R1167" s="4">
        <v>1984.454203675594</v>
      </c>
      <c r="S1167" s="5">
        <f t="shared" si="73"/>
        <v>-0.83182591494274627</v>
      </c>
      <c r="T1167" s="4">
        <v>3409.6457070920251</v>
      </c>
      <c r="U1167" s="5">
        <f t="shared" si="74"/>
        <v>-0.71104697397525207</v>
      </c>
      <c r="V1167" s="4">
        <v>1635.911376953125</v>
      </c>
      <c r="W1167" s="5">
        <f t="shared" si="75"/>
        <v>-0.8613634426310911</v>
      </c>
    </row>
    <row r="1168" spans="1:23" x14ac:dyDescent="0.25">
      <c r="A1168" t="s">
        <v>1576</v>
      </c>
      <c r="B1168">
        <v>2013</v>
      </c>
      <c r="C1168" t="s">
        <v>167</v>
      </c>
      <c r="D1168" t="s">
        <v>171</v>
      </c>
      <c r="E1168">
        <v>111483</v>
      </c>
      <c r="F1168" t="s">
        <v>141</v>
      </c>
      <c r="G1168" t="s">
        <v>38</v>
      </c>
      <c r="H1168" t="s">
        <v>25</v>
      </c>
      <c r="I1168" t="s">
        <v>24</v>
      </c>
      <c r="J1168" s="2">
        <v>45678</v>
      </c>
      <c r="K1168" t="s">
        <v>25</v>
      </c>
      <c r="L1168">
        <v>44307</v>
      </c>
      <c r="M1168">
        <v>235</v>
      </c>
      <c r="N1168">
        <v>285</v>
      </c>
      <c r="O1168" s="4">
        <v>3500</v>
      </c>
      <c r="P1168" s="4">
        <v>3339.76171875</v>
      </c>
      <c r="Q1168" s="5">
        <f t="shared" si="72"/>
        <v>-4.5782366071428604E-2</v>
      </c>
      <c r="R1168" s="4">
        <v>3399.8844801964729</v>
      </c>
      <c r="S1168" s="5">
        <f t="shared" si="73"/>
        <v>-2.8604434229579145E-2</v>
      </c>
      <c r="T1168" s="4">
        <v>3414.856355715136</v>
      </c>
      <c r="U1168" s="5">
        <f t="shared" si="74"/>
        <v>-2.4326755509961107E-2</v>
      </c>
      <c r="V1168" s="4">
        <v>3318.94091796875</v>
      </c>
      <c r="W1168" s="5">
        <f t="shared" si="75"/>
        <v>-5.1731166294642805E-2</v>
      </c>
    </row>
    <row r="1169" spans="1:23" x14ac:dyDescent="0.25">
      <c r="A1169" t="s">
        <v>1577</v>
      </c>
      <c r="B1169">
        <v>2015</v>
      </c>
      <c r="C1169" t="s">
        <v>156</v>
      </c>
      <c r="D1169" t="s">
        <v>458</v>
      </c>
      <c r="E1169">
        <v>99848</v>
      </c>
      <c r="F1169" t="s">
        <v>82</v>
      </c>
      <c r="G1169" t="s">
        <v>30</v>
      </c>
      <c r="H1169" t="s">
        <v>24</v>
      </c>
      <c r="I1169" t="s">
        <v>25</v>
      </c>
      <c r="J1169" s="2">
        <v>45594</v>
      </c>
      <c r="K1169" t="s">
        <v>25</v>
      </c>
      <c r="L1169">
        <v>44307</v>
      </c>
      <c r="M1169">
        <v>235</v>
      </c>
      <c r="N1169">
        <v>285</v>
      </c>
      <c r="O1169" s="4">
        <v>2700</v>
      </c>
      <c r="P1169" s="4">
        <v>2711.146484375</v>
      </c>
      <c r="Q1169" s="5">
        <f t="shared" si="72"/>
        <v>4.1283275462962177E-3</v>
      </c>
      <c r="R1169" s="4">
        <v>2855.0569787629688</v>
      </c>
      <c r="S1169" s="5">
        <f t="shared" si="73"/>
        <v>5.7428510652951514E-2</v>
      </c>
      <c r="T1169" s="4">
        <v>3282.6187618394451</v>
      </c>
      <c r="U1169" s="5">
        <f t="shared" si="74"/>
        <v>0.21578472660720194</v>
      </c>
      <c r="V1169" s="4">
        <v>2569.691650390625</v>
      </c>
      <c r="W1169" s="5">
        <f t="shared" si="75"/>
        <v>-4.8262351707175966E-2</v>
      </c>
    </row>
    <row r="1170" spans="1:23" x14ac:dyDescent="0.25">
      <c r="A1170" t="s">
        <v>1578</v>
      </c>
      <c r="B1170">
        <v>2018</v>
      </c>
      <c r="C1170" t="s">
        <v>139</v>
      </c>
      <c r="D1170" t="s">
        <v>283</v>
      </c>
      <c r="E1170">
        <v>152737</v>
      </c>
      <c r="F1170" t="s">
        <v>22</v>
      </c>
      <c r="G1170" t="s">
        <v>34</v>
      </c>
      <c r="H1170" t="s">
        <v>25</v>
      </c>
      <c r="I1170" t="s">
        <v>24</v>
      </c>
      <c r="J1170" s="2">
        <v>45463</v>
      </c>
      <c r="K1170" t="s">
        <v>25</v>
      </c>
      <c r="L1170">
        <v>44307</v>
      </c>
      <c r="M1170">
        <v>235</v>
      </c>
      <c r="N1170">
        <v>285</v>
      </c>
      <c r="O1170" s="4">
        <v>13000</v>
      </c>
      <c r="P1170" s="4">
        <v>5448.90478515625</v>
      </c>
      <c r="Q1170" s="5">
        <f t="shared" si="72"/>
        <v>-0.58085347806490384</v>
      </c>
      <c r="R1170" s="4">
        <v>7043.1682038855906</v>
      </c>
      <c r="S1170" s="5">
        <f t="shared" si="73"/>
        <v>-0.45821783047033915</v>
      </c>
      <c r="T1170" s="4">
        <v>5327.7409161059149</v>
      </c>
      <c r="U1170" s="5">
        <f t="shared" si="74"/>
        <v>-0.59017377568416041</v>
      </c>
      <c r="V1170" s="4">
        <v>5065.57666015625</v>
      </c>
      <c r="W1170" s="5">
        <f t="shared" si="75"/>
        <v>-0.61034025691105764</v>
      </c>
    </row>
    <row r="1171" spans="1:23" x14ac:dyDescent="0.25">
      <c r="A1171" t="s">
        <v>1579</v>
      </c>
      <c r="B1171">
        <v>2015</v>
      </c>
      <c r="C1171" t="s">
        <v>185</v>
      </c>
      <c r="D1171" t="s">
        <v>514</v>
      </c>
      <c r="E1171">
        <v>88723</v>
      </c>
      <c r="F1171" t="s">
        <v>79</v>
      </c>
      <c r="G1171" t="s">
        <v>34</v>
      </c>
      <c r="H1171" t="s">
        <v>25</v>
      </c>
      <c r="I1171" t="s">
        <v>24</v>
      </c>
      <c r="J1171" s="2">
        <v>45622</v>
      </c>
      <c r="K1171" t="s">
        <v>25</v>
      </c>
      <c r="L1171">
        <v>44307</v>
      </c>
      <c r="M1171">
        <v>235</v>
      </c>
      <c r="N1171">
        <v>285</v>
      </c>
      <c r="O1171" s="4">
        <v>7900</v>
      </c>
      <c r="P1171" s="4">
        <v>4991.75732421875</v>
      </c>
      <c r="Q1171" s="5">
        <f t="shared" si="72"/>
        <v>-0.3681319842761076</v>
      </c>
      <c r="R1171" s="4">
        <v>4459.1420376183396</v>
      </c>
      <c r="S1171" s="5">
        <f t="shared" si="73"/>
        <v>-0.43555164080780506</v>
      </c>
      <c r="T1171" s="4">
        <v>2969.8333459550909</v>
      </c>
      <c r="U1171" s="5">
        <f t="shared" si="74"/>
        <v>-0.62407172836011515</v>
      </c>
      <c r="V1171" s="4">
        <v>4994.7734375</v>
      </c>
      <c r="W1171" s="5">
        <f t="shared" si="75"/>
        <v>-0.36775019778481011</v>
      </c>
    </row>
    <row r="1172" spans="1:23" x14ac:dyDescent="0.25">
      <c r="A1172" t="s">
        <v>1580</v>
      </c>
      <c r="B1172">
        <v>2017</v>
      </c>
      <c r="C1172" t="s">
        <v>91</v>
      </c>
      <c r="D1172" t="s">
        <v>287</v>
      </c>
      <c r="E1172">
        <v>52558</v>
      </c>
      <c r="F1172" t="s">
        <v>102</v>
      </c>
      <c r="G1172" t="s">
        <v>44</v>
      </c>
      <c r="H1172" t="s">
        <v>25</v>
      </c>
      <c r="I1172" t="s">
        <v>24</v>
      </c>
      <c r="J1172" s="2">
        <v>45300</v>
      </c>
      <c r="K1172" t="s">
        <v>25</v>
      </c>
      <c r="L1172">
        <v>44307</v>
      </c>
      <c r="M1172">
        <v>235</v>
      </c>
      <c r="N1172">
        <v>285</v>
      </c>
      <c r="O1172" s="4">
        <v>10500</v>
      </c>
      <c r="P1172" s="4">
        <v>13584.9853515625</v>
      </c>
      <c r="Q1172" s="5">
        <f t="shared" si="72"/>
        <v>0.29380812872023809</v>
      </c>
      <c r="R1172" s="4">
        <v>14059.56005632712</v>
      </c>
      <c r="S1172" s="5">
        <f t="shared" si="73"/>
        <v>0.33900571965020188</v>
      </c>
      <c r="T1172" s="4">
        <v>10430.90321660631</v>
      </c>
      <c r="U1172" s="5">
        <f t="shared" si="74"/>
        <v>-6.5806460374943088E-3</v>
      </c>
      <c r="V1172" s="4">
        <v>13826.376953125</v>
      </c>
      <c r="W1172" s="5">
        <f t="shared" si="75"/>
        <v>0.31679780505952371</v>
      </c>
    </row>
    <row r="1173" spans="1:23" x14ac:dyDescent="0.25">
      <c r="A1173" t="s">
        <v>1581</v>
      </c>
      <c r="B1173">
        <v>2019</v>
      </c>
      <c r="C1173" t="s">
        <v>167</v>
      </c>
      <c r="D1173" t="s">
        <v>168</v>
      </c>
      <c r="E1173">
        <v>75024</v>
      </c>
      <c r="F1173" t="s">
        <v>48</v>
      </c>
      <c r="G1173" t="s">
        <v>38</v>
      </c>
      <c r="H1173" t="s">
        <v>25</v>
      </c>
      <c r="I1173" t="s">
        <v>24</v>
      </c>
      <c r="J1173" s="2">
        <v>45538</v>
      </c>
      <c r="K1173" t="s">
        <v>25</v>
      </c>
      <c r="L1173">
        <v>44307</v>
      </c>
      <c r="M1173">
        <v>235</v>
      </c>
      <c r="N1173">
        <v>285</v>
      </c>
      <c r="O1173" s="4">
        <v>9000</v>
      </c>
      <c r="P1173" s="4">
        <v>7515.4912109375</v>
      </c>
      <c r="Q1173" s="5">
        <f t="shared" si="72"/>
        <v>-0.16494542100694443</v>
      </c>
      <c r="R1173" s="4">
        <v>10632.19486879382</v>
      </c>
      <c r="S1173" s="5">
        <f t="shared" si="73"/>
        <v>0.1813549854215355</v>
      </c>
      <c r="T1173" s="4">
        <v>7949.0397008702803</v>
      </c>
      <c r="U1173" s="5">
        <f t="shared" si="74"/>
        <v>-0.11677336656996884</v>
      </c>
      <c r="V1173" s="4">
        <v>8355.19921875</v>
      </c>
      <c r="W1173" s="5">
        <f t="shared" si="75"/>
        <v>-7.1644531250000032E-2</v>
      </c>
    </row>
    <row r="1174" spans="1:23" x14ac:dyDescent="0.25">
      <c r="A1174" t="s">
        <v>1582</v>
      </c>
      <c r="B1174">
        <v>2016</v>
      </c>
      <c r="C1174" t="s">
        <v>167</v>
      </c>
      <c r="D1174" t="s">
        <v>192</v>
      </c>
      <c r="E1174">
        <v>149576</v>
      </c>
      <c r="F1174" t="s">
        <v>79</v>
      </c>
      <c r="G1174" t="s">
        <v>38</v>
      </c>
      <c r="H1174" t="s">
        <v>25</v>
      </c>
      <c r="I1174" t="s">
        <v>24</v>
      </c>
      <c r="J1174" s="2">
        <v>45561</v>
      </c>
      <c r="K1174" t="s">
        <v>25</v>
      </c>
      <c r="L1174">
        <v>44307</v>
      </c>
      <c r="M1174">
        <v>235</v>
      </c>
      <c r="N1174">
        <v>285</v>
      </c>
      <c r="O1174" s="4">
        <v>10800</v>
      </c>
      <c r="P1174" s="4">
        <v>2254.581787109375</v>
      </c>
      <c r="Q1174" s="5">
        <f t="shared" si="72"/>
        <v>-0.79124242711950232</v>
      </c>
      <c r="R1174" s="4">
        <v>1948.5721995330221</v>
      </c>
      <c r="S1174" s="5">
        <f t="shared" si="73"/>
        <v>-0.81957664819138687</v>
      </c>
      <c r="T1174" s="4">
        <v>1875.0262290818009</v>
      </c>
      <c r="U1174" s="5">
        <f t="shared" si="74"/>
        <v>-0.82638646027020357</v>
      </c>
      <c r="V1174" s="4">
        <v>2185.947998046875</v>
      </c>
      <c r="W1174" s="5">
        <f t="shared" si="75"/>
        <v>-0.79759740758825237</v>
      </c>
    </row>
    <row r="1175" spans="1:23" x14ac:dyDescent="0.25">
      <c r="A1175" t="s">
        <v>1583</v>
      </c>
      <c r="B1175">
        <v>2015</v>
      </c>
      <c r="C1175" t="s">
        <v>156</v>
      </c>
      <c r="D1175" t="s">
        <v>173</v>
      </c>
      <c r="E1175">
        <v>131638</v>
      </c>
      <c r="F1175" t="s">
        <v>66</v>
      </c>
      <c r="G1175" t="s">
        <v>23</v>
      </c>
      <c r="H1175" t="s">
        <v>24</v>
      </c>
      <c r="I1175" t="s">
        <v>25</v>
      </c>
      <c r="J1175" s="2">
        <v>45715</v>
      </c>
      <c r="K1175" t="s">
        <v>25</v>
      </c>
      <c r="L1175">
        <v>44307</v>
      </c>
      <c r="M1175">
        <v>235</v>
      </c>
      <c r="N1175">
        <v>285</v>
      </c>
      <c r="O1175" s="4">
        <v>1400</v>
      </c>
      <c r="P1175" s="4">
        <v>1588.64990234375</v>
      </c>
      <c r="Q1175" s="5">
        <f t="shared" si="72"/>
        <v>0.13474993024553572</v>
      </c>
      <c r="R1175" s="4">
        <v>1675.1527970224911</v>
      </c>
      <c r="S1175" s="5">
        <f t="shared" si="73"/>
        <v>0.19653771215892224</v>
      </c>
      <c r="T1175" s="4">
        <v>2126.5498183922191</v>
      </c>
      <c r="U1175" s="5">
        <f t="shared" si="74"/>
        <v>0.51896415599444223</v>
      </c>
      <c r="V1175" s="4">
        <v>1564.289916992188</v>
      </c>
      <c r="W1175" s="5">
        <f t="shared" si="75"/>
        <v>0.11734994070870575</v>
      </c>
    </row>
    <row r="1176" spans="1:23" x14ac:dyDescent="0.25">
      <c r="A1176" t="s">
        <v>1584</v>
      </c>
      <c r="B1176">
        <v>2020</v>
      </c>
      <c r="C1176" t="s">
        <v>156</v>
      </c>
      <c r="D1176" t="s">
        <v>196</v>
      </c>
      <c r="E1176">
        <v>15019</v>
      </c>
      <c r="F1176" t="s">
        <v>87</v>
      </c>
      <c r="G1176" t="s">
        <v>44</v>
      </c>
      <c r="H1176" t="s">
        <v>25</v>
      </c>
      <c r="I1176" t="s">
        <v>24</v>
      </c>
      <c r="J1176" s="2">
        <v>45449</v>
      </c>
      <c r="K1176" t="s">
        <v>25</v>
      </c>
      <c r="L1176">
        <v>44307</v>
      </c>
      <c r="M1176">
        <v>235</v>
      </c>
      <c r="N1176">
        <v>285</v>
      </c>
      <c r="O1176" s="4">
        <v>13800</v>
      </c>
      <c r="P1176" s="4">
        <v>24436.90625</v>
      </c>
      <c r="Q1176" s="5">
        <f t="shared" si="72"/>
        <v>0.77079030797101455</v>
      </c>
      <c r="R1176" s="4">
        <v>17293.59321519034</v>
      </c>
      <c r="S1176" s="5">
        <f t="shared" si="73"/>
        <v>0.25315892863698108</v>
      </c>
      <c r="T1176" s="4">
        <v>16931.223013513962</v>
      </c>
      <c r="U1176" s="5">
        <f t="shared" si="74"/>
        <v>0.22690021837057683</v>
      </c>
      <c r="V1176" s="4">
        <v>24956.13671875</v>
      </c>
      <c r="W1176" s="5">
        <f t="shared" si="75"/>
        <v>0.8084157042572464</v>
      </c>
    </row>
    <row r="1177" spans="1:23" x14ac:dyDescent="0.25">
      <c r="A1177" t="s">
        <v>1585</v>
      </c>
      <c r="B1177">
        <v>2016</v>
      </c>
      <c r="C1177" t="s">
        <v>156</v>
      </c>
      <c r="D1177" t="s">
        <v>196</v>
      </c>
      <c r="E1177">
        <v>116043</v>
      </c>
      <c r="F1177" t="s">
        <v>254</v>
      </c>
      <c r="G1177" t="s">
        <v>23</v>
      </c>
      <c r="H1177" t="s">
        <v>24</v>
      </c>
      <c r="I1177" t="s">
        <v>25</v>
      </c>
      <c r="J1177" s="2">
        <v>45449</v>
      </c>
      <c r="K1177" t="s">
        <v>25</v>
      </c>
      <c r="L1177">
        <v>44307</v>
      </c>
      <c r="M1177">
        <v>235</v>
      </c>
      <c r="N1177">
        <v>285</v>
      </c>
      <c r="O1177" s="4">
        <v>6500</v>
      </c>
      <c r="P1177" s="4">
        <v>4152.24267578125</v>
      </c>
      <c r="Q1177" s="5">
        <f t="shared" si="72"/>
        <v>-0.36119343449519226</v>
      </c>
      <c r="R1177" s="4">
        <v>5188.7844589716806</v>
      </c>
      <c r="S1177" s="5">
        <f t="shared" si="73"/>
        <v>-0.20172546785051071</v>
      </c>
      <c r="T1177" s="4">
        <v>4276.3947601706514</v>
      </c>
      <c r="U1177" s="5">
        <f t="shared" si="74"/>
        <v>-0.34209311381989982</v>
      </c>
      <c r="V1177" s="4">
        <v>3687.245849609375</v>
      </c>
      <c r="W1177" s="5">
        <f t="shared" si="75"/>
        <v>-0.43273140775240382</v>
      </c>
    </row>
    <row r="1178" spans="1:23" x14ac:dyDescent="0.25">
      <c r="A1178" t="s">
        <v>1586</v>
      </c>
      <c r="B1178">
        <v>2017</v>
      </c>
      <c r="C1178" t="s">
        <v>156</v>
      </c>
      <c r="D1178" t="s">
        <v>483</v>
      </c>
      <c r="E1178">
        <v>69612</v>
      </c>
      <c r="F1178" t="s">
        <v>174</v>
      </c>
      <c r="G1178" t="s">
        <v>44</v>
      </c>
      <c r="H1178" t="s">
        <v>25</v>
      </c>
      <c r="I1178" t="s">
        <v>24</v>
      </c>
      <c r="J1178" s="2">
        <v>45440</v>
      </c>
      <c r="K1178" t="s">
        <v>25</v>
      </c>
      <c r="L1178">
        <v>44307</v>
      </c>
      <c r="M1178">
        <v>235</v>
      </c>
      <c r="N1178">
        <v>285</v>
      </c>
      <c r="O1178" s="4">
        <v>12000</v>
      </c>
      <c r="P1178" s="4">
        <v>8946.76953125</v>
      </c>
      <c r="Q1178" s="5">
        <f t="shared" si="72"/>
        <v>-0.25443587239583332</v>
      </c>
      <c r="R1178" s="4">
        <v>11541.14532813199</v>
      </c>
      <c r="S1178" s="5">
        <f t="shared" si="73"/>
        <v>-3.8237889322334184E-2</v>
      </c>
      <c r="T1178" s="4">
        <v>10935.35828697854</v>
      </c>
      <c r="U1178" s="5">
        <f t="shared" si="74"/>
        <v>-8.87201427517883E-2</v>
      </c>
      <c r="V1178" s="4">
        <v>8175.56396484375</v>
      </c>
      <c r="W1178" s="5">
        <f t="shared" si="75"/>
        <v>-0.31870300292968745</v>
      </c>
    </row>
    <row r="1179" spans="1:23" x14ac:dyDescent="0.25">
      <c r="A1179" t="s">
        <v>1587</v>
      </c>
      <c r="B1179">
        <v>2017</v>
      </c>
      <c r="C1179" t="s">
        <v>1528</v>
      </c>
      <c r="D1179" t="s">
        <v>1588</v>
      </c>
      <c r="E1179">
        <v>96509</v>
      </c>
      <c r="F1179" t="s">
        <v>82</v>
      </c>
      <c r="G1179" t="s">
        <v>30</v>
      </c>
      <c r="H1179" t="s">
        <v>24</v>
      </c>
      <c r="I1179" t="s">
        <v>25</v>
      </c>
      <c r="J1179" s="2">
        <v>45566</v>
      </c>
      <c r="K1179" t="s">
        <v>25</v>
      </c>
      <c r="L1179">
        <v>44307</v>
      </c>
      <c r="M1179">
        <v>235</v>
      </c>
      <c r="N1179">
        <v>285</v>
      </c>
      <c r="O1179" s="4">
        <v>13800</v>
      </c>
      <c r="P1179" s="4">
        <v>6603.0869140625</v>
      </c>
      <c r="Q1179" s="5">
        <f t="shared" si="72"/>
        <v>-0.52151544100996383</v>
      </c>
      <c r="R1179" s="4">
        <v>7030.9681515237853</v>
      </c>
      <c r="S1179" s="5">
        <f t="shared" si="73"/>
        <v>-0.49050955423740683</v>
      </c>
      <c r="T1179" s="4">
        <v>6744.6735905861806</v>
      </c>
      <c r="U1179" s="5">
        <f t="shared" si="74"/>
        <v>-0.51125553691404491</v>
      </c>
      <c r="V1179" s="4">
        <v>6690.46435546875</v>
      </c>
      <c r="W1179" s="5">
        <f t="shared" si="75"/>
        <v>-0.51518374235733688</v>
      </c>
    </row>
    <row r="1180" spans="1:23" x14ac:dyDescent="0.25">
      <c r="A1180" t="s">
        <v>1589</v>
      </c>
      <c r="B1180">
        <v>2013</v>
      </c>
      <c r="C1180" t="s">
        <v>487</v>
      </c>
      <c r="D1180" t="s">
        <v>488</v>
      </c>
      <c r="E1180">
        <v>103897</v>
      </c>
      <c r="F1180" t="s">
        <v>227</v>
      </c>
      <c r="G1180" t="s">
        <v>23</v>
      </c>
      <c r="H1180" t="s">
        <v>24</v>
      </c>
      <c r="I1180" t="s">
        <v>25</v>
      </c>
      <c r="J1180" s="2">
        <v>45454</v>
      </c>
      <c r="K1180" t="s">
        <v>25</v>
      </c>
      <c r="L1180">
        <v>44307</v>
      </c>
      <c r="M1180">
        <v>235</v>
      </c>
      <c r="N1180">
        <v>285</v>
      </c>
      <c r="O1180" s="4">
        <v>3500</v>
      </c>
      <c r="P1180" s="4">
        <v>3698.42041015625</v>
      </c>
      <c r="Q1180" s="5">
        <f t="shared" si="72"/>
        <v>5.6691545758928541E-2</v>
      </c>
      <c r="R1180" s="4">
        <v>3379.383065423363</v>
      </c>
      <c r="S1180" s="5">
        <f t="shared" si="73"/>
        <v>-3.4461981307610579E-2</v>
      </c>
      <c r="T1180" s="4">
        <v>2792.2274931373581</v>
      </c>
      <c r="U1180" s="5">
        <f t="shared" si="74"/>
        <v>-0.20222071624646909</v>
      </c>
      <c r="V1180" s="4">
        <v>3698.993408203125</v>
      </c>
      <c r="W1180" s="5">
        <f t="shared" si="75"/>
        <v>5.685525948660719E-2</v>
      </c>
    </row>
    <row r="1181" spans="1:23" x14ac:dyDescent="0.25">
      <c r="A1181" t="s">
        <v>1590</v>
      </c>
      <c r="B1181">
        <v>2013</v>
      </c>
      <c r="C1181" t="s">
        <v>302</v>
      </c>
      <c r="D1181" t="s">
        <v>1591</v>
      </c>
      <c r="E1181">
        <v>129925</v>
      </c>
      <c r="F1181" t="s">
        <v>82</v>
      </c>
      <c r="G1181" t="s">
        <v>30</v>
      </c>
      <c r="H1181" t="s">
        <v>24</v>
      </c>
      <c r="I1181" t="s">
        <v>25</v>
      </c>
      <c r="J1181" s="2">
        <v>45678</v>
      </c>
      <c r="K1181" t="s">
        <v>25</v>
      </c>
      <c r="L1181">
        <v>44307</v>
      </c>
      <c r="M1181">
        <v>235</v>
      </c>
      <c r="N1181">
        <v>285</v>
      </c>
      <c r="O1181" s="4">
        <v>4500</v>
      </c>
      <c r="P1181" s="4">
        <v>2996.6513671875</v>
      </c>
      <c r="Q1181" s="5">
        <f t="shared" si="72"/>
        <v>-0.33407747395833332</v>
      </c>
      <c r="R1181" s="4">
        <v>2711.614503089027</v>
      </c>
      <c r="S1181" s="5">
        <f t="shared" si="73"/>
        <v>-0.39741899931354951</v>
      </c>
      <c r="T1181" s="4">
        <v>4471.576178852969</v>
      </c>
      <c r="U1181" s="5">
        <f t="shared" si="74"/>
        <v>-6.3164046993402501E-3</v>
      </c>
      <c r="V1181" s="4">
        <v>2926.701416015625</v>
      </c>
      <c r="W1181" s="5">
        <f t="shared" si="75"/>
        <v>-0.34962190755208333</v>
      </c>
    </row>
    <row r="1182" spans="1:23" x14ac:dyDescent="0.25">
      <c r="A1182" t="s">
        <v>1592</v>
      </c>
      <c r="B1182">
        <v>2016</v>
      </c>
      <c r="C1182" t="s">
        <v>199</v>
      </c>
      <c r="D1182" t="s">
        <v>493</v>
      </c>
      <c r="E1182">
        <v>88920</v>
      </c>
      <c r="F1182" t="s">
        <v>63</v>
      </c>
      <c r="G1182" t="s">
        <v>44</v>
      </c>
      <c r="H1182" t="s">
        <v>25</v>
      </c>
      <c r="I1182" t="s">
        <v>24</v>
      </c>
      <c r="J1182" s="2">
        <v>45706</v>
      </c>
      <c r="K1182" t="s">
        <v>25</v>
      </c>
      <c r="L1182">
        <v>44307</v>
      </c>
      <c r="M1182">
        <v>235</v>
      </c>
      <c r="N1182">
        <v>285</v>
      </c>
      <c r="O1182" s="4">
        <v>14800</v>
      </c>
      <c r="P1182" s="4">
        <v>8745.650390625</v>
      </c>
      <c r="Q1182" s="5">
        <f t="shared" si="72"/>
        <v>-0.40907767630912162</v>
      </c>
      <c r="R1182" s="4">
        <v>9959.0893063546282</v>
      </c>
      <c r="S1182" s="5">
        <f t="shared" si="73"/>
        <v>-0.32708856038144407</v>
      </c>
      <c r="T1182" s="4">
        <v>10682.342753724701</v>
      </c>
      <c r="U1182" s="5">
        <f t="shared" si="74"/>
        <v>-0.27822008420779054</v>
      </c>
      <c r="V1182" s="4">
        <v>8203.83984375</v>
      </c>
      <c r="W1182" s="5">
        <f t="shared" si="75"/>
        <v>-0.44568649704391894</v>
      </c>
    </row>
    <row r="1183" spans="1:23" x14ac:dyDescent="0.25">
      <c r="A1183" t="s">
        <v>1593</v>
      </c>
      <c r="B1183">
        <v>2013</v>
      </c>
      <c r="C1183" t="s">
        <v>266</v>
      </c>
      <c r="D1183" t="s">
        <v>561</v>
      </c>
      <c r="E1183">
        <v>109542</v>
      </c>
      <c r="F1183" t="s">
        <v>79</v>
      </c>
      <c r="G1183" t="s">
        <v>38</v>
      </c>
      <c r="H1183" t="s">
        <v>25</v>
      </c>
      <c r="I1183" t="s">
        <v>24</v>
      </c>
      <c r="J1183" s="2">
        <v>45384</v>
      </c>
      <c r="K1183" t="s">
        <v>25</v>
      </c>
      <c r="L1183">
        <v>44307</v>
      </c>
      <c r="M1183">
        <v>235</v>
      </c>
      <c r="N1183">
        <v>285</v>
      </c>
      <c r="O1183" s="4">
        <v>1500</v>
      </c>
      <c r="P1183" s="4">
        <v>2304.14404296875</v>
      </c>
      <c r="Q1183" s="5">
        <f t="shared" si="72"/>
        <v>0.53609602864583339</v>
      </c>
      <c r="R1183" s="4">
        <v>2504.800602273539</v>
      </c>
      <c r="S1183" s="5">
        <f t="shared" si="73"/>
        <v>0.6698670681823593</v>
      </c>
      <c r="T1183" s="4">
        <v>3703.518934267543</v>
      </c>
      <c r="U1183" s="5">
        <f t="shared" si="74"/>
        <v>1.4690126228450286</v>
      </c>
      <c r="V1183" s="4">
        <v>2262.294677734375</v>
      </c>
      <c r="W1183" s="5">
        <f t="shared" si="75"/>
        <v>0.50819645182291673</v>
      </c>
    </row>
    <row r="1184" spans="1:23" x14ac:dyDescent="0.25">
      <c r="A1184" t="s">
        <v>1594</v>
      </c>
      <c r="B1184">
        <v>2021</v>
      </c>
      <c r="C1184" t="s">
        <v>32</v>
      </c>
      <c r="D1184" t="s">
        <v>1595</v>
      </c>
      <c r="E1184">
        <v>90061</v>
      </c>
      <c r="F1184" t="s">
        <v>475</v>
      </c>
      <c r="G1184" t="s">
        <v>38</v>
      </c>
      <c r="H1184" t="s">
        <v>25</v>
      </c>
      <c r="I1184" t="s">
        <v>24</v>
      </c>
      <c r="J1184" s="2">
        <v>45664</v>
      </c>
      <c r="K1184" t="s">
        <v>25</v>
      </c>
      <c r="L1184">
        <v>44310</v>
      </c>
      <c r="M1184">
        <v>235</v>
      </c>
      <c r="N1184">
        <v>285</v>
      </c>
      <c r="O1184" s="4">
        <v>26700</v>
      </c>
      <c r="P1184" s="4">
        <v>19273.8984375</v>
      </c>
      <c r="Q1184" s="5">
        <f t="shared" si="72"/>
        <v>-0.27813114466292133</v>
      </c>
      <c r="R1184" s="4">
        <v>17643.012726843641</v>
      </c>
      <c r="S1184" s="5">
        <f t="shared" si="73"/>
        <v>-0.33921300648525687</v>
      </c>
      <c r="T1184" s="4">
        <v>23522.367770257111</v>
      </c>
      <c r="U1184" s="5">
        <f t="shared" si="74"/>
        <v>-0.11901244306153136</v>
      </c>
      <c r="V1184" s="4">
        <v>19501.765625</v>
      </c>
      <c r="W1184" s="5">
        <f t="shared" si="75"/>
        <v>-0.26959679307116102</v>
      </c>
    </row>
    <row r="1185" spans="1:23" x14ac:dyDescent="0.25">
      <c r="A1185" t="s">
        <v>1596</v>
      </c>
      <c r="B1185">
        <v>2012</v>
      </c>
      <c r="C1185" t="s">
        <v>32</v>
      </c>
      <c r="D1185" t="s">
        <v>524</v>
      </c>
      <c r="E1185">
        <v>155337</v>
      </c>
      <c r="F1185" t="s">
        <v>89</v>
      </c>
      <c r="G1185" t="s">
        <v>30</v>
      </c>
      <c r="H1185" t="s">
        <v>24</v>
      </c>
      <c r="I1185" t="s">
        <v>25</v>
      </c>
      <c r="J1185" s="2">
        <v>45309</v>
      </c>
      <c r="K1185" t="s">
        <v>25</v>
      </c>
      <c r="L1185">
        <v>44310</v>
      </c>
      <c r="M1185">
        <v>235</v>
      </c>
      <c r="N1185">
        <v>285</v>
      </c>
      <c r="O1185" s="4">
        <v>3000</v>
      </c>
      <c r="P1185" s="4">
        <v>2618.009521484375</v>
      </c>
      <c r="Q1185" s="5">
        <f t="shared" si="72"/>
        <v>-0.12733015950520832</v>
      </c>
      <c r="R1185" s="4">
        <v>2305.5861589036758</v>
      </c>
      <c r="S1185" s="5">
        <f t="shared" si="73"/>
        <v>-0.2314712803654414</v>
      </c>
      <c r="T1185" s="4">
        <v>3750.860518976609</v>
      </c>
      <c r="U1185" s="5">
        <f t="shared" si="74"/>
        <v>0.25028683965886978</v>
      </c>
      <c r="V1185" s="4">
        <v>2575.91015625</v>
      </c>
      <c r="W1185" s="5">
        <f t="shared" si="75"/>
        <v>-0.14136328124999997</v>
      </c>
    </row>
    <row r="1186" spans="1:23" x14ac:dyDescent="0.25">
      <c r="A1186" t="s">
        <v>1597</v>
      </c>
      <c r="B1186">
        <v>2015</v>
      </c>
      <c r="C1186" t="s">
        <v>32</v>
      </c>
      <c r="D1186" t="s">
        <v>322</v>
      </c>
      <c r="E1186">
        <v>116459</v>
      </c>
      <c r="F1186" t="s">
        <v>261</v>
      </c>
      <c r="G1186" t="s">
        <v>30</v>
      </c>
      <c r="H1186" t="s">
        <v>24</v>
      </c>
      <c r="I1186" t="s">
        <v>25</v>
      </c>
      <c r="J1186" s="2">
        <v>45384</v>
      </c>
      <c r="K1186" t="s">
        <v>25</v>
      </c>
      <c r="L1186">
        <v>44310</v>
      </c>
      <c r="M1186">
        <v>235</v>
      </c>
      <c r="N1186">
        <v>285</v>
      </c>
      <c r="O1186" s="4">
        <v>3700</v>
      </c>
      <c r="P1186" s="4">
        <v>3718.317626953125</v>
      </c>
      <c r="Q1186" s="5">
        <f t="shared" si="72"/>
        <v>4.9507099873311589E-3</v>
      </c>
      <c r="R1186" s="4">
        <v>4290.4472367877606</v>
      </c>
      <c r="S1186" s="5">
        <f t="shared" si="73"/>
        <v>0.15958033426696239</v>
      </c>
      <c r="T1186" s="4">
        <v>3458.7780475723671</v>
      </c>
      <c r="U1186" s="5">
        <f t="shared" si="74"/>
        <v>-6.5195122277738604E-2</v>
      </c>
      <c r="V1186" s="4">
        <v>3516.171630859375</v>
      </c>
      <c r="W1186" s="5">
        <f t="shared" si="75"/>
        <v>-4.9683343010979764E-2</v>
      </c>
    </row>
    <row r="1187" spans="1:23" x14ac:dyDescent="0.25">
      <c r="A1187" t="s">
        <v>1598</v>
      </c>
      <c r="B1187">
        <v>2017</v>
      </c>
      <c r="C1187" t="s">
        <v>32</v>
      </c>
      <c r="D1187" t="s">
        <v>322</v>
      </c>
      <c r="E1187">
        <v>306077</v>
      </c>
      <c r="F1187" t="s">
        <v>37</v>
      </c>
      <c r="G1187" t="s">
        <v>30</v>
      </c>
      <c r="H1187" t="s">
        <v>24</v>
      </c>
      <c r="I1187" t="s">
        <v>25</v>
      </c>
      <c r="J1187" s="2">
        <v>45692</v>
      </c>
      <c r="K1187" t="s">
        <v>25</v>
      </c>
      <c r="L1187">
        <v>44310</v>
      </c>
      <c r="M1187">
        <v>235</v>
      </c>
      <c r="N1187">
        <v>285</v>
      </c>
      <c r="O1187" s="4">
        <v>8500</v>
      </c>
      <c r="P1187" s="4">
        <v>4200.02783203125</v>
      </c>
      <c r="Q1187" s="5">
        <f t="shared" si="72"/>
        <v>-0.50587907858455883</v>
      </c>
      <c r="R1187" s="4">
        <v>5757.3924136622509</v>
      </c>
      <c r="S1187" s="5">
        <f t="shared" si="73"/>
        <v>-0.3226597160397352</v>
      </c>
      <c r="T1187" s="4">
        <v>4215.9696441364094</v>
      </c>
      <c r="U1187" s="5">
        <f t="shared" si="74"/>
        <v>-0.5040035712780695</v>
      </c>
      <c r="V1187" s="4">
        <v>3734.1591796875</v>
      </c>
      <c r="W1187" s="5">
        <f t="shared" si="75"/>
        <v>-0.56068715533088231</v>
      </c>
    </row>
    <row r="1188" spans="1:23" x14ac:dyDescent="0.25">
      <c r="A1188" t="s">
        <v>1599</v>
      </c>
      <c r="B1188">
        <v>2016</v>
      </c>
      <c r="C1188" t="s">
        <v>32</v>
      </c>
      <c r="D1188" t="s">
        <v>42</v>
      </c>
      <c r="E1188">
        <v>147600</v>
      </c>
      <c r="F1188" t="s">
        <v>246</v>
      </c>
      <c r="G1188" t="s">
        <v>38</v>
      </c>
      <c r="H1188" t="s">
        <v>25</v>
      </c>
      <c r="I1188" t="s">
        <v>24</v>
      </c>
      <c r="J1188" s="2">
        <v>45666</v>
      </c>
      <c r="K1188" t="s">
        <v>25</v>
      </c>
      <c r="L1188">
        <v>44310</v>
      </c>
      <c r="M1188">
        <v>235</v>
      </c>
      <c r="N1188">
        <v>285</v>
      </c>
      <c r="O1188" s="4">
        <v>9800</v>
      </c>
      <c r="P1188" s="4">
        <v>3662.016845703125</v>
      </c>
      <c r="Q1188" s="5">
        <f t="shared" si="72"/>
        <v>-0.6263248116629464</v>
      </c>
      <c r="R1188" s="4">
        <v>3931.9487448602299</v>
      </c>
      <c r="S1188" s="5">
        <f t="shared" si="73"/>
        <v>-0.59878074032038464</v>
      </c>
      <c r="T1188" s="4">
        <v>6024.209796195013</v>
      </c>
      <c r="U1188" s="5">
        <f t="shared" si="74"/>
        <v>-0.38528471467397829</v>
      </c>
      <c r="V1188" s="4">
        <v>3596.693115234375</v>
      </c>
      <c r="W1188" s="5">
        <f t="shared" si="75"/>
        <v>-0.63299049844547195</v>
      </c>
    </row>
    <row r="1189" spans="1:23" x14ac:dyDescent="0.25">
      <c r="A1189" t="s">
        <v>1600</v>
      </c>
      <c r="B1189">
        <v>2019</v>
      </c>
      <c r="C1189" t="s">
        <v>32</v>
      </c>
      <c r="D1189" t="s">
        <v>322</v>
      </c>
      <c r="E1189">
        <v>70454</v>
      </c>
      <c r="F1189" t="s">
        <v>37</v>
      </c>
      <c r="G1189" t="s">
        <v>38</v>
      </c>
      <c r="H1189" t="s">
        <v>25</v>
      </c>
      <c r="I1189" t="s">
        <v>24</v>
      </c>
      <c r="J1189" s="2">
        <v>45510</v>
      </c>
      <c r="K1189" t="s">
        <v>25</v>
      </c>
      <c r="L1189">
        <v>44310</v>
      </c>
      <c r="M1189">
        <v>235</v>
      </c>
      <c r="N1189">
        <v>285</v>
      </c>
      <c r="O1189" s="4">
        <v>14400</v>
      </c>
      <c r="P1189" s="4">
        <v>10737.15234375</v>
      </c>
      <c r="Q1189" s="5">
        <f t="shared" si="72"/>
        <v>-0.25436442057291664</v>
      </c>
      <c r="R1189" s="4">
        <v>15249.9676072398</v>
      </c>
      <c r="S1189" s="5">
        <f t="shared" si="73"/>
        <v>5.9025528280541639E-2</v>
      </c>
      <c r="T1189" s="4">
        <v>12384.324262137399</v>
      </c>
      <c r="U1189" s="5">
        <f t="shared" si="74"/>
        <v>-0.13997748179601399</v>
      </c>
      <c r="V1189" s="4">
        <v>9996.7861328125</v>
      </c>
      <c r="W1189" s="5">
        <f t="shared" si="75"/>
        <v>-0.3057787407769097</v>
      </c>
    </row>
    <row r="1190" spans="1:23" x14ac:dyDescent="0.25">
      <c r="A1190" t="s">
        <v>1601</v>
      </c>
      <c r="B1190">
        <v>2014</v>
      </c>
      <c r="C1190" t="s">
        <v>32</v>
      </c>
      <c r="D1190" t="s">
        <v>118</v>
      </c>
      <c r="E1190">
        <v>130971</v>
      </c>
      <c r="F1190" t="s">
        <v>89</v>
      </c>
      <c r="G1190" t="s">
        <v>38</v>
      </c>
      <c r="H1190" t="s">
        <v>25</v>
      </c>
      <c r="I1190" t="s">
        <v>24</v>
      </c>
      <c r="J1190" s="2">
        <v>45608</v>
      </c>
      <c r="K1190" t="s">
        <v>25</v>
      </c>
      <c r="L1190">
        <v>44310</v>
      </c>
      <c r="M1190">
        <v>235</v>
      </c>
      <c r="N1190">
        <v>285</v>
      </c>
      <c r="O1190" s="4">
        <v>6100</v>
      </c>
      <c r="P1190" s="4">
        <v>3445.06201171875</v>
      </c>
      <c r="Q1190" s="5">
        <f t="shared" si="72"/>
        <v>-0.43523573578381147</v>
      </c>
      <c r="R1190" s="4">
        <v>3576.2915523584602</v>
      </c>
      <c r="S1190" s="5">
        <f t="shared" si="73"/>
        <v>-0.41372269633467862</v>
      </c>
      <c r="T1190" s="4">
        <v>6815.0207251913016</v>
      </c>
      <c r="U1190" s="5">
        <f t="shared" si="74"/>
        <v>0.11721651232644281</v>
      </c>
      <c r="V1190" s="4">
        <v>3396.737060546875</v>
      </c>
      <c r="W1190" s="5">
        <f t="shared" si="75"/>
        <v>-0.44315785892674175</v>
      </c>
    </row>
    <row r="1191" spans="1:23" x14ac:dyDescent="0.25">
      <c r="A1191" t="s">
        <v>1602</v>
      </c>
      <c r="B1191">
        <v>2013</v>
      </c>
      <c r="C1191" t="s">
        <v>32</v>
      </c>
      <c r="D1191" t="s">
        <v>118</v>
      </c>
      <c r="E1191">
        <v>110094</v>
      </c>
      <c r="F1191" t="s">
        <v>227</v>
      </c>
      <c r="G1191" t="s">
        <v>23</v>
      </c>
      <c r="H1191" t="s">
        <v>24</v>
      </c>
      <c r="I1191" t="s">
        <v>25</v>
      </c>
      <c r="J1191" s="2">
        <v>45580</v>
      </c>
      <c r="K1191" t="s">
        <v>25</v>
      </c>
      <c r="L1191">
        <v>44310</v>
      </c>
      <c r="M1191">
        <v>235</v>
      </c>
      <c r="N1191">
        <v>285</v>
      </c>
      <c r="O1191" s="4">
        <v>15000</v>
      </c>
      <c r="P1191" s="4">
        <v>3519.913330078125</v>
      </c>
      <c r="Q1191" s="5">
        <f t="shared" si="72"/>
        <v>-0.76533911132812493</v>
      </c>
      <c r="R1191" s="4">
        <v>3342.5584127543739</v>
      </c>
      <c r="S1191" s="5">
        <f t="shared" si="73"/>
        <v>-0.77716277248304177</v>
      </c>
      <c r="T1191" s="4">
        <v>6455.1491394042278</v>
      </c>
      <c r="U1191" s="5">
        <f t="shared" si="74"/>
        <v>-0.56965672403971812</v>
      </c>
      <c r="V1191" s="4">
        <v>3445.008056640625</v>
      </c>
      <c r="W1191" s="5">
        <f t="shared" si="75"/>
        <v>-0.77033279622395834</v>
      </c>
    </row>
    <row r="1192" spans="1:23" x14ac:dyDescent="0.25">
      <c r="A1192" t="s">
        <v>1603</v>
      </c>
      <c r="B1192">
        <v>2018</v>
      </c>
      <c r="C1192" t="s">
        <v>50</v>
      </c>
      <c r="D1192">
        <v>1500</v>
      </c>
      <c r="E1192">
        <v>57382</v>
      </c>
      <c r="F1192" t="s">
        <v>102</v>
      </c>
      <c r="G1192" t="s">
        <v>34</v>
      </c>
      <c r="H1192" t="s">
        <v>25</v>
      </c>
      <c r="I1192" t="s">
        <v>24</v>
      </c>
      <c r="J1192" s="2">
        <v>45692</v>
      </c>
      <c r="K1192" t="s">
        <v>25</v>
      </c>
      <c r="L1192">
        <v>44310</v>
      </c>
      <c r="M1192">
        <v>235</v>
      </c>
      <c r="N1192">
        <v>285</v>
      </c>
      <c r="O1192" s="4">
        <v>15200</v>
      </c>
      <c r="P1192" s="4">
        <v>18656.3828125</v>
      </c>
      <c r="Q1192" s="5">
        <f t="shared" si="72"/>
        <v>0.22739360608552639</v>
      </c>
      <c r="R1192" s="4">
        <v>20321.087526839761</v>
      </c>
      <c r="S1192" s="5">
        <f t="shared" si="73"/>
        <v>0.33691365308156329</v>
      </c>
      <c r="T1192" s="4">
        <v>21828.529538207778</v>
      </c>
      <c r="U1192" s="5">
        <f t="shared" si="74"/>
        <v>0.43608746961893274</v>
      </c>
      <c r="V1192" s="4">
        <v>18282.595703125</v>
      </c>
      <c r="W1192" s="5">
        <f t="shared" si="75"/>
        <v>0.20280234888980253</v>
      </c>
    </row>
    <row r="1193" spans="1:23" x14ac:dyDescent="0.25">
      <c r="A1193" t="s">
        <v>1604</v>
      </c>
      <c r="B1193">
        <v>2016</v>
      </c>
      <c r="C1193" t="s">
        <v>53</v>
      </c>
      <c r="D1193" t="s">
        <v>148</v>
      </c>
      <c r="E1193">
        <v>98524</v>
      </c>
      <c r="F1193" t="s">
        <v>102</v>
      </c>
      <c r="G1193" t="s">
        <v>30</v>
      </c>
      <c r="H1193" t="s">
        <v>24</v>
      </c>
      <c r="I1193" t="s">
        <v>25</v>
      </c>
      <c r="J1193" s="2">
        <v>45330</v>
      </c>
      <c r="K1193" t="s">
        <v>25</v>
      </c>
      <c r="L1193">
        <v>44310</v>
      </c>
      <c r="M1193">
        <v>235</v>
      </c>
      <c r="N1193">
        <v>285</v>
      </c>
      <c r="O1193" s="4">
        <v>9500</v>
      </c>
      <c r="P1193" s="4">
        <v>9821.783203125</v>
      </c>
      <c r="Q1193" s="5">
        <f t="shared" si="72"/>
        <v>3.3871916118421108E-2</v>
      </c>
      <c r="R1193" s="4">
        <v>10253.32884359048</v>
      </c>
      <c r="S1193" s="5">
        <f t="shared" si="73"/>
        <v>7.929777300952412E-2</v>
      </c>
      <c r="T1193" s="4">
        <v>13009.356005831351</v>
      </c>
      <c r="U1193" s="5">
        <f t="shared" si="74"/>
        <v>0.36940589535066848</v>
      </c>
      <c r="V1193" s="4">
        <v>9720.5751953125</v>
      </c>
      <c r="W1193" s="5">
        <f t="shared" si="75"/>
        <v>2.3218441611842167E-2</v>
      </c>
    </row>
    <row r="1194" spans="1:23" x14ac:dyDescent="0.25">
      <c r="A1194" t="s">
        <v>1605</v>
      </c>
      <c r="B1194">
        <v>2018</v>
      </c>
      <c r="C1194" t="s">
        <v>53</v>
      </c>
      <c r="D1194" t="s">
        <v>57</v>
      </c>
      <c r="E1194">
        <v>120681</v>
      </c>
      <c r="F1194" t="s">
        <v>58</v>
      </c>
      <c r="G1194" t="s">
        <v>23</v>
      </c>
      <c r="H1194" t="s">
        <v>24</v>
      </c>
      <c r="I1194" t="s">
        <v>25</v>
      </c>
      <c r="J1194" s="2">
        <v>45566</v>
      </c>
      <c r="K1194" t="s">
        <v>25</v>
      </c>
      <c r="L1194">
        <v>44310</v>
      </c>
      <c r="M1194">
        <v>235</v>
      </c>
      <c r="N1194">
        <v>285</v>
      </c>
      <c r="O1194" s="4">
        <v>11000</v>
      </c>
      <c r="P1194" s="4">
        <v>5996.81201171875</v>
      </c>
      <c r="Q1194" s="5">
        <f t="shared" si="72"/>
        <v>-0.45483527166193183</v>
      </c>
      <c r="R1194" s="4">
        <v>6716.3214901104402</v>
      </c>
      <c r="S1194" s="5">
        <f t="shared" si="73"/>
        <v>-0.38942531908086908</v>
      </c>
      <c r="T1194" s="4">
        <v>3111.4809602772211</v>
      </c>
      <c r="U1194" s="5">
        <f t="shared" si="74"/>
        <v>-0.71713809452025257</v>
      </c>
      <c r="V1194" s="4">
        <v>5764.90771484375</v>
      </c>
      <c r="W1194" s="5">
        <f t="shared" si="75"/>
        <v>-0.47591748046875004</v>
      </c>
    </row>
    <row r="1195" spans="1:23" x14ac:dyDescent="0.25">
      <c r="A1195" t="s">
        <v>1606</v>
      </c>
      <c r="B1195">
        <v>2013</v>
      </c>
      <c r="C1195" t="s">
        <v>53</v>
      </c>
      <c r="D1195" t="s">
        <v>979</v>
      </c>
      <c r="E1195">
        <v>133793</v>
      </c>
      <c r="F1195" t="s">
        <v>22</v>
      </c>
      <c r="G1195" t="s">
        <v>34</v>
      </c>
      <c r="H1195" t="s">
        <v>25</v>
      </c>
      <c r="I1195" t="s">
        <v>24</v>
      </c>
      <c r="J1195" s="2">
        <v>45596</v>
      </c>
      <c r="K1195" t="s">
        <v>25</v>
      </c>
      <c r="L1195">
        <v>44310</v>
      </c>
      <c r="M1195">
        <v>235</v>
      </c>
      <c r="N1195">
        <v>285</v>
      </c>
      <c r="O1195" s="4">
        <v>1800</v>
      </c>
      <c r="P1195" s="4">
        <v>3010.956298828125</v>
      </c>
      <c r="Q1195" s="5">
        <f t="shared" si="72"/>
        <v>0.67275349934895834</v>
      </c>
      <c r="R1195" s="4">
        <v>3117.7750827876589</v>
      </c>
      <c r="S1195" s="5">
        <f t="shared" si="73"/>
        <v>0.73209726821536614</v>
      </c>
      <c r="T1195" s="4">
        <v>5214.3594917085047</v>
      </c>
      <c r="U1195" s="5">
        <f t="shared" si="74"/>
        <v>1.8968663842825024</v>
      </c>
      <c r="V1195" s="4">
        <v>2901.926025390625</v>
      </c>
      <c r="W1195" s="5">
        <f t="shared" si="75"/>
        <v>0.61218112521701396</v>
      </c>
    </row>
    <row r="1196" spans="1:23" x14ac:dyDescent="0.25">
      <c r="A1196" t="s">
        <v>1607</v>
      </c>
      <c r="B1196">
        <v>2020</v>
      </c>
      <c r="C1196" t="s">
        <v>53</v>
      </c>
      <c r="D1196" t="s">
        <v>1608</v>
      </c>
      <c r="E1196">
        <v>26091</v>
      </c>
      <c r="F1196" t="s">
        <v>174</v>
      </c>
      <c r="G1196" t="s">
        <v>44</v>
      </c>
      <c r="H1196" t="s">
        <v>25</v>
      </c>
      <c r="I1196" t="s">
        <v>24</v>
      </c>
      <c r="J1196" s="2">
        <v>45463</v>
      </c>
      <c r="K1196" t="s">
        <v>25</v>
      </c>
      <c r="L1196">
        <v>44310</v>
      </c>
      <c r="M1196">
        <v>235</v>
      </c>
      <c r="N1196">
        <v>285</v>
      </c>
      <c r="O1196" s="4">
        <v>16800</v>
      </c>
      <c r="P1196" s="4">
        <v>22890.177734375</v>
      </c>
      <c r="Q1196" s="5">
        <f t="shared" si="72"/>
        <v>0.36251057942708331</v>
      </c>
      <c r="R1196" s="4">
        <v>24774.58621310184</v>
      </c>
      <c r="S1196" s="5">
        <f t="shared" si="73"/>
        <v>0.4746777507798714</v>
      </c>
      <c r="T1196" s="4">
        <v>30528.572187261481</v>
      </c>
      <c r="U1196" s="5">
        <f t="shared" si="74"/>
        <v>0.81717691590842145</v>
      </c>
      <c r="V1196" s="4">
        <v>22346.615234375</v>
      </c>
      <c r="W1196" s="5">
        <f t="shared" si="75"/>
        <v>0.33015566871279756</v>
      </c>
    </row>
    <row r="1197" spans="1:23" x14ac:dyDescent="0.25">
      <c r="A1197" t="s">
        <v>1609</v>
      </c>
      <c r="B1197">
        <v>2017</v>
      </c>
      <c r="C1197" t="s">
        <v>53</v>
      </c>
      <c r="D1197" t="s">
        <v>69</v>
      </c>
      <c r="E1197">
        <v>115649</v>
      </c>
      <c r="F1197" t="s">
        <v>141</v>
      </c>
      <c r="G1197" t="s">
        <v>30</v>
      </c>
      <c r="H1197" t="s">
        <v>24</v>
      </c>
      <c r="I1197" t="s">
        <v>25</v>
      </c>
      <c r="J1197" s="2">
        <v>45421</v>
      </c>
      <c r="K1197" t="s">
        <v>25</v>
      </c>
      <c r="L1197">
        <v>44310</v>
      </c>
      <c r="M1197">
        <v>235</v>
      </c>
      <c r="N1197">
        <v>285</v>
      </c>
      <c r="O1197" s="4">
        <v>10000</v>
      </c>
      <c r="P1197" s="4">
        <v>8030.83203125</v>
      </c>
      <c r="Q1197" s="5">
        <f t="shared" si="72"/>
        <v>-0.19691679687499997</v>
      </c>
      <c r="R1197" s="4">
        <v>8380.822217655852</v>
      </c>
      <c r="S1197" s="5">
        <f t="shared" si="73"/>
        <v>-0.16191777823441478</v>
      </c>
      <c r="T1197" s="4">
        <v>11133.666263987239</v>
      </c>
      <c r="U1197" s="5">
        <f t="shared" si="74"/>
        <v>0.11336662639872386</v>
      </c>
      <c r="V1197" s="4">
        <v>7912.83447265625</v>
      </c>
      <c r="W1197" s="5">
        <f t="shared" si="75"/>
        <v>-0.20871655273437495</v>
      </c>
    </row>
    <row r="1198" spans="1:23" x14ac:dyDescent="0.25">
      <c r="A1198" t="s">
        <v>1610</v>
      </c>
      <c r="B1198">
        <v>2014</v>
      </c>
      <c r="C1198" t="s">
        <v>20</v>
      </c>
      <c r="D1198" t="s">
        <v>81</v>
      </c>
      <c r="E1198">
        <v>128094</v>
      </c>
      <c r="F1198" t="s">
        <v>115</v>
      </c>
      <c r="G1198" t="s">
        <v>38</v>
      </c>
      <c r="H1198" t="s">
        <v>25</v>
      </c>
      <c r="I1198" t="s">
        <v>24</v>
      </c>
      <c r="J1198" s="2">
        <v>45512</v>
      </c>
      <c r="K1198" t="s">
        <v>25</v>
      </c>
      <c r="L1198">
        <v>44310</v>
      </c>
      <c r="M1198">
        <v>235</v>
      </c>
      <c r="N1198">
        <v>285</v>
      </c>
      <c r="O1198" s="4">
        <v>1900</v>
      </c>
      <c r="P1198" s="4">
        <v>2248.608154296875</v>
      </c>
      <c r="Q1198" s="5">
        <f t="shared" si="72"/>
        <v>0.18347797594572368</v>
      </c>
      <c r="R1198" s="4">
        <v>3123.0048857109391</v>
      </c>
      <c r="S1198" s="5">
        <f t="shared" si="73"/>
        <v>0.64368678195312579</v>
      </c>
      <c r="T1198" s="4">
        <v>2040.2967539081619</v>
      </c>
      <c r="U1198" s="5">
        <f t="shared" si="74"/>
        <v>7.3840396793769525E-2</v>
      </c>
      <c r="V1198" s="4">
        <v>2138.187255859375</v>
      </c>
      <c r="W1198" s="5">
        <f t="shared" si="75"/>
        <v>0.12536171361019743</v>
      </c>
    </row>
    <row r="1199" spans="1:23" x14ac:dyDescent="0.25">
      <c r="A1199" t="s">
        <v>1611</v>
      </c>
      <c r="B1199">
        <v>2013</v>
      </c>
      <c r="C1199" t="s">
        <v>20</v>
      </c>
      <c r="D1199" t="s">
        <v>81</v>
      </c>
      <c r="E1199">
        <v>147314</v>
      </c>
      <c r="F1199" t="s">
        <v>55</v>
      </c>
      <c r="G1199" t="s">
        <v>30</v>
      </c>
      <c r="H1199" t="s">
        <v>24</v>
      </c>
      <c r="I1199" t="s">
        <v>25</v>
      </c>
      <c r="J1199" s="2">
        <v>45435</v>
      </c>
      <c r="K1199" t="s">
        <v>25</v>
      </c>
      <c r="L1199">
        <v>44310</v>
      </c>
      <c r="M1199">
        <v>235</v>
      </c>
      <c r="N1199">
        <v>285</v>
      </c>
      <c r="O1199" s="4">
        <v>1500</v>
      </c>
      <c r="P1199" s="4">
        <v>1602.292358398438</v>
      </c>
      <c r="Q1199" s="5">
        <f t="shared" si="72"/>
        <v>6.8194905598958577E-2</v>
      </c>
      <c r="R1199" s="4">
        <v>2253.366709520018</v>
      </c>
      <c r="S1199" s="5">
        <f t="shared" si="73"/>
        <v>0.50224447301334529</v>
      </c>
      <c r="T1199" s="4">
        <v>1469.2333566308059</v>
      </c>
      <c r="U1199" s="5">
        <f t="shared" si="74"/>
        <v>-2.0511095579462735E-2</v>
      </c>
      <c r="V1199" s="4">
        <v>1605.192260742188</v>
      </c>
      <c r="W1199" s="5">
        <f t="shared" si="75"/>
        <v>7.0128173828125195E-2</v>
      </c>
    </row>
    <row r="1200" spans="1:23" x14ac:dyDescent="0.25">
      <c r="A1200" t="s">
        <v>1612</v>
      </c>
      <c r="B1200">
        <v>2014</v>
      </c>
      <c r="C1200" t="s">
        <v>20</v>
      </c>
      <c r="D1200" t="s">
        <v>81</v>
      </c>
      <c r="E1200">
        <v>136557</v>
      </c>
      <c r="F1200" t="s">
        <v>48</v>
      </c>
      <c r="G1200" t="s">
        <v>30</v>
      </c>
      <c r="H1200" t="s">
        <v>24</v>
      </c>
      <c r="I1200" t="s">
        <v>25</v>
      </c>
      <c r="J1200" s="2">
        <v>45365</v>
      </c>
      <c r="K1200" t="s">
        <v>25</v>
      </c>
      <c r="L1200">
        <v>44310</v>
      </c>
      <c r="M1200">
        <v>235</v>
      </c>
      <c r="N1200">
        <v>285</v>
      </c>
      <c r="O1200" s="4">
        <v>2600</v>
      </c>
      <c r="P1200" s="4">
        <v>1904.1005859375</v>
      </c>
      <c r="Q1200" s="5">
        <f t="shared" si="72"/>
        <v>-0.26765362079326926</v>
      </c>
      <c r="R1200" s="4">
        <v>4107.3976658804113</v>
      </c>
      <c r="S1200" s="5">
        <f t="shared" si="73"/>
        <v>0.57976833303092734</v>
      </c>
      <c r="T1200" s="4">
        <v>2842.6633967899688</v>
      </c>
      <c r="U1200" s="5">
        <f t="shared" si="74"/>
        <v>9.3332075688449478E-2</v>
      </c>
      <c r="V1200" s="4">
        <v>1761.516479492188</v>
      </c>
      <c r="W1200" s="5">
        <f t="shared" si="75"/>
        <v>-0.32249366173377392</v>
      </c>
    </row>
    <row r="1201" spans="1:23" x14ac:dyDescent="0.25">
      <c r="A1201" t="s">
        <v>1613</v>
      </c>
      <c r="B1201">
        <v>2017</v>
      </c>
      <c r="C1201" t="s">
        <v>20</v>
      </c>
      <c r="D1201" t="s">
        <v>74</v>
      </c>
      <c r="E1201">
        <v>56690</v>
      </c>
      <c r="F1201" t="s">
        <v>22</v>
      </c>
      <c r="G1201" t="s">
        <v>38</v>
      </c>
      <c r="H1201" t="s">
        <v>25</v>
      </c>
      <c r="I1201" t="s">
        <v>24</v>
      </c>
      <c r="J1201" s="2">
        <v>45608</v>
      </c>
      <c r="K1201" t="s">
        <v>25</v>
      </c>
      <c r="L1201">
        <v>44310</v>
      </c>
      <c r="M1201">
        <v>235</v>
      </c>
      <c r="N1201">
        <v>285</v>
      </c>
      <c r="O1201" s="4">
        <v>2400</v>
      </c>
      <c r="P1201" s="4">
        <v>9950.76171875</v>
      </c>
      <c r="Q1201" s="5">
        <f t="shared" si="72"/>
        <v>3.1461507161458337</v>
      </c>
      <c r="R1201" s="4">
        <v>9542.8900951785454</v>
      </c>
      <c r="S1201" s="5">
        <f t="shared" si="73"/>
        <v>2.9762042063243941</v>
      </c>
      <c r="T1201" s="4">
        <v>5531.1282257238427</v>
      </c>
      <c r="U1201" s="5">
        <f t="shared" si="74"/>
        <v>1.3046367607182678</v>
      </c>
      <c r="V1201" s="4">
        <v>9909.63671875</v>
      </c>
      <c r="W1201" s="5">
        <f t="shared" si="75"/>
        <v>3.1290152994791667</v>
      </c>
    </row>
    <row r="1202" spans="1:23" x14ac:dyDescent="0.25">
      <c r="A1202" t="s">
        <v>1614</v>
      </c>
      <c r="B1202">
        <v>2017</v>
      </c>
      <c r="C1202" t="s">
        <v>20</v>
      </c>
      <c r="D1202" t="s">
        <v>76</v>
      </c>
      <c r="E1202">
        <v>83824</v>
      </c>
      <c r="F1202" t="s">
        <v>55</v>
      </c>
      <c r="G1202" t="s">
        <v>34</v>
      </c>
      <c r="H1202" t="s">
        <v>25</v>
      </c>
      <c r="I1202" t="s">
        <v>24</v>
      </c>
      <c r="J1202" s="2">
        <v>45344</v>
      </c>
      <c r="K1202" t="s">
        <v>25</v>
      </c>
      <c r="L1202">
        <v>44310</v>
      </c>
      <c r="M1202">
        <v>235</v>
      </c>
      <c r="N1202">
        <v>285</v>
      </c>
      <c r="O1202" s="4">
        <v>10200</v>
      </c>
      <c r="P1202" s="4">
        <v>7400.75390625</v>
      </c>
      <c r="Q1202" s="5">
        <f t="shared" si="72"/>
        <v>-0.27443589154411763</v>
      </c>
      <c r="R1202" s="4">
        <v>7443.1712564960153</v>
      </c>
      <c r="S1202" s="5">
        <f t="shared" si="73"/>
        <v>-0.2702773277945083</v>
      </c>
      <c r="T1202" s="4">
        <v>3717.8532660668729</v>
      </c>
      <c r="U1202" s="5">
        <f t="shared" si="74"/>
        <v>-0.63550458175814972</v>
      </c>
      <c r="V1202" s="4">
        <v>7398.59814453125</v>
      </c>
      <c r="W1202" s="5">
        <f t="shared" si="75"/>
        <v>-0.27464724073223035</v>
      </c>
    </row>
    <row r="1203" spans="1:23" x14ac:dyDescent="0.25">
      <c r="A1203" t="s">
        <v>1615</v>
      </c>
      <c r="B1203">
        <v>2012</v>
      </c>
      <c r="C1203" t="s">
        <v>20</v>
      </c>
      <c r="D1203" t="s">
        <v>74</v>
      </c>
      <c r="E1203">
        <v>90946</v>
      </c>
      <c r="F1203" t="s">
        <v>48</v>
      </c>
      <c r="G1203" t="s">
        <v>30</v>
      </c>
      <c r="H1203" t="s">
        <v>24</v>
      </c>
      <c r="I1203" t="s">
        <v>25</v>
      </c>
      <c r="J1203" s="2">
        <v>45622</v>
      </c>
      <c r="K1203" t="s">
        <v>25</v>
      </c>
      <c r="L1203">
        <v>44310</v>
      </c>
      <c r="M1203">
        <v>235</v>
      </c>
      <c r="N1203">
        <v>285</v>
      </c>
      <c r="O1203" s="4">
        <v>4000</v>
      </c>
      <c r="P1203" s="4">
        <v>4060.52783203125</v>
      </c>
      <c r="Q1203" s="5">
        <f t="shared" si="72"/>
        <v>1.5131958007812418E-2</v>
      </c>
      <c r="R1203" s="4">
        <v>5311.0190877788318</v>
      </c>
      <c r="S1203" s="5">
        <f t="shared" si="73"/>
        <v>0.32775477194470803</v>
      </c>
      <c r="T1203" s="4">
        <v>3011.9517681435082</v>
      </c>
      <c r="U1203" s="5">
        <f t="shared" si="74"/>
        <v>-0.24701205796412296</v>
      </c>
      <c r="V1203" s="4">
        <v>3642.47998046875</v>
      </c>
      <c r="W1203" s="5">
        <f t="shared" si="75"/>
        <v>-8.9380004882812503E-2</v>
      </c>
    </row>
    <row r="1204" spans="1:23" x14ac:dyDescent="0.25">
      <c r="A1204" t="s">
        <v>1616</v>
      </c>
      <c r="B1204">
        <v>2015</v>
      </c>
      <c r="C1204" t="s">
        <v>20</v>
      </c>
      <c r="D1204" t="s">
        <v>74</v>
      </c>
      <c r="E1204">
        <v>124428</v>
      </c>
      <c r="F1204" t="s">
        <v>89</v>
      </c>
      <c r="G1204" t="s">
        <v>30</v>
      </c>
      <c r="H1204" t="s">
        <v>24</v>
      </c>
      <c r="I1204" t="s">
        <v>25</v>
      </c>
      <c r="J1204" s="2">
        <v>45365</v>
      </c>
      <c r="K1204" t="s">
        <v>25</v>
      </c>
      <c r="L1204">
        <v>44310</v>
      </c>
      <c r="M1204">
        <v>235</v>
      </c>
      <c r="N1204">
        <v>285</v>
      </c>
      <c r="O1204" s="4">
        <v>7650</v>
      </c>
      <c r="P1204" s="4">
        <v>3790.631103515625</v>
      </c>
      <c r="Q1204" s="5">
        <f t="shared" si="72"/>
        <v>-0.50449266620710786</v>
      </c>
      <c r="R1204" s="4">
        <v>4318.2743818354757</v>
      </c>
      <c r="S1204" s="5">
        <f t="shared" si="73"/>
        <v>-0.4355196886489574</v>
      </c>
      <c r="T1204" s="4">
        <v>1935.6160533259499</v>
      </c>
      <c r="U1204" s="5">
        <f t="shared" si="74"/>
        <v>-0.74697829368288238</v>
      </c>
      <c r="V1204" s="4">
        <v>3578.20166015625</v>
      </c>
      <c r="W1204" s="5">
        <f t="shared" si="75"/>
        <v>-0.53226122089460781</v>
      </c>
    </row>
    <row r="1205" spans="1:23" x14ac:dyDescent="0.25">
      <c r="A1205" t="s">
        <v>1617</v>
      </c>
      <c r="B1205">
        <v>2011</v>
      </c>
      <c r="C1205" t="s">
        <v>20</v>
      </c>
      <c r="D1205" t="s">
        <v>81</v>
      </c>
      <c r="E1205">
        <v>52409</v>
      </c>
      <c r="F1205" t="s">
        <v>87</v>
      </c>
      <c r="G1205" t="s">
        <v>30</v>
      </c>
      <c r="H1205" t="s">
        <v>24</v>
      </c>
      <c r="I1205" t="s">
        <v>25</v>
      </c>
      <c r="J1205" s="2">
        <v>45720</v>
      </c>
      <c r="K1205" t="s">
        <v>25</v>
      </c>
      <c r="L1205">
        <v>44310</v>
      </c>
      <c r="M1205">
        <v>235</v>
      </c>
      <c r="N1205">
        <v>285</v>
      </c>
      <c r="O1205" s="4">
        <v>3200</v>
      </c>
      <c r="P1205" s="4">
        <v>7272.6533203125</v>
      </c>
      <c r="Q1205" s="5">
        <f t="shared" si="72"/>
        <v>1.2727041625976563</v>
      </c>
      <c r="R1205" s="4">
        <v>8517.6066198573062</v>
      </c>
      <c r="S1205" s="5">
        <f t="shared" si="73"/>
        <v>1.6617520687054084</v>
      </c>
      <c r="T1205" s="4">
        <v>8576.8398886129908</v>
      </c>
      <c r="U1205" s="5">
        <f t="shared" si="74"/>
        <v>1.6802624651915594</v>
      </c>
      <c r="V1205" s="4">
        <v>6875.98486328125</v>
      </c>
      <c r="W1205" s="5">
        <f t="shared" si="75"/>
        <v>1.1487452697753908</v>
      </c>
    </row>
    <row r="1206" spans="1:23" x14ac:dyDescent="0.25">
      <c r="A1206" t="s">
        <v>1618</v>
      </c>
      <c r="B1206">
        <v>2016</v>
      </c>
      <c r="C1206" t="s">
        <v>20</v>
      </c>
      <c r="D1206" t="s">
        <v>81</v>
      </c>
      <c r="E1206">
        <v>107467</v>
      </c>
      <c r="F1206" t="s">
        <v>261</v>
      </c>
      <c r="G1206" t="s">
        <v>23</v>
      </c>
      <c r="H1206" t="s">
        <v>24</v>
      </c>
      <c r="I1206" t="s">
        <v>25</v>
      </c>
      <c r="J1206" s="2">
        <v>45664</v>
      </c>
      <c r="K1206" t="s">
        <v>25</v>
      </c>
      <c r="L1206">
        <v>44310</v>
      </c>
      <c r="M1206">
        <v>235</v>
      </c>
      <c r="N1206">
        <v>285</v>
      </c>
      <c r="O1206" s="4">
        <v>7600</v>
      </c>
      <c r="P1206" s="4">
        <v>2803.715576171875</v>
      </c>
      <c r="Q1206" s="5">
        <f t="shared" si="72"/>
        <v>-0.63109005576685862</v>
      </c>
      <c r="R1206" s="4">
        <v>4366.5902114861519</v>
      </c>
      <c r="S1206" s="5">
        <f t="shared" si="73"/>
        <v>-0.42544865638340101</v>
      </c>
      <c r="T1206" s="4">
        <v>3220.5668304388382</v>
      </c>
      <c r="U1206" s="5">
        <f t="shared" si="74"/>
        <v>-0.57624120652120547</v>
      </c>
      <c r="V1206" s="4">
        <v>2548.940185546875</v>
      </c>
      <c r="W1206" s="5">
        <f t="shared" si="75"/>
        <v>-0.66461313348067441</v>
      </c>
    </row>
    <row r="1207" spans="1:23" x14ac:dyDescent="0.25">
      <c r="A1207" t="s">
        <v>1619</v>
      </c>
      <c r="B1207">
        <v>2010</v>
      </c>
      <c r="C1207" t="s">
        <v>91</v>
      </c>
      <c r="D1207" t="s">
        <v>816</v>
      </c>
      <c r="E1207">
        <v>79367</v>
      </c>
      <c r="F1207" t="s">
        <v>77</v>
      </c>
      <c r="G1207" t="s">
        <v>34</v>
      </c>
      <c r="H1207" t="s">
        <v>25</v>
      </c>
      <c r="I1207" t="s">
        <v>24</v>
      </c>
      <c r="J1207" s="2">
        <v>45566</v>
      </c>
      <c r="K1207" t="s">
        <v>25</v>
      </c>
      <c r="L1207">
        <v>44310</v>
      </c>
      <c r="M1207">
        <v>235</v>
      </c>
      <c r="N1207">
        <v>285</v>
      </c>
      <c r="O1207" s="4">
        <v>500</v>
      </c>
      <c r="P1207" s="4">
        <v>3402.413330078125</v>
      </c>
      <c r="Q1207" s="5">
        <f t="shared" si="72"/>
        <v>5.8048266601562499</v>
      </c>
      <c r="R1207" s="4">
        <v>4714.6392190516408</v>
      </c>
      <c r="S1207" s="5">
        <f t="shared" si="73"/>
        <v>8.4292784381032817</v>
      </c>
      <c r="T1207" s="4">
        <v>5693.5774927604843</v>
      </c>
      <c r="U1207" s="5">
        <f t="shared" si="74"/>
        <v>10.387154985520969</v>
      </c>
      <c r="V1207" s="4">
        <v>2995.198974609375</v>
      </c>
      <c r="W1207" s="5">
        <f t="shared" si="75"/>
        <v>4.9903979492187496</v>
      </c>
    </row>
    <row r="1208" spans="1:23" x14ac:dyDescent="0.25">
      <c r="A1208" t="s">
        <v>1620</v>
      </c>
      <c r="B1208">
        <v>2017</v>
      </c>
      <c r="C1208" t="s">
        <v>104</v>
      </c>
      <c r="D1208" t="s">
        <v>105</v>
      </c>
      <c r="E1208">
        <v>128840</v>
      </c>
      <c r="F1208" t="s">
        <v>649</v>
      </c>
      <c r="G1208" t="s">
        <v>23</v>
      </c>
      <c r="H1208" t="s">
        <v>24</v>
      </c>
      <c r="I1208" t="s">
        <v>25</v>
      </c>
      <c r="J1208" s="2">
        <v>45468</v>
      </c>
      <c r="K1208" t="s">
        <v>25</v>
      </c>
      <c r="L1208">
        <v>44310</v>
      </c>
      <c r="M1208">
        <v>235</v>
      </c>
      <c r="N1208">
        <v>285</v>
      </c>
      <c r="O1208" s="4">
        <v>2100</v>
      </c>
      <c r="P1208" s="4">
        <v>7005.80419921875</v>
      </c>
      <c r="Q1208" s="5">
        <f t="shared" si="72"/>
        <v>2.3360972377232141</v>
      </c>
      <c r="R1208" s="4">
        <v>7426.9398876085697</v>
      </c>
      <c r="S1208" s="5">
        <f t="shared" si="73"/>
        <v>2.5366380417183665</v>
      </c>
      <c r="T1208" s="4">
        <v>5676.0187237846931</v>
      </c>
      <c r="U1208" s="5">
        <f t="shared" si="74"/>
        <v>1.7028660589450921</v>
      </c>
      <c r="V1208" s="4">
        <v>7073.267578125</v>
      </c>
      <c r="W1208" s="5">
        <f t="shared" si="75"/>
        <v>2.3682226562499999</v>
      </c>
    </row>
    <row r="1209" spans="1:23" x14ac:dyDescent="0.25">
      <c r="A1209" t="s">
        <v>1621</v>
      </c>
      <c r="B1209">
        <v>2019</v>
      </c>
      <c r="C1209" t="s">
        <v>104</v>
      </c>
      <c r="D1209" t="s">
        <v>105</v>
      </c>
      <c r="E1209">
        <v>75606</v>
      </c>
      <c r="F1209" t="s">
        <v>135</v>
      </c>
      <c r="G1209" t="s">
        <v>44</v>
      </c>
      <c r="H1209" t="s">
        <v>25</v>
      </c>
      <c r="I1209" t="s">
        <v>24</v>
      </c>
      <c r="J1209" s="2">
        <v>45370</v>
      </c>
      <c r="K1209" t="s">
        <v>25</v>
      </c>
      <c r="L1209">
        <v>44310</v>
      </c>
      <c r="M1209">
        <v>235</v>
      </c>
      <c r="N1209">
        <v>285</v>
      </c>
      <c r="O1209" s="4">
        <v>16900</v>
      </c>
      <c r="P1209" s="4">
        <v>22078.150390625</v>
      </c>
      <c r="Q1209" s="5">
        <f t="shared" si="72"/>
        <v>0.30639943139792902</v>
      </c>
      <c r="R1209" s="4">
        <v>24326.126043807439</v>
      </c>
      <c r="S1209" s="5">
        <f t="shared" si="73"/>
        <v>0.43941574223712654</v>
      </c>
      <c r="T1209" s="4">
        <v>21612.071642335399</v>
      </c>
      <c r="U1209" s="5">
        <f t="shared" si="74"/>
        <v>0.278820807238781</v>
      </c>
      <c r="V1209" s="4">
        <v>21321.791015625</v>
      </c>
      <c r="W1209" s="5">
        <f t="shared" si="75"/>
        <v>0.2616444387943786</v>
      </c>
    </row>
    <row r="1210" spans="1:23" x14ac:dyDescent="0.25">
      <c r="A1210" t="s">
        <v>1622</v>
      </c>
      <c r="B1210">
        <v>2013</v>
      </c>
      <c r="C1210" t="s">
        <v>104</v>
      </c>
      <c r="D1210" t="s">
        <v>105</v>
      </c>
      <c r="E1210">
        <v>140390</v>
      </c>
      <c r="F1210" t="s">
        <v>334</v>
      </c>
      <c r="G1210" t="s">
        <v>30</v>
      </c>
      <c r="H1210" t="s">
        <v>24</v>
      </c>
      <c r="I1210" t="s">
        <v>25</v>
      </c>
      <c r="J1210" s="2">
        <v>45566</v>
      </c>
      <c r="K1210" t="s">
        <v>25</v>
      </c>
      <c r="L1210">
        <v>44310</v>
      </c>
      <c r="M1210">
        <v>235</v>
      </c>
      <c r="N1210">
        <v>285</v>
      </c>
      <c r="O1210" s="4">
        <v>5000</v>
      </c>
      <c r="P1210" s="4">
        <v>3730.5693359375</v>
      </c>
      <c r="Q1210" s="5">
        <f t="shared" si="72"/>
        <v>-0.25388613281250005</v>
      </c>
      <c r="R1210" s="4">
        <v>4439.5493874531994</v>
      </c>
      <c r="S1210" s="5">
        <f t="shared" si="73"/>
        <v>-0.11209012250936012</v>
      </c>
      <c r="T1210" s="4">
        <v>3516.3482765345589</v>
      </c>
      <c r="U1210" s="5">
        <f t="shared" si="74"/>
        <v>-0.29673034469308823</v>
      </c>
      <c r="V1210" s="4">
        <v>3588.67822265625</v>
      </c>
      <c r="W1210" s="5">
        <f t="shared" si="75"/>
        <v>-0.28226435546874995</v>
      </c>
    </row>
    <row r="1211" spans="1:23" x14ac:dyDescent="0.25">
      <c r="A1211" t="s">
        <v>1623</v>
      </c>
      <c r="B1211">
        <v>2011</v>
      </c>
      <c r="C1211" t="s">
        <v>113</v>
      </c>
      <c r="D1211" t="s">
        <v>114</v>
      </c>
      <c r="E1211">
        <v>117143</v>
      </c>
      <c r="F1211" t="s">
        <v>246</v>
      </c>
      <c r="G1211" t="s">
        <v>34</v>
      </c>
      <c r="H1211" t="s">
        <v>25</v>
      </c>
      <c r="I1211" t="s">
        <v>24</v>
      </c>
      <c r="J1211" s="2">
        <v>45510</v>
      </c>
      <c r="K1211" t="s">
        <v>25</v>
      </c>
      <c r="L1211">
        <v>44310</v>
      </c>
      <c r="M1211">
        <v>235</v>
      </c>
      <c r="N1211">
        <v>285</v>
      </c>
      <c r="O1211" s="4">
        <v>8500</v>
      </c>
      <c r="P1211" s="4">
        <v>3542.801513671875</v>
      </c>
      <c r="Q1211" s="5">
        <f t="shared" si="72"/>
        <v>-0.58319982192095587</v>
      </c>
      <c r="R1211" s="4">
        <v>3737.685723890927</v>
      </c>
      <c r="S1211" s="5">
        <f t="shared" si="73"/>
        <v>-0.56027226777753802</v>
      </c>
      <c r="T1211" s="4">
        <v>5223.0683514100092</v>
      </c>
      <c r="U1211" s="5">
        <f t="shared" si="74"/>
        <v>-0.38552137042235191</v>
      </c>
      <c r="V1211" s="4">
        <v>3466.266845703125</v>
      </c>
      <c r="W1211" s="5">
        <f t="shared" si="75"/>
        <v>-0.59220390050551464</v>
      </c>
    </row>
    <row r="1212" spans="1:23" x14ac:dyDescent="0.25">
      <c r="A1212" t="s">
        <v>1624</v>
      </c>
      <c r="B1212">
        <v>2016</v>
      </c>
      <c r="C1212" t="s">
        <v>185</v>
      </c>
      <c r="D1212" t="s">
        <v>536</v>
      </c>
      <c r="E1212">
        <v>93172</v>
      </c>
      <c r="F1212" t="s">
        <v>254</v>
      </c>
      <c r="G1212" t="s">
        <v>38</v>
      </c>
      <c r="H1212" t="s">
        <v>25</v>
      </c>
      <c r="I1212" t="s">
        <v>24</v>
      </c>
      <c r="J1212" s="2">
        <v>45344</v>
      </c>
      <c r="K1212" t="s">
        <v>25</v>
      </c>
      <c r="L1212">
        <v>44310</v>
      </c>
      <c r="M1212">
        <v>235</v>
      </c>
      <c r="N1212">
        <v>285</v>
      </c>
      <c r="O1212" s="4">
        <v>10000</v>
      </c>
      <c r="P1212" s="4">
        <v>6891.18896484375</v>
      </c>
      <c r="Q1212" s="5">
        <f t="shared" si="72"/>
        <v>-0.31088110351562503</v>
      </c>
      <c r="R1212" s="4">
        <v>6730.7428849388789</v>
      </c>
      <c r="S1212" s="5">
        <f t="shared" si="73"/>
        <v>-0.32692571150611216</v>
      </c>
      <c r="T1212" s="4">
        <v>8345.9196620816729</v>
      </c>
      <c r="U1212" s="5">
        <f t="shared" si="74"/>
        <v>-0.16540803379183266</v>
      </c>
      <c r="V1212" s="4">
        <v>7020.662109375</v>
      </c>
      <c r="W1212" s="5">
        <f t="shared" si="75"/>
        <v>-0.29793378906250001</v>
      </c>
    </row>
    <row r="1213" spans="1:23" x14ac:dyDescent="0.25">
      <c r="A1213" t="s">
        <v>1625</v>
      </c>
      <c r="B1213">
        <v>2012</v>
      </c>
      <c r="C1213" t="s">
        <v>120</v>
      </c>
      <c r="D1213" t="s">
        <v>1626</v>
      </c>
      <c r="E1213">
        <v>160510</v>
      </c>
      <c r="F1213" t="s">
        <v>334</v>
      </c>
      <c r="G1213" t="s">
        <v>23</v>
      </c>
      <c r="H1213" t="s">
        <v>24</v>
      </c>
      <c r="I1213" t="s">
        <v>25</v>
      </c>
      <c r="J1213" s="2">
        <v>45407</v>
      </c>
      <c r="K1213" t="s">
        <v>25</v>
      </c>
      <c r="L1213">
        <v>44310</v>
      </c>
      <c r="M1213">
        <v>235</v>
      </c>
      <c r="N1213">
        <v>285</v>
      </c>
      <c r="O1213" s="4">
        <v>2700</v>
      </c>
      <c r="P1213" s="4">
        <v>1063.506591796875</v>
      </c>
      <c r="Q1213" s="5">
        <f t="shared" si="72"/>
        <v>-0.6061086697048611</v>
      </c>
      <c r="R1213" s="4">
        <v>1288.9289279860791</v>
      </c>
      <c r="S1213" s="5">
        <f t="shared" si="73"/>
        <v>-0.52261891556071149</v>
      </c>
      <c r="T1213" s="4">
        <v>1487.096640788393</v>
      </c>
      <c r="U1213" s="5">
        <f t="shared" si="74"/>
        <v>-0.44922346637466926</v>
      </c>
      <c r="V1213" s="4">
        <v>1205.018920898438</v>
      </c>
      <c r="W1213" s="5">
        <f t="shared" si="75"/>
        <v>-0.55369669596354143</v>
      </c>
    </row>
    <row r="1214" spans="1:23" x14ac:dyDescent="0.25">
      <c r="A1214" t="s">
        <v>1627</v>
      </c>
      <c r="B1214">
        <v>2014</v>
      </c>
      <c r="C1214" t="s">
        <v>46</v>
      </c>
      <c r="D1214" t="s">
        <v>234</v>
      </c>
      <c r="E1214">
        <v>121474</v>
      </c>
      <c r="F1214" t="s">
        <v>72</v>
      </c>
      <c r="G1214" t="s">
        <v>30</v>
      </c>
      <c r="H1214" t="s">
        <v>24</v>
      </c>
      <c r="I1214" t="s">
        <v>25</v>
      </c>
      <c r="J1214" s="2">
        <v>45589</v>
      </c>
      <c r="K1214" t="s">
        <v>25</v>
      </c>
      <c r="L1214">
        <v>44310</v>
      </c>
      <c r="M1214">
        <v>235</v>
      </c>
      <c r="N1214">
        <v>285</v>
      </c>
      <c r="O1214" s="4">
        <v>9000</v>
      </c>
      <c r="P1214" s="4">
        <v>4996.72119140625</v>
      </c>
      <c r="Q1214" s="5">
        <f t="shared" si="72"/>
        <v>-0.44480875651041663</v>
      </c>
      <c r="R1214" s="4">
        <v>6577.1171457590453</v>
      </c>
      <c r="S1214" s="5">
        <f t="shared" si="73"/>
        <v>-0.26920920602677278</v>
      </c>
      <c r="T1214" s="4">
        <v>4090.689138077832</v>
      </c>
      <c r="U1214" s="5">
        <f t="shared" si="74"/>
        <v>-0.54547898465801858</v>
      </c>
      <c r="V1214" s="4">
        <v>4500.009765625</v>
      </c>
      <c r="W1214" s="5">
        <f t="shared" si="75"/>
        <v>-0.49999891493055559</v>
      </c>
    </row>
    <row r="1215" spans="1:23" x14ac:dyDescent="0.25">
      <c r="A1215" t="s">
        <v>1628</v>
      </c>
      <c r="B1215">
        <v>2018</v>
      </c>
      <c r="C1215" t="s">
        <v>53</v>
      </c>
      <c r="D1215" t="s">
        <v>582</v>
      </c>
      <c r="E1215">
        <v>67447</v>
      </c>
      <c r="F1215" t="s">
        <v>214</v>
      </c>
      <c r="G1215" t="s">
        <v>30</v>
      </c>
      <c r="H1215" t="s">
        <v>24</v>
      </c>
      <c r="I1215" t="s">
        <v>25</v>
      </c>
      <c r="J1215" s="2">
        <v>45622</v>
      </c>
      <c r="K1215" t="s">
        <v>25</v>
      </c>
      <c r="L1215">
        <v>44310</v>
      </c>
      <c r="M1215">
        <v>235</v>
      </c>
      <c r="N1215">
        <v>285</v>
      </c>
      <c r="O1215" s="4">
        <v>18000</v>
      </c>
      <c r="P1215" s="4">
        <v>14626.8212890625</v>
      </c>
      <c r="Q1215" s="5">
        <f t="shared" si="72"/>
        <v>-0.18739881727430552</v>
      </c>
      <c r="R1215" s="4">
        <v>15085.32452855367</v>
      </c>
      <c r="S1215" s="5">
        <f t="shared" si="73"/>
        <v>-0.16192641508035166</v>
      </c>
      <c r="T1215" s="4">
        <v>14785.592349874611</v>
      </c>
      <c r="U1215" s="5">
        <f t="shared" si="74"/>
        <v>-0.1785782027847439</v>
      </c>
      <c r="V1215" s="4">
        <v>14788.0859375</v>
      </c>
      <c r="W1215" s="5">
        <f t="shared" si="75"/>
        <v>-0.17843967013888884</v>
      </c>
    </row>
    <row r="1216" spans="1:23" x14ac:dyDescent="0.25">
      <c r="A1216" t="s">
        <v>1629</v>
      </c>
      <c r="B1216">
        <v>2015</v>
      </c>
      <c r="C1216" t="s">
        <v>20</v>
      </c>
      <c r="D1216" t="s">
        <v>236</v>
      </c>
      <c r="E1216">
        <v>79298</v>
      </c>
      <c r="F1216" t="s">
        <v>43</v>
      </c>
      <c r="G1216" t="s">
        <v>44</v>
      </c>
      <c r="H1216" t="s">
        <v>25</v>
      </c>
      <c r="I1216" t="s">
        <v>24</v>
      </c>
      <c r="J1216" s="2">
        <v>45664</v>
      </c>
      <c r="K1216" t="s">
        <v>25</v>
      </c>
      <c r="L1216">
        <v>44310</v>
      </c>
      <c r="M1216">
        <v>235</v>
      </c>
      <c r="N1216">
        <v>285</v>
      </c>
      <c r="O1216" s="4">
        <v>12800</v>
      </c>
      <c r="P1216" s="4">
        <v>9974.9677734375</v>
      </c>
      <c r="Q1216" s="5">
        <f t="shared" si="72"/>
        <v>-0.22070564270019533</v>
      </c>
      <c r="R1216" s="4">
        <v>10532.155770900339</v>
      </c>
      <c r="S1216" s="5">
        <f t="shared" si="73"/>
        <v>-0.17717533039841105</v>
      </c>
      <c r="T1216" s="4">
        <v>14192.299775068501</v>
      </c>
      <c r="U1216" s="5">
        <f t="shared" si="74"/>
        <v>0.10877341992722656</v>
      </c>
      <c r="V1216" s="4">
        <v>9650.7177734375</v>
      </c>
      <c r="W1216" s="5">
        <f t="shared" si="75"/>
        <v>-0.24603767395019527</v>
      </c>
    </row>
    <row r="1217" spans="1:23" x14ac:dyDescent="0.25">
      <c r="A1217" t="s">
        <v>1630</v>
      </c>
      <c r="B1217">
        <v>2012</v>
      </c>
      <c r="C1217" t="s">
        <v>104</v>
      </c>
      <c r="D1217" t="s">
        <v>126</v>
      </c>
      <c r="E1217">
        <v>88650</v>
      </c>
      <c r="F1217" t="s">
        <v>246</v>
      </c>
      <c r="G1217" t="s">
        <v>34</v>
      </c>
      <c r="H1217" t="s">
        <v>25</v>
      </c>
      <c r="I1217" t="s">
        <v>24</v>
      </c>
      <c r="J1217" s="2">
        <v>45384</v>
      </c>
      <c r="K1217" t="s">
        <v>25</v>
      </c>
      <c r="L1217">
        <v>44310</v>
      </c>
      <c r="M1217">
        <v>235</v>
      </c>
      <c r="N1217">
        <v>285</v>
      </c>
      <c r="O1217" s="4">
        <v>4000</v>
      </c>
      <c r="P1217" s="4">
        <v>3078.8173828125</v>
      </c>
      <c r="Q1217" s="5">
        <f t="shared" si="72"/>
        <v>-0.23029565429687504</v>
      </c>
      <c r="R1217" s="4">
        <v>6695.7528035795567</v>
      </c>
      <c r="S1217" s="5">
        <f t="shared" si="73"/>
        <v>0.67393820089488909</v>
      </c>
      <c r="T1217" s="4">
        <v>5599.0389334169286</v>
      </c>
      <c r="U1217" s="5">
        <f t="shared" si="74"/>
        <v>0.39975973335423221</v>
      </c>
      <c r="V1217" s="4">
        <v>2913.70068359375</v>
      </c>
      <c r="W1217" s="5">
        <f t="shared" si="75"/>
        <v>-0.2715748291015625</v>
      </c>
    </row>
    <row r="1218" spans="1:23" x14ac:dyDescent="0.25">
      <c r="A1218" t="s">
        <v>1631</v>
      </c>
      <c r="B1218">
        <v>2014</v>
      </c>
      <c r="C1218" t="s">
        <v>113</v>
      </c>
      <c r="D1218" t="s">
        <v>701</v>
      </c>
      <c r="E1218">
        <v>113284</v>
      </c>
      <c r="F1218" t="s">
        <v>141</v>
      </c>
      <c r="G1218" t="s">
        <v>38</v>
      </c>
      <c r="H1218" t="s">
        <v>25</v>
      </c>
      <c r="I1218" t="s">
        <v>24</v>
      </c>
      <c r="J1218" s="2">
        <v>45454</v>
      </c>
      <c r="K1218" t="s">
        <v>25</v>
      </c>
      <c r="L1218">
        <v>44310</v>
      </c>
      <c r="M1218">
        <v>235</v>
      </c>
      <c r="N1218">
        <v>285</v>
      </c>
      <c r="O1218" s="4">
        <v>4900</v>
      </c>
      <c r="P1218" s="4">
        <v>6230.98193359375</v>
      </c>
      <c r="Q1218" s="5">
        <f t="shared" si="72"/>
        <v>0.27162896603954079</v>
      </c>
      <c r="R1218" s="4">
        <v>6160.2134211241482</v>
      </c>
      <c r="S1218" s="5">
        <f t="shared" si="73"/>
        <v>0.25718641247431595</v>
      </c>
      <c r="T1218" s="4">
        <v>6483.8245333966624</v>
      </c>
      <c r="U1218" s="5">
        <f t="shared" si="74"/>
        <v>0.32322949661156386</v>
      </c>
      <c r="V1218" s="4">
        <v>6124.21875</v>
      </c>
      <c r="W1218" s="5">
        <f t="shared" si="75"/>
        <v>0.24984056122448983</v>
      </c>
    </row>
    <row r="1219" spans="1:23" x14ac:dyDescent="0.25">
      <c r="A1219" t="s">
        <v>1632</v>
      </c>
      <c r="B1219">
        <v>2016</v>
      </c>
      <c r="C1219" t="s">
        <v>139</v>
      </c>
      <c r="D1219" t="s">
        <v>283</v>
      </c>
      <c r="E1219">
        <v>82599</v>
      </c>
      <c r="F1219" t="s">
        <v>89</v>
      </c>
      <c r="G1219" t="s">
        <v>38</v>
      </c>
      <c r="H1219" t="s">
        <v>25</v>
      </c>
      <c r="I1219" t="s">
        <v>24</v>
      </c>
      <c r="J1219" s="2">
        <v>45412</v>
      </c>
      <c r="K1219" t="s">
        <v>25</v>
      </c>
      <c r="L1219">
        <v>44310</v>
      </c>
      <c r="M1219">
        <v>235</v>
      </c>
      <c r="N1219">
        <v>285</v>
      </c>
      <c r="O1219" s="4">
        <v>12000</v>
      </c>
      <c r="P1219" s="4">
        <v>7678.35546875</v>
      </c>
      <c r="Q1219" s="5">
        <f t="shared" ref="Q1219:Q1282" si="76">(P1219/$O1219)-1</f>
        <v>-0.36013704427083337</v>
      </c>
      <c r="R1219" s="4">
        <v>8191.104969319058</v>
      </c>
      <c r="S1219" s="5">
        <f t="shared" ref="S1219:S1282" si="77">(R1219/$O1219)-1</f>
        <v>-0.31740791922341183</v>
      </c>
      <c r="T1219" s="4">
        <v>8063.6401804604784</v>
      </c>
      <c r="U1219" s="5">
        <f t="shared" ref="U1219:U1282" si="78">(T1219/$O1219)-1</f>
        <v>-0.32802998496162683</v>
      </c>
      <c r="V1219" s="4">
        <v>7649.84130859375</v>
      </c>
      <c r="W1219" s="5">
        <f t="shared" ref="W1219:W1282" si="79">(V1219/$O1219)-1</f>
        <v>-0.36251322428385413</v>
      </c>
    </row>
    <row r="1220" spans="1:23" x14ac:dyDescent="0.25">
      <c r="A1220" t="s">
        <v>1633</v>
      </c>
      <c r="B1220">
        <v>2013</v>
      </c>
      <c r="C1220" t="s">
        <v>248</v>
      </c>
      <c r="D1220">
        <v>500</v>
      </c>
      <c r="E1220">
        <v>94060</v>
      </c>
      <c r="F1220" t="s">
        <v>334</v>
      </c>
      <c r="G1220" t="s">
        <v>23</v>
      </c>
      <c r="H1220" t="s">
        <v>24</v>
      </c>
      <c r="I1220" t="s">
        <v>25</v>
      </c>
      <c r="J1220" s="2">
        <v>45398</v>
      </c>
      <c r="K1220" t="s">
        <v>25</v>
      </c>
      <c r="L1220">
        <v>44310</v>
      </c>
      <c r="M1220">
        <v>235</v>
      </c>
      <c r="N1220">
        <v>285</v>
      </c>
      <c r="O1220" s="4">
        <v>3600</v>
      </c>
      <c r="P1220" s="4">
        <v>2774.78125</v>
      </c>
      <c r="Q1220" s="5">
        <f t="shared" si="76"/>
        <v>-0.2292274305555555</v>
      </c>
      <c r="R1220" s="4">
        <v>3751.1940929516709</v>
      </c>
      <c r="S1220" s="5">
        <f t="shared" si="77"/>
        <v>4.1998359153242015E-2</v>
      </c>
      <c r="T1220" s="4">
        <v>2328.01873250065</v>
      </c>
      <c r="U1220" s="5">
        <f t="shared" si="78"/>
        <v>-0.35332812986093054</v>
      </c>
      <c r="V1220" s="4">
        <v>2523.55908203125</v>
      </c>
      <c r="W1220" s="5">
        <f t="shared" si="79"/>
        <v>-0.29901136610243051</v>
      </c>
    </row>
    <row r="1221" spans="1:23" x14ac:dyDescent="0.25">
      <c r="A1221" t="s">
        <v>1634</v>
      </c>
      <c r="B1221">
        <v>2017</v>
      </c>
      <c r="C1221" t="s">
        <v>248</v>
      </c>
      <c r="D1221">
        <v>500</v>
      </c>
      <c r="E1221">
        <v>51440</v>
      </c>
      <c r="F1221" t="s">
        <v>89</v>
      </c>
      <c r="G1221" t="s">
        <v>34</v>
      </c>
      <c r="H1221" t="s">
        <v>25</v>
      </c>
      <c r="I1221" t="s">
        <v>24</v>
      </c>
      <c r="J1221" s="2">
        <v>45566</v>
      </c>
      <c r="K1221" t="s">
        <v>25</v>
      </c>
      <c r="L1221">
        <v>44310</v>
      </c>
      <c r="M1221">
        <v>235</v>
      </c>
      <c r="N1221">
        <v>285</v>
      </c>
      <c r="O1221" s="4">
        <v>2975</v>
      </c>
      <c r="P1221" s="4">
        <v>8506.98046875</v>
      </c>
      <c r="Q1221" s="5">
        <f t="shared" si="76"/>
        <v>1.8594892331932775</v>
      </c>
      <c r="R1221" s="4">
        <v>9579.5097910454642</v>
      </c>
      <c r="S1221" s="5">
        <f t="shared" si="77"/>
        <v>2.220003291107719</v>
      </c>
      <c r="T1221" s="4">
        <v>3921.0007452906862</v>
      </c>
      <c r="U1221" s="5">
        <f t="shared" si="78"/>
        <v>0.31798344379518872</v>
      </c>
      <c r="V1221" s="4">
        <v>8064.46435546875</v>
      </c>
      <c r="W1221" s="5">
        <f t="shared" si="79"/>
        <v>1.7107443211659663</v>
      </c>
    </row>
    <row r="1222" spans="1:23" x14ac:dyDescent="0.25">
      <c r="A1222" t="s">
        <v>1635</v>
      </c>
      <c r="B1222">
        <v>2019</v>
      </c>
      <c r="C1222" t="s">
        <v>32</v>
      </c>
      <c r="D1222" t="s">
        <v>143</v>
      </c>
      <c r="E1222">
        <v>65791</v>
      </c>
      <c r="F1222" t="s">
        <v>102</v>
      </c>
      <c r="G1222" t="s">
        <v>44</v>
      </c>
      <c r="H1222" t="s">
        <v>25</v>
      </c>
      <c r="I1222" t="s">
        <v>24</v>
      </c>
      <c r="J1222" s="2">
        <v>45454</v>
      </c>
      <c r="K1222" t="s">
        <v>25</v>
      </c>
      <c r="L1222">
        <v>44310</v>
      </c>
      <c r="M1222">
        <v>235</v>
      </c>
      <c r="N1222">
        <v>285</v>
      </c>
      <c r="O1222" s="4">
        <v>15800</v>
      </c>
      <c r="P1222" s="4">
        <v>15314.4072265625</v>
      </c>
      <c r="Q1222" s="5">
        <f t="shared" si="76"/>
        <v>-3.0733719837816476E-2</v>
      </c>
      <c r="R1222" s="4">
        <v>16281.72537057201</v>
      </c>
      <c r="S1222" s="5">
        <f t="shared" si="77"/>
        <v>3.0488947504557551E-2</v>
      </c>
      <c r="T1222" s="4">
        <v>17297.768846771502</v>
      </c>
      <c r="U1222" s="5">
        <f t="shared" si="78"/>
        <v>9.4795496631107756E-2</v>
      </c>
      <c r="V1222" s="4">
        <v>15333.6572265625</v>
      </c>
      <c r="W1222" s="5">
        <f t="shared" si="79"/>
        <v>-2.9515365407436711E-2</v>
      </c>
    </row>
    <row r="1223" spans="1:23" x14ac:dyDescent="0.25">
      <c r="A1223" t="s">
        <v>1636</v>
      </c>
      <c r="B1223">
        <v>2021</v>
      </c>
      <c r="C1223" t="s">
        <v>32</v>
      </c>
      <c r="D1223" t="s">
        <v>143</v>
      </c>
      <c r="E1223">
        <v>72631</v>
      </c>
      <c r="F1223" t="s">
        <v>250</v>
      </c>
      <c r="G1223" t="s">
        <v>38</v>
      </c>
      <c r="H1223" t="s">
        <v>25</v>
      </c>
      <c r="I1223" t="s">
        <v>24</v>
      </c>
      <c r="J1223" s="2">
        <v>45664</v>
      </c>
      <c r="K1223" t="s">
        <v>25</v>
      </c>
      <c r="L1223">
        <v>44310</v>
      </c>
      <c r="M1223">
        <v>235</v>
      </c>
      <c r="N1223">
        <v>285</v>
      </c>
      <c r="O1223" s="4">
        <v>16000</v>
      </c>
      <c r="P1223" s="4">
        <v>17192.65234375</v>
      </c>
      <c r="Q1223" s="5">
        <f t="shared" si="76"/>
        <v>7.4540771484375101E-2</v>
      </c>
      <c r="R1223" s="4">
        <v>19794.27647622523</v>
      </c>
      <c r="S1223" s="5">
        <f t="shared" si="77"/>
        <v>0.23714227976407698</v>
      </c>
      <c r="T1223" s="4">
        <v>17445.5918895168</v>
      </c>
      <c r="U1223" s="5">
        <f t="shared" si="78"/>
        <v>9.0349493094799893E-2</v>
      </c>
      <c r="V1223" s="4">
        <v>16621.990234375</v>
      </c>
      <c r="W1223" s="5">
        <f t="shared" si="79"/>
        <v>3.8874389648437591E-2</v>
      </c>
    </row>
    <row r="1224" spans="1:23" x14ac:dyDescent="0.25">
      <c r="A1224" t="s">
        <v>1637</v>
      </c>
      <c r="B1224">
        <v>2014</v>
      </c>
      <c r="C1224" t="s">
        <v>46</v>
      </c>
      <c r="D1224" t="s">
        <v>145</v>
      </c>
      <c r="E1224">
        <v>131574</v>
      </c>
      <c r="F1224" t="s">
        <v>66</v>
      </c>
      <c r="G1224" t="s">
        <v>23</v>
      </c>
      <c r="H1224" t="s">
        <v>24</v>
      </c>
      <c r="I1224" t="s">
        <v>25</v>
      </c>
      <c r="J1224" s="2">
        <v>45426</v>
      </c>
      <c r="K1224" t="s">
        <v>25</v>
      </c>
      <c r="L1224">
        <v>44310</v>
      </c>
      <c r="M1224">
        <v>235</v>
      </c>
      <c r="N1224">
        <v>285</v>
      </c>
      <c r="O1224" s="4">
        <v>1900</v>
      </c>
      <c r="P1224" s="4">
        <v>2877.279541015625</v>
      </c>
      <c r="Q1224" s="5">
        <f t="shared" si="76"/>
        <v>0.51435765316611848</v>
      </c>
      <c r="R1224" s="4">
        <v>3039.1401697363949</v>
      </c>
      <c r="S1224" s="5">
        <f t="shared" si="77"/>
        <v>0.59954745775599738</v>
      </c>
      <c r="T1224" s="4">
        <v>1756.8794759682571</v>
      </c>
      <c r="U1224" s="5">
        <f t="shared" si="78"/>
        <v>-7.5326591595654135E-2</v>
      </c>
      <c r="V1224" s="4">
        <v>2756.970947265625</v>
      </c>
      <c r="W1224" s="5">
        <f t="shared" si="79"/>
        <v>0.45103734066611834</v>
      </c>
    </row>
    <row r="1225" spans="1:23" x14ac:dyDescent="0.25">
      <c r="A1225" t="s">
        <v>1638</v>
      </c>
      <c r="B1225">
        <v>2017</v>
      </c>
      <c r="C1225" t="s">
        <v>53</v>
      </c>
      <c r="D1225" t="s">
        <v>590</v>
      </c>
      <c r="E1225">
        <v>66059</v>
      </c>
      <c r="F1225" t="s">
        <v>254</v>
      </c>
      <c r="G1225" t="s">
        <v>30</v>
      </c>
      <c r="H1225" t="s">
        <v>24</v>
      </c>
      <c r="I1225" t="s">
        <v>25</v>
      </c>
      <c r="J1225" s="2">
        <v>45356</v>
      </c>
      <c r="K1225" t="s">
        <v>25</v>
      </c>
      <c r="L1225">
        <v>44310</v>
      </c>
      <c r="M1225">
        <v>235</v>
      </c>
      <c r="N1225">
        <v>285</v>
      </c>
      <c r="O1225" s="4">
        <v>9100</v>
      </c>
      <c r="P1225" s="4">
        <v>12875.515625</v>
      </c>
      <c r="Q1225" s="5">
        <f t="shared" si="76"/>
        <v>0.41489182692307702</v>
      </c>
      <c r="R1225" s="4">
        <v>12224.501536693961</v>
      </c>
      <c r="S1225" s="5">
        <f t="shared" si="77"/>
        <v>0.34335181721911656</v>
      </c>
      <c r="T1225" s="4">
        <v>7359.1195974794246</v>
      </c>
      <c r="U1225" s="5">
        <f t="shared" si="78"/>
        <v>-0.19130553873852474</v>
      </c>
      <c r="V1225" s="4">
        <v>13015.5361328125</v>
      </c>
      <c r="W1225" s="5">
        <f t="shared" si="79"/>
        <v>0.43027869591346146</v>
      </c>
    </row>
    <row r="1226" spans="1:23" x14ac:dyDescent="0.25">
      <c r="A1226" t="s">
        <v>1639</v>
      </c>
      <c r="B1226">
        <v>2019</v>
      </c>
      <c r="C1226" t="s">
        <v>53</v>
      </c>
      <c r="D1226" t="s">
        <v>150</v>
      </c>
      <c r="E1226">
        <v>227861</v>
      </c>
      <c r="F1226" t="s">
        <v>77</v>
      </c>
      <c r="G1226" t="s">
        <v>30</v>
      </c>
      <c r="H1226" t="s">
        <v>24</v>
      </c>
      <c r="I1226" t="s">
        <v>25</v>
      </c>
      <c r="J1226" s="2">
        <v>45678</v>
      </c>
      <c r="K1226" t="s">
        <v>25</v>
      </c>
      <c r="L1226">
        <v>44310</v>
      </c>
      <c r="M1226">
        <v>235</v>
      </c>
      <c r="N1226">
        <v>285</v>
      </c>
      <c r="O1226" s="4">
        <v>10000</v>
      </c>
      <c r="P1226" s="4">
        <v>6640.86474609375</v>
      </c>
      <c r="Q1226" s="5">
        <f t="shared" si="76"/>
        <v>-0.33591352539062502</v>
      </c>
      <c r="R1226" s="4">
        <v>9036.8124365018266</v>
      </c>
      <c r="S1226" s="5">
        <f t="shared" si="77"/>
        <v>-9.6318756349817347E-2</v>
      </c>
      <c r="T1226" s="4">
        <v>2452.589052252843</v>
      </c>
      <c r="U1226" s="5">
        <f t="shared" si="78"/>
        <v>-0.75474109477471574</v>
      </c>
      <c r="V1226" s="4">
        <v>6145.0302734375</v>
      </c>
      <c r="W1226" s="5">
        <f t="shared" si="79"/>
        <v>-0.38549697265625005</v>
      </c>
    </row>
    <row r="1227" spans="1:23" x14ac:dyDescent="0.25">
      <c r="A1227" t="s">
        <v>1640</v>
      </c>
      <c r="B1227">
        <v>2020</v>
      </c>
      <c r="C1227" t="s">
        <v>369</v>
      </c>
      <c r="D1227" t="s">
        <v>419</v>
      </c>
      <c r="E1227">
        <v>46239</v>
      </c>
      <c r="F1227" t="s">
        <v>214</v>
      </c>
      <c r="G1227" t="s">
        <v>38</v>
      </c>
      <c r="H1227" t="s">
        <v>25</v>
      </c>
      <c r="I1227" t="s">
        <v>24</v>
      </c>
      <c r="J1227" s="2">
        <v>45484</v>
      </c>
      <c r="K1227" t="s">
        <v>25</v>
      </c>
      <c r="L1227">
        <v>44310</v>
      </c>
      <c r="M1227">
        <v>235</v>
      </c>
      <c r="N1227">
        <v>285</v>
      </c>
      <c r="O1227" s="4">
        <v>20600</v>
      </c>
      <c r="P1227" s="4">
        <v>20648.984375</v>
      </c>
      <c r="Q1227" s="5">
        <f t="shared" si="76"/>
        <v>2.3778822815534451E-3</v>
      </c>
      <c r="R1227" s="4">
        <v>20183.937884628169</v>
      </c>
      <c r="S1227" s="5">
        <f t="shared" si="77"/>
        <v>-2.0197190066593707E-2</v>
      </c>
      <c r="T1227" s="4">
        <v>20250.61871367574</v>
      </c>
      <c r="U1227" s="5">
        <f t="shared" si="78"/>
        <v>-1.6960256617682523E-2</v>
      </c>
      <c r="V1227" s="4">
        <v>20980.275390625</v>
      </c>
      <c r="W1227" s="5">
        <f t="shared" si="79"/>
        <v>1.8459970418689409E-2</v>
      </c>
    </row>
    <row r="1228" spans="1:23" x14ac:dyDescent="0.25">
      <c r="A1228" t="s">
        <v>1641</v>
      </c>
      <c r="B1228">
        <v>2021</v>
      </c>
      <c r="C1228" t="s">
        <v>20</v>
      </c>
      <c r="D1228" t="s">
        <v>21</v>
      </c>
      <c r="E1228">
        <v>76640</v>
      </c>
      <c r="F1228" t="s">
        <v>174</v>
      </c>
      <c r="G1228" t="s">
        <v>34</v>
      </c>
      <c r="H1228" t="s">
        <v>25</v>
      </c>
      <c r="I1228" t="s">
        <v>24</v>
      </c>
      <c r="J1228" s="2">
        <v>45636</v>
      </c>
      <c r="K1228" t="s">
        <v>25</v>
      </c>
      <c r="L1228">
        <v>44310</v>
      </c>
      <c r="M1228">
        <v>235</v>
      </c>
      <c r="N1228">
        <v>285</v>
      </c>
      <c r="O1228" s="4">
        <v>22000</v>
      </c>
      <c r="P1228" s="4">
        <v>17935.451171875</v>
      </c>
      <c r="Q1228" s="5">
        <f t="shared" si="76"/>
        <v>-0.18475221946022724</v>
      </c>
      <c r="R1228" s="4">
        <v>20943.609880929609</v>
      </c>
      <c r="S1228" s="5">
        <f t="shared" si="77"/>
        <v>-4.8017732685017744E-2</v>
      </c>
      <c r="T1228" s="4">
        <v>16414.281352776408</v>
      </c>
      <c r="U1228" s="5">
        <f t="shared" si="78"/>
        <v>-0.25389630214652692</v>
      </c>
      <c r="V1228" s="4">
        <v>17134.041015625</v>
      </c>
      <c r="W1228" s="5">
        <f t="shared" si="79"/>
        <v>-0.22117995383522726</v>
      </c>
    </row>
    <row r="1229" spans="1:23" x14ac:dyDescent="0.25">
      <c r="A1229" t="s">
        <v>1642</v>
      </c>
      <c r="B1229">
        <v>2021</v>
      </c>
      <c r="C1229" t="s">
        <v>156</v>
      </c>
      <c r="D1229" t="s">
        <v>157</v>
      </c>
      <c r="E1229">
        <v>139358</v>
      </c>
      <c r="F1229" t="s">
        <v>254</v>
      </c>
      <c r="G1229" t="s">
        <v>23</v>
      </c>
      <c r="H1229" t="s">
        <v>24</v>
      </c>
      <c r="I1229" t="s">
        <v>25</v>
      </c>
      <c r="J1229" s="2">
        <v>45715</v>
      </c>
      <c r="K1229" t="s">
        <v>25</v>
      </c>
      <c r="L1229">
        <v>44310</v>
      </c>
      <c r="M1229">
        <v>235</v>
      </c>
      <c r="N1229">
        <v>285</v>
      </c>
      <c r="O1229" s="4">
        <v>13800</v>
      </c>
      <c r="P1229" s="4">
        <v>9105.2109375</v>
      </c>
      <c r="Q1229" s="5">
        <f t="shared" si="76"/>
        <v>-0.34020210597826084</v>
      </c>
      <c r="R1229" s="4">
        <v>9540.9403955029338</v>
      </c>
      <c r="S1229" s="5">
        <f t="shared" si="77"/>
        <v>-0.30862750757225121</v>
      </c>
      <c r="T1229" s="4">
        <v>6539.8398103470681</v>
      </c>
      <c r="U1229" s="5">
        <f t="shared" si="78"/>
        <v>-0.52609856446760372</v>
      </c>
      <c r="V1229" s="4">
        <v>9276.90625</v>
      </c>
      <c r="W1229" s="5">
        <f t="shared" si="79"/>
        <v>-0.32776041666666667</v>
      </c>
    </row>
    <row r="1230" spans="1:23" x14ac:dyDescent="0.25">
      <c r="A1230" t="s">
        <v>1643</v>
      </c>
      <c r="B1230">
        <v>2020</v>
      </c>
      <c r="C1230" t="s">
        <v>156</v>
      </c>
      <c r="D1230" t="s">
        <v>157</v>
      </c>
      <c r="E1230">
        <v>75331</v>
      </c>
      <c r="F1230" t="s">
        <v>29</v>
      </c>
      <c r="G1230" t="s">
        <v>23</v>
      </c>
      <c r="H1230" t="s">
        <v>24</v>
      </c>
      <c r="I1230" t="s">
        <v>25</v>
      </c>
      <c r="J1230" s="2">
        <v>45470</v>
      </c>
      <c r="K1230" t="s">
        <v>25</v>
      </c>
      <c r="L1230">
        <v>44310</v>
      </c>
      <c r="M1230">
        <v>235</v>
      </c>
      <c r="N1230">
        <v>285</v>
      </c>
      <c r="O1230" s="4">
        <v>14500</v>
      </c>
      <c r="P1230" s="4">
        <v>7784.42578125</v>
      </c>
      <c r="Q1230" s="5">
        <f t="shared" si="76"/>
        <v>-0.46314304956896557</v>
      </c>
      <c r="R1230" s="4">
        <v>11386.048073938729</v>
      </c>
      <c r="S1230" s="5">
        <f t="shared" si="77"/>
        <v>-0.21475530524560482</v>
      </c>
      <c r="T1230" s="4">
        <v>9524.942749230182</v>
      </c>
      <c r="U1230" s="5">
        <f t="shared" si="78"/>
        <v>-0.34310739660481504</v>
      </c>
      <c r="V1230" s="4">
        <v>7660.04248046875</v>
      </c>
      <c r="W1230" s="5">
        <f t="shared" si="79"/>
        <v>-0.47172120824353447</v>
      </c>
    </row>
    <row r="1231" spans="1:23" x14ac:dyDescent="0.25">
      <c r="A1231" t="s">
        <v>1644</v>
      </c>
      <c r="B1231">
        <v>2022</v>
      </c>
      <c r="C1231" t="s">
        <v>156</v>
      </c>
      <c r="D1231" t="s">
        <v>157</v>
      </c>
      <c r="E1231">
        <v>44874</v>
      </c>
      <c r="F1231" t="s">
        <v>63</v>
      </c>
      <c r="G1231" t="s">
        <v>38</v>
      </c>
      <c r="H1231" t="s">
        <v>25</v>
      </c>
      <c r="I1231" t="s">
        <v>24</v>
      </c>
      <c r="J1231" s="2">
        <v>45678</v>
      </c>
      <c r="K1231" t="s">
        <v>25</v>
      </c>
      <c r="L1231">
        <v>44310</v>
      </c>
      <c r="M1231">
        <v>235</v>
      </c>
      <c r="N1231">
        <v>285</v>
      </c>
      <c r="O1231" s="4">
        <v>15300</v>
      </c>
      <c r="P1231" s="4">
        <v>19503.74609375</v>
      </c>
      <c r="Q1231" s="5">
        <f t="shared" si="76"/>
        <v>0.27475464665032678</v>
      </c>
      <c r="R1231" s="4">
        <v>18967.157640213882</v>
      </c>
      <c r="S1231" s="5">
        <f t="shared" si="77"/>
        <v>0.23968350589633203</v>
      </c>
      <c r="T1231" s="4">
        <v>17236.449459841409</v>
      </c>
      <c r="U1231" s="5">
        <f t="shared" si="78"/>
        <v>0.12656532417264121</v>
      </c>
      <c r="V1231" s="4">
        <v>19516.072265625</v>
      </c>
      <c r="W1231" s="5">
        <f t="shared" si="79"/>
        <v>0.27556027879901968</v>
      </c>
    </row>
    <row r="1232" spans="1:23" x14ac:dyDescent="0.25">
      <c r="A1232" t="s">
        <v>1645</v>
      </c>
      <c r="B1232">
        <v>2017</v>
      </c>
      <c r="C1232" t="s">
        <v>156</v>
      </c>
      <c r="D1232" t="s">
        <v>157</v>
      </c>
      <c r="E1232">
        <v>130778</v>
      </c>
      <c r="F1232" t="s">
        <v>334</v>
      </c>
      <c r="G1232" t="s">
        <v>23</v>
      </c>
      <c r="H1232" t="s">
        <v>24</v>
      </c>
      <c r="I1232" t="s">
        <v>25</v>
      </c>
      <c r="J1232" s="2">
        <v>45454</v>
      </c>
      <c r="K1232" t="s">
        <v>25</v>
      </c>
      <c r="L1232">
        <v>44310</v>
      </c>
      <c r="M1232">
        <v>235</v>
      </c>
      <c r="N1232">
        <v>285</v>
      </c>
      <c r="O1232" s="4">
        <v>10400</v>
      </c>
      <c r="P1232" s="4">
        <v>2804.79248046875</v>
      </c>
      <c r="Q1232" s="5">
        <f t="shared" si="76"/>
        <v>-0.73030841533954327</v>
      </c>
      <c r="R1232" s="4">
        <v>2682.414921726911</v>
      </c>
      <c r="S1232" s="5">
        <f t="shared" si="77"/>
        <v>-0.74207548829548931</v>
      </c>
      <c r="T1232" s="4">
        <v>3399.54672624149</v>
      </c>
      <c r="U1232" s="5">
        <f t="shared" si="78"/>
        <v>-0.67312050709216442</v>
      </c>
      <c r="V1232" s="4">
        <v>2788.082275390625</v>
      </c>
      <c r="W1232" s="5">
        <f t="shared" si="79"/>
        <v>-0.73191516582782445</v>
      </c>
    </row>
    <row r="1233" spans="1:23" x14ac:dyDescent="0.25">
      <c r="A1233" t="s">
        <v>1646</v>
      </c>
      <c r="B1233">
        <v>2018</v>
      </c>
      <c r="C1233" t="s">
        <v>156</v>
      </c>
      <c r="D1233" t="s">
        <v>157</v>
      </c>
      <c r="E1233">
        <v>88831</v>
      </c>
      <c r="F1233" t="s">
        <v>254</v>
      </c>
      <c r="G1233" t="s">
        <v>30</v>
      </c>
      <c r="H1233" t="s">
        <v>24</v>
      </c>
      <c r="I1233" t="s">
        <v>25</v>
      </c>
      <c r="J1233" s="2">
        <v>45323</v>
      </c>
      <c r="K1233" t="s">
        <v>25</v>
      </c>
      <c r="L1233">
        <v>44310</v>
      </c>
      <c r="M1233">
        <v>235</v>
      </c>
      <c r="N1233">
        <v>285</v>
      </c>
      <c r="O1233" s="4">
        <v>8100</v>
      </c>
      <c r="P1233" s="4">
        <v>8548.6826171875</v>
      </c>
      <c r="Q1233" s="5">
        <f t="shared" si="76"/>
        <v>5.5392915702160428E-2</v>
      </c>
      <c r="R1233" s="4">
        <v>7812.2920363381736</v>
      </c>
      <c r="S1233" s="5">
        <f t="shared" si="77"/>
        <v>-3.5519501686645194E-2</v>
      </c>
      <c r="T1233" s="4">
        <v>6965.7645816930917</v>
      </c>
      <c r="U1233" s="5">
        <f t="shared" si="78"/>
        <v>-0.14002906398850723</v>
      </c>
      <c r="V1233" s="4">
        <v>8481.1162109375</v>
      </c>
      <c r="W1233" s="5">
        <f t="shared" si="79"/>
        <v>4.7051384066358004E-2</v>
      </c>
    </row>
    <row r="1234" spans="1:23" x14ac:dyDescent="0.25">
      <c r="A1234" t="s">
        <v>1647</v>
      </c>
      <c r="B1234">
        <v>2017</v>
      </c>
      <c r="C1234" t="s">
        <v>185</v>
      </c>
      <c r="D1234" t="s">
        <v>264</v>
      </c>
      <c r="E1234">
        <v>103190</v>
      </c>
      <c r="F1234" t="s">
        <v>111</v>
      </c>
      <c r="G1234" t="s">
        <v>34</v>
      </c>
      <c r="H1234" t="s">
        <v>25</v>
      </c>
      <c r="I1234" t="s">
        <v>24</v>
      </c>
      <c r="J1234" s="2">
        <v>45552</v>
      </c>
      <c r="K1234" t="s">
        <v>25</v>
      </c>
      <c r="L1234">
        <v>44310</v>
      </c>
      <c r="M1234">
        <v>235</v>
      </c>
      <c r="N1234">
        <v>285</v>
      </c>
      <c r="O1234" s="4">
        <v>10000</v>
      </c>
      <c r="P1234" s="4">
        <v>3958.0126953125</v>
      </c>
      <c r="Q1234" s="5">
        <f t="shared" si="76"/>
        <v>-0.60419873046874994</v>
      </c>
      <c r="R1234" s="4">
        <v>3529.1401039955231</v>
      </c>
      <c r="S1234" s="5">
        <f t="shared" si="77"/>
        <v>-0.64708598960044772</v>
      </c>
      <c r="T1234" s="4">
        <v>3057.446315788342</v>
      </c>
      <c r="U1234" s="5">
        <f t="shared" si="78"/>
        <v>-0.69425536842116586</v>
      </c>
      <c r="V1234" s="4">
        <v>4033.624267578125</v>
      </c>
      <c r="W1234" s="5">
        <f t="shared" si="79"/>
        <v>-0.59663757324218758</v>
      </c>
    </row>
    <row r="1235" spans="1:23" x14ac:dyDescent="0.25">
      <c r="A1235" t="s">
        <v>1648</v>
      </c>
      <c r="B1235">
        <v>2019</v>
      </c>
      <c r="C1235" t="s">
        <v>185</v>
      </c>
      <c r="D1235" t="s">
        <v>264</v>
      </c>
      <c r="E1235">
        <v>99999</v>
      </c>
      <c r="F1235" t="s">
        <v>649</v>
      </c>
      <c r="G1235" t="s">
        <v>85</v>
      </c>
      <c r="H1235" t="s">
        <v>24</v>
      </c>
      <c r="I1235" t="s">
        <v>25</v>
      </c>
      <c r="J1235" s="2">
        <v>45666</v>
      </c>
      <c r="K1235" t="s">
        <v>25</v>
      </c>
      <c r="L1235">
        <v>44310</v>
      </c>
      <c r="M1235">
        <v>235</v>
      </c>
      <c r="N1235">
        <v>285</v>
      </c>
      <c r="O1235" s="4">
        <v>3200</v>
      </c>
      <c r="P1235" s="4">
        <v>4945.193359375</v>
      </c>
      <c r="Q1235" s="5">
        <f t="shared" si="76"/>
        <v>0.54537292480468746</v>
      </c>
      <c r="R1235" s="4">
        <v>5076.2534542226704</v>
      </c>
      <c r="S1235" s="5">
        <f t="shared" si="77"/>
        <v>0.58632920444458447</v>
      </c>
      <c r="T1235" s="4">
        <v>4230.9148615249769</v>
      </c>
      <c r="U1235" s="5">
        <f t="shared" si="78"/>
        <v>0.32216089422655525</v>
      </c>
      <c r="V1235" s="4">
        <v>4843.3525390625</v>
      </c>
      <c r="W1235" s="5">
        <f t="shared" si="79"/>
        <v>0.51354766845703126</v>
      </c>
    </row>
    <row r="1236" spans="1:23" x14ac:dyDescent="0.25">
      <c r="A1236" t="s">
        <v>1649</v>
      </c>
      <c r="B1236">
        <v>2019</v>
      </c>
      <c r="C1236" t="s">
        <v>266</v>
      </c>
      <c r="D1236" t="s">
        <v>1650</v>
      </c>
      <c r="E1236">
        <v>157604</v>
      </c>
      <c r="F1236" t="s">
        <v>115</v>
      </c>
      <c r="G1236" t="s">
        <v>30</v>
      </c>
      <c r="H1236" t="s">
        <v>24</v>
      </c>
      <c r="I1236" t="s">
        <v>25</v>
      </c>
      <c r="J1236" s="2">
        <v>45736</v>
      </c>
      <c r="K1236" t="s">
        <v>25</v>
      </c>
      <c r="L1236">
        <v>44310</v>
      </c>
      <c r="M1236">
        <v>235</v>
      </c>
      <c r="N1236">
        <v>285</v>
      </c>
      <c r="O1236" s="4">
        <v>15500</v>
      </c>
      <c r="P1236" s="4">
        <v>5242.078125</v>
      </c>
      <c r="Q1236" s="5">
        <f t="shared" si="76"/>
        <v>-0.66180141129032255</v>
      </c>
      <c r="R1236" s="4">
        <v>5082.6671401891499</v>
      </c>
      <c r="S1236" s="5">
        <f t="shared" si="77"/>
        <v>-0.67208599095553878</v>
      </c>
      <c r="T1236" s="4">
        <v>5942.2793439946436</v>
      </c>
      <c r="U1236" s="5">
        <f t="shared" si="78"/>
        <v>-0.61662713909711975</v>
      </c>
      <c r="V1236" s="4">
        <v>5249.74267578125</v>
      </c>
      <c r="W1236" s="5">
        <f t="shared" si="79"/>
        <v>-0.66130692414314518</v>
      </c>
    </row>
    <row r="1237" spans="1:23" x14ac:dyDescent="0.25">
      <c r="A1237" t="s">
        <v>1651</v>
      </c>
      <c r="B1237">
        <v>2015</v>
      </c>
      <c r="C1237" t="s">
        <v>266</v>
      </c>
      <c r="D1237" t="s">
        <v>267</v>
      </c>
      <c r="E1237">
        <v>194679</v>
      </c>
      <c r="F1237" t="s">
        <v>660</v>
      </c>
      <c r="G1237" t="s">
        <v>23</v>
      </c>
      <c r="H1237" t="s">
        <v>24</v>
      </c>
      <c r="I1237" t="s">
        <v>25</v>
      </c>
      <c r="J1237" s="2">
        <v>45540</v>
      </c>
      <c r="K1237" t="s">
        <v>25</v>
      </c>
      <c r="L1237">
        <v>44310</v>
      </c>
      <c r="M1237">
        <v>235</v>
      </c>
      <c r="N1237">
        <v>285</v>
      </c>
      <c r="O1237" s="4">
        <v>11510.593220339</v>
      </c>
      <c r="P1237" s="4">
        <v>2911.792724609375</v>
      </c>
      <c r="Q1237" s="5">
        <f t="shared" si="76"/>
        <v>-0.74703365249114251</v>
      </c>
      <c r="R1237" s="4">
        <v>3086.199605484408</v>
      </c>
      <c r="S1237" s="5">
        <f t="shared" si="77"/>
        <v>-0.73188179389128694</v>
      </c>
      <c r="T1237" s="4">
        <v>2268.5317004897479</v>
      </c>
      <c r="U1237" s="5">
        <f t="shared" si="78"/>
        <v>-0.802917915952299</v>
      </c>
      <c r="V1237" s="4">
        <v>2852.677001953125</v>
      </c>
      <c r="W1237" s="5">
        <f t="shared" si="79"/>
        <v>-0.75216941930390702</v>
      </c>
    </row>
    <row r="1238" spans="1:23" x14ac:dyDescent="0.25">
      <c r="A1238" t="s">
        <v>1652</v>
      </c>
      <c r="B1238">
        <v>2011</v>
      </c>
      <c r="C1238" t="s">
        <v>266</v>
      </c>
      <c r="D1238" t="s">
        <v>267</v>
      </c>
      <c r="E1238">
        <v>140348</v>
      </c>
      <c r="F1238" t="s">
        <v>382</v>
      </c>
      <c r="G1238" t="s">
        <v>30</v>
      </c>
      <c r="H1238" t="s">
        <v>24</v>
      </c>
      <c r="I1238" t="s">
        <v>25</v>
      </c>
      <c r="J1238" s="2">
        <v>45342</v>
      </c>
      <c r="K1238" t="s">
        <v>25</v>
      </c>
      <c r="L1238">
        <v>44310</v>
      </c>
      <c r="M1238">
        <v>235</v>
      </c>
      <c r="N1238">
        <v>285</v>
      </c>
      <c r="O1238" s="4">
        <v>2200</v>
      </c>
      <c r="P1238" s="4">
        <v>1275.191772460938</v>
      </c>
      <c r="Q1238" s="5">
        <f t="shared" si="76"/>
        <v>-0.42036737615411912</v>
      </c>
      <c r="R1238" s="4">
        <v>1193.795292004294</v>
      </c>
      <c r="S1238" s="5">
        <f t="shared" si="77"/>
        <v>-0.45736577636168452</v>
      </c>
      <c r="T1238" s="4">
        <v>1586.938731774897</v>
      </c>
      <c r="U1238" s="5">
        <f t="shared" si="78"/>
        <v>-0.27866421282959231</v>
      </c>
      <c r="V1238" s="4">
        <v>1337.383178710938</v>
      </c>
      <c r="W1238" s="5">
        <f t="shared" si="79"/>
        <v>-0.3920985551313918</v>
      </c>
    </row>
    <row r="1239" spans="1:23" x14ac:dyDescent="0.25">
      <c r="A1239" t="s">
        <v>1653</v>
      </c>
      <c r="B1239">
        <v>2014</v>
      </c>
      <c r="C1239" t="s">
        <v>266</v>
      </c>
      <c r="D1239" t="s">
        <v>596</v>
      </c>
      <c r="E1239">
        <v>117578</v>
      </c>
      <c r="F1239" t="s">
        <v>77</v>
      </c>
      <c r="G1239" t="s">
        <v>38</v>
      </c>
      <c r="H1239" t="s">
        <v>25</v>
      </c>
      <c r="I1239" t="s">
        <v>24</v>
      </c>
      <c r="J1239" s="2">
        <v>45398</v>
      </c>
      <c r="K1239" t="s">
        <v>25</v>
      </c>
      <c r="L1239">
        <v>44310</v>
      </c>
      <c r="M1239">
        <v>235</v>
      </c>
      <c r="N1239">
        <v>285</v>
      </c>
      <c r="O1239" s="4">
        <v>3100</v>
      </c>
      <c r="P1239" s="4">
        <v>2636.86328125</v>
      </c>
      <c r="Q1239" s="5">
        <f t="shared" si="76"/>
        <v>-0.14939894153225808</v>
      </c>
      <c r="R1239" s="4">
        <v>3989.1654231295729</v>
      </c>
      <c r="S1239" s="5">
        <f t="shared" si="77"/>
        <v>0.28682755584824937</v>
      </c>
      <c r="T1239" s="4">
        <v>4553.0635581744446</v>
      </c>
      <c r="U1239" s="5">
        <f t="shared" si="78"/>
        <v>0.46873018005627243</v>
      </c>
      <c r="V1239" s="4">
        <v>2400.22314453125</v>
      </c>
      <c r="W1239" s="5">
        <f t="shared" si="79"/>
        <v>-0.22573446950604836</v>
      </c>
    </row>
    <row r="1240" spans="1:23" x14ac:dyDescent="0.25">
      <c r="A1240" t="s">
        <v>1654</v>
      </c>
      <c r="B1240">
        <v>2014</v>
      </c>
      <c r="C1240" t="s">
        <v>139</v>
      </c>
      <c r="D1240" t="s">
        <v>163</v>
      </c>
      <c r="E1240">
        <v>53748</v>
      </c>
      <c r="F1240" t="s">
        <v>161</v>
      </c>
      <c r="G1240" t="s">
        <v>44</v>
      </c>
      <c r="H1240" t="s">
        <v>25</v>
      </c>
      <c r="I1240" t="s">
        <v>24</v>
      </c>
      <c r="J1240" s="2">
        <v>45594</v>
      </c>
      <c r="K1240" t="s">
        <v>25</v>
      </c>
      <c r="L1240">
        <v>44310</v>
      </c>
      <c r="M1240">
        <v>235</v>
      </c>
      <c r="N1240">
        <v>285</v>
      </c>
      <c r="O1240" s="4">
        <v>12000</v>
      </c>
      <c r="P1240" s="4">
        <v>12228.92578125</v>
      </c>
      <c r="Q1240" s="5">
        <f t="shared" si="76"/>
        <v>1.907714843750008E-2</v>
      </c>
      <c r="R1240" s="4">
        <v>12949.548159282829</v>
      </c>
      <c r="S1240" s="5">
        <f t="shared" si="77"/>
        <v>7.9129013273569138E-2</v>
      </c>
      <c r="T1240" s="4">
        <v>16405.525632714929</v>
      </c>
      <c r="U1240" s="5">
        <f t="shared" si="78"/>
        <v>0.36712713605957736</v>
      </c>
      <c r="V1240" s="4">
        <v>12391.28125</v>
      </c>
      <c r="W1240" s="5">
        <f t="shared" si="79"/>
        <v>3.2606770833333298E-2</v>
      </c>
    </row>
    <row r="1241" spans="1:23" x14ac:dyDescent="0.25">
      <c r="A1241" t="s">
        <v>1655</v>
      </c>
      <c r="B1241">
        <v>2014</v>
      </c>
      <c r="C1241" t="s">
        <v>113</v>
      </c>
      <c r="D1241" t="s">
        <v>1072</v>
      </c>
      <c r="E1241">
        <v>88629</v>
      </c>
      <c r="F1241" t="s">
        <v>63</v>
      </c>
      <c r="G1241" t="s">
        <v>44</v>
      </c>
      <c r="H1241" t="s">
        <v>25</v>
      </c>
      <c r="I1241" t="s">
        <v>24</v>
      </c>
      <c r="J1241" s="2">
        <v>45454</v>
      </c>
      <c r="K1241" t="s">
        <v>25</v>
      </c>
      <c r="L1241">
        <v>44310</v>
      </c>
      <c r="M1241">
        <v>235</v>
      </c>
      <c r="N1241">
        <v>285</v>
      </c>
      <c r="O1241" s="4">
        <v>4800</v>
      </c>
      <c r="P1241" s="4">
        <v>9145.71484375</v>
      </c>
      <c r="Q1241" s="5">
        <f t="shared" si="76"/>
        <v>0.90535725911458331</v>
      </c>
      <c r="R1241" s="4">
        <v>9083.5031217749747</v>
      </c>
      <c r="S1241" s="5">
        <f t="shared" si="77"/>
        <v>0.89239648370311975</v>
      </c>
      <c r="T1241" s="4">
        <v>11576.212078658629</v>
      </c>
      <c r="U1241" s="5">
        <f t="shared" si="78"/>
        <v>1.4117108497205479</v>
      </c>
      <c r="V1241" s="4">
        <v>9276.90625</v>
      </c>
      <c r="W1241" s="5">
        <f t="shared" si="79"/>
        <v>0.93268880208333327</v>
      </c>
    </row>
    <row r="1242" spans="1:23" x14ac:dyDescent="0.25">
      <c r="A1242" t="s">
        <v>1656</v>
      </c>
      <c r="B1242">
        <v>2017</v>
      </c>
      <c r="C1242" t="s">
        <v>27</v>
      </c>
      <c r="D1242" t="s">
        <v>1078</v>
      </c>
      <c r="E1242">
        <v>59410</v>
      </c>
      <c r="F1242" t="s">
        <v>250</v>
      </c>
      <c r="G1242" t="s">
        <v>38</v>
      </c>
      <c r="H1242" t="s">
        <v>25</v>
      </c>
      <c r="I1242" t="s">
        <v>24</v>
      </c>
      <c r="J1242" s="2">
        <v>45566</v>
      </c>
      <c r="K1242" t="s">
        <v>25</v>
      </c>
      <c r="L1242">
        <v>44310</v>
      </c>
      <c r="M1242">
        <v>235</v>
      </c>
      <c r="N1242">
        <v>285</v>
      </c>
      <c r="O1242" s="4">
        <v>11500</v>
      </c>
      <c r="P1242" s="4">
        <v>14548.7333984375</v>
      </c>
      <c r="Q1242" s="5">
        <f t="shared" si="76"/>
        <v>0.26510725203804353</v>
      </c>
      <c r="R1242" s="4">
        <v>13197.806677756549</v>
      </c>
      <c r="S1242" s="5">
        <f t="shared" si="77"/>
        <v>0.14763536328317817</v>
      </c>
      <c r="T1242" s="4">
        <v>14591.642110283319</v>
      </c>
      <c r="U1242" s="5">
        <f t="shared" si="78"/>
        <v>0.26883844437246252</v>
      </c>
      <c r="V1242" s="4">
        <v>14959.275390625</v>
      </c>
      <c r="W1242" s="5">
        <f t="shared" si="79"/>
        <v>0.30080655570652182</v>
      </c>
    </row>
    <row r="1243" spans="1:23" x14ac:dyDescent="0.25">
      <c r="A1243" t="s">
        <v>1657</v>
      </c>
      <c r="B1243">
        <v>2014</v>
      </c>
      <c r="C1243" t="s">
        <v>185</v>
      </c>
      <c r="D1243" t="s">
        <v>1116</v>
      </c>
      <c r="E1243">
        <v>99999</v>
      </c>
      <c r="F1243" t="s">
        <v>227</v>
      </c>
      <c r="G1243" t="s">
        <v>23</v>
      </c>
      <c r="H1243" t="s">
        <v>24</v>
      </c>
      <c r="I1243" t="s">
        <v>25</v>
      </c>
      <c r="J1243" s="2">
        <v>45533</v>
      </c>
      <c r="K1243" t="s">
        <v>25</v>
      </c>
      <c r="L1243">
        <v>44310</v>
      </c>
      <c r="M1243">
        <v>235</v>
      </c>
      <c r="N1243">
        <v>285</v>
      </c>
      <c r="O1243" s="4">
        <v>9300</v>
      </c>
      <c r="P1243" s="4">
        <v>2863.449462890625</v>
      </c>
      <c r="Q1243" s="5">
        <f t="shared" si="76"/>
        <v>-0.69210220829133062</v>
      </c>
      <c r="R1243" s="4">
        <v>2879.0436037170298</v>
      </c>
      <c r="S1243" s="5">
        <f t="shared" si="77"/>
        <v>-0.69042541895515808</v>
      </c>
      <c r="T1243" s="4">
        <v>4338.844389892869</v>
      </c>
      <c r="U1243" s="5">
        <f t="shared" si="78"/>
        <v>-0.53345759248463775</v>
      </c>
      <c r="V1243" s="4">
        <v>2788.082275390625</v>
      </c>
      <c r="W1243" s="5">
        <f t="shared" si="79"/>
        <v>-0.70020620694724456</v>
      </c>
    </row>
    <row r="1244" spans="1:23" x14ac:dyDescent="0.25">
      <c r="A1244" t="s">
        <v>1658</v>
      </c>
      <c r="B1244">
        <v>2021</v>
      </c>
      <c r="C1244" t="s">
        <v>185</v>
      </c>
      <c r="D1244" t="s">
        <v>863</v>
      </c>
      <c r="E1244">
        <v>70077</v>
      </c>
      <c r="F1244" t="s">
        <v>43</v>
      </c>
      <c r="G1244" t="s">
        <v>44</v>
      </c>
      <c r="H1244" t="s">
        <v>25</v>
      </c>
      <c r="I1244" t="s">
        <v>24</v>
      </c>
      <c r="J1244" s="2">
        <v>45608</v>
      </c>
      <c r="K1244" t="s">
        <v>25</v>
      </c>
      <c r="L1244">
        <v>44310</v>
      </c>
      <c r="M1244">
        <v>235</v>
      </c>
      <c r="N1244">
        <v>285</v>
      </c>
      <c r="O1244" s="4">
        <v>17600</v>
      </c>
      <c r="P1244" s="4">
        <v>14959.443359375</v>
      </c>
      <c r="Q1244" s="5">
        <f t="shared" si="76"/>
        <v>-0.1500316273082386</v>
      </c>
      <c r="R1244" s="4">
        <v>15532.96907950949</v>
      </c>
      <c r="S1244" s="5">
        <f t="shared" si="77"/>
        <v>-0.11744493866423356</v>
      </c>
      <c r="T1244" s="4">
        <v>21392.544126577679</v>
      </c>
      <c r="U1244" s="5">
        <f t="shared" si="78"/>
        <v>0.21548546173736804</v>
      </c>
      <c r="V1244" s="4">
        <v>15121.4150390625</v>
      </c>
      <c r="W1244" s="5">
        <f t="shared" si="79"/>
        <v>-0.14082869096235795</v>
      </c>
    </row>
    <row r="1245" spans="1:23" x14ac:dyDescent="0.25">
      <c r="A1245" t="s">
        <v>1659</v>
      </c>
      <c r="B1245">
        <v>2018</v>
      </c>
      <c r="C1245" t="s">
        <v>167</v>
      </c>
      <c r="D1245" t="s">
        <v>168</v>
      </c>
      <c r="E1245">
        <v>97735</v>
      </c>
      <c r="F1245" t="s">
        <v>174</v>
      </c>
      <c r="G1245" t="s">
        <v>44</v>
      </c>
      <c r="H1245" t="s">
        <v>25</v>
      </c>
      <c r="I1245" t="s">
        <v>24</v>
      </c>
      <c r="J1245" s="2">
        <v>45505</v>
      </c>
      <c r="K1245" t="s">
        <v>25</v>
      </c>
      <c r="L1245">
        <v>44310</v>
      </c>
      <c r="M1245">
        <v>235</v>
      </c>
      <c r="N1245">
        <v>285</v>
      </c>
      <c r="O1245" s="4">
        <v>11200</v>
      </c>
      <c r="P1245" s="4">
        <v>9397.41796875</v>
      </c>
      <c r="Q1245" s="5">
        <f t="shared" si="76"/>
        <v>-0.16094482421875</v>
      </c>
      <c r="R1245" s="4">
        <v>10845.686804430839</v>
      </c>
      <c r="S1245" s="5">
        <f t="shared" si="77"/>
        <v>-3.1635106747246455E-2</v>
      </c>
      <c r="T1245" s="4">
        <v>7743.974781954581</v>
      </c>
      <c r="U1245" s="5">
        <f t="shared" si="78"/>
        <v>-0.30857368018262665</v>
      </c>
      <c r="V1245" s="4">
        <v>9066.509765625</v>
      </c>
      <c r="W1245" s="5">
        <f t="shared" si="79"/>
        <v>-0.19049019949776791</v>
      </c>
    </row>
    <row r="1246" spans="1:23" x14ac:dyDescent="0.25">
      <c r="A1246" t="s">
        <v>1660</v>
      </c>
      <c r="B1246">
        <v>2019</v>
      </c>
      <c r="C1246" t="s">
        <v>167</v>
      </c>
      <c r="D1246" t="s">
        <v>168</v>
      </c>
      <c r="E1246">
        <v>204867</v>
      </c>
      <c r="F1246" t="s">
        <v>66</v>
      </c>
      <c r="G1246" t="s">
        <v>23</v>
      </c>
      <c r="H1246" t="s">
        <v>24</v>
      </c>
      <c r="I1246" t="s">
        <v>25</v>
      </c>
      <c r="J1246" s="2">
        <v>45344</v>
      </c>
      <c r="K1246" t="s">
        <v>25</v>
      </c>
      <c r="L1246">
        <v>44310</v>
      </c>
      <c r="M1246">
        <v>235</v>
      </c>
      <c r="N1246">
        <v>285</v>
      </c>
      <c r="O1246" s="4">
        <v>11400</v>
      </c>
      <c r="P1246" s="4">
        <v>3673.4853515625</v>
      </c>
      <c r="Q1246" s="5">
        <f t="shared" si="76"/>
        <v>-0.67776444284539472</v>
      </c>
      <c r="R1246" s="4">
        <v>3220.5072560223171</v>
      </c>
      <c r="S1246" s="5">
        <f t="shared" si="77"/>
        <v>-0.71749936350681431</v>
      </c>
      <c r="T1246" s="4">
        <v>1655.530054991219</v>
      </c>
      <c r="U1246" s="5">
        <f t="shared" si="78"/>
        <v>-0.85477806535164746</v>
      </c>
      <c r="V1246" s="4">
        <v>3698.993408203125</v>
      </c>
      <c r="W1246" s="5">
        <f t="shared" si="79"/>
        <v>-0.67552689401726973</v>
      </c>
    </row>
    <row r="1247" spans="1:23" x14ac:dyDescent="0.25">
      <c r="A1247" t="s">
        <v>1661</v>
      </c>
      <c r="B1247">
        <v>2017</v>
      </c>
      <c r="C1247" t="s">
        <v>167</v>
      </c>
      <c r="D1247" t="s">
        <v>168</v>
      </c>
      <c r="E1247">
        <v>117120</v>
      </c>
      <c r="F1247" t="s">
        <v>58</v>
      </c>
      <c r="G1247" t="s">
        <v>23</v>
      </c>
      <c r="H1247" t="s">
        <v>24</v>
      </c>
      <c r="I1247" t="s">
        <v>25</v>
      </c>
      <c r="J1247" s="2">
        <v>45384</v>
      </c>
      <c r="K1247" t="s">
        <v>25</v>
      </c>
      <c r="L1247">
        <v>44310</v>
      </c>
      <c r="M1247">
        <v>235</v>
      </c>
      <c r="N1247">
        <v>285</v>
      </c>
      <c r="O1247" s="4">
        <v>9600</v>
      </c>
      <c r="P1247" s="4">
        <v>3129.599853515625</v>
      </c>
      <c r="Q1247" s="5">
        <f t="shared" si="76"/>
        <v>-0.67400001525878905</v>
      </c>
      <c r="R1247" s="4">
        <v>3382.572488541095</v>
      </c>
      <c r="S1247" s="5">
        <f t="shared" si="77"/>
        <v>-0.64764869911030254</v>
      </c>
      <c r="T1247" s="4">
        <v>3280.3683944459508</v>
      </c>
      <c r="U1247" s="5">
        <f t="shared" si="78"/>
        <v>-0.65829495891188006</v>
      </c>
      <c r="V1247" s="4">
        <v>3063.4765625</v>
      </c>
      <c r="W1247" s="5">
        <f t="shared" si="79"/>
        <v>-0.68088785807291674</v>
      </c>
    </row>
    <row r="1248" spans="1:23" x14ac:dyDescent="0.25">
      <c r="A1248" t="s">
        <v>1662</v>
      </c>
      <c r="B1248">
        <v>2015</v>
      </c>
      <c r="C1248" t="s">
        <v>167</v>
      </c>
      <c r="D1248" t="s">
        <v>168</v>
      </c>
      <c r="E1248">
        <v>71458</v>
      </c>
      <c r="F1248" t="s">
        <v>219</v>
      </c>
      <c r="G1248" t="s">
        <v>38</v>
      </c>
      <c r="H1248" t="s">
        <v>25</v>
      </c>
      <c r="I1248" t="s">
        <v>24</v>
      </c>
      <c r="J1248" s="2">
        <v>45372</v>
      </c>
      <c r="K1248" t="s">
        <v>25</v>
      </c>
      <c r="L1248">
        <v>44310</v>
      </c>
      <c r="M1248">
        <v>235</v>
      </c>
      <c r="N1248">
        <v>285</v>
      </c>
      <c r="O1248" s="4">
        <v>2100</v>
      </c>
      <c r="P1248" s="4">
        <v>7617.34912109375</v>
      </c>
      <c r="Q1248" s="5">
        <f t="shared" si="76"/>
        <v>2.627309105282738</v>
      </c>
      <c r="R1248" s="4">
        <v>6959.3563495917106</v>
      </c>
      <c r="S1248" s="5">
        <f t="shared" si="77"/>
        <v>2.3139792140912907</v>
      </c>
      <c r="T1248" s="4">
        <v>5933.9147739445052</v>
      </c>
      <c r="U1248" s="5">
        <f t="shared" si="78"/>
        <v>1.825673701878336</v>
      </c>
      <c r="V1248" s="4">
        <v>7685.9873046875</v>
      </c>
      <c r="W1248" s="5">
        <f t="shared" si="79"/>
        <v>2.6599939546130953</v>
      </c>
    </row>
    <row r="1249" spans="1:23" x14ac:dyDescent="0.25">
      <c r="A1249" t="s">
        <v>1663</v>
      </c>
      <c r="B1249">
        <v>2018</v>
      </c>
      <c r="C1249" t="s">
        <v>167</v>
      </c>
      <c r="D1249" t="s">
        <v>171</v>
      </c>
      <c r="E1249">
        <v>90297</v>
      </c>
      <c r="F1249" t="s">
        <v>63</v>
      </c>
      <c r="G1249" t="s">
        <v>44</v>
      </c>
      <c r="H1249" t="s">
        <v>25</v>
      </c>
      <c r="I1249" t="s">
        <v>24</v>
      </c>
      <c r="J1249" s="2">
        <v>45328</v>
      </c>
      <c r="K1249" t="s">
        <v>25</v>
      </c>
      <c r="L1249">
        <v>44310</v>
      </c>
      <c r="M1249">
        <v>235</v>
      </c>
      <c r="N1249">
        <v>285</v>
      </c>
      <c r="O1249" s="4">
        <v>13800</v>
      </c>
      <c r="P1249" s="4">
        <v>9642.716796875</v>
      </c>
      <c r="Q1249" s="5">
        <f t="shared" si="76"/>
        <v>-0.30125240602355075</v>
      </c>
      <c r="R1249" s="4">
        <v>9191.3599000397062</v>
      </c>
      <c r="S1249" s="5">
        <f t="shared" si="77"/>
        <v>-0.33395942753335461</v>
      </c>
      <c r="T1249" s="4">
        <v>9355.4252231812025</v>
      </c>
      <c r="U1249" s="5">
        <f t="shared" si="78"/>
        <v>-0.3220706360013621</v>
      </c>
      <c r="V1249" s="4">
        <v>9670.1650390625</v>
      </c>
      <c r="W1249" s="5">
        <f t="shared" si="79"/>
        <v>-0.29926340296648546</v>
      </c>
    </row>
    <row r="1250" spans="1:23" x14ac:dyDescent="0.25">
      <c r="A1250" t="s">
        <v>1664</v>
      </c>
      <c r="B1250">
        <v>2018</v>
      </c>
      <c r="C1250" t="s">
        <v>167</v>
      </c>
      <c r="D1250" t="s">
        <v>171</v>
      </c>
      <c r="E1250">
        <v>102017</v>
      </c>
      <c r="F1250" t="s">
        <v>87</v>
      </c>
      <c r="G1250" t="s">
        <v>30</v>
      </c>
      <c r="H1250" t="s">
        <v>24</v>
      </c>
      <c r="I1250" t="s">
        <v>25</v>
      </c>
      <c r="J1250" s="2">
        <v>45365</v>
      </c>
      <c r="K1250" t="s">
        <v>25</v>
      </c>
      <c r="L1250">
        <v>44310</v>
      </c>
      <c r="M1250">
        <v>235</v>
      </c>
      <c r="N1250">
        <v>285</v>
      </c>
      <c r="O1250" s="4">
        <v>13800</v>
      </c>
      <c r="P1250" s="4">
        <v>6531.52197265625</v>
      </c>
      <c r="Q1250" s="5">
        <f t="shared" si="76"/>
        <v>-0.52670130632925727</v>
      </c>
      <c r="R1250" s="4">
        <v>8313.7905127424456</v>
      </c>
      <c r="S1250" s="5">
        <f t="shared" si="77"/>
        <v>-0.39755141212011269</v>
      </c>
      <c r="T1250" s="4">
        <v>8005.1020181150834</v>
      </c>
      <c r="U1250" s="5">
        <f t="shared" si="78"/>
        <v>-0.41992014361484897</v>
      </c>
      <c r="V1250" s="4">
        <v>5873.67724609375</v>
      </c>
      <c r="W1250" s="5">
        <f t="shared" si="79"/>
        <v>-0.57437121405117753</v>
      </c>
    </row>
    <row r="1251" spans="1:23" x14ac:dyDescent="0.25">
      <c r="A1251" t="s">
        <v>1665</v>
      </c>
      <c r="B1251">
        <v>2016</v>
      </c>
      <c r="C1251" t="s">
        <v>167</v>
      </c>
      <c r="D1251" t="s">
        <v>171</v>
      </c>
      <c r="E1251">
        <v>45611</v>
      </c>
      <c r="F1251" t="s">
        <v>55</v>
      </c>
      <c r="G1251" t="s">
        <v>30</v>
      </c>
      <c r="H1251" t="s">
        <v>24</v>
      </c>
      <c r="I1251" t="s">
        <v>25</v>
      </c>
      <c r="J1251" s="2">
        <v>45524</v>
      </c>
      <c r="K1251" t="s">
        <v>25</v>
      </c>
      <c r="L1251">
        <v>44310</v>
      </c>
      <c r="M1251">
        <v>235</v>
      </c>
      <c r="N1251">
        <v>285</v>
      </c>
      <c r="O1251" s="4">
        <v>500</v>
      </c>
      <c r="P1251" s="4">
        <v>7135.3955078125</v>
      </c>
      <c r="Q1251" s="5">
        <f t="shared" si="76"/>
        <v>13.270791015625001</v>
      </c>
      <c r="R1251" s="4">
        <v>7873.7153954657369</v>
      </c>
      <c r="S1251" s="5">
        <f t="shared" si="77"/>
        <v>14.747430790931475</v>
      </c>
      <c r="T1251" s="4">
        <v>6829.6918577233046</v>
      </c>
      <c r="U1251" s="5">
        <f t="shared" si="78"/>
        <v>12.659383715446609</v>
      </c>
      <c r="V1251" s="4">
        <v>7036.41064453125</v>
      </c>
      <c r="W1251" s="5">
        <f t="shared" si="79"/>
        <v>13.0728212890625</v>
      </c>
    </row>
    <row r="1252" spans="1:23" x14ac:dyDescent="0.25">
      <c r="A1252" t="s">
        <v>1666</v>
      </c>
      <c r="B1252">
        <v>2014</v>
      </c>
      <c r="C1252" t="s">
        <v>302</v>
      </c>
      <c r="D1252" t="s">
        <v>453</v>
      </c>
      <c r="E1252">
        <v>127912</v>
      </c>
      <c r="F1252" t="s">
        <v>141</v>
      </c>
      <c r="G1252" t="s">
        <v>38</v>
      </c>
      <c r="H1252" t="s">
        <v>25</v>
      </c>
      <c r="I1252" t="s">
        <v>24</v>
      </c>
      <c r="J1252" s="2">
        <v>45398</v>
      </c>
      <c r="K1252" t="s">
        <v>25</v>
      </c>
      <c r="L1252">
        <v>44310</v>
      </c>
      <c r="M1252">
        <v>235</v>
      </c>
      <c r="N1252">
        <v>285</v>
      </c>
      <c r="O1252" s="4">
        <v>5200</v>
      </c>
      <c r="P1252" s="4">
        <v>5491.85693359375</v>
      </c>
      <c r="Q1252" s="5">
        <f t="shared" si="76"/>
        <v>5.612633338341344E-2</v>
      </c>
      <c r="R1252" s="4">
        <v>5006.1153386401356</v>
      </c>
      <c r="S1252" s="5">
        <f t="shared" si="77"/>
        <v>-3.7285511799973969E-2</v>
      </c>
      <c r="T1252" s="4">
        <v>5997.5971983712479</v>
      </c>
      <c r="U1252" s="5">
        <f t="shared" si="78"/>
        <v>0.15338407660985531</v>
      </c>
      <c r="V1252" s="4">
        <v>5493.57666015625</v>
      </c>
      <c r="W1252" s="5">
        <f t="shared" si="79"/>
        <v>5.6457050030048084E-2</v>
      </c>
    </row>
    <row r="1253" spans="1:23" x14ac:dyDescent="0.25">
      <c r="A1253" t="s">
        <v>1667</v>
      </c>
      <c r="B1253">
        <v>2012</v>
      </c>
      <c r="C1253" t="s">
        <v>156</v>
      </c>
      <c r="D1253" t="s">
        <v>173</v>
      </c>
      <c r="E1253">
        <v>123272</v>
      </c>
      <c r="F1253" t="s">
        <v>55</v>
      </c>
      <c r="G1253" t="s">
        <v>34</v>
      </c>
      <c r="H1253" t="s">
        <v>25</v>
      </c>
      <c r="I1253" t="s">
        <v>24</v>
      </c>
      <c r="J1253" s="2">
        <v>45356</v>
      </c>
      <c r="K1253" t="s">
        <v>25</v>
      </c>
      <c r="L1253">
        <v>44310</v>
      </c>
      <c r="M1253">
        <v>235</v>
      </c>
      <c r="N1253">
        <v>285</v>
      </c>
      <c r="O1253" s="4">
        <v>6500</v>
      </c>
      <c r="P1253" s="4">
        <v>1875.505126953125</v>
      </c>
      <c r="Q1253" s="5">
        <f t="shared" si="76"/>
        <v>-0.71146074969951922</v>
      </c>
      <c r="R1253" s="4">
        <v>1519.8905714173909</v>
      </c>
      <c r="S1253" s="5">
        <f t="shared" si="77"/>
        <v>-0.76617068132040145</v>
      </c>
      <c r="T1253" s="4">
        <v>1853.046062941012</v>
      </c>
      <c r="U1253" s="5">
        <f t="shared" si="78"/>
        <v>-0.71491599031676745</v>
      </c>
      <c r="V1253" s="4">
        <v>1824.325927734375</v>
      </c>
      <c r="W1253" s="5">
        <f t="shared" si="79"/>
        <v>-0.71933447265625006</v>
      </c>
    </row>
    <row r="1254" spans="1:23" x14ac:dyDescent="0.25">
      <c r="A1254" t="s">
        <v>1668</v>
      </c>
      <c r="B1254">
        <v>2017</v>
      </c>
      <c r="C1254" t="s">
        <v>156</v>
      </c>
      <c r="D1254" t="s">
        <v>173</v>
      </c>
      <c r="E1254">
        <v>123582</v>
      </c>
      <c r="F1254" t="s">
        <v>82</v>
      </c>
      <c r="G1254" t="s">
        <v>34</v>
      </c>
      <c r="H1254" t="s">
        <v>25</v>
      </c>
      <c r="I1254" t="s">
        <v>24</v>
      </c>
      <c r="J1254" s="2">
        <v>45342</v>
      </c>
      <c r="K1254" t="s">
        <v>25</v>
      </c>
      <c r="L1254">
        <v>44310</v>
      </c>
      <c r="M1254">
        <v>235</v>
      </c>
      <c r="N1254">
        <v>285</v>
      </c>
      <c r="O1254" s="4">
        <v>2300</v>
      </c>
      <c r="P1254" s="4">
        <v>3085.141845703125</v>
      </c>
      <c r="Q1254" s="5">
        <f t="shared" si="76"/>
        <v>0.34136601987092385</v>
      </c>
      <c r="R1254" s="4">
        <v>2423.1612568548499</v>
      </c>
      <c r="S1254" s="5">
        <f t="shared" si="77"/>
        <v>5.3548372545586975E-2</v>
      </c>
      <c r="T1254" s="4">
        <v>2705.052558235026</v>
      </c>
      <c r="U1254" s="5">
        <f t="shared" si="78"/>
        <v>0.17610980792827213</v>
      </c>
      <c r="V1254" s="4">
        <v>3074.977294921875</v>
      </c>
      <c r="W1254" s="5">
        <f t="shared" si="79"/>
        <v>0.33694664996603252</v>
      </c>
    </row>
    <row r="1255" spans="1:23" x14ac:dyDescent="0.25">
      <c r="A1255" t="s">
        <v>1669</v>
      </c>
      <c r="B1255">
        <v>2016</v>
      </c>
      <c r="C1255" t="s">
        <v>156</v>
      </c>
      <c r="D1255" t="s">
        <v>173</v>
      </c>
      <c r="E1255">
        <v>105883</v>
      </c>
      <c r="F1255" t="s">
        <v>87</v>
      </c>
      <c r="G1255" t="s">
        <v>38</v>
      </c>
      <c r="H1255" t="s">
        <v>25</v>
      </c>
      <c r="I1255" t="s">
        <v>24</v>
      </c>
      <c r="J1255" s="2">
        <v>45706</v>
      </c>
      <c r="K1255" t="s">
        <v>25</v>
      </c>
      <c r="L1255">
        <v>44310</v>
      </c>
      <c r="M1255">
        <v>235</v>
      </c>
      <c r="N1255">
        <v>285</v>
      </c>
      <c r="O1255" s="4">
        <v>800</v>
      </c>
      <c r="P1255" s="4">
        <v>4482.9677734375</v>
      </c>
      <c r="Q1255" s="5">
        <f t="shared" si="76"/>
        <v>4.6037097167968746</v>
      </c>
      <c r="R1255" s="4">
        <v>7030.0667866804088</v>
      </c>
      <c r="S1255" s="5">
        <f t="shared" si="77"/>
        <v>7.7875834833505113</v>
      </c>
      <c r="T1255" s="4">
        <v>5824.4917939649285</v>
      </c>
      <c r="U1255" s="5">
        <f t="shared" si="78"/>
        <v>6.2806147424561605</v>
      </c>
      <c r="V1255" s="4">
        <v>4060.544677734375</v>
      </c>
      <c r="W1255" s="5">
        <f t="shared" si="79"/>
        <v>4.0756808471679689</v>
      </c>
    </row>
    <row r="1256" spans="1:23" x14ac:dyDescent="0.25">
      <c r="A1256" t="s">
        <v>1670</v>
      </c>
      <c r="B1256">
        <v>2016</v>
      </c>
      <c r="C1256" t="s">
        <v>156</v>
      </c>
      <c r="D1256" t="s">
        <v>173</v>
      </c>
      <c r="E1256">
        <v>127481</v>
      </c>
      <c r="F1256" t="s">
        <v>66</v>
      </c>
      <c r="G1256" t="s">
        <v>23</v>
      </c>
      <c r="H1256" t="s">
        <v>24</v>
      </c>
      <c r="I1256" t="s">
        <v>25</v>
      </c>
      <c r="J1256" s="2">
        <v>45664</v>
      </c>
      <c r="K1256" t="s">
        <v>25</v>
      </c>
      <c r="L1256">
        <v>44310</v>
      </c>
      <c r="M1256">
        <v>235</v>
      </c>
      <c r="N1256">
        <v>285</v>
      </c>
      <c r="O1256" s="4">
        <v>5000</v>
      </c>
      <c r="P1256" s="4">
        <v>2300.07568359375</v>
      </c>
      <c r="Q1256" s="5">
        <f t="shared" si="76"/>
        <v>-0.53998486328125006</v>
      </c>
      <c r="R1256" s="4">
        <v>2075.0860684663912</v>
      </c>
      <c r="S1256" s="5">
        <f t="shared" si="77"/>
        <v>-0.58498278630672174</v>
      </c>
      <c r="T1256" s="4">
        <v>2293.7173413316782</v>
      </c>
      <c r="U1256" s="5">
        <f t="shared" si="78"/>
        <v>-0.54125653173366439</v>
      </c>
      <c r="V1256" s="4">
        <v>2240.406982421875</v>
      </c>
      <c r="W1256" s="5">
        <f t="shared" si="79"/>
        <v>-0.55191860351562494</v>
      </c>
    </row>
    <row r="1257" spans="1:23" x14ac:dyDescent="0.25">
      <c r="A1257" t="s">
        <v>1671</v>
      </c>
      <c r="B1257">
        <v>2013</v>
      </c>
      <c r="C1257" t="s">
        <v>156</v>
      </c>
      <c r="D1257" t="s">
        <v>178</v>
      </c>
      <c r="E1257">
        <v>136619</v>
      </c>
      <c r="F1257" t="s">
        <v>22</v>
      </c>
      <c r="G1257" t="s">
        <v>23</v>
      </c>
      <c r="H1257" t="s">
        <v>24</v>
      </c>
      <c r="I1257" t="s">
        <v>25</v>
      </c>
      <c r="J1257" s="2">
        <v>45449</v>
      </c>
      <c r="K1257" t="s">
        <v>25</v>
      </c>
      <c r="L1257">
        <v>44310</v>
      </c>
      <c r="M1257">
        <v>235</v>
      </c>
      <c r="N1257">
        <v>285</v>
      </c>
      <c r="O1257" s="4">
        <v>2100</v>
      </c>
      <c r="P1257" s="4">
        <v>1684.034545898438</v>
      </c>
      <c r="Q1257" s="5">
        <f t="shared" si="76"/>
        <v>-0.19807878766741049</v>
      </c>
      <c r="R1257" s="4">
        <v>1418.973632420393</v>
      </c>
      <c r="S1257" s="5">
        <f t="shared" si="77"/>
        <v>-0.32429827027600333</v>
      </c>
      <c r="T1257" s="4">
        <v>3077.850199065751</v>
      </c>
      <c r="U1257" s="5">
        <f t="shared" si="78"/>
        <v>0.46564295193607186</v>
      </c>
      <c r="V1257" s="4">
        <v>1612.918701171875</v>
      </c>
      <c r="W1257" s="5">
        <f t="shared" si="79"/>
        <v>-0.23194347563244044</v>
      </c>
    </row>
    <row r="1258" spans="1:23" x14ac:dyDescent="0.25">
      <c r="A1258" t="s">
        <v>1672</v>
      </c>
      <c r="B1258">
        <v>2015</v>
      </c>
      <c r="C1258" t="s">
        <v>156</v>
      </c>
      <c r="D1258" t="s">
        <v>458</v>
      </c>
      <c r="E1258">
        <v>121315</v>
      </c>
      <c r="F1258" t="s">
        <v>106</v>
      </c>
      <c r="G1258" t="s">
        <v>38</v>
      </c>
      <c r="H1258" t="s">
        <v>25</v>
      </c>
      <c r="I1258" t="s">
        <v>24</v>
      </c>
      <c r="J1258" s="2">
        <v>45678</v>
      </c>
      <c r="K1258" t="s">
        <v>25</v>
      </c>
      <c r="L1258">
        <v>44310</v>
      </c>
      <c r="M1258">
        <v>235</v>
      </c>
      <c r="N1258">
        <v>285</v>
      </c>
      <c r="O1258" s="4">
        <v>10500</v>
      </c>
      <c r="P1258" s="4">
        <v>3870.945068359375</v>
      </c>
      <c r="Q1258" s="5">
        <f t="shared" si="76"/>
        <v>-0.63133856491815477</v>
      </c>
      <c r="R1258" s="4">
        <v>4160.8460481650418</v>
      </c>
      <c r="S1258" s="5">
        <f t="shared" si="77"/>
        <v>-0.60372894779380548</v>
      </c>
      <c r="T1258" s="4">
        <v>3927.9721022074559</v>
      </c>
      <c r="U1258" s="5">
        <f t="shared" si="78"/>
        <v>-0.62590741883738521</v>
      </c>
      <c r="V1258" s="4">
        <v>3678.55517578125</v>
      </c>
      <c r="W1258" s="5">
        <f t="shared" si="79"/>
        <v>-0.64966141183035719</v>
      </c>
    </row>
    <row r="1259" spans="1:23" x14ac:dyDescent="0.25">
      <c r="A1259" t="s">
        <v>1673</v>
      </c>
      <c r="B1259">
        <v>2016</v>
      </c>
      <c r="C1259" t="s">
        <v>156</v>
      </c>
      <c r="D1259" t="s">
        <v>176</v>
      </c>
      <c r="E1259">
        <v>188872</v>
      </c>
      <c r="F1259" t="s">
        <v>382</v>
      </c>
      <c r="G1259" t="s">
        <v>30</v>
      </c>
      <c r="H1259" t="s">
        <v>24</v>
      </c>
      <c r="I1259" t="s">
        <v>25</v>
      </c>
      <c r="J1259" s="2">
        <v>45463</v>
      </c>
      <c r="K1259" t="s">
        <v>25</v>
      </c>
      <c r="L1259">
        <v>44310</v>
      </c>
      <c r="M1259">
        <v>235</v>
      </c>
      <c r="N1259">
        <v>285</v>
      </c>
      <c r="O1259" s="4">
        <v>6600</v>
      </c>
      <c r="P1259" s="4">
        <v>1706.349365234375</v>
      </c>
      <c r="Q1259" s="5">
        <f t="shared" si="76"/>
        <v>-0.74146221738873108</v>
      </c>
      <c r="R1259" s="4">
        <v>1515.6214932124619</v>
      </c>
      <c r="S1259" s="5">
        <f t="shared" si="77"/>
        <v>-0.77036037981629368</v>
      </c>
      <c r="T1259" s="4">
        <v>3295.7183986089099</v>
      </c>
      <c r="U1259" s="5">
        <f t="shared" si="78"/>
        <v>-0.50064872748349853</v>
      </c>
      <c r="V1259" s="4">
        <v>1635.911376953125</v>
      </c>
      <c r="W1259" s="5">
        <f t="shared" si="79"/>
        <v>-0.75213463985558715</v>
      </c>
    </row>
    <row r="1260" spans="1:23" x14ac:dyDescent="0.25">
      <c r="A1260" t="s">
        <v>1674</v>
      </c>
      <c r="B1260">
        <v>2020</v>
      </c>
      <c r="C1260" t="s">
        <v>113</v>
      </c>
      <c r="D1260" t="s">
        <v>1076</v>
      </c>
      <c r="E1260">
        <v>127441</v>
      </c>
      <c r="F1260" t="s">
        <v>89</v>
      </c>
      <c r="G1260" t="s">
        <v>38</v>
      </c>
      <c r="H1260" t="s">
        <v>25</v>
      </c>
      <c r="I1260" t="s">
        <v>24</v>
      </c>
      <c r="J1260" s="2">
        <v>45594</v>
      </c>
      <c r="K1260" t="s">
        <v>25</v>
      </c>
      <c r="L1260">
        <v>44310</v>
      </c>
      <c r="M1260">
        <v>235</v>
      </c>
      <c r="N1260">
        <v>285</v>
      </c>
      <c r="O1260" s="4">
        <v>25250</v>
      </c>
      <c r="P1260" s="4">
        <v>9468.044921875</v>
      </c>
      <c r="Q1260" s="5">
        <f t="shared" si="76"/>
        <v>-0.62502792388613859</v>
      </c>
      <c r="R1260" s="4">
        <v>8127.5785361113321</v>
      </c>
      <c r="S1260" s="5">
        <f t="shared" si="77"/>
        <v>-0.67811570154014533</v>
      </c>
      <c r="T1260" s="4">
        <v>12359.207995807919</v>
      </c>
      <c r="U1260" s="5">
        <f t="shared" si="78"/>
        <v>-0.51052641600760718</v>
      </c>
      <c r="V1260" s="4">
        <v>9566.88671875</v>
      </c>
      <c r="W1260" s="5">
        <f t="shared" si="79"/>
        <v>-0.6211133972772277</v>
      </c>
    </row>
    <row r="1261" spans="1:23" x14ac:dyDescent="0.25">
      <c r="A1261" t="s">
        <v>1675</v>
      </c>
      <c r="B1261">
        <v>2018</v>
      </c>
      <c r="C1261" t="s">
        <v>465</v>
      </c>
      <c r="D1261" t="s">
        <v>1676</v>
      </c>
      <c r="E1261">
        <v>83629</v>
      </c>
      <c r="F1261" t="s">
        <v>334</v>
      </c>
      <c r="G1261" t="s">
        <v>23</v>
      </c>
      <c r="H1261" t="s">
        <v>24</v>
      </c>
      <c r="I1261" t="s">
        <v>25</v>
      </c>
      <c r="J1261" s="2">
        <v>45314</v>
      </c>
      <c r="K1261" t="s">
        <v>25</v>
      </c>
      <c r="L1261">
        <v>44310</v>
      </c>
      <c r="M1261">
        <v>235</v>
      </c>
      <c r="N1261">
        <v>285</v>
      </c>
      <c r="O1261" s="4">
        <v>13300</v>
      </c>
      <c r="P1261" s="4">
        <v>4752.79345703125</v>
      </c>
      <c r="Q1261" s="5">
        <f t="shared" si="76"/>
        <v>-0.64264710849389095</v>
      </c>
      <c r="R1261" s="4">
        <v>5025.1174883856811</v>
      </c>
      <c r="S1261" s="5">
        <f t="shared" si="77"/>
        <v>-0.62217161741461047</v>
      </c>
      <c r="T1261" s="4">
        <v>10407.44297520058</v>
      </c>
      <c r="U1261" s="5">
        <f t="shared" si="78"/>
        <v>-0.21748549058642253</v>
      </c>
      <c r="V1261" s="4">
        <v>4602.89990234375</v>
      </c>
      <c r="W1261" s="5">
        <f t="shared" si="79"/>
        <v>-0.65391730057565789</v>
      </c>
    </row>
    <row r="1262" spans="1:23" x14ac:dyDescent="0.25">
      <c r="A1262" t="s">
        <v>1677</v>
      </c>
      <c r="B1262">
        <v>2014</v>
      </c>
      <c r="C1262" t="s">
        <v>182</v>
      </c>
      <c r="D1262" t="s">
        <v>608</v>
      </c>
      <c r="E1262">
        <v>157064</v>
      </c>
      <c r="F1262" t="s">
        <v>55</v>
      </c>
      <c r="G1262" t="s">
        <v>30</v>
      </c>
      <c r="H1262" t="s">
        <v>24</v>
      </c>
      <c r="I1262" t="s">
        <v>25</v>
      </c>
      <c r="J1262" s="2">
        <v>45400</v>
      </c>
      <c r="K1262" t="s">
        <v>25</v>
      </c>
      <c r="L1262">
        <v>44310</v>
      </c>
      <c r="M1262">
        <v>235</v>
      </c>
      <c r="N1262">
        <v>285</v>
      </c>
      <c r="O1262" s="4">
        <v>4400</v>
      </c>
      <c r="P1262" s="4">
        <v>2458.41650390625</v>
      </c>
      <c r="Q1262" s="5">
        <f t="shared" si="76"/>
        <v>-0.44126897638494322</v>
      </c>
      <c r="R1262" s="4">
        <v>2902.1297005274828</v>
      </c>
      <c r="S1262" s="5">
        <f t="shared" si="77"/>
        <v>-0.34042506806193573</v>
      </c>
      <c r="T1262" s="4">
        <v>2175.8194234268208</v>
      </c>
      <c r="U1262" s="5">
        <f t="shared" si="78"/>
        <v>-0.50549558558481344</v>
      </c>
      <c r="V1262" s="4">
        <v>2377.629638671875</v>
      </c>
      <c r="W1262" s="5">
        <f t="shared" si="79"/>
        <v>-0.45962962757457382</v>
      </c>
    </row>
    <row r="1263" spans="1:23" x14ac:dyDescent="0.25">
      <c r="A1263" t="s">
        <v>1678</v>
      </c>
      <c r="B1263">
        <v>2020</v>
      </c>
      <c r="C1263" t="s">
        <v>182</v>
      </c>
      <c r="D1263" t="s">
        <v>1110</v>
      </c>
      <c r="E1263">
        <v>36107</v>
      </c>
      <c r="F1263" t="s">
        <v>43</v>
      </c>
      <c r="G1263" t="s">
        <v>44</v>
      </c>
      <c r="H1263" t="s">
        <v>25</v>
      </c>
      <c r="I1263" t="s">
        <v>24</v>
      </c>
      <c r="J1263" s="2">
        <v>45664</v>
      </c>
      <c r="K1263" t="s">
        <v>25</v>
      </c>
      <c r="L1263">
        <v>44310</v>
      </c>
      <c r="M1263">
        <v>235</v>
      </c>
      <c r="N1263">
        <v>285</v>
      </c>
      <c r="O1263" s="4">
        <v>11500</v>
      </c>
      <c r="P1263" s="4">
        <v>21338.615234375</v>
      </c>
      <c r="Q1263" s="5">
        <f t="shared" si="76"/>
        <v>0.85553175951086957</v>
      </c>
      <c r="R1263" s="4">
        <v>20594.235114261199</v>
      </c>
      <c r="S1263" s="5">
        <f t="shared" si="77"/>
        <v>0.79080305341401735</v>
      </c>
      <c r="T1263" s="4">
        <v>17350.975033235442</v>
      </c>
      <c r="U1263" s="5">
        <f t="shared" si="78"/>
        <v>0.50878043767264702</v>
      </c>
      <c r="V1263" s="4">
        <v>21282.466796875</v>
      </c>
      <c r="W1263" s="5">
        <f t="shared" si="79"/>
        <v>0.85064928668478257</v>
      </c>
    </row>
    <row r="1264" spans="1:23" x14ac:dyDescent="0.25">
      <c r="A1264" t="s">
        <v>1679</v>
      </c>
      <c r="B1264">
        <v>2012</v>
      </c>
      <c r="C1264" t="s">
        <v>519</v>
      </c>
      <c r="D1264" t="s">
        <v>1680</v>
      </c>
      <c r="E1264">
        <v>123897</v>
      </c>
      <c r="F1264" t="s">
        <v>89</v>
      </c>
      <c r="G1264" t="s">
        <v>34</v>
      </c>
      <c r="H1264" t="s">
        <v>25</v>
      </c>
      <c r="I1264" t="s">
        <v>24</v>
      </c>
      <c r="J1264" s="2">
        <v>45510</v>
      </c>
      <c r="K1264" t="s">
        <v>25</v>
      </c>
      <c r="L1264">
        <v>44310</v>
      </c>
      <c r="M1264">
        <v>235</v>
      </c>
      <c r="N1264">
        <v>285</v>
      </c>
      <c r="O1264" s="4">
        <v>1600</v>
      </c>
      <c r="P1264" s="4">
        <v>2602.58154296875</v>
      </c>
      <c r="Q1264" s="5">
        <f t="shared" si="76"/>
        <v>0.62661346435546883</v>
      </c>
      <c r="R1264" s="4">
        <v>2567.8689729545358</v>
      </c>
      <c r="S1264" s="5">
        <f t="shared" si="77"/>
        <v>0.60491810809658486</v>
      </c>
      <c r="T1264" s="4">
        <v>3140.6230211073521</v>
      </c>
      <c r="U1264" s="5">
        <f t="shared" si="78"/>
        <v>0.96288938819209502</v>
      </c>
      <c r="V1264" s="4">
        <v>2510.328125</v>
      </c>
      <c r="W1264" s="5">
        <f t="shared" si="79"/>
        <v>0.5689550781249999</v>
      </c>
    </row>
    <row r="1265" spans="1:23" x14ac:dyDescent="0.25">
      <c r="A1265" t="s">
        <v>1681</v>
      </c>
      <c r="B1265">
        <v>2015</v>
      </c>
      <c r="C1265" t="s">
        <v>519</v>
      </c>
      <c r="D1265" t="s">
        <v>1682</v>
      </c>
      <c r="E1265">
        <v>156195</v>
      </c>
      <c r="F1265" t="s">
        <v>37</v>
      </c>
      <c r="G1265" t="s">
        <v>30</v>
      </c>
      <c r="H1265" t="s">
        <v>24</v>
      </c>
      <c r="I1265" t="s">
        <v>25</v>
      </c>
      <c r="J1265" s="2">
        <v>45484</v>
      </c>
      <c r="K1265" t="s">
        <v>25</v>
      </c>
      <c r="L1265">
        <v>44310</v>
      </c>
      <c r="M1265">
        <v>235</v>
      </c>
      <c r="N1265">
        <v>285</v>
      </c>
      <c r="O1265" s="4">
        <v>9800</v>
      </c>
      <c r="P1265" s="4">
        <v>2702.838134765625</v>
      </c>
      <c r="Q1265" s="5">
        <f t="shared" si="76"/>
        <v>-0.72420019033003824</v>
      </c>
      <c r="R1265" s="4">
        <v>4659.8133667069051</v>
      </c>
      <c r="S1265" s="5">
        <f t="shared" si="77"/>
        <v>-0.52450884013194843</v>
      </c>
      <c r="T1265" s="4">
        <v>4079.4807639643218</v>
      </c>
      <c r="U1265" s="5">
        <f t="shared" si="78"/>
        <v>-0.58372645265670187</v>
      </c>
      <c r="V1265" s="4">
        <v>2387.146728515625</v>
      </c>
      <c r="W1265" s="5">
        <f t="shared" si="79"/>
        <v>-0.75641359913105866</v>
      </c>
    </row>
    <row r="1266" spans="1:23" x14ac:dyDescent="0.25">
      <c r="A1266" t="s">
        <v>1683</v>
      </c>
      <c r="B1266">
        <v>2012</v>
      </c>
      <c r="C1266" t="s">
        <v>185</v>
      </c>
      <c r="D1266" t="s">
        <v>509</v>
      </c>
      <c r="E1266">
        <v>180421</v>
      </c>
      <c r="F1266" t="s">
        <v>61</v>
      </c>
      <c r="G1266" t="s">
        <v>30</v>
      </c>
      <c r="H1266" t="s">
        <v>24</v>
      </c>
      <c r="I1266" t="s">
        <v>25</v>
      </c>
      <c r="J1266" s="2">
        <v>45701</v>
      </c>
      <c r="K1266" t="s">
        <v>25</v>
      </c>
      <c r="L1266">
        <v>44310</v>
      </c>
      <c r="M1266">
        <v>235</v>
      </c>
      <c r="N1266">
        <v>285</v>
      </c>
      <c r="O1266" s="4">
        <v>2000</v>
      </c>
      <c r="P1266" s="4">
        <v>746.01922607421875</v>
      </c>
      <c r="Q1266" s="5">
        <f t="shared" si="76"/>
        <v>-0.62699038696289056</v>
      </c>
      <c r="R1266" s="4">
        <v>936.94935210523545</v>
      </c>
      <c r="S1266" s="5">
        <f t="shared" si="77"/>
        <v>-0.53152532394738228</v>
      </c>
      <c r="T1266" s="4">
        <v>1858.5661226317061</v>
      </c>
      <c r="U1266" s="5">
        <f t="shared" si="78"/>
        <v>-7.0716938684146968E-2</v>
      </c>
      <c r="V1266" s="4">
        <v>970.58551025390625</v>
      </c>
      <c r="W1266" s="5">
        <f t="shared" si="79"/>
        <v>-0.51470724487304687</v>
      </c>
    </row>
    <row r="1267" spans="1:23" x14ac:dyDescent="0.25">
      <c r="A1267" t="s">
        <v>1684</v>
      </c>
      <c r="B1267">
        <v>2012</v>
      </c>
      <c r="C1267" t="s">
        <v>139</v>
      </c>
      <c r="D1267" t="s">
        <v>283</v>
      </c>
      <c r="E1267">
        <v>81719</v>
      </c>
      <c r="F1267" t="s">
        <v>22</v>
      </c>
      <c r="G1267" t="s">
        <v>23</v>
      </c>
      <c r="H1267" t="s">
        <v>24</v>
      </c>
      <c r="I1267" t="s">
        <v>25</v>
      </c>
      <c r="J1267" s="2">
        <v>45468</v>
      </c>
      <c r="K1267" t="s">
        <v>25</v>
      </c>
      <c r="L1267">
        <v>44310</v>
      </c>
      <c r="M1267">
        <v>235</v>
      </c>
      <c r="N1267">
        <v>285</v>
      </c>
      <c r="O1267" s="4">
        <v>5000</v>
      </c>
      <c r="P1267" s="4">
        <v>5258.3515625</v>
      </c>
      <c r="Q1267" s="5">
        <f t="shared" si="76"/>
        <v>5.1670312499999982E-2</v>
      </c>
      <c r="R1267" s="4">
        <v>5466.9331357521596</v>
      </c>
      <c r="S1267" s="5">
        <f t="shared" si="77"/>
        <v>9.3386627150432E-2</v>
      </c>
      <c r="T1267" s="4">
        <v>5790.3015447962298</v>
      </c>
      <c r="U1267" s="5">
        <f t="shared" si="78"/>
        <v>0.15806030895924605</v>
      </c>
      <c r="V1267" s="4">
        <v>5238.54736328125</v>
      </c>
      <c r="W1267" s="5">
        <f t="shared" si="79"/>
        <v>4.7709472656249918E-2</v>
      </c>
    </row>
    <row r="1268" spans="1:23" x14ac:dyDescent="0.25">
      <c r="A1268" t="s">
        <v>1685</v>
      </c>
      <c r="B1268">
        <v>2013</v>
      </c>
      <c r="C1268" t="s">
        <v>1686</v>
      </c>
      <c r="D1268" t="s">
        <v>1687</v>
      </c>
      <c r="E1268">
        <v>118674</v>
      </c>
      <c r="F1268" t="s">
        <v>475</v>
      </c>
      <c r="G1268" t="s">
        <v>38</v>
      </c>
      <c r="H1268" t="s">
        <v>25</v>
      </c>
      <c r="I1268" t="s">
        <v>24</v>
      </c>
      <c r="J1268" s="2">
        <v>45622</v>
      </c>
      <c r="K1268" t="s">
        <v>25</v>
      </c>
      <c r="L1268">
        <v>44310</v>
      </c>
      <c r="M1268">
        <v>235</v>
      </c>
      <c r="N1268">
        <v>285</v>
      </c>
      <c r="O1268" s="4">
        <v>7800</v>
      </c>
      <c r="P1268" s="4">
        <v>8962.2548828125</v>
      </c>
      <c r="Q1268" s="5">
        <f t="shared" si="76"/>
        <v>0.14900703625801293</v>
      </c>
      <c r="R1268" s="4">
        <v>7470.216507412335</v>
      </c>
      <c r="S1268" s="5">
        <f t="shared" si="77"/>
        <v>-4.2279934947136555E-2</v>
      </c>
      <c r="T1268" s="4">
        <v>6381.0227031429622</v>
      </c>
      <c r="U1268" s="5">
        <f t="shared" si="78"/>
        <v>-0.18192016626372276</v>
      </c>
      <c r="V1268" s="4">
        <v>8970.90234375</v>
      </c>
      <c r="W1268" s="5">
        <f t="shared" si="79"/>
        <v>0.15011568509615381</v>
      </c>
    </row>
    <row r="1269" spans="1:23" x14ac:dyDescent="0.25">
      <c r="A1269" t="s">
        <v>1688</v>
      </c>
      <c r="B1269">
        <v>2018</v>
      </c>
      <c r="C1269" t="s">
        <v>139</v>
      </c>
      <c r="D1269" t="s">
        <v>1037</v>
      </c>
      <c r="E1269">
        <v>88425</v>
      </c>
      <c r="F1269" t="s">
        <v>141</v>
      </c>
      <c r="G1269" t="s">
        <v>38</v>
      </c>
      <c r="H1269" t="s">
        <v>25</v>
      </c>
      <c r="I1269" t="s">
        <v>24</v>
      </c>
      <c r="J1269" s="2">
        <v>45554</v>
      </c>
      <c r="K1269" t="s">
        <v>25</v>
      </c>
      <c r="L1269">
        <v>44310</v>
      </c>
      <c r="M1269">
        <v>235</v>
      </c>
      <c r="N1269">
        <v>285</v>
      </c>
      <c r="O1269" s="4">
        <v>20000</v>
      </c>
      <c r="P1269" s="4">
        <v>13571.23828125</v>
      </c>
      <c r="Q1269" s="5">
        <f t="shared" si="76"/>
        <v>-0.32143808593750001</v>
      </c>
      <c r="R1269" s="4">
        <v>13184.355114851191</v>
      </c>
      <c r="S1269" s="5">
        <f t="shared" si="77"/>
        <v>-0.34078224425744053</v>
      </c>
      <c r="T1269" s="4">
        <v>15550.11777092296</v>
      </c>
      <c r="U1269" s="5">
        <f t="shared" si="78"/>
        <v>-0.22249411145385201</v>
      </c>
      <c r="V1269" s="4">
        <v>13732.3359375</v>
      </c>
      <c r="W1269" s="5">
        <f t="shared" si="79"/>
        <v>-0.31338320312500001</v>
      </c>
    </row>
    <row r="1270" spans="1:23" x14ac:dyDescent="0.25">
      <c r="A1270" t="s">
        <v>1689</v>
      </c>
      <c r="B1270">
        <v>2018</v>
      </c>
      <c r="C1270" t="s">
        <v>91</v>
      </c>
      <c r="D1270" t="s">
        <v>287</v>
      </c>
      <c r="E1270">
        <v>104053</v>
      </c>
      <c r="F1270" t="s">
        <v>227</v>
      </c>
      <c r="G1270" t="s">
        <v>23</v>
      </c>
      <c r="H1270" t="s">
        <v>24</v>
      </c>
      <c r="I1270" t="s">
        <v>25</v>
      </c>
      <c r="J1270" s="2">
        <v>45720</v>
      </c>
      <c r="K1270" t="s">
        <v>25</v>
      </c>
      <c r="L1270">
        <v>44310</v>
      </c>
      <c r="M1270">
        <v>235</v>
      </c>
      <c r="N1270">
        <v>285</v>
      </c>
      <c r="O1270" s="4">
        <v>14600</v>
      </c>
      <c r="P1270" s="4">
        <v>5140.90869140625</v>
      </c>
      <c r="Q1270" s="5">
        <f t="shared" si="76"/>
        <v>-0.64788296634203768</v>
      </c>
      <c r="R1270" s="4">
        <v>5738.1881893482159</v>
      </c>
      <c r="S1270" s="5">
        <f t="shared" si="77"/>
        <v>-0.6069734116884784</v>
      </c>
      <c r="T1270" s="4">
        <v>3894.3119088364078</v>
      </c>
      <c r="U1270" s="5">
        <f t="shared" si="78"/>
        <v>-0.73326630761394473</v>
      </c>
      <c r="V1270" s="4">
        <v>4926.38232421875</v>
      </c>
      <c r="W1270" s="5">
        <f t="shared" si="79"/>
        <v>-0.66257655313570207</v>
      </c>
    </row>
    <row r="1271" spans="1:23" x14ac:dyDescent="0.25">
      <c r="A1271" t="s">
        <v>1690</v>
      </c>
      <c r="B1271">
        <v>2017</v>
      </c>
      <c r="C1271" t="s">
        <v>91</v>
      </c>
      <c r="D1271" t="s">
        <v>287</v>
      </c>
      <c r="E1271">
        <v>66736</v>
      </c>
      <c r="F1271" t="s">
        <v>115</v>
      </c>
      <c r="G1271" t="s">
        <v>38</v>
      </c>
      <c r="H1271" t="s">
        <v>25</v>
      </c>
      <c r="I1271" t="s">
        <v>24</v>
      </c>
      <c r="J1271" s="2">
        <v>45566</v>
      </c>
      <c r="K1271" t="s">
        <v>25</v>
      </c>
      <c r="L1271">
        <v>44310</v>
      </c>
      <c r="M1271">
        <v>235</v>
      </c>
      <c r="N1271">
        <v>285</v>
      </c>
      <c r="O1271" s="4">
        <v>9300</v>
      </c>
      <c r="P1271" s="4">
        <v>7593.71630859375</v>
      </c>
      <c r="Q1271" s="5">
        <f t="shared" si="76"/>
        <v>-0.18347136466733871</v>
      </c>
      <c r="R1271" s="4">
        <v>7815.9926078693679</v>
      </c>
      <c r="S1271" s="5">
        <f t="shared" si="77"/>
        <v>-0.15957068732587443</v>
      </c>
      <c r="T1271" s="4">
        <v>6119.3184349793364</v>
      </c>
      <c r="U1271" s="5">
        <f t="shared" si="78"/>
        <v>-0.34200877043232947</v>
      </c>
      <c r="V1271" s="4">
        <v>7697.38916015625</v>
      </c>
      <c r="W1271" s="5">
        <f t="shared" si="79"/>
        <v>-0.1723237462197581</v>
      </c>
    </row>
    <row r="1272" spans="1:23" x14ac:dyDescent="0.25">
      <c r="A1272" t="s">
        <v>1691</v>
      </c>
      <c r="B1272">
        <v>2019</v>
      </c>
      <c r="C1272" t="s">
        <v>91</v>
      </c>
      <c r="D1272" t="s">
        <v>287</v>
      </c>
      <c r="E1272">
        <v>69597</v>
      </c>
      <c r="F1272" t="s">
        <v>98</v>
      </c>
      <c r="G1272" t="s">
        <v>44</v>
      </c>
      <c r="H1272" t="s">
        <v>25</v>
      </c>
      <c r="I1272" t="s">
        <v>24</v>
      </c>
      <c r="J1272" s="2">
        <v>45664</v>
      </c>
      <c r="K1272" t="s">
        <v>25</v>
      </c>
      <c r="L1272">
        <v>44310</v>
      </c>
      <c r="M1272">
        <v>235</v>
      </c>
      <c r="N1272">
        <v>285</v>
      </c>
      <c r="O1272" s="4">
        <v>14500</v>
      </c>
      <c r="P1272" s="4">
        <v>14022.5849609375</v>
      </c>
      <c r="Q1272" s="5">
        <f t="shared" si="76"/>
        <v>-3.2925175107758609E-2</v>
      </c>
      <c r="R1272" s="4">
        <v>14863.387809461999</v>
      </c>
      <c r="S1272" s="5">
        <f t="shared" si="77"/>
        <v>2.5061228238758559E-2</v>
      </c>
      <c r="T1272" s="4">
        <v>11633.36591356805</v>
      </c>
      <c r="U1272" s="5">
        <f t="shared" si="78"/>
        <v>-0.19769890251254829</v>
      </c>
      <c r="V1272" s="4">
        <v>14174.01953125</v>
      </c>
      <c r="W1272" s="5">
        <f t="shared" si="79"/>
        <v>-2.2481411637931048E-2</v>
      </c>
    </row>
    <row r="1273" spans="1:23" x14ac:dyDescent="0.25">
      <c r="A1273" t="s">
        <v>1692</v>
      </c>
      <c r="B1273">
        <v>2016</v>
      </c>
      <c r="C1273" t="s">
        <v>91</v>
      </c>
      <c r="D1273" t="s">
        <v>885</v>
      </c>
      <c r="E1273">
        <v>84122</v>
      </c>
      <c r="F1273" t="s">
        <v>102</v>
      </c>
      <c r="G1273" t="s">
        <v>30</v>
      </c>
      <c r="H1273" t="s">
        <v>24</v>
      </c>
      <c r="I1273" t="s">
        <v>25</v>
      </c>
      <c r="J1273" s="2">
        <v>45645</v>
      </c>
      <c r="K1273" t="s">
        <v>25</v>
      </c>
      <c r="L1273">
        <v>44310</v>
      </c>
      <c r="M1273">
        <v>235</v>
      </c>
      <c r="N1273">
        <v>285</v>
      </c>
      <c r="O1273" s="4">
        <v>9300</v>
      </c>
      <c r="P1273" s="4">
        <v>9779.5556640625</v>
      </c>
      <c r="Q1273" s="5">
        <f t="shared" si="76"/>
        <v>5.1565125168010706E-2</v>
      </c>
      <c r="R1273" s="4">
        <v>10190.67430701199</v>
      </c>
      <c r="S1273" s="5">
        <f t="shared" si="77"/>
        <v>9.5771430861504303E-2</v>
      </c>
      <c r="T1273" s="4">
        <v>9963.799082622907</v>
      </c>
      <c r="U1273" s="5">
        <f t="shared" si="78"/>
        <v>7.1376245443323327E-2</v>
      </c>
      <c r="V1273" s="4">
        <v>9608.9375</v>
      </c>
      <c r="W1273" s="5">
        <f t="shared" si="79"/>
        <v>3.3219086021505362E-2</v>
      </c>
    </row>
    <row r="1274" spans="1:23" x14ac:dyDescent="0.25">
      <c r="A1274" t="s">
        <v>1693</v>
      </c>
      <c r="B1274">
        <v>2016</v>
      </c>
      <c r="C1274" t="s">
        <v>91</v>
      </c>
      <c r="D1274" t="s">
        <v>287</v>
      </c>
      <c r="E1274">
        <v>77501</v>
      </c>
      <c r="F1274" t="s">
        <v>61</v>
      </c>
      <c r="G1274" t="s">
        <v>34</v>
      </c>
      <c r="H1274" t="s">
        <v>25</v>
      </c>
      <c r="I1274" t="s">
        <v>24</v>
      </c>
      <c r="J1274" s="2">
        <v>45608</v>
      </c>
      <c r="K1274" t="s">
        <v>25</v>
      </c>
      <c r="L1274">
        <v>44310</v>
      </c>
      <c r="M1274">
        <v>235</v>
      </c>
      <c r="N1274">
        <v>285</v>
      </c>
      <c r="O1274" s="4">
        <v>600</v>
      </c>
      <c r="P1274" s="4">
        <v>5036.2158203125</v>
      </c>
      <c r="Q1274" s="5">
        <f t="shared" si="76"/>
        <v>7.3936930338541664</v>
      </c>
      <c r="R1274" s="4">
        <v>6360.0324242244833</v>
      </c>
      <c r="S1274" s="5">
        <f t="shared" si="77"/>
        <v>9.6000540403741397</v>
      </c>
      <c r="T1274" s="4">
        <v>5102.9169706471439</v>
      </c>
      <c r="U1274" s="5">
        <f t="shared" si="78"/>
        <v>7.5048616177452399</v>
      </c>
      <c r="V1274" s="4">
        <v>4518.32763671875</v>
      </c>
      <c r="W1274" s="5">
        <f t="shared" si="79"/>
        <v>6.5305460611979163</v>
      </c>
    </row>
    <row r="1275" spans="1:23" x14ac:dyDescent="0.25">
      <c r="A1275" t="s">
        <v>1694</v>
      </c>
      <c r="B1275">
        <v>2021</v>
      </c>
      <c r="C1275" t="s">
        <v>20</v>
      </c>
      <c r="D1275" t="s">
        <v>258</v>
      </c>
      <c r="E1275">
        <v>35989</v>
      </c>
      <c r="F1275" t="s">
        <v>37</v>
      </c>
      <c r="G1275" t="s">
        <v>38</v>
      </c>
      <c r="H1275" t="s">
        <v>25</v>
      </c>
      <c r="I1275" t="s">
        <v>24</v>
      </c>
      <c r="J1275" s="2">
        <v>45701</v>
      </c>
      <c r="K1275" t="s">
        <v>25</v>
      </c>
      <c r="L1275">
        <v>44310</v>
      </c>
      <c r="M1275">
        <v>235</v>
      </c>
      <c r="N1275">
        <v>285</v>
      </c>
      <c r="O1275" s="4">
        <v>17300</v>
      </c>
      <c r="P1275" s="4">
        <v>17732.158203125</v>
      </c>
      <c r="Q1275" s="5">
        <f t="shared" si="76"/>
        <v>2.4980242955202403E-2</v>
      </c>
      <c r="R1275" s="4">
        <v>25302.05196853507</v>
      </c>
      <c r="S1275" s="5">
        <f t="shared" si="77"/>
        <v>0.46254635656272081</v>
      </c>
      <c r="T1275" s="4">
        <v>23060.066456282479</v>
      </c>
      <c r="U1275" s="5">
        <f t="shared" si="78"/>
        <v>0.3329518182822242</v>
      </c>
      <c r="V1275" s="4">
        <v>16684.94921875</v>
      </c>
      <c r="W1275" s="5">
        <f t="shared" si="79"/>
        <v>-3.5552068280346849E-2</v>
      </c>
    </row>
    <row r="1276" spans="1:23" x14ac:dyDescent="0.25">
      <c r="A1276" t="s">
        <v>1695</v>
      </c>
      <c r="B1276">
        <v>2017</v>
      </c>
      <c r="C1276" t="s">
        <v>167</v>
      </c>
      <c r="D1276" t="s">
        <v>890</v>
      </c>
      <c r="E1276">
        <v>88282</v>
      </c>
      <c r="F1276" t="s">
        <v>63</v>
      </c>
      <c r="G1276" t="s">
        <v>44</v>
      </c>
      <c r="H1276" t="s">
        <v>25</v>
      </c>
      <c r="I1276" t="s">
        <v>24</v>
      </c>
      <c r="J1276" s="2">
        <v>45608</v>
      </c>
      <c r="K1276" t="s">
        <v>25</v>
      </c>
      <c r="L1276">
        <v>44310</v>
      </c>
      <c r="M1276">
        <v>235</v>
      </c>
      <c r="N1276">
        <v>285</v>
      </c>
      <c r="O1276" s="4">
        <v>5200</v>
      </c>
      <c r="P1276" s="4">
        <v>8562.9716796875</v>
      </c>
      <c r="Q1276" s="5">
        <f t="shared" si="76"/>
        <v>0.64672532301682684</v>
      </c>
      <c r="R1276" s="4">
        <v>8280.9287734659611</v>
      </c>
      <c r="S1276" s="5">
        <f t="shared" si="77"/>
        <v>0.59248630258960788</v>
      </c>
      <c r="T1276" s="4">
        <v>8547.5978212834252</v>
      </c>
      <c r="U1276" s="5">
        <f t="shared" si="78"/>
        <v>0.64376881178527401</v>
      </c>
      <c r="V1276" s="4">
        <v>8625.7490234375</v>
      </c>
      <c r="W1276" s="5">
        <f t="shared" si="79"/>
        <v>0.65879788912259607</v>
      </c>
    </row>
    <row r="1277" spans="1:23" x14ac:dyDescent="0.25">
      <c r="A1277" t="s">
        <v>1696</v>
      </c>
      <c r="B1277">
        <v>2016</v>
      </c>
      <c r="C1277" t="s">
        <v>167</v>
      </c>
      <c r="D1277" t="s">
        <v>675</v>
      </c>
      <c r="E1277">
        <v>77444</v>
      </c>
      <c r="F1277" t="s">
        <v>77</v>
      </c>
      <c r="G1277" t="s">
        <v>38</v>
      </c>
      <c r="H1277" t="s">
        <v>25</v>
      </c>
      <c r="I1277" t="s">
        <v>24</v>
      </c>
      <c r="J1277" s="2">
        <v>45659</v>
      </c>
      <c r="K1277" t="s">
        <v>25</v>
      </c>
      <c r="L1277">
        <v>44310</v>
      </c>
      <c r="M1277">
        <v>235</v>
      </c>
      <c r="N1277">
        <v>285</v>
      </c>
      <c r="O1277" s="4">
        <v>5900</v>
      </c>
      <c r="P1277" s="4">
        <v>5175.48974609375</v>
      </c>
      <c r="Q1277" s="5">
        <f t="shared" si="76"/>
        <v>-0.12279834811970336</v>
      </c>
      <c r="R1277" s="4">
        <v>7528.0435968319644</v>
      </c>
      <c r="S1277" s="5">
        <f t="shared" si="77"/>
        <v>0.27593959268338386</v>
      </c>
      <c r="T1277" s="4">
        <v>9049.6101788556807</v>
      </c>
      <c r="U1277" s="5">
        <f t="shared" si="78"/>
        <v>0.53383223370435262</v>
      </c>
      <c r="V1277" s="4">
        <v>4660.673828125</v>
      </c>
      <c r="W1277" s="5">
        <f t="shared" si="79"/>
        <v>-0.2100552833686441</v>
      </c>
    </row>
    <row r="1278" spans="1:23" x14ac:dyDescent="0.25">
      <c r="A1278" t="s">
        <v>1697</v>
      </c>
      <c r="B1278">
        <v>2014</v>
      </c>
      <c r="C1278" t="s">
        <v>167</v>
      </c>
      <c r="D1278" t="s">
        <v>600</v>
      </c>
      <c r="E1278">
        <v>113712</v>
      </c>
      <c r="F1278" t="s">
        <v>151</v>
      </c>
      <c r="G1278" t="s">
        <v>38</v>
      </c>
      <c r="H1278" t="s">
        <v>25</v>
      </c>
      <c r="I1278" t="s">
        <v>24</v>
      </c>
      <c r="J1278" s="2">
        <v>45356</v>
      </c>
      <c r="K1278" t="s">
        <v>25</v>
      </c>
      <c r="L1278">
        <v>44310</v>
      </c>
      <c r="M1278">
        <v>235</v>
      </c>
      <c r="N1278">
        <v>285</v>
      </c>
      <c r="O1278" s="4">
        <v>1800</v>
      </c>
      <c r="P1278" s="4">
        <v>5760.73828125</v>
      </c>
      <c r="Q1278" s="5">
        <f t="shared" si="76"/>
        <v>2.2004101562499998</v>
      </c>
      <c r="R1278" s="4">
        <v>5212.3601983091867</v>
      </c>
      <c r="S1278" s="5">
        <f t="shared" si="77"/>
        <v>1.895755665727326</v>
      </c>
      <c r="T1278" s="4">
        <v>6495.3870628818777</v>
      </c>
      <c r="U1278" s="5">
        <f t="shared" si="78"/>
        <v>2.60854836826771</v>
      </c>
      <c r="V1278" s="4">
        <v>5894.03125</v>
      </c>
      <c r="W1278" s="5">
        <f t="shared" si="79"/>
        <v>2.2744618055555557</v>
      </c>
    </row>
    <row r="1279" spans="1:23" x14ac:dyDescent="0.25">
      <c r="A1279" t="s">
        <v>1698</v>
      </c>
      <c r="B1279">
        <v>2021</v>
      </c>
      <c r="C1279" t="s">
        <v>167</v>
      </c>
      <c r="D1279" t="s">
        <v>1699</v>
      </c>
      <c r="E1279">
        <v>63070</v>
      </c>
      <c r="F1279" t="s">
        <v>43</v>
      </c>
      <c r="G1279" t="s">
        <v>44</v>
      </c>
      <c r="H1279" t="s">
        <v>25</v>
      </c>
      <c r="I1279" t="s">
        <v>24</v>
      </c>
      <c r="J1279" s="2">
        <v>45456</v>
      </c>
      <c r="K1279" t="s">
        <v>25</v>
      </c>
      <c r="L1279">
        <v>44310</v>
      </c>
      <c r="M1279">
        <v>235</v>
      </c>
      <c r="N1279">
        <v>285</v>
      </c>
      <c r="O1279" s="4">
        <v>14600</v>
      </c>
      <c r="P1279" s="4">
        <v>14793.7744140625</v>
      </c>
      <c r="Q1279" s="5">
        <f t="shared" si="76"/>
        <v>1.3272220141267166E-2</v>
      </c>
      <c r="R1279" s="4">
        <v>16366.02017308852</v>
      </c>
      <c r="S1279" s="5">
        <f t="shared" si="77"/>
        <v>0.1209602858279808</v>
      </c>
      <c r="T1279" s="4">
        <v>18190.604899983809</v>
      </c>
      <c r="U1279" s="5">
        <f t="shared" si="78"/>
        <v>0.24593184246464439</v>
      </c>
      <c r="V1279" s="4">
        <v>14595.509765625</v>
      </c>
      <c r="W1279" s="5">
        <f t="shared" si="79"/>
        <v>-3.0755029965756631E-4</v>
      </c>
    </row>
    <row r="1280" spans="1:23" x14ac:dyDescent="0.25">
      <c r="A1280" t="s">
        <v>1700</v>
      </c>
      <c r="B1280">
        <v>2016</v>
      </c>
      <c r="C1280" t="s">
        <v>167</v>
      </c>
      <c r="D1280" t="s">
        <v>192</v>
      </c>
      <c r="E1280">
        <v>77231</v>
      </c>
      <c r="F1280" t="s">
        <v>115</v>
      </c>
      <c r="G1280" t="s">
        <v>34</v>
      </c>
      <c r="H1280" t="s">
        <v>25</v>
      </c>
      <c r="I1280" t="s">
        <v>24</v>
      </c>
      <c r="J1280" s="2">
        <v>45580</v>
      </c>
      <c r="K1280" t="s">
        <v>25</v>
      </c>
      <c r="L1280">
        <v>44310</v>
      </c>
      <c r="M1280">
        <v>235</v>
      </c>
      <c r="N1280">
        <v>285</v>
      </c>
      <c r="O1280" s="4">
        <v>2500</v>
      </c>
      <c r="P1280" s="4">
        <v>5175.48974609375</v>
      </c>
      <c r="Q1280" s="5">
        <f t="shared" si="76"/>
        <v>1.0701958984375</v>
      </c>
      <c r="R1280" s="4">
        <v>4811.8754608602894</v>
      </c>
      <c r="S1280" s="5">
        <f t="shared" si="77"/>
        <v>0.92475018434411571</v>
      </c>
      <c r="T1280" s="4">
        <v>3646.619052006939</v>
      </c>
      <c r="U1280" s="5">
        <f t="shared" si="78"/>
        <v>0.45864762080277566</v>
      </c>
      <c r="V1280" s="4">
        <v>5165.44580078125</v>
      </c>
      <c r="W1280" s="5">
        <f t="shared" si="79"/>
        <v>1.0661783203124999</v>
      </c>
    </row>
    <row r="1281" spans="1:23" x14ac:dyDescent="0.25">
      <c r="A1281" t="s">
        <v>1701</v>
      </c>
      <c r="B1281">
        <v>2019</v>
      </c>
      <c r="C1281" t="s">
        <v>156</v>
      </c>
      <c r="D1281" t="s">
        <v>196</v>
      </c>
      <c r="E1281">
        <v>46227</v>
      </c>
      <c r="F1281" t="s">
        <v>43</v>
      </c>
      <c r="G1281" t="s">
        <v>44</v>
      </c>
      <c r="H1281" t="s">
        <v>25</v>
      </c>
      <c r="I1281" t="s">
        <v>24</v>
      </c>
      <c r="J1281" s="2">
        <v>45365</v>
      </c>
      <c r="K1281" t="s">
        <v>25</v>
      </c>
      <c r="L1281">
        <v>44310</v>
      </c>
      <c r="M1281">
        <v>235</v>
      </c>
      <c r="N1281">
        <v>285</v>
      </c>
      <c r="O1281" s="4">
        <v>11100</v>
      </c>
      <c r="P1281" s="4">
        <v>13038.7041015625</v>
      </c>
      <c r="Q1281" s="5">
        <f t="shared" si="76"/>
        <v>0.17465802716779288</v>
      </c>
      <c r="R1281" s="4">
        <v>14283.23915220754</v>
      </c>
      <c r="S1281" s="5">
        <f t="shared" si="77"/>
        <v>0.28677830200067933</v>
      </c>
      <c r="T1281" s="4">
        <v>12957.533014099459</v>
      </c>
      <c r="U1281" s="5">
        <f t="shared" si="78"/>
        <v>0.16734531658553697</v>
      </c>
      <c r="V1281" s="4">
        <v>12799.6298828125</v>
      </c>
      <c r="W1281" s="5">
        <f t="shared" si="79"/>
        <v>0.15311980926238733</v>
      </c>
    </row>
    <row r="1282" spans="1:23" x14ac:dyDescent="0.25">
      <c r="A1282" t="s">
        <v>1702</v>
      </c>
      <c r="B1282">
        <v>2015</v>
      </c>
      <c r="C1282" t="s">
        <v>156</v>
      </c>
      <c r="D1282" t="s">
        <v>483</v>
      </c>
      <c r="E1282">
        <v>60690</v>
      </c>
      <c r="F1282" t="s">
        <v>151</v>
      </c>
      <c r="G1282" t="s">
        <v>44</v>
      </c>
      <c r="H1282" t="s">
        <v>25</v>
      </c>
      <c r="I1282" t="s">
        <v>24</v>
      </c>
      <c r="J1282" s="2">
        <v>45594</v>
      </c>
      <c r="K1282" t="s">
        <v>25</v>
      </c>
      <c r="L1282">
        <v>44310</v>
      </c>
      <c r="M1282">
        <v>235</v>
      </c>
      <c r="N1282">
        <v>285</v>
      </c>
      <c r="O1282" s="4">
        <v>9000</v>
      </c>
      <c r="P1282" s="4">
        <v>8272.3935546875</v>
      </c>
      <c r="Q1282" s="5">
        <f t="shared" si="76"/>
        <v>-8.0845160590277798E-2</v>
      </c>
      <c r="R1282" s="4">
        <v>9178.998203581963</v>
      </c>
      <c r="S1282" s="5">
        <f t="shared" si="77"/>
        <v>1.9888689286884809E-2</v>
      </c>
      <c r="T1282" s="4">
        <v>10862.65111037824</v>
      </c>
      <c r="U1282" s="5">
        <f t="shared" si="78"/>
        <v>0.20696123448647108</v>
      </c>
      <c r="V1282" s="4">
        <v>8098.55615234375</v>
      </c>
      <c r="W1282" s="5">
        <f t="shared" si="79"/>
        <v>-0.10016042751736109</v>
      </c>
    </row>
    <row r="1283" spans="1:23" x14ac:dyDescent="0.25">
      <c r="A1283" t="s">
        <v>1703</v>
      </c>
      <c r="B1283">
        <v>2019</v>
      </c>
      <c r="C1283" t="s">
        <v>156</v>
      </c>
      <c r="D1283" t="s">
        <v>1327</v>
      </c>
      <c r="E1283">
        <v>80259</v>
      </c>
      <c r="F1283" t="s">
        <v>174</v>
      </c>
      <c r="G1283" t="s">
        <v>44</v>
      </c>
      <c r="H1283" t="s">
        <v>25</v>
      </c>
      <c r="I1283" t="s">
        <v>24</v>
      </c>
      <c r="J1283" s="2">
        <v>45617</v>
      </c>
      <c r="K1283" t="s">
        <v>25</v>
      </c>
      <c r="L1283">
        <v>44310</v>
      </c>
      <c r="M1283">
        <v>235</v>
      </c>
      <c r="N1283">
        <v>285</v>
      </c>
      <c r="O1283" s="4">
        <v>9300</v>
      </c>
      <c r="P1283" s="4">
        <v>10239.0361328125</v>
      </c>
      <c r="Q1283" s="5">
        <f t="shared" ref="Q1283:Q1346" si="80">(P1283/$O1283)-1</f>
        <v>0.10097162718413988</v>
      </c>
      <c r="R1283" s="4">
        <v>13279.22045085261</v>
      </c>
      <c r="S1283" s="5">
        <f t="shared" ref="S1283:S1346" si="81">(R1283/$O1283)-1</f>
        <v>0.42787316675834508</v>
      </c>
      <c r="T1283" s="4">
        <v>13426.43622475411</v>
      </c>
      <c r="U1283" s="5">
        <f t="shared" ref="U1283:U1346" si="82">(T1283/$O1283)-1</f>
        <v>0.44370281986603333</v>
      </c>
      <c r="V1283" s="4">
        <v>9747.1416015625</v>
      </c>
      <c r="W1283" s="5">
        <f t="shared" ref="W1283:W1346" si="83">(V1283/$O1283)-1</f>
        <v>4.8079742103494638E-2</v>
      </c>
    </row>
    <row r="1284" spans="1:23" x14ac:dyDescent="0.25">
      <c r="A1284" t="s">
        <v>1704</v>
      </c>
      <c r="B1284">
        <v>2021</v>
      </c>
      <c r="C1284" t="s">
        <v>53</v>
      </c>
      <c r="D1284" t="s">
        <v>485</v>
      </c>
      <c r="E1284">
        <v>62166</v>
      </c>
      <c r="F1284" t="s">
        <v>58</v>
      </c>
      <c r="G1284" t="s">
        <v>30</v>
      </c>
      <c r="H1284" t="s">
        <v>24</v>
      </c>
      <c r="I1284" t="s">
        <v>25</v>
      </c>
      <c r="J1284" s="2">
        <v>45636</v>
      </c>
      <c r="K1284" t="s">
        <v>25</v>
      </c>
      <c r="L1284">
        <v>44310</v>
      </c>
      <c r="M1284">
        <v>235</v>
      </c>
      <c r="N1284">
        <v>285</v>
      </c>
      <c r="O1284" s="4">
        <v>13000</v>
      </c>
      <c r="P1284" s="4">
        <v>13411.513671875</v>
      </c>
      <c r="Q1284" s="5">
        <f t="shared" si="80"/>
        <v>3.165489783653852E-2</v>
      </c>
      <c r="R1284" s="4">
        <v>14939.888406245311</v>
      </c>
      <c r="S1284" s="5">
        <f t="shared" si="81"/>
        <v>0.1492221850957931</v>
      </c>
      <c r="T1284" s="4">
        <v>11494.72145304962</v>
      </c>
      <c r="U1284" s="5">
        <f t="shared" si="82"/>
        <v>-0.11579065745772155</v>
      </c>
      <c r="V1284" s="4">
        <v>13081.1064453125</v>
      </c>
      <c r="W1284" s="5">
        <f t="shared" si="83"/>
        <v>6.2389573317307434E-3</v>
      </c>
    </row>
    <row r="1285" spans="1:23" x14ac:dyDescent="0.25">
      <c r="A1285" t="s">
        <v>1705</v>
      </c>
      <c r="B1285">
        <v>2021</v>
      </c>
      <c r="C1285" t="s">
        <v>465</v>
      </c>
      <c r="D1285" t="s">
        <v>1706</v>
      </c>
      <c r="E1285">
        <v>91212</v>
      </c>
      <c r="F1285" t="s">
        <v>48</v>
      </c>
      <c r="G1285" t="s">
        <v>38</v>
      </c>
      <c r="H1285" t="s">
        <v>25</v>
      </c>
      <c r="I1285" t="s">
        <v>24</v>
      </c>
      <c r="J1285" s="2">
        <v>45608</v>
      </c>
      <c r="K1285" t="s">
        <v>25</v>
      </c>
      <c r="L1285">
        <v>44310</v>
      </c>
      <c r="M1285">
        <v>235</v>
      </c>
      <c r="N1285">
        <v>285</v>
      </c>
      <c r="O1285" s="4">
        <v>10600</v>
      </c>
      <c r="P1285" s="4">
        <v>7210.61328125</v>
      </c>
      <c r="Q1285" s="5">
        <f t="shared" si="80"/>
        <v>-0.31975346403301885</v>
      </c>
      <c r="R1285" s="4">
        <v>11885.87490330901</v>
      </c>
      <c r="S1285" s="5">
        <f t="shared" si="81"/>
        <v>0.12130895314235945</v>
      </c>
      <c r="T1285" s="4">
        <v>12592.32613740434</v>
      </c>
      <c r="U1285" s="5">
        <f t="shared" si="82"/>
        <v>0.18795529598154137</v>
      </c>
      <c r="V1285" s="4">
        <v>8890.8876953125</v>
      </c>
      <c r="W1285" s="5">
        <f t="shared" si="83"/>
        <v>-0.16123700987617928</v>
      </c>
    </row>
    <row r="1286" spans="1:23" x14ac:dyDescent="0.25">
      <c r="A1286" t="s">
        <v>1707</v>
      </c>
      <c r="B1286">
        <v>2015</v>
      </c>
      <c r="C1286" t="s">
        <v>487</v>
      </c>
      <c r="D1286" t="s">
        <v>1533</v>
      </c>
      <c r="E1286">
        <v>67755</v>
      </c>
      <c r="F1286" t="s">
        <v>48</v>
      </c>
      <c r="G1286" t="s">
        <v>38</v>
      </c>
      <c r="H1286" t="s">
        <v>25</v>
      </c>
      <c r="I1286" t="s">
        <v>24</v>
      </c>
      <c r="J1286" s="2">
        <v>45636</v>
      </c>
      <c r="K1286" t="s">
        <v>25</v>
      </c>
      <c r="L1286">
        <v>44310</v>
      </c>
      <c r="M1286">
        <v>235</v>
      </c>
      <c r="N1286">
        <v>285</v>
      </c>
      <c r="O1286" s="4">
        <v>5200</v>
      </c>
      <c r="P1286" s="4">
        <v>8112.78955078125</v>
      </c>
      <c r="Q1286" s="5">
        <f t="shared" si="80"/>
        <v>0.56015183668870194</v>
      </c>
      <c r="R1286" s="4">
        <v>9908.8757728191977</v>
      </c>
      <c r="S1286" s="5">
        <f t="shared" si="81"/>
        <v>0.90555303323446101</v>
      </c>
      <c r="T1286" s="4">
        <v>8772.2894802192277</v>
      </c>
      <c r="U1286" s="5">
        <f t="shared" si="82"/>
        <v>0.6869787461960053</v>
      </c>
      <c r="V1286" s="4">
        <v>7466.04052734375</v>
      </c>
      <c r="W1286" s="5">
        <f t="shared" si="83"/>
        <v>0.43577702448918276</v>
      </c>
    </row>
    <row r="1287" spans="1:23" x14ac:dyDescent="0.25">
      <c r="A1287" t="s">
        <v>1708</v>
      </c>
      <c r="B1287">
        <v>2016</v>
      </c>
      <c r="C1287" t="s">
        <v>487</v>
      </c>
      <c r="D1287" t="s">
        <v>1709</v>
      </c>
      <c r="E1287">
        <v>82451</v>
      </c>
      <c r="F1287" t="s">
        <v>29</v>
      </c>
      <c r="G1287" t="s">
        <v>30</v>
      </c>
      <c r="H1287" t="s">
        <v>24</v>
      </c>
      <c r="I1287" t="s">
        <v>25</v>
      </c>
      <c r="J1287" s="2">
        <v>45510</v>
      </c>
      <c r="K1287" t="s">
        <v>25</v>
      </c>
      <c r="L1287">
        <v>44310</v>
      </c>
      <c r="M1287">
        <v>235</v>
      </c>
      <c r="N1287">
        <v>285</v>
      </c>
      <c r="O1287" s="4">
        <v>3000</v>
      </c>
      <c r="P1287" s="4">
        <v>7160.43310546875</v>
      </c>
      <c r="Q1287" s="5">
        <f t="shared" si="80"/>
        <v>1.3868110351562501</v>
      </c>
      <c r="R1287" s="4">
        <v>9775.095803255741</v>
      </c>
      <c r="S1287" s="5">
        <f t="shared" si="81"/>
        <v>2.2583652677519135</v>
      </c>
      <c r="T1287" s="4">
        <v>7992.5437268669102</v>
      </c>
      <c r="U1287" s="5">
        <f t="shared" si="82"/>
        <v>1.6641812422889699</v>
      </c>
      <c r="V1287" s="4">
        <v>6585.86767578125</v>
      </c>
      <c r="W1287" s="5">
        <f t="shared" si="83"/>
        <v>1.1952892252604168</v>
      </c>
    </row>
    <row r="1288" spans="1:23" x14ac:dyDescent="0.25">
      <c r="A1288" t="s">
        <v>1710</v>
      </c>
      <c r="B1288">
        <v>2017</v>
      </c>
      <c r="C1288" t="s">
        <v>302</v>
      </c>
      <c r="D1288" t="s">
        <v>1342</v>
      </c>
      <c r="E1288">
        <v>147111</v>
      </c>
      <c r="F1288" t="s">
        <v>37</v>
      </c>
      <c r="G1288" t="s">
        <v>30</v>
      </c>
      <c r="H1288" t="s">
        <v>24</v>
      </c>
      <c r="I1288" t="s">
        <v>25</v>
      </c>
      <c r="J1288" s="2">
        <v>45678</v>
      </c>
      <c r="K1288" t="s">
        <v>25</v>
      </c>
      <c r="L1288">
        <v>44310</v>
      </c>
      <c r="M1288">
        <v>235</v>
      </c>
      <c r="N1288">
        <v>285</v>
      </c>
      <c r="O1288" s="4">
        <v>9400</v>
      </c>
      <c r="P1288" s="4">
        <v>4344.44677734375</v>
      </c>
      <c r="Q1288" s="5">
        <f t="shared" si="80"/>
        <v>-0.53782481092087764</v>
      </c>
      <c r="R1288" s="4">
        <v>6883.6523668244008</v>
      </c>
      <c r="S1288" s="5">
        <f t="shared" si="81"/>
        <v>-0.26769655672080839</v>
      </c>
      <c r="T1288" s="4">
        <v>6014.3860874176908</v>
      </c>
      <c r="U1288" s="5">
        <f t="shared" si="82"/>
        <v>-0.36017169282790529</v>
      </c>
      <c r="V1288" s="4">
        <v>3869.70361328125</v>
      </c>
      <c r="W1288" s="5">
        <f t="shared" si="83"/>
        <v>-0.58832940284242019</v>
      </c>
    </row>
    <row r="1289" spans="1:23" x14ac:dyDescent="0.25">
      <c r="A1289" t="s">
        <v>1711</v>
      </c>
      <c r="B1289">
        <v>2009</v>
      </c>
      <c r="C1289" t="s">
        <v>269</v>
      </c>
      <c r="D1289" t="s">
        <v>1712</v>
      </c>
      <c r="E1289">
        <v>75239</v>
      </c>
      <c r="F1289" t="s">
        <v>22</v>
      </c>
      <c r="G1289" t="s">
        <v>30</v>
      </c>
      <c r="H1289" t="s">
        <v>24</v>
      </c>
      <c r="I1289" t="s">
        <v>25</v>
      </c>
      <c r="J1289" s="2">
        <v>45552</v>
      </c>
      <c r="K1289" t="s">
        <v>25</v>
      </c>
      <c r="L1289">
        <v>44310</v>
      </c>
      <c r="M1289">
        <v>235</v>
      </c>
      <c r="N1289">
        <v>285</v>
      </c>
      <c r="O1289" s="4">
        <v>15066.666666666701</v>
      </c>
      <c r="P1289" s="4">
        <v>4714.09130859375</v>
      </c>
      <c r="Q1289" s="5">
        <f t="shared" si="80"/>
        <v>-0.68711783350041555</v>
      </c>
      <c r="R1289" s="4">
        <v>3944.6069023565929</v>
      </c>
      <c r="S1289" s="5">
        <f t="shared" si="81"/>
        <v>-0.73818980736571338</v>
      </c>
      <c r="T1289" s="4">
        <v>8349.6806772811178</v>
      </c>
      <c r="U1289" s="5">
        <f t="shared" si="82"/>
        <v>-0.44581765416275887</v>
      </c>
      <c r="V1289" s="4">
        <v>4681.25537109375</v>
      </c>
      <c r="W1289" s="5">
        <f t="shared" si="83"/>
        <v>-0.6892972098831589</v>
      </c>
    </row>
    <row r="1290" spans="1:23" x14ac:dyDescent="0.25">
      <c r="A1290" t="s">
        <v>1713</v>
      </c>
      <c r="B1290">
        <v>2017</v>
      </c>
      <c r="C1290" t="s">
        <v>266</v>
      </c>
      <c r="D1290" t="s">
        <v>561</v>
      </c>
      <c r="E1290">
        <v>77731</v>
      </c>
      <c r="F1290" t="s">
        <v>79</v>
      </c>
      <c r="G1290" t="s">
        <v>38</v>
      </c>
      <c r="H1290" t="s">
        <v>25</v>
      </c>
      <c r="I1290" t="s">
        <v>24</v>
      </c>
      <c r="J1290" s="2">
        <v>45510</v>
      </c>
      <c r="K1290" t="s">
        <v>25</v>
      </c>
      <c r="L1290">
        <v>44310</v>
      </c>
      <c r="M1290">
        <v>235</v>
      </c>
      <c r="N1290">
        <v>285</v>
      </c>
      <c r="O1290" s="4">
        <v>12400</v>
      </c>
      <c r="P1290" s="4">
        <v>6175.21337890625</v>
      </c>
      <c r="Q1290" s="5">
        <f t="shared" si="80"/>
        <v>-0.50199892105594757</v>
      </c>
      <c r="R1290" s="4">
        <v>6325.4994179069381</v>
      </c>
      <c r="S1290" s="5">
        <f t="shared" si="81"/>
        <v>-0.48987907920105334</v>
      </c>
      <c r="T1290" s="4">
        <v>7505.7284959916396</v>
      </c>
      <c r="U1290" s="5">
        <f t="shared" si="82"/>
        <v>-0.39469931483938392</v>
      </c>
      <c r="V1290" s="4">
        <v>6124.21875</v>
      </c>
      <c r="W1290" s="5">
        <f t="shared" si="83"/>
        <v>-0.50611139112903225</v>
      </c>
    </row>
    <row r="1291" spans="1:23" x14ac:dyDescent="0.25">
      <c r="A1291" t="s">
        <v>1714</v>
      </c>
      <c r="B1291">
        <v>2015</v>
      </c>
      <c r="C1291" t="s">
        <v>32</v>
      </c>
      <c r="D1291" t="s">
        <v>563</v>
      </c>
      <c r="E1291">
        <v>76486</v>
      </c>
      <c r="F1291" t="s">
        <v>151</v>
      </c>
      <c r="G1291" t="s">
        <v>44</v>
      </c>
      <c r="H1291" t="s">
        <v>25</v>
      </c>
      <c r="I1291" t="s">
        <v>24</v>
      </c>
      <c r="J1291" s="2">
        <v>45300</v>
      </c>
      <c r="K1291" t="s">
        <v>25</v>
      </c>
      <c r="L1291">
        <v>44310</v>
      </c>
      <c r="M1291">
        <v>235</v>
      </c>
      <c r="N1291">
        <v>285</v>
      </c>
      <c r="O1291" s="4">
        <v>7200</v>
      </c>
      <c r="P1291" s="4">
        <v>9821.8984375</v>
      </c>
      <c r="Q1291" s="5">
        <f t="shared" si="80"/>
        <v>0.36415256076388891</v>
      </c>
      <c r="R1291" s="4">
        <v>10717.493295502431</v>
      </c>
      <c r="S1291" s="5">
        <f t="shared" si="81"/>
        <v>0.48854073548644861</v>
      </c>
      <c r="T1291" s="4">
        <v>10018.02611927133</v>
      </c>
      <c r="U1291" s="5">
        <f t="shared" si="82"/>
        <v>0.39139251656546237</v>
      </c>
      <c r="V1291" s="4">
        <v>9404.880859375</v>
      </c>
      <c r="W1291" s="5">
        <f t="shared" si="83"/>
        <v>0.30623345269097224</v>
      </c>
    </row>
    <row r="1292" spans="1:23" x14ac:dyDescent="0.25">
      <c r="A1292" t="s">
        <v>1715</v>
      </c>
      <c r="B1292">
        <v>2017</v>
      </c>
      <c r="C1292" t="s">
        <v>32</v>
      </c>
      <c r="D1292" t="s">
        <v>563</v>
      </c>
      <c r="E1292">
        <v>122814</v>
      </c>
      <c r="F1292" t="s">
        <v>115</v>
      </c>
      <c r="G1292" t="s">
        <v>34</v>
      </c>
      <c r="H1292" t="s">
        <v>25</v>
      </c>
      <c r="I1292" t="s">
        <v>24</v>
      </c>
      <c r="J1292" s="2">
        <v>45426</v>
      </c>
      <c r="K1292" t="s">
        <v>25</v>
      </c>
      <c r="L1292">
        <v>44310</v>
      </c>
      <c r="M1292">
        <v>235</v>
      </c>
      <c r="N1292">
        <v>285</v>
      </c>
      <c r="O1292" s="4">
        <v>12600</v>
      </c>
      <c r="P1292" s="4">
        <v>5166.23828125</v>
      </c>
      <c r="Q1292" s="5">
        <f t="shared" si="80"/>
        <v>-0.58998108878968258</v>
      </c>
      <c r="R1292" s="4">
        <v>5424.3764674872409</v>
      </c>
      <c r="S1292" s="5">
        <f t="shared" si="81"/>
        <v>-0.56949393115180635</v>
      </c>
      <c r="T1292" s="4">
        <v>5465.7856844849557</v>
      </c>
      <c r="U1292" s="5">
        <f t="shared" si="82"/>
        <v>-0.56620748535833687</v>
      </c>
      <c r="V1292" s="4">
        <v>5038.52880859375</v>
      </c>
      <c r="W1292" s="5">
        <f t="shared" si="83"/>
        <v>-0.60011676122271829</v>
      </c>
    </row>
    <row r="1293" spans="1:23" x14ac:dyDescent="0.25">
      <c r="A1293" t="s">
        <v>1716</v>
      </c>
      <c r="B1293">
        <v>2015</v>
      </c>
      <c r="C1293" t="s">
        <v>32</v>
      </c>
      <c r="D1293" t="s">
        <v>497</v>
      </c>
      <c r="E1293">
        <v>73565</v>
      </c>
      <c r="F1293" t="s">
        <v>87</v>
      </c>
      <c r="G1293" t="s">
        <v>44</v>
      </c>
      <c r="H1293" t="s">
        <v>25</v>
      </c>
      <c r="I1293" t="s">
        <v>24</v>
      </c>
      <c r="J1293" s="2">
        <v>45449</v>
      </c>
      <c r="K1293" t="s">
        <v>25</v>
      </c>
      <c r="L1293">
        <v>44310</v>
      </c>
      <c r="M1293">
        <v>235</v>
      </c>
      <c r="N1293">
        <v>285</v>
      </c>
      <c r="O1293" s="4">
        <v>10500</v>
      </c>
      <c r="P1293" s="4">
        <v>9905.30859375</v>
      </c>
      <c r="Q1293" s="5">
        <f t="shared" si="80"/>
        <v>-5.6637276785714286E-2</v>
      </c>
      <c r="R1293" s="4">
        <v>11137.90615373455</v>
      </c>
      <c r="S1293" s="5">
        <f t="shared" si="81"/>
        <v>6.0752967022338122E-2</v>
      </c>
      <c r="T1293" s="4">
        <v>15379.528412743401</v>
      </c>
      <c r="U1293" s="5">
        <f t="shared" si="82"/>
        <v>0.4647169916898477</v>
      </c>
      <c r="V1293" s="4">
        <v>9032.7490234375</v>
      </c>
      <c r="W1293" s="5">
        <f t="shared" si="83"/>
        <v>-0.1397381882440476</v>
      </c>
    </row>
    <row r="1294" spans="1:23" x14ac:dyDescent="0.25">
      <c r="A1294" t="s">
        <v>1717</v>
      </c>
      <c r="B1294">
        <v>2018</v>
      </c>
      <c r="C1294" t="s">
        <v>53</v>
      </c>
      <c r="D1294" t="s">
        <v>71</v>
      </c>
      <c r="E1294">
        <v>126067</v>
      </c>
      <c r="F1294" t="s">
        <v>87</v>
      </c>
      <c r="G1294" t="s">
        <v>34</v>
      </c>
      <c r="H1294" t="s">
        <v>25</v>
      </c>
      <c r="I1294" t="s">
        <v>24</v>
      </c>
      <c r="J1294" s="2">
        <v>45645</v>
      </c>
      <c r="K1294" t="s">
        <v>25</v>
      </c>
      <c r="L1294">
        <v>44430</v>
      </c>
      <c r="M1294">
        <v>264</v>
      </c>
      <c r="N1294">
        <v>314</v>
      </c>
      <c r="O1294" s="4">
        <v>20300</v>
      </c>
      <c r="P1294" s="4">
        <v>9101.1630859375</v>
      </c>
      <c r="Q1294" s="5">
        <f t="shared" si="80"/>
        <v>-0.55166684305726599</v>
      </c>
      <c r="R1294" s="4">
        <v>11080.716259203111</v>
      </c>
      <c r="S1294" s="5">
        <f t="shared" si="81"/>
        <v>-0.45415190841363984</v>
      </c>
      <c r="T1294" s="4">
        <v>12346.248561745821</v>
      </c>
      <c r="U1294" s="5">
        <f t="shared" si="82"/>
        <v>-0.39181041567754582</v>
      </c>
      <c r="V1294" s="4">
        <v>8561.265625</v>
      </c>
      <c r="W1294" s="5">
        <f t="shared" si="83"/>
        <v>-0.57826277709359608</v>
      </c>
    </row>
    <row r="1295" spans="1:23" x14ac:dyDescent="0.25">
      <c r="A1295" t="s">
        <v>1718</v>
      </c>
      <c r="B1295">
        <v>2015</v>
      </c>
      <c r="C1295" t="s">
        <v>20</v>
      </c>
      <c r="D1295" t="s">
        <v>74</v>
      </c>
      <c r="E1295">
        <v>90910</v>
      </c>
      <c r="F1295" t="s">
        <v>61</v>
      </c>
      <c r="G1295" t="s">
        <v>30</v>
      </c>
      <c r="H1295" t="s">
        <v>24</v>
      </c>
      <c r="I1295" t="s">
        <v>25</v>
      </c>
      <c r="J1295" s="2">
        <v>45328</v>
      </c>
      <c r="K1295" t="s">
        <v>25</v>
      </c>
      <c r="L1295">
        <v>44430</v>
      </c>
      <c r="M1295">
        <v>264</v>
      </c>
      <c r="N1295">
        <v>314</v>
      </c>
      <c r="O1295" s="4">
        <v>3200</v>
      </c>
      <c r="P1295" s="4">
        <v>4316.40576171875</v>
      </c>
      <c r="Q1295" s="5">
        <f t="shared" si="80"/>
        <v>0.34887680053710945</v>
      </c>
      <c r="R1295" s="4">
        <v>5716.3681834858253</v>
      </c>
      <c r="S1295" s="5">
        <f t="shared" si="81"/>
        <v>0.78636505733932038</v>
      </c>
      <c r="T1295" s="4">
        <v>3005.3759832391052</v>
      </c>
      <c r="U1295" s="5">
        <f t="shared" si="82"/>
        <v>-6.082000523777964E-2</v>
      </c>
      <c r="V1295" s="4">
        <v>3822.82373046875</v>
      </c>
      <c r="W1295" s="5">
        <f t="shared" si="83"/>
        <v>0.19463241577148427</v>
      </c>
    </row>
    <row r="1296" spans="1:23" x14ac:dyDescent="0.25">
      <c r="A1296" t="s">
        <v>1719</v>
      </c>
      <c r="B1296">
        <v>2018</v>
      </c>
      <c r="C1296" t="s">
        <v>139</v>
      </c>
      <c r="D1296" t="s">
        <v>283</v>
      </c>
      <c r="E1296">
        <v>76955</v>
      </c>
      <c r="F1296" t="s">
        <v>77</v>
      </c>
      <c r="G1296" t="s">
        <v>34</v>
      </c>
      <c r="H1296" t="s">
        <v>25</v>
      </c>
      <c r="I1296" t="s">
        <v>24</v>
      </c>
      <c r="J1296" s="2">
        <v>45706</v>
      </c>
      <c r="K1296" t="s">
        <v>25</v>
      </c>
      <c r="L1296">
        <v>44430</v>
      </c>
      <c r="M1296">
        <v>264</v>
      </c>
      <c r="N1296">
        <v>314</v>
      </c>
      <c r="O1296" s="4">
        <v>14700</v>
      </c>
      <c r="P1296" s="4">
        <v>8852.1552734375</v>
      </c>
      <c r="Q1296" s="5">
        <f t="shared" si="80"/>
        <v>-0.39781256643282314</v>
      </c>
      <c r="R1296" s="4">
        <v>14294.13646046631</v>
      </c>
      <c r="S1296" s="5">
        <f t="shared" si="81"/>
        <v>-2.7609764594128561E-2</v>
      </c>
      <c r="T1296" s="4">
        <v>11770.09174690142</v>
      </c>
      <c r="U1296" s="5">
        <f t="shared" si="82"/>
        <v>-0.19931348660534554</v>
      </c>
      <c r="V1296" s="4">
        <v>7729.6240234375</v>
      </c>
      <c r="W1296" s="5">
        <f t="shared" si="83"/>
        <v>-0.47417523650085036</v>
      </c>
    </row>
    <row r="1297" spans="1:23" x14ac:dyDescent="0.25">
      <c r="A1297" t="s">
        <v>1720</v>
      </c>
      <c r="B1297">
        <v>2017</v>
      </c>
      <c r="C1297" t="s">
        <v>20</v>
      </c>
      <c r="D1297" t="s">
        <v>74</v>
      </c>
      <c r="E1297">
        <v>115642</v>
      </c>
      <c r="F1297" t="s">
        <v>246</v>
      </c>
      <c r="G1297" t="s">
        <v>34</v>
      </c>
      <c r="H1297" t="s">
        <v>25</v>
      </c>
      <c r="I1297" t="s">
        <v>24</v>
      </c>
      <c r="J1297" s="2">
        <v>45463</v>
      </c>
      <c r="K1297" t="s">
        <v>25</v>
      </c>
      <c r="L1297">
        <v>44430</v>
      </c>
      <c r="M1297">
        <v>264</v>
      </c>
      <c r="N1297">
        <v>314</v>
      </c>
      <c r="O1297" s="4">
        <v>2800</v>
      </c>
      <c r="P1297" s="4">
        <v>5251.3701171875</v>
      </c>
      <c r="Q1297" s="5">
        <f t="shared" si="80"/>
        <v>0.87548932756696418</v>
      </c>
      <c r="R1297" s="4">
        <v>5756.1272914936908</v>
      </c>
      <c r="S1297" s="5">
        <f t="shared" si="81"/>
        <v>1.0557597469620323</v>
      </c>
      <c r="T1297" s="4">
        <v>2896.2270198984529</v>
      </c>
      <c r="U1297" s="5">
        <f t="shared" si="82"/>
        <v>3.4366792820875958E-2</v>
      </c>
      <c r="V1297" s="4">
        <v>5102.4033203125</v>
      </c>
      <c r="W1297" s="5">
        <f t="shared" si="83"/>
        <v>0.8222869001116071</v>
      </c>
    </row>
    <row r="1298" spans="1:23" x14ac:dyDescent="0.25">
      <c r="A1298" t="s">
        <v>1721</v>
      </c>
      <c r="B1298">
        <v>2013</v>
      </c>
      <c r="C1298" t="s">
        <v>94</v>
      </c>
      <c r="D1298" t="s">
        <v>153</v>
      </c>
      <c r="E1298">
        <v>94100</v>
      </c>
      <c r="F1298" t="s">
        <v>37</v>
      </c>
      <c r="G1298" t="s">
        <v>38</v>
      </c>
      <c r="H1298" t="s">
        <v>25</v>
      </c>
      <c r="I1298" t="s">
        <v>24</v>
      </c>
      <c r="J1298" s="2">
        <v>45342</v>
      </c>
      <c r="K1298" t="s">
        <v>25</v>
      </c>
      <c r="L1298">
        <v>44430</v>
      </c>
      <c r="M1298">
        <v>264</v>
      </c>
      <c r="N1298">
        <v>314</v>
      </c>
      <c r="O1298" s="4">
        <v>2400</v>
      </c>
      <c r="P1298" s="4">
        <v>4369.478515625</v>
      </c>
      <c r="Q1298" s="5">
        <f t="shared" si="80"/>
        <v>0.82061604817708322</v>
      </c>
      <c r="R1298" s="4">
        <v>5885.441796199736</v>
      </c>
      <c r="S1298" s="5">
        <f t="shared" si="81"/>
        <v>1.4522674150832233</v>
      </c>
      <c r="T1298" s="4">
        <v>5135.8541376632738</v>
      </c>
      <c r="U1298" s="5">
        <f t="shared" si="82"/>
        <v>1.1399392240263642</v>
      </c>
      <c r="V1298" s="4">
        <v>3985.642578125</v>
      </c>
      <c r="W1298" s="5">
        <f t="shared" si="83"/>
        <v>0.66068440755208324</v>
      </c>
    </row>
    <row r="1299" spans="1:23" x14ac:dyDescent="0.25">
      <c r="A1299" t="s">
        <v>1722</v>
      </c>
      <c r="B1299">
        <v>2012</v>
      </c>
      <c r="C1299" t="s">
        <v>139</v>
      </c>
      <c r="D1299" t="s">
        <v>163</v>
      </c>
      <c r="E1299">
        <v>118958</v>
      </c>
      <c r="F1299" t="s">
        <v>98</v>
      </c>
      <c r="G1299" t="s">
        <v>44</v>
      </c>
      <c r="H1299" t="s">
        <v>25</v>
      </c>
      <c r="I1299" t="s">
        <v>24</v>
      </c>
      <c r="J1299" s="2">
        <v>45622</v>
      </c>
      <c r="K1299" t="s">
        <v>25</v>
      </c>
      <c r="L1299">
        <v>44430</v>
      </c>
      <c r="M1299">
        <v>264</v>
      </c>
      <c r="N1299">
        <v>314</v>
      </c>
      <c r="O1299" s="4">
        <v>3800</v>
      </c>
      <c r="P1299" s="4">
        <v>6287.14990234375</v>
      </c>
      <c r="Q1299" s="5">
        <f t="shared" si="80"/>
        <v>0.6545131321957236</v>
      </c>
      <c r="R1299" s="4">
        <v>6901.3970736175906</v>
      </c>
      <c r="S1299" s="5">
        <f t="shared" si="81"/>
        <v>0.81615712463620804</v>
      </c>
      <c r="T1299" s="4">
        <v>8311.8705539999792</v>
      </c>
      <c r="U1299" s="5">
        <f t="shared" si="82"/>
        <v>1.1873343563157839</v>
      </c>
      <c r="V1299" s="4">
        <v>6062.078125</v>
      </c>
      <c r="W1299" s="5">
        <f t="shared" si="83"/>
        <v>0.59528371710526318</v>
      </c>
    </row>
    <row r="1300" spans="1:23" x14ac:dyDescent="0.25">
      <c r="A1300" t="s">
        <v>1723</v>
      </c>
      <c r="B1300">
        <v>2011</v>
      </c>
      <c r="C1300" t="s">
        <v>139</v>
      </c>
      <c r="D1300" t="s">
        <v>163</v>
      </c>
      <c r="E1300">
        <v>114761</v>
      </c>
      <c r="F1300" t="s">
        <v>87</v>
      </c>
      <c r="G1300" t="s">
        <v>38</v>
      </c>
      <c r="H1300" t="s">
        <v>25</v>
      </c>
      <c r="I1300" t="s">
        <v>24</v>
      </c>
      <c r="J1300" s="2">
        <v>45426</v>
      </c>
      <c r="K1300" t="s">
        <v>25</v>
      </c>
      <c r="L1300">
        <v>44430</v>
      </c>
      <c r="M1300">
        <v>264</v>
      </c>
      <c r="N1300">
        <v>314</v>
      </c>
      <c r="O1300" s="4">
        <v>3400</v>
      </c>
      <c r="P1300" s="4">
        <v>6073.763671875</v>
      </c>
      <c r="Q1300" s="5">
        <f t="shared" si="80"/>
        <v>0.78640107996323527</v>
      </c>
      <c r="R1300" s="4">
        <v>6673.9600276932597</v>
      </c>
      <c r="S1300" s="5">
        <f t="shared" si="81"/>
        <v>0.9629294199097822</v>
      </c>
      <c r="T1300" s="4">
        <v>8412.9878299402953</v>
      </c>
      <c r="U1300" s="5">
        <f t="shared" si="82"/>
        <v>1.4744081852765576</v>
      </c>
      <c r="V1300" s="4">
        <v>6103.62158203125</v>
      </c>
      <c r="W1300" s="5">
        <f t="shared" si="83"/>
        <v>0.79518281824448533</v>
      </c>
    </row>
    <row r="1301" spans="1:23" x14ac:dyDescent="0.25">
      <c r="A1301" t="s">
        <v>1724</v>
      </c>
      <c r="B1301">
        <v>2017</v>
      </c>
      <c r="C1301" t="s">
        <v>91</v>
      </c>
      <c r="D1301" t="s">
        <v>287</v>
      </c>
      <c r="E1301">
        <v>98175</v>
      </c>
      <c r="F1301" t="s">
        <v>115</v>
      </c>
      <c r="G1301" t="s">
        <v>30</v>
      </c>
      <c r="H1301" t="s">
        <v>24</v>
      </c>
      <c r="I1301" t="s">
        <v>25</v>
      </c>
      <c r="J1301" s="2">
        <v>45664</v>
      </c>
      <c r="K1301" t="s">
        <v>25</v>
      </c>
      <c r="L1301">
        <v>44430</v>
      </c>
      <c r="M1301">
        <v>264</v>
      </c>
      <c r="N1301">
        <v>314</v>
      </c>
      <c r="O1301" s="4">
        <v>9000</v>
      </c>
      <c r="P1301" s="4">
        <v>5440.32568359375</v>
      </c>
      <c r="Q1301" s="5">
        <f t="shared" si="80"/>
        <v>-0.39551936848958336</v>
      </c>
      <c r="R1301" s="4">
        <v>5849.9356890849449</v>
      </c>
      <c r="S1301" s="5">
        <f t="shared" si="81"/>
        <v>-0.35000714565722835</v>
      </c>
      <c r="T1301" s="4">
        <v>4286.5611357342796</v>
      </c>
      <c r="U1301" s="5">
        <f t="shared" si="82"/>
        <v>-0.52371542936285786</v>
      </c>
      <c r="V1301" s="4">
        <v>5350.56640625</v>
      </c>
      <c r="W1301" s="5">
        <f t="shared" si="83"/>
        <v>-0.40549262152777776</v>
      </c>
    </row>
    <row r="1302" spans="1:23" x14ac:dyDescent="0.25">
      <c r="A1302" t="s">
        <v>1725</v>
      </c>
      <c r="B1302">
        <v>2016</v>
      </c>
      <c r="C1302" t="s">
        <v>266</v>
      </c>
      <c r="D1302" t="s">
        <v>1650</v>
      </c>
      <c r="E1302">
        <v>161186</v>
      </c>
      <c r="F1302" t="s">
        <v>89</v>
      </c>
      <c r="G1302" t="s">
        <v>30</v>
      </c>
      <c r="H1302" t="s">
        <v>24</v>
      </c>
      <c r="I1302" t="s">
        <v>25</v>
      </c>
      <c r="J1302" s="2">
        <v>45722</v>
      </c>
      <c r="K1302" t="s">
        <v>25</v>
      </c>
      <c r="L1302">
        <v>44430</v>
      </c>
      <c r="M1302">
        <v>264</v>
      </c>
      <c r="N1302">
        <v>314</v>
      </c>
      <c r="O1302" s="4">
        <v>7300</v>
      </c>
      <c r="P1302" s="4">
        <v>1943.550537109375</v>
      </c>
      <c r="Q1302" s="5">
        <f t="shared" si="80"/>
        <v>-0.733760200395976</v>
      </c>
      <c r="R1302" s="4">
        <v>2300.4073500927261</v>
      </c>
      <c r="S1302" s="5">
        <f t="shared" si="81"/>
        <v>-0.68487570546674981</v>
      </c>
      <c r="T1302" s="4">
        <v>3308.6856796012512</v>
      </c>
      <c r="U1302" s="5">
        <f t="shared" si="82"/>
        <v>-0.54675538635599297</v>
      </c>
      <c r="V1302" s="4">
        <v>1939.451049804688</v>
      </c>
      <c r="W1302" s="5">
        <f t="shared" si="83"/>
        <v>-0.73432177399935783</v>
      </c>
    </row>
    <row r="1303" spans="1:23" x14ac:dyDescent="0.25">
      <c r="A1303" t="s">
        <v>1726</v>
      </c>
      <c r="B1303">
        <v>2015</v>
      </c>
      <c r="C1303" t="s">
        <v>32</v>
      </c>
      <c r="D1303" t="s">
        <v>563</v>
      </c>
      <c r="E1303">
        <v>116142</v>
      </c>
      <c r="F1303" t="s">
        <v>61</v>
      </c>
      <c r="G1303" t="s">
        <v>30</v>
      </c>
      <c r="H1303" t="s">
        <v>24</v>
      </c>
      <c r="I1303" t="s">
        <v>25</v>
      </c>
      <c r="J1303" s="2">
        <v>45566</v>
      </c>
      <c r="K1303" t="s">
        <v>25</v>
      </c>
      <c r="L1303">
        <v>44430</v>
      </c>
      <c r="M1303">
        <v>264</v>
      </c>
      <c r="N1303">
        <v>314</v>
      </c>
      <c r="O1303" s="4">
        <v>7800</v>
      </c>
      <c r="P1303" s="4">
        <v>3434.29443359375</v>
      </c>
      <c r="Q1303" s="5">
        <f t="shared" si="80"/>
        <v>-0.55970584184695515</v>
      </c>
      <c r="R1303" s="4">
        <v>4796.9018856298344</v>
      </c>
      <c r="S1303" s="5">
        <f t="shared" si="81"/>
        <v>-0.38501257876540584</v>
      </c>
      <c r="T1303" s="4">
        <v>4210.0536118155933</v>
      </c>
      <c r="U1303" s="5">
        <f t="shared" si="82"/>
        <v>-0.46024953694671877</v>
      </c>
      <c r="V1303" s="4">
        <v>2995.198974609375</v>
      </c>
      <c r="W1303" s="5">
        <f t="shared" si="83"/>
        <v>-0.6160001314603365</v>
      </c>
    </row>
    <row r="1304" spans="1:23" x14ac:dyDescent="0.25">
      <c r="A1304" t="s">
        <v>1727</v>
      </c>
      <c r="B1304">
        <v>2011</v>
      </c>
      <c r="C1304" t="s">
        <v>120</v>
      </c>
      <c r="D1304">
        <v>200</v>
      </c>
      <c r="E1304">
        <v>87083</v>
      </c>
      <c r="F1304" t="s">
        <v>98</v>
      </c>
      <c r="G1304" t="s">
        <v>30</v>
      </c>
      <c r="H1304" t="s">
        <v>24</v>
      </c>
      <c r="I1304" t="s">
        <v>25</v>
      </c>
      <c r="J1304" s="2">
        <v>45706</v>
      </c>
      <c r="K1304" t="s">
        <v>25</v>
      </c>
      <c r="L1304">
        <v>44444</v>
      </c>
      <c r="M1304">
        <v>264</v>
      </c>
      <c r="N1304">
        <v>314</v>
      </c>
      <c r="O1304" s="4">
        <v>4600</v>
      </c>
      <c r="P1304" s="4">
        <v>4605.69091796875</v>
      </c>
      <c r="Q1304" s="5">
        <f t="shared" si="80"/>
        <v>1.2371560801629489E-3</v>
      </c>
      <c r="R1304" s="4">
        <v>5740.7016342081133</v>
      </c>
      <c r="S1304" s="5">
        <f t="shared" si="81"/>
        <v>0.24797861613219863</v>
      </c>
      <c r="T1304" s="4">
        <v>4826.6076648058033</v>
      </c>
      <c r="U1304" s="5">
        <f t="shared" si="82"/>
        <v>4.926253582734863E-2</v>
      </c>
      <c r="V1304" s="4">
        <v>4212.8154296875</v>
      </c>
      <c r="W1304" s="5">
        <f t="shared" si="83"/>
        <v>-8.4170558763586922E-2</v>
      </c>
    </row>
    <row r="1305" spans="1:23" x14ac:dyDescent="0.25">
      <c r="A1305" t="s">
        <v>1728</v>
      </c>
      <c r="B1305">
        <v>2015</v>
      </c>
      <c r="C1305" t="s">
        <v>120</v>
      </c>
      <c r="D1305">
        <v>200</v>
      </c>
      <c r="E1305">
        <v>139370</v>
      </c>
      <c r="F1305" t="s">
        <v>141</v>
      </c>
      <c r="G1305" t="s">
        <v>38</v>
      </c>
      <c r="H1305" t="s">
        <v>25</v>
      </c>
      <c r="I1305" t="s">
        <v>24</v>
      </c>
      <c r="J1305" s="2">
        <v>45454</v>
      </c>
      <c r="K1305" t="s">
        <v>25</v>
      </c>
      <c r="L1305">
        <v>44444</v>
      </c>
      <c r="M1305">
        <v>264</v>
      </c>
      <c r="N1305">
        <v>314</v>
      </c>
      <c r="O1305" s="4">
        <v>1700</v>
      </c>
      <c r="P1305" s="4">
        <v>4123.3564453125</v>
      </c>
      <c r="Q1305" s="5">
        <f t="shared" si="80"/>
        <v>1.4255037913602941</v>
      </c>
      <c r="R1305" s="4">
        <v>4568.4768824875546</v>
      </c>
      <c r="S1305" s="5">
        <f t="shared" si="81"/>
        <v>1.6873393426397381</v>
      </c>
      <c r="T1305" s="4">
        <v>2887.3144515460449</v>
      </c>
      <c r="U1305" s="5">
        <f t="shared" si="82"/>
        <v>0.69842026561532045</v>
      </c>
      <c r="V1305" s="4">
        <v>3883.044921875</v>
      </c>
      <c r="W1305" s="5">
        <f t="shared" si="83"/>
        <v>1.2841440716911765</v>
      </c>
    </row>
    <row r="1306" spans="1:23" x14ac:dyDescent="0.25">
      <c r="A1306" t="s">
        <v>1729</v>
      </c>
      <c r="B1306">
        <v>2016</v>
      </c>
      <c r="C1306" t="s">
        <v>32</v>
      </c>
      <c r="D1306" t="s">
        <v>210</v>
      </c>
      <c r="E1306">
        <v>94561</v>
      </c>
      <c r="F1306" t="s">
        <v>79</v>
      </c>
      <c r="G1306" t="s">
        <v>30</v>
      </c>
      <c r="H1306" t="s">
        <v>24</v>
      </c>
      <c r="I1306" t="s">
        <v>25</v>
      </c>
      <c r="J1306" s="2">
        <v>45666</v>
      </c>
      <c r="K1306" t="s">
        <v>25</v>
      </c>
      <c r="L1306">
        <v>44444</v>
      </c>
      <c r="M1306">
        <v>264</v>
      </c>
      <c r="N1306">
        <v>314</v>
      </c>
      <c r="O1306" s="4">
        <v>7400</v>
      </c>
      <c r="P1306" s="4">
        <v>6270.962890625</v>
      </c>
      <c r="Q1306" s="5">
        <f t="shared" si="80"/>
        <v>-0.152572582347973</v>
      </c>
      <c r="R1306" s="4">
        <v>6143.5273856180966</v>
      </c>
      <c r="S1306" s="5">
        <f t="shared" si="81"/>
        <v>-0.169793596538095</v>
      </c>
      <c r="T1306" s="4">
        <v>10523.164712098829</v>
      </c>
      <c r="U1306" s="5">
        <f t="shared" si="82"/>
        <v>0.42204928541876074</v>
      </c>
      <c r="V1306" s="4">
        <v>6124.21875</v>
      </c>
      <c r="W1306" s="5">
        <f t="shared" si="83"/>
        <v>-0.1724028716216216</v>
      </c>
    </row>
    <row r="1307" spans="1:23" x14ac:dyDescent="0.25">
      <c r="A1307" t="s">
        <v>1730</v>
      </c>
      <c r="B1307">
        <v>2015</v>
      </c>
      <c r="C1307" t="s">
        <v>32</v>
      </c>
      <c r="D1307" t="s">
        <v>320</v>
      </c>
      <c r="E1307">
        <v>123561</v>
      </c>
      <c r="F1307" t="s">
        <v>89</v>
      </c>
      <c r="G1307" t="s">
        <v>30</v>
      </c>
      <c r="H1307" t="s">
        <v>24</v>
      </c>
      <c r="I1307" t="s">
        <v>25</v>
      </c>
      <c r="J1307" s="2">
        <v>45617</v>
      </c>
      <c r="K1307" t="s">
        <v>25</v>
      </c>
      <c r="L1307">
        <v>44444</v>
      </c>
      <c r="M1307">
        <v>264</v>
      </c>
      <c r="N1307">
        <v>314</v>
      </c>
      <c r="O1307" s="4">
        <v>9600</v>
      </c>
      <c r="P1307" s="4">
        <v>4193.89990234375</v>
      </c>
      <c r="Q1307" s="5">
        <f t="shared" si="80"/>
        <v>-0.56313542683919271</v>
      </c>
      <c r="R1307" s="4">
        <v>4413.4695576623872</v>
      </c>
      <c r="S1307" s="5">
        <f t="shared" si="81"/>
        <v>-0.54026358774350136</v>
      </c>
      <c r="T1307" s="4">
        <v>7464.670506386421</v>
      </c>
      <c r="U1307" s="5">
        <f t="shared" si="82"/>
        <v>-0.22243015558474777</v>
      </c>
      <c r="V1307" s="4">
        <v>4207.12060546875</v>
      </c>
      <c r="W1307" s="5">
        <f t="shared" si="83"/>
        <v>-0.56175827026367187</v>
      </c>
    </row>
    <row r="1308" spans="1:23" x14ac:dyDescent="0.25">
      <c r="A1308" t="s">
        <v>1731</v>
      </c>
      <c r="B1308">
        <v>2016</v>
      </c>
      <c r="C1308" t="s">
        <v>32</v>
      </c>
      <c r="D1308" t="s">
        <v>42</v>
      </c>
      <c r="E1308">
        <v>93342</v>
      </c>
      <c r="F1308" t="s">
        <v>141</v>
      </c>
      <c r="G1308" t="s">
        <v>38</v>
      </c>
      <c r="H1308" t="s">
        <v>25</v>
      </c>
      <c r="I1308" t="s">
        <v>24</v>
      </c>
      <c r="J1308" s="2">
        <v>45708</v>
      </c>
      <c r="K1308" t="s">
        <v>25</v>
      </c>
      <c r="L1308">
        <v>44444</v>
      </c>
      <c r="M1308">
        <v>264</v>
      </c>
      <c r="N1308">
        <v>314</v>
      </c>
      <c r="O1308" s="4">
        <v>9400</v>
      </c>
      <c r="P1308" s="4">
        <v>9184.111328125</v>
      </c>
      <c r="Q1308" s="5">
        <f t="shared" si="80"/>
        <v>-2.2966879986702105E-2</v>
      </c>
      <c r="R1308" s="4">
        <v>8697.6454834461056</v>
      </c>
      <c r="S1308" s="5">
        <f t="shared" si="81"/>
        <v>-7.4718565590839781E-2</v>
      </c>
      <c r="T1308" s="4">
        <v>11793.80114733759</v>
      </c>
      <c r="U1308" s="5">
        <f t="shared" si="82"/>
        <v>0.25465969652527543</v>
      </c>
      <c r="V1308" s="4">
        <v>9182.8095703125</v>
      </c>
      <c r="W1308" s="5">
        <f t="shared" si="83"/>
        <v>-2.3105364860372291E-2</v>
      </c>
    </row>
    <row r="1309" spans="1:23" x14ac:dyDescent="0.25">
      <c r="A1309" t="s">
        <v>1732</v>
      </c>
      <c r="B1309">
        <v>2018</v>
      </c>
      <c r="C1309" t="s">
        <v>53</v>
      </c>
      <c r="D1309" t="s">
        <v>57</v>
      </c>
      <c r="E1309">
        <v>84189</v>
      </c>
      <c r="F1309" t="s">
        <v>649</v>
      </c>
      <c r="G1309" t="s">
        <v>23</v>
      </c>
      <c r="H1309" t="s">
        <v>24</v>
      </c>
      <c r="I1309" t="s">
        <v>25</v>
      </c>
      <c r="J1309" s="2">
        <v>45370</v>
      </c>
      <c r="K1309" t="s">
        <v>25</v>
      </c>
      <c r="L1309">
        <v>44444</v>
      </c>
      <c r="M1309">
        <v>264</v>
      </c>
      <c r="N1309">
        <v>314</v>
      </c>
      <c r="O1309" s="4">
        <v>12700</v>
      </c>
      <c r="P1309" s="4">
        <v>7439.73583984375</v>
      </c>
      <c r="Q1309" s="5">
        <f t="shared" si="80"/>
        <v>-0.41419402835875985</v>
      </c>
      <c r="R1309" s="4">
        <v>8156.0287739814503</v>
      </c>
      <c r="S1309" s="5">
        <f t="shared" si="81"/>
        <v>-0.35779300992272045</v>
      </c>
      <c r="T1309" s="4">
        <v>4028.820090738584</v>
      </c>
      <c r="U1309" s="5">
        <f t="shared" si="82"/>
        <v>-0.68277007159538705</v>
      </c>
      <c r="V1309" s="4">
        <v>7138.80224609375</v>
      </c>
      <c r="W1309" s="5">
        <f t="shared" si="83"/>
        <v>-0.43788958692175195</v>
      </c>
    </row>
    <row r="1310" spans="1:23" x14ac:dyDescent="0.25">
      <c r="A1310" t="s">
        <v>1733</v>
      </c>
      <c r="B1310">
        <v>2014</v>
      </c>
      <c r="C1310" t="s">
        <v>53</v>
      </c>
      <c r="D1310" t="s">
        <v>1734</v>
      </c>
      <c r="E1310">
        <v>101382</v>
      </c>
      <c r="F1310" t="s">
        <v>61</v>
      </c>
      <c r="G1310" t="s">
        <v>34</v>
      </c>
      <c r="H1310" t="s">
        <v>25</v>
      </c>
      <c r="I1310" t="s">
        <v>24</v>
      </c>
      <c r="J1310" s="2">
        <v>45484</v>
      </c>
      <c r="K1310" t="s">
        <v>25</v>
      </c>
      <c r="L1310">
        <v>44444</v>
      </c>
      <c r="M1310">
        <v>264</v>
      </c>
      <c r="N1310">
        <v>314</v>
      </c>
      <c r="O1310" s="4">
        <v>2000</v>
      </c>
      <c r="P1310" s="4">
        <v>3869.963134765625</v>
      </c>
      <c r="Q1310" s="5">
        <f t="shared" si="80"/>
        <v>0.93498156738281257</v>
      </c>
      <c r="R1310" s="4">
        <v>4344.8569030873668</v>
      </c>
      <c r="S1310" s="5">
        <f t="shared" si="81"/>
        <v>1.1724284515436834</v>
      </c>
      <c r="T1310" s="4">
        <v>7261.8981634051197</v>
      </c>
      <c r="U1310" s="5">
        <f t="shared" si="82"/>
        <v>2.63094908170256</v>
      </c>
      <c r="V1310" s="4">
        <v>3665.2587890625</v>
      </c>
      <c r="W1310" s="5">
        <f t="shared" si="83"/>
        <v>0.83262939453124996</v>
      </c>
    </row>
    <row r="1311" spans="1:23" x14ac:dyDescent="0.25">
      <c r="A1311" t="s">
        <v>1735</v>
      </c>
      <c r="B1311">
        <v>2014</v>
      </c>
      <c r="C1311" t="s">
        <v>53</v>
      </c>
      <c r="D1311" t="s">
        <v>60</v>
      </c>
      <c r="E1311">
        <v>113358</v>
      </c>
      <c r="F1311" t="s">
        <v>382</v>
      </c>
      <c r="G1311" t="s">
        <v>30</v>
      </c>
      <c r="H1311" t="s">
        <v>24</v>
      </c>
      <c r="I1311" t="s">
        <v>25</v>
      </c>
      <c r="J1311" s="2">
        <v>45566</v>
      </c>
      <c r="K1311" t="s">
        <v>25</v>
      </c>
      <c r="L1311">
        <v>44444</v>
      </c>
      <c r="M1311">
        <v>264</v>
      </c>
      <c r="N1311">
        <v>314</v>
      </c>
      <c r="O1311" s="4">
        <v>6500</v>
      </c>
      <c r="P1311" s="4">
        <v>2879.322509765625</v>
      </c>
      <c r="Q1311" s="5">
        <f t="shared" si="80"/>
        <v>-0.55702730618990381</v>
      </c>
      <c r="R1311" s="4">
        <v>3467.0044509907179</v>
      </c>
      <c r="S1311" s="5">
        <f t="shared" si="81"/>
        <v>-0.46661469984758186</v>
      </c>
      <c r="T1311" s="4">
        <v>3398.5550495911821</v>
      </c>
      <c r="U1311" s="5">
        <f t="shared" si="82"/>
        <v>-0.47714537698597204</v>
      </c>
      <c r="V1311" s="4">
        <v>2663.752197265625</v>
      </c>
      <c r="W1311" s="5">
        <f t="shared" si="83"/>
        <v>-0.59019196965144238</v>
      </c>
    </row>
    <row r="1312" spans="1:23" x14ac:dyDescent="0.25">
      <c r="A1312" t="s">
        <v>1736</v>
      </c>
      <c r="B1312">
        <v>2014</v>
      </c>
      <c r="C1312" t="s">
        <v>185</v>
      </c>
      <c r="D1312" t="s">
        <v>536</v>
      </c>
      <c r="E1312">
        <v>163823</v>
      </c>
      <c r="F1312" t="s">
        <v>22</v>
      </c>
      <c r="G1312" t="s">
        <v>23</v>
      </c>
      <c r="H1312" t="s">
        <v>24</v>
      </c>
      <c r="I1312" t="s">
        <v>25</v>
      </c>
      <c r="J1312" s="2">
        <v>45400</v>
      </c>
      <c r="K1312" t="s">
        <v>25</v>
      </c>
      <c r="L1312">
        <v>44444</v>
      </c>
      <c r="M1312">
        <v>264</v>
      </c>
      <c r="N1312">
        <v>314</v>
      </c>
      <c r="O1312" s="4">
        <v>7900</v>
      </c>
      <c r="P1312" s="4">
        <v>1472.321411132812</v>
      </c>
      <c r="Q1312" s="5">
        <f t="shared" si="80"/>
        <v>-0.81363020112242879</v>
      </c>
      <c r="R1312" s="4">
        <v>1498.0081348077331</v>
      </c>
      <c r="S1312" s="5">
        <f t="shared" si="81"/>
        <v>-0.81037871711294518</v>
      </c>
      <c r="T1312" s="4">
        <v>2514.6202778543811</v>
      </c>
      <c r="U1312" s="5">
        <f t="shared" si="82"/>
        <v>-0.68169363571463526</v>
      </c>
      <c r="V1312" s="4">
        <v>1459.436401367188</v>
      </c>
      <c r="W1312" s="5">
        <f t="shared" si="83"/>
        <v>-0.8152612150168117</v>
      </c>
    </row>
    <row r="1313" spans="1:23" x14ac:dyDescent="0.25">
      <c r="A1313" t="s">
        <v>1737</v>
      </c>
      <c r="B1313">
        <v>2016</v>
      </c>
      <c r="C1313" t="s">
        <v>185</v>
      </c>
      <c r="D1313" t="s">
        <v>536</v>
      </c>
      <c r="E1313">
        <v>186201</v>
      </c>
      <c r="F1313" t="s">
        <v>72</v>
      </c>
      <c r="G1313" t="s">
        <v>30</v>
      </c>
      <c r="H1313" t="s">
        <v>24</v>
      </c>
      <c r="I1313" t="s">
        <v>25</v>
      </c>
      <c r="J1313" s="2">
        <v>45365</v>
      </c>
      <c r="K1313" t="s">
        <v>25</v>
      </c>
      <c r="L1313">
        <v>44444</v>
      </c>
      <c r="M1313">
        <v>264</v>
      </c>
      <c r="N1313">
        <v>314</v>
      </c>
      <c r="O1313" s="4">
        <v>10000</v>
      </c>
      <c r="P1313" s="4">
        <v>2950.184814453125</v>
      </c>
      <c r="Q1313" s="5">
        <f t="shared" si="80"/>
        <v>-0.70498151855468749</v>
      </c>
      <c r="R1313" s="4">
        <v>4619.1461308293683</v>
      </c>
      <c r="S1313" s="5">
        <f t="shared" si="81"/>
        <v>-0.5380853869170632</v>
      </c>
      <c r="T1313" s="4">
        <v>4930.139047969903</v>
      </c>
      <c r="U1313" s="5">
        <f t="shared" si="82"/>
        <v>-0.50698609520300963</v>
      </c>
      <c r="V1313" s="4">
        <v>2618.348388671875</v>
      </c>
      <c r="W1313" s="5">
        <f t="shared" si="83"/>
        <v>-0.7381651611328125</v>
      </c>
    </row>
    <row r="1314" spans="1:23" x14ac:dyDescent="0.25">
      <c r="A1314" t="s">
        <v>1738</v>
      </c>
      <c r="B1314">
        <v>2015</v>
      </c>
      <c r="C1314" t="s">
        <v>185</v>
      </c>
      <c r="D1314" t="s">
        <v>536</v>
      </c>
      <c r="E1314">
        <v>114199</v>
      </c>
      <c r="F1314" t="s">
        <v>77</v>
      </c>
      <c r="G1314" t="s">
        <v>30</v>
      </c>
      <c r="H1314" t="s">
        <v>24</v>
      </c>
      <c r="I1314" t="s">
        <v>25</v>
      </c>
      <c r="J1314" s="2">
        <v>45435</v>
      </c>
      <c r="K1314" t="s">
        <v>25</v>
      </c>
      <c r="L1314">
        <v>44444</v>
      </c>
      <c r="M1314">
        <v>264</v>
      </c>
      <c r="N1314">
        <v>314</v>
      </c>
      <c r="O1314" s="4">
        <v>5800</v>
      </c>
      <c r="P1314" s="4">
        <v>2939.345947265625</v>
      </c>
      <c r="Q1314" s="5">
        <f t="shared" si="80"/>
        <v>-0.49321621598868537</v>
      </c>
      <c r="R1314" s="4">
        <v>4875.8312193054398</v>
      </c>
      <c r="S1314" s="5">
        <f t="shared" si="81"/>
        <v>-0.15933944494733798</v>
      </c>
      <c r="T1314" s="4">
        <v>6225.6220373956794</v>
      </c>
      <c r="U1314" s="5">
        <f t="shared" si="82"/>
        <v>7.3383109895806875E-2</v>
      </c>
      <c r="V1314" s="4">
        <v>2616.571044921875</v>
      </c>
      <c r="W1314" s="5">
        <f t="shared" si="83"/>
        <v>-0.54886706122036633</v>
      </c>
    </row>
    <row r="1315" spans="1:23" x14ac:dyDescent="0.25">
      <c r="A1315" t="s">
        <v>1739</v>
      </c>
      <c r="B1315">
        <v>2013</v>
      </c>
      <c r="C1315" t="s">
        <v>46</v>
      </c>
      <c r="D1315" t="s">
        <v>234</v>
      </c>
      <c r="E1315">
        <v>73128</v>
      </c>
      <c r="F1315" t="s">
        <v>22</v>
      </c>
      <c r="G1315" t="s">
        <v>23</v>
      </c>
      <c r="H1315" t="s">
        <v>24</v>
      </c>
      <c r="I1315" t="s">
        <v>25</v>
      </c>
      <c r="J1315" s="2">
        <v>45370</v>
      </c>
      <c r="K1315" t="s">
        <v>25</v>
      </c>
      <c r="L1315">
        <v>44444</v>
      </c>
      <c r="M1315">
        <v>264</v>
      </c>
      <c r="N1315">
        <v>314</v>
      </c>
      <c r="O1315" s="4">
        <v>3200</v>
      </c>
      <c r="P1315" s="4">
        <v>5929.095703125</v>
      </c>
      <c r="Q1315" s="5">
        <f t="shared" si="80"/>
        <v>0.85284240722656257</v>
      </c>
      <c r="R1315" s="4">
        <v>5656.0354940455618</v>
      </c>
      <c r="S1315" s="5">
        <f t="shared" si="81"/>
        <v>0.76751109188923805</v>
      </c>
      <c r="T1315" s="4">
        <v>3934.2116639033011</v>
      </c>
      <c r="U1315" s="5">
        <f t="shared" si="82"/>
        <v>0.22944114496978152</v>
      </c>
      <c r="V1315" s="4">
        <v>5838.05322265625</v>
      </c>
      <c r="W1315" s="5">
        <f t="shared" si="83"/>
        <v>0.82439163208007815</v>
      </c>
    </row>
    <row r="1316" spans="1:23" x14ac:dyDescent="0.25">
      <c r="A1316" t="s">
        <v>1740</v>
      </c>
      <c r="B1316">
        <v>2014</v>
      </c>
      <c r="C1316" t="s">
        <v>20</v>
      </c>
      <c r="D1316" t="s">
        <v>236</v>
      </c>
      <c r="E1316">
        <v>51889</v>
      </c>
      <c r="F1316" t="s">
        <v>250</v>
      </c>
      <c r="G1316" t="s">
        <v>34</v>
      </c>
      <c r="H1316" t="s">
        <v>25</v>
      </c>
      <c r="I1316" t="s">
        <v>24</v>
      </c>
      <c r="J1316" s="2">
        <v>45566</v>
      </c>
      <c r="K1316" t="s">
        <v>25</v>
      </c>
      <c r="L1316">
        <v>44444</v>
      </c>
      <c r="M1316">
        <v>264</v>
      </c>
      <c r="N1316">
        <v>314</v>
      </c>
      <c r="O1316" s="4">
        <v>7200</v>
      </c>
      <c r="P1316" s="4">
        <v>11747.822265625</v>
      </c>
      <c r="Q1316" s="5">
        <f t="shared" si="80"/>
        <v>0.63164198133680549</v>
      </c>
      <c r="R1316" s="4">
        <v>10683.21327430306</v>
      </c>
      <c r="S1316" s="5">
        <f t="shared" si="81"/>
        <v>0.48377962143098041</v>
      </c>
      <c r="T1316" s="4">
        <v>13943.63928932103</v>
      </c>
      <c r="U1316" s="5">
        <f t="shared" si="82"/>
        <v>0.93661656796125414</v>
      </c>
      <c r="V1316" s="4">
        <v>11684.7646484375</v>
      </c>
      <c r="W1316" s="5">
        <f t="shared" si="83"/>
        <v>0.62288397894965275</v>
      </c>
    </row>
    <row r="1317" spans="1:23" x14ac:dyDescent="0.25">
      <c r="A1317" t="s">
        <v>1741</v>
      </c>
      <c r="B1317">
        <v>2020</v>
      </c>
      <c r="C1317" t="s">
        <v>20</v>
      </c>
      <c r="D1317" t="s">
        <v>134</v>
      </c>
      <c r="E1317">
        <v>103400</v>
      </c>
      <c r="F1317" t="s">
        <v>475</v>
      </c>
      <c r="G1317" t="s">
        <v>38</v>
      </c>
      <c r="H1317" t="s">
        <v>25</v>
      </c>
      <c r="I1317" t="s">
        <v>24</v>
      </c>
      <c r="J1317" s="2">
        <v>45575</v>
      </c>
      <c r="K1317" t="s">
        <v>25</v>
      </c>
      <c r="L1317">
        <v>44444</v>
      </c>
      <c r="M1317">
        <v>264</v>
      </c>
      <c r="N1317">
        <v>314</v>
      </c>
      <c r="O1317" s="4">
        <v>17400</v>
      </c>
      <c r="P1317" s="4">
        <v>13051.2451171875</v>
      </c>
      <c r="Q1317" s="5">
        <f t="shared" si="80"/>
        <v>-0.24992844154094829</v>
      </c>
      <c r="R1317" s="4">
        <v>12975.574750434411</v>
      </c>
      <c r="S1317" s="5">
        <f t="shared" si="81"/>
        <v>-0.25427731319342461</v>
      </c>
      <c r="T1317" s="4">
        <v>13226.634580306871</v>
      </c>
      <c r="U1317" s="5">
        <f t="shared" si="82"/>
        <v>-0.23984858733868564</v>
      </c>
      <c r="V1317" s="4">
        <v>13012.525390625</v>
      </c>
      <c r="W1317" s="5">
        <f t="shared" si="83"/>
        <v>-0.25215371318247126</v>
      </c>
    </row>
    <row r="1318" spans="1:23" x14ac:dyDescent="0.25">
      <c r="A1318" t="s">
        <v>1742</v>
      </c>
      <c r="B1318">
        <v>2015</v>
      </c>
      <c r="C1318" t="s">
        <v>53</v>
      </c>
      <c r="D1318" t="s">
        <v>150</v>
      </c>
      <c r="E1318">
        <v>76206</v>
      </c>
      <c r="F1318" t="s">
        <v>141</v>
      </c>
      <c r="G1318" t="s">
        <v>38</v>
      </c>
      <c r="H1318" t="s">
        <v>25</v>
      </c>
      <c r="I1318" t="s">
        <v>24</v>
      </c>
      <c r="J1318" s="2">
        <v>45482</v>
      </c>
      <c r="K1318" t="s">
        <v>25</v>
      </c>
      <c r="L1318">
        <v>44444</v>
      </c>
      <c r="M1318">
        <v>264</v>
      </c>
      <c r="N1318">
        <v>314</v>
      </c>
      <c r="O1318" s="4">
        <v>2600</v>
      </c>
      <c r="P1318" s="4">
        <v>9487.5078125</v>
      </c>
      <c r="Q1318" s="5">
        <f t="shared" si="80"/>
        <v>2.6490414663461537</v>
      </c>
      <c r="R1318" s="4">
        <v>9294.1104903541236</v>
      </c>
      <c r="S1318" s="5">
        <f t="shared" si="81"/>
        <v>2.5746578809054324</v>
      </c>
      <c r="T1318" s="4">
        <v>4397.2850088853374</v>
      </c>
      <c r="U1318" s="5">
        <f t="shared" si="82"/>
        <v>0.69126346495589908</v>
      </c>
      <c r="V1318" s="4">
        <v>9655.146484375</v>
      </c>
      <c r="W1318" s="5">
        <f t="shared" si="83"/>
        <v>2.7135178786057694</v>
      </c>
    </row>
    <row r="1319" spans="1:23" x14ac:dyDescent="0.25">
      <c r="A1319" t="s">
        <v>1743</v>
      </c>
      <c r="B1319">
        <v>2017</v>
      </c>
      <c r="C1319" t="s">
        <v>20</v>
      </c>
      <c r="D1319" t="s">
        <v>421</v>
      </c>
      <c r="E1319">
        <v>77086</v>
      </c>
      <c r="F1319" t="s">
        <v>115</v>
      </c>
      <c r="G1319" t="s">
        <v>30</v>
      </c>
      <c r="H1319" t="s">
        <v>24</v>
      </c>
      <c r="I1319" t="s">
        <v>25</v>
      </c>
      <c r="J1319" s="2">
        <v>45426</v>
      </c>
      <c r="K1319" t="s">
        <v>25</v>
      </c>
      <c r="L1319">
        <v>44444</v>
      </c>
      <c r="M1319">
        <v>264</v>
      </c>
      <c r="N1319">
        <v>314</v>
      </c>
      <c r="O1319" s="4">
        <v>8400</v>
      </c>
      <c r="P1319" s="4">
        <v>6165.12060546875</v>
      </c>
      <c r="Q1319" s="5">
        <f t="shared" si="80"/>
        <v>-0.26605707077752971</v>
      </c>
      <c r="R1319" s="4">
        <v>7776.58495879372</v>
      </c>
      <c r="S1319" s="5">
        <f t="shared" si="81"/>
        <v>-7.4216076334080894E-2</v>
      </c>
      <c r="T1319" s="4">
        <v>5570.1729109810358</v>
      </c>
      <c r="U1319" s="5">
        <f t="shared" si="82"/>
        <v>-0.33688417726416242</v>
      </c>
      <c r="V1319" s="4">
        <v>5639.07177734375</v>
      </c>
      <c r="W1319" s="5">
        <f t="shared" si="83"/>
        <v>-0.32868193126860124</v>
      </c>
    </row>
    <row r="1320" spans="1:23" x14ac:dyDescent="0.25">
      <c r="A1320" t="s">
        <v>1744</v>
      </c>
      <c r="B1320">
        <v>2017</v>
      </c>
      <c r="C1320" t="s">
        <v>156</v>
      </c>
      <c r="D1320" t="s">
        <v>157</v>
      </c>
      <c r="E1320">
        <v>122667</v>
      </c>
      <c r="F1320" t="s">
        <v>22</v>
      </c>
      <c r="G1320" t="s">
        <v>23</v>
      </c>
      <c r="H1320" t="s">
        <v>24</v>
      </c>
      <c r="I1320" t="s">
        <v>25</v>
      </c>
      <c r="J1320" s="2">
        <v>45526</v>
      </c>
      <c r="K1320" t="s">
        <v>25</v>
      </c>
      <c r="L1320">
        <v>44444</v>
      </c>
      <c r="M1320">
        <v>264</v>
      </c>
      <c r="N1320">
        <v>314</v>
      </c>
      <c r="O1320" s="4">
        <v>11000</v>
      </c>
      <c r="P1320" s="4">
        <v>3138.899169921875</v>
      </c>
      <c r="Q1320" s="5">
        <f t="shared" si="80"/>
        <v>-0.71464553000710229</v>
      </c>
      <c r="R1320" s="4">
        <v>2941.0475610934691</v>
      </c>
      <c r="S1320" s="5">
        <f t="shared" si="81"/>
        <v>-0.73263203990059367</v>
      </c>
      <c r="T1320" s="4">
        <v>3770.2270159387531</v>
      </c>
      <c r="U1320" s="5">
        <f t="shared" si="82"/>
        <v>-0.65725208946011338</v>
      </c>
      <c r="V1320" s="4">
        <v>3137.748779296875</v>
      </c>
      <c r="W1320" s="5">
        <f t="shared" si="83"/>
        <v>-0.71475011097301144</v>
      </c>
    </row>
    <row r="1321" spans="1:23" x14ac:dyDescent="0.25">
      <c r="A1321" t="s">
        <v>1745</v>
      </c>
      <c r="B1321">
        <v>2012</v>
      </c>
      <c r="C1321" t="s">
        <v>159</v>
      </c>
      <c r="D1321" t="s">
        <v>260</v>
      </c>
      <c r="E1321">
        <v>80529</v>
      </c>
      <c r="F1321" t="s">
        <v>55</v>
      </c>
      <c r="G1321" t="s">
        <v>34</v>
      </c>
      <c r="H1321" t="s">
        <v>25</v>
      </c>
      <c r="I1321" t="s">
        <v>24</v>
      </c>
      <c r="J1321" s="2">
        <v>45314</v>
      </c>
      <c r="K1321" t="s">
        <v>25</v>
      </c>
      <c r="L1321">
        <v>44444</v>
      </c>
      <c r="M1321">
        <v>264</v>
      </c>
      <c r="N1321">
        <v>314</v>
      </c>
      <c r="O1321" s="4">
        <v>500</v>
      </c>
      <c r="P1321" s="4">
        <v>4822.546875</v>
      </c>
      <c r="Q1321" s="5">
        <f t="shared" si="80"/>
        <v>8.6450937499999991</v>
      </c>
      <c r="R1321" s="4">
        <v>4384.1331278661828</v>
      </c>
      <c r="S1321" s="5">
        <f t="shared" si="81"/>
        <v>7.7682662557323656</v>
      </c>
      <c r="T1321" s="4">
        <v>3887.54637391804</v>
      </c>
      <c r="U1321" s="5">
        <f t="shared" si="82"/>
        <v>6.7750927478360801</v>
      </c>
      <c r="V1321" s="4">
        <v>4793.0703125</v>
      </c>
      <c r="W1321" s="5">
        <f t="shared" si="83"/>
        <v>8.5861406250000005</v>
      </c>
    </row>
    <row r="1322" spans="1:23" x14ac:dyDescent="0.25">
      <c r="A1322" t="s">
        <v>1746</v>
      </c>
      <c r="B1322">
        <v>2016</v>
      </c>
      <c r="C1322" t="s">
        <v>185</v>
      </c>
      <c r="D1322" t="s">
        <v>264</v>
      </c>
      <c r="E1322">
        <v>116539</v>
      </c>
      <c r="F1322" t="s">
        <v>82</v>
      </c>
      <c r="G1322" t="s">
        <v>34</v>
      </c>
      <c r="H1322" t="s">
        <v>24</v>
      </c>
      <c r="I1322" t="s">
        <v>25</v>
      </c>
      <c r="J1322" s="2">
        <v>45664</v>
      </c>
      <c r="K1322" t="s">
        <v>25</v>
      </c>
      <c r="L1322">
        <v>44444</v>
      </c>
      <c r="M1322">
        <v>264</v>
      </c>
      <c r="N1322">
        <v>314</v>
      </c>
      <c r="O1322" s="4">
        <v>7000</v>
      </c>
      <c r="P1322" s="4">
        <v>2837.484619140625</v>
      </c>
      <c r="Q1322" s="5">
        <f t="shared" si="80"/>
        <v>-0.59464505440848214</v>
      </c>
      <c r="R1322" s="4">
        <v>3015.0446145061419</v>
      </c>
      <c r="S1322" s="5">
        <f t="shared" si="81"/>
        <v>-0.56927934078483688</v>
      </c>
      <c r="T1322" s="4">
        <v>2521.117798804587</v>
      </c>
      <c r="U1322" s="5">
        <f t="shared" si="82"/>
        <v>-0.63984031445648759</v>
      </c>
      <c r="V1322" s="4">
        <v>2769.576904296875</v>
      </c>
      <c r="W1322" s="5">
        <f t="shared" si="83"/>
        <v>-0.6043461565290178</v>
      </c>
    </row>
    <row r="1323" spans="1:23" x14ac:dyDescent="0.25">
      <c r="A1323" t="s">
        <v>1747</v>
      </c>
      <c r="B1323">
        <v>2021</v>
      </c>
      <c r="C1323" t="s">
        <v>266</v>
      </c>
      <c r="D1323" t="s">
        <v>561</v>
      </c>
      <c r="E1323">
        <v>62901</v>
      </c>
      <c r="F1323" t="s">
        <v>102</v>
      </c>
      <c r="G1323" t="s">
        <v>44</v>
      </c>
      <c r="H1323" t="s">
        <v>25</v>
      </c>
      <c r="I1323" t="s">
        <v>24</v>
      </c>
      <c r="J1323" s="2">
        <v>45356</v>
      </c>
      <c r="K1323" t="s">
        <v>25</v>
      </c>
      <c r="L1323">
        <v>44444</v>
      </c>
      <c r="M1323">
        <v>264</v>
      </c>
      <c r="N1323">
        <v>314</v>
      </c>
      <c r="O1323" s="4">
        <v>14400</v>
      </c>
      <c r="P1323" s="4">
        <v>17122.3359375</v>
      </c>
      <c r="Q1323" s="5">
        <f t="shared" si="80"/>
        <v>0.18905110677083337</v>
      </c>
      <c r="R1323" s="4">
        <v>18129.114555897111</v>
      </c>
      <c r="S1323" s="5">
        <f t="shared" si="81"/>
        <v>0.25896628860396609</v>
      </c>
      <c r="T1323" s="4">
        <v>18639.407398698211</v>
      </c>
      <c r="U1323" s="5">
        <f t="shared" si="82"/>
        <v>0.29440329157626466</v>
      </c>
      <c r="V1323" s="4">
        <v>17012.048828125</v>
      </c>
      <c r="W1323" s="5">
        <f t="shared" si="83"/>
        <v>0.18139227973090288</v>
      </c>
    </row>
    <row r="1324" spans="1:23" x14ac:dyDescent="0.25">
      <c r="A1324" t="s">
        <v>1748</v>
      </c>
      <c r="B1324">
        <v>2015</v>
      </c>
      <c r="C1324" t="s">
        <v>182</v>
      </c>
      <c r="D1324" t="s">
        <v>1749</v>
      </c>
      <c r="E1324">
        <v>125116</v>
      </c>
      <c r="F1324" t="s">
        <v>58</v>
      </c>
      <c r="G1324" t="s">
        <v>34</v>
      </c>
      <c r="H1324" t="s">
        <v>25</v>
      </c>
      <c r="I1324" t="s">
        <v>24</v>
      </c>
      <c r="J1324" s="2">
        <v>45370</v>
      </c>
      <c r="K1324" t="s">
        <v>25</v>
      </c>
      <c r="L1324">
        <v>44444</v>
      </c>
      <c r="M1324">
        <v>264</v>
      </c>
      <c r="N1324">
        <v>314</v>
      </c>
      <c r="O1324" s="4">
        <v>10500</v>
      </c>
      <c r="P1324" s="4">
        <v>3202.27734375</v>
      </c>
      <c r="Q1324" s="5">
        <f t="shared" si="80"/>
        <v>-0.69502120535714285</v>
      </c>
      <c r="R1324" s="4">
        <v>4199.6523560072847</v>
      </c>
      <c r="S1324" s="5">
        <f t="shared" si="81"/>
        <v>-0.60003310895168716</v>
      </c>
      <c r="T1324" s="4">
        <v>3440.8383568353779</v>
      </c>
      <c r="U1324" s="5">
        <f t="shared" si="82"/>
        <v>-0.67230110887282113</v>
      </c>
      <c r="V1324" s="4">
        <v>2819.9501953125</v>
      </c>
      <c r="W1324" s="5">
        <f t="shared" si="83"/>
        <v>-0.73143331473214279</v>
      </c>
    </row>
    <row r="1325" spans="1:23" x14ac:dyDescent="0.25">
      <c r="A1325" t="s">
        <v>1750</v>
      </c>
      <c r="B1325">
        <v>2015</v>
      </c>
      <c r="C1325" t="s">
        <v>139</v>
      </c>
      <c r="D1325" t="s">
        <v>273</v>
      </c>
      <c r="E1325">
        <v>114451</v>
      </c>
      <c r="F1325" t="s">
        <v>189</v>
      </c>
      <c r="G1325" t="s">
        <v>44</v>
      </c>
      <c r="H1325" t="s">
        <v>25</v>
      </c>
      <c r="I1325" t="s">
        <v>24</v>
      </c>
      <c r="J1325" s="2">
        <v>45386</v>
      </c>
      <c r="K1325" t="s">
        <v>25</v>
      </c>
      <c r="L1325">
        <v>44444</v>
      </c>
      <c r="M1325">
        <v>264</v>
      </c>
      <c r="N1325">
        <v>314</v>
      </c>
      <c r="O1325" s="4">
        <v>12200</v>
      </c>
      <c r="P1325" s="4">
        <v>11297.287109375</v>
      </c>
      <c r="Q1325" s="5">
        <f t="shared" si="80"/>
        <v>-7.3992859887295093E-2</v>
      </c>
      <c r="R1325" s="4">
        <v>11926.198428175139</v>
      </c>
      <c r="S1325" s="5">
        <f t="shared" si="81"/>
        <v>-2.2442751788922966E-2</v>
      </c>
      <c r="T1325" s="4">
        <v>15970.7726791391</v>
      </c>
      <c r="U1325" s="5">
        <f t="shared" si="82"/>
        <v>0.30907972779828685</v>
      </c>
      <c r="V1325" s="4">
        <v>11216.4130859375</v>
      </c>
      <c r="W1325" s="5">
        <f t="shared" si="83"/>
        <v>-8.0621878201844299E-2</v>
      </c>
    </row>
    <row r="1326" spans="1:23" x14ac:dyDescent="0.25">
      <c r="A1326" t="s">
        <v>1751</v>
      </c>
      <c r="B1326">
        <v>2016</v>
      </c>
      <c r="C1326" t="s">
        <v>185</v>
      </c>
      <c r="D1326" t="s">
        <v>277</v>
      </c>
      <c r="E1326">
        <v>97577</v>
      </c>
      <c r="F1326" t="s">
        <v>82</v>
      </c>
      <c r="G1326" t="s">
        <v>30</v>
      </c>
      <c r="H1326" t="s">
        <v>24</v>
      </c>
      <c r="I1326" t="s">
        <v>25</v>
      </c>
      <c r="J1326" s="2">
        <v>45384</v>
      </c>
      <c r="K1326" t="s">
        <v>25</v>
      </c>
      <c r="L1326">
        <v>44444</v>
      </c>
      <c r="M1326">
        <v>264</v>
      </c>
      <c r="N1326">
        <v>314</v>
      </c>
      <c r="O1326" s="4">
        <v>7200</v>
      </c>
      <c r="P1326" s="4">
        <v>3421.052734375</v>
      </c>
      <c r="Q1326" s="5">
        <f t="shared" si="80"/>
        <v>-0.52485378689236106</v>
      </c>
      <c r="R1326" s="4">
        <v>3880.319976468902</v>
      </c>
      <c r="S1326" s="5">
        <f t="shared" si="81"/>
        <v>-0.46106666993487466</v>
      </c>
      <c r="T1326" s="4">
        <v>4052.473906402467</v>
      </c>
      <c r="U1326" s="5">
        <f t="shared" si="82"/>
        <v>-0.43715640188854621</v>
      </c>
      <c r="V1326" s="4">
        <v>3128.13525390625</v>
      </c>
      <c r="W1326" s="5">
        <f t="shared" si="83"/>
        <v>-0.56553677029079863</v>
      </c>
    </row>
    <row r="1327" spans="1:23" x14ac:dyDescent="0.25">
      <c r="A1327" t="s">
        <v>1752</v>
      </c>
      <c r="B1327">
        <v>2017</v>
      </c>
      <c r="C1327" t="s">
        <v>167</v>
      </c>
      <c r="D1327" t="s">
        <v>168</v>
      </c>
      <c r="E1327">
        <v>83776</v>
      </c>
      <c r="F1327" t="s">
        <v>37</v>
      </c>
      <c r="G1327" t="s">
        <v>34</v>
      </c>
      <c r="H1327" t="s">
        <v>25</v>
      </c>
      <c r="I1327" t="s">
        <v>24</v>
      </c>
      <c r="J1327" s="2">
        <v>45337</v>
      </c>
      <c r="K1327" t="s">
        <v>25</v>
      </c>
      <c r="L1327">
        <v>44444</v>
      </c>
      <c r="M1327">
        <v>264</v>
      </c>
      <c r="N1327">
        <v>314</v>
      </c>
      <c r="O1327" s="4">
        <v>9600</v>
      </c>
      <c r="P1327" s="4">
        <v>5320.44482421875</v>
      </c>
      <c r="Q1327" s="5">
        <f t="shared" si="80"/>
        <v>-0.44578699747721351</v>
      </c>
      <c r="R1327" s="4">
        <v>7666.8674246725996</v>
      </c>
      <c r="S1327" s="5">
        <f t="shared" si="81"/>
        <v>-0.20136797659660421</v>
      </c>
      <c r="T1327" s="4">
        <v>6173.5450364501021</v>
      </c>
      <c r="U1327" s="5">
        <f t="shared" si="82"/>
        <v>-0.35692239203644771</v>
      </c>
      <c r="V1327" s="4">
        <v>4855.88037109375</v>
      </c>
      <c r="W1327" s="5">
        <f t="shared" si="83"/>
        <v>-0.49417912801106767</v>
      </c>
    </row>
    <row r="1328" spans="1:23" x14ac:dyDescent="0.25">
      <c r="A1328" t="s">
        <v>1753</v>
      </c>
      <c r="B1328">
        <v>2021</v>
      </c>
      <c r="C1328" t="s">
        <v>156</v>
      </c>
      <c r="D1328" t="s">
        <v>458</v>
      </c>
      <c r="E1328">
        <v>64984</v>
      </c>
      <c r="F1328" t="s">
        <v>214</v>
      </c>
      <c r="G1328" t="s">
        <v>38</v>
      </c>
      <c r="H1328" t="s">
        <v>25</v>
      </c>
      <c r="I1328" t="s">
        <v>24</v>
      </c>
      <c r="J1328" s="2">
        <v>45622</v>
      </c>
      <c r="K1328" t="s">
        <v>25</v>
      </c>
      <c r="L1328">
        <v>44444</v>
      </c>
      <c r="M1328">
        <v>264</v>
      </c>
      <c r="N1328">
        <v>314</v>
      </c>
      <c r="O1328" s="4">
        <v>18400</v>
      </c>
      <c r="P1328" s="4">
        <v>14207.80078125</v>
      </c>
      <c r="Q1328" s="5">
        <f t="shared" si="80"/>
        <v>-0.22783691406249995</v>
      </c>
      <c r="R1328" s="4">
        <v>15473.052457333049</v>
      </c>
      <c r="S1328" s="5">
        <f t="shared" si="81"/>
        <v>-0.15907323601450818</v>
      </c>
      <c r="T1328" s="4">
        <v>15092.742545628709</v>
      </c>
      <c r="U1328" s="5">
        <f t="shared" si="82"/>
        <v>-0.17974225295496149</v>
      </c>
      <c r="V1328" s="4">
        <v>14129.884765625</v>
      </c>
      <c r="W1328" s="5">
        <f t="shared" si="83"/>
        <v>-0.23207148012907608</v>
      </c>
    </row>
    <row r="1329" spans="1:23" x14ac:dyDescent="0.25">
      <c r="A1329" t="s">
        <v>1754</v>
      </c>
      <c r="B1329">
        <v>2017</v>
      </c>
      <c r="C1329" t="s">
        <v>185</v>
      </c>
      <c r="D1329" t="s">
        <v>905</v>
      </c>
      <c r="E1329">
        <v>136084</v>
      </c>
      <c r="F1329" t="s">
        <v>82</v>
      </c>
      <c r="G1329" t="s">
        <v>30</v>
      </c>
      <c r="H1329" t="s">
        <v>24</v>
      </c>
      <c r="I1329" t="s">
        <v>25</v>
      </c>
      <c r="J1329" s="2">
        <v>45351</v>
      </c>
      <c r="K1329" t="s">
        <v>25</v>
      </c>
      <c r="L1329">
        <v>44444</v>
      </c>
      <c r="M1329">
        <v>264</v>
      </c>
      <c r="N1329">
        <v>314</v>
      </c>
      <c r="O1329" s="4">
        <v>11600</v>
      </c>
      <c r="P1329" s="4">
        <v>3001.69921875</v>
      </c>
      <c r="Q1329" s="5">
        <f t="shared" si="80"/>
        <v>-0.74123282596982754</v>
      </c>
      <c r="R1329" s="4">
        <v>2476.722902123196</v>
      </c>
      <c r="S1329" s="5">
        <f t="shared" si="81"/>
        <v>-0.78648940498937969</v>
      </c>
      <c r="T1329" s="4">
        <v>4145.8061938769351</v>
      </c>
      <c r="U1329" s="5">
        <f t="shared" si="82"/>
        <v>-0.64260291432095384</v>
      </c>
      <c r="V1329" s="4">
        <v>2926.701416015625</v>
      </c>
      <c r="W1329" s="5">
        <f t="shared" si="83"/>
        <v>-0.74769815379175641</v>
      </c>
    </row>
    <row r="1330" spans="1:23" x14ac:dyDescent="0.25">
      <c r="A1330" t="s">
        <v>1755</v>
      </c>
      <c r="B1330">
        <v>2011</v>
      </c>
      <c r="C1330" t="s">
        <v>1686</v>
      </c>
      <c r="D1330" t="s">
        <v>1756</v>
      </c>
      <c r="E1330">
        <v>88424</v>
      </c>
      <c r="F1330" t="s">
        <v>151</v>
      </c>
      <c r="G1330" t="s">
        <v>38</v>
      </c>
      <c r="H1330" t="s">
        <v>25</v>
      </c>
      <c r="I1330" t="s">
        <v>24</v>
      </c>
      <c r="J1330" s="2">
        <v>45692</v>
      </c>
      <c r="K1330" t="s">
        <v>25</v>
      </c>
      <c r="L1330">
        <v>44444</v>
      </c>
      <c r="M1330">
        <v>264</v>
      </c>
      <c r="N1330">
        <v>314</v>
      </c>
      <c r="O1330" s="4">
        <v>3300</v>
      </c>
      <c r="P1330" s="4">
        <v>8679.3564453125</v>
      </c>
      <c r="Q1330" s="5">
        <f t="shared" si="80"/>
        <v>1.6301080137310606</v>
      </c>
      <c r="R1330" s="4">
        <v>9834.6461301914896</v>
      </c>
      <c r="S1330" s="5">
        <f t="shared" si="81"/>
        <v>1.980195797027724</v>
      </c>
      <c r="T1330" s="4">
        <v>10483.51912257199</v>
      </c>
      <c r="U1330" s="5">
        <f t="shared" si="82"/>
        <v>2.1768239765369666</v>
      </c>
      <c r="V1330" s="4">
        <v>8343.6142578125</v>
      </c>
      <c r="W1330" s="5">
        <f t="shared" si="83"/>
        <v>1.528367956912879</v>
      </c>
    </row>
    <row r="1331" spans="1:23" x14ac:dyDescent="0.25">
      <c r="A1331" t="s">
        <v>1757</v>
      </c>
      <c r="B1331">
        <v>2017</v>
      </c>
      <c r="C1331" t="s">
        <v>91</v>
      </c>
      <c r="D1331" t="s">
        <v>287</v>
      </c>
      <c r="E1331">
        <v>64307</v>
      </c>
      <c r="F1331" t="s">
        <v>43</v>
      </c>
      <c r="G1331" t="s">
        <v>44</v>
      </c>
      <c r="H1331" t="s">
        <v>25</v>
      </c>
      <c r="I1331" t="s">
        <v>24</v>
      </c>
      <c r="J1331" s="2">
        <v>45356</v>
      </c>
      <c r="K1331" t="s">
        <v>25</v>
      </c>
      <c r="L1331">
        <v>44444</v>
      </c>
      <c r="M1331">
        <v>264</v>
      </c>
      <c r="N1331">
        <v>314</v>
      </c>
      <c r="O1331" s="4">
        <v>9900</v>
      </c>
      <c r="P1331" s="4">
        <v>12185.845703125</v>
      </c>
      <c r="Q1331" s="5">
        <f t="shared" si="80"/>
        <v>0.2308935053661616</v>
      </c>
      <c r="R1331" s="4">
        <v>12848.16743748185</v>
      </c>
      <c r="S1331" s="5">
        <f t="shared" si="81"/>
        <v>0.29779469065473241</v>
      </c>
      <c r="T1331" s="4">
        <v>9269.3756006062031</v>
      </c>
      <c r="U1331" s="5">
        <f t="shared" si="82"/>
        <v>-6.3699434282201706E-2</v>
      </c>
      <c r="V1331" s="4">
        <v>12391.28125</v>
      </c>
      <c r="W1331" s="5">
        <f t="shared" si="83"/>
        <v>0.25164457070707069</v>
      </c>
    </row>
    <row r="1332" spans="1:23" x14ac:dyDescent="0.25">
      <c r="A1332" t="s">
        <v>1758</v>
      </c>
      <c r="B1332">
        <v>2017</v>
      </c>
      <c r="C1332" t="s">
        <v>91</v>
      </c>
      <c r="D1332" t="s">
        <v>287</v>
      </c>
      <c r="E1332">
        <v>26143</v>
      </c>
      <c r="F1332" t="s">
        <v>214</v>
      </c>
      <c r="G1332" t="s">
        <v>44</v>
      </c>
      <c r="H1332" t="s">
        <v>25</v>
      </c>
      <c r="I1332" t="s">
        <v>24</v>
      </c>
      <c r="J1332" s="2">
        <v>45510</v>
      </c>
      <c r="K1332" t="s">
        <v>25</v>
      </c>
      <c r="L1332">
        <v>44444</v>
      </c>
      <c r="M1332">
        <v>264</v>
      </c>
      <c r="N1332">
        <v>314</v>
      </c>
      <c r="O1332" s="4">
        <v>3200</v>
      </c>
      <c r="P1332" s="4">
        <v>18283.162109375</v>
      </c>
      <c r="Q1332" s="5">
        <f t="shared" si="80"/>
        <v>4.7134881591796871</v>
      </c>
      <c r="R1332" s="4">
        <v>18523.267921431961</v>
      </c>
      <c r="S1332" s="5">
        <f t="shared" si="81"/>
        <v>4.7885212254474876</v>
      </c>
      <c r="T1332" s="4">
        <v>12267.689273578389</v>
      </c>
      <c r="U1332" s="5">
        <f t="shared" si="82"/>
        <v>2.8336528979932467</v>
      </c>
      <c r="V1332" s="4">
        <v>18585.392578125</v>
      </c>
      <c r="W1332" s="5">
        <f t="shared" si="83"/>
        <v>4.8079351806640629</v>
      </c>
    </row>
    <row r="1333" spans="1:23" x14ac:dyDescent="0.25">
      <c r="A1333" t="s">
        <v>1759</v>
      </c>
      <c r="B1333">
        <v>2014</v>
      </c>
      <c r="C1333" t="s">
        <v>167</v>
      </c>
      <c r="D1333" t="s">
        <v>675</v>
      </c>
      <c r="E1333">
        <v>119707</v>
      </c>
      <c r="F1333" t="s">
        <v>219</v>
      </c>
      <c r="G1333" t="s">
        <v>34</v>
      </c>
      <c r="H1333" t="s">
        <v>25</v>
      </c>
      <c r="I1333" t="s">
        <v>24</v>
      </c>
      <c r="J1333" s="2">
        <v>45365</v>
      </c>
      <c r="K1333" t="s">
        <v>25</v>
      </c>
      <c r="L1333">
        <v>44444</v>
      </c>
      <c r="M1333">
        <v>264</v>
      </c>
      <c r="N1333">
        <v>314</v>
      </c>
      <c r="O1333" s="4">
        <v>9000</v>
      </c>
      <c r="P1333" s="4">
        <v>3964.369384765625</v>
      </c>
      <c r="Q1333" s="5">
        <f t="shared" si="80"/>
        <v>-0.55951451280381947</v>
      </c>
      <c r="R1333" s="4">
        <v>3919.5143630560742</v>
      </c>
      <c r="S1333" s="5">
        <f t="shared" si="81"/>
        <v>-0.56449840410488061</v>
      </c>
      <c r="T1333" s="4">
        <v>4427.9649993181847</v>
      </c>
      <c r="U1333" s="5">
        <f t="shared" si="82"/>
        <v>-0.5080038889646461</v>
      </c>
      <c r="V1333" s="4">
        <v>4033.624267578125</v>
      </c>
      <c r="W1333" s="5">
        <f t="shared" si="83"/>
        <v>-0.55181952582465277</v>
      </c>
    </row>
    <row r="1334" spans="1:23" x14ac:dyDescent="0.25">
      <c r="A1334" t="s">
        <v>1760</v>
      </c>
      <c r="B1334">
        <v>2015</v>
      </c>
      <c r="C1334" t="s">
        <v>156</v>
      </c>
      <c r="D1334" t="s">
        <v>194</v>
      </c>
      <c r="E1334">
        <v>120369</v>
      </c>
      <c r="F1334" t="s">
        <v>82</v>
      </c>
      <c r="G1334" t="s">
        <v>23</v>
      </c>
      <c r="H1334" t="s">
        <v>24</v>
      </c>
      <c r="I1334" t="s">
        <v>25</v>
      </c>
      <c r="J1334" s="2">
        <v>45384</v>
      </c>
      <c r="K1334" t="s">
        <v>25</v>
      </c>
      <c r="L1334">
        <v>44444</v>
      </c>
      <c r="M1334">
        <v>264</v>
      </c>
      <c r="N1334">
        <v>314</v>
      </c>
      <c r="O1334" s="4">
        <v>3000</v>
      </c>
      <c r="P1334" s="4">
        <v>1825.431518554688</v>
      </c>
      <c r="Q1334" s="5">
        <f t="shared" si="80"/>
        <v>-0.39152282714843734</v>
      </c>
      <c r="R1334" s="4">
        <v>2112.423322547349</v>
      </c>
      <c r="S1334" s="5">
        <f t="shared" si="81"/>
        <v>-0.29585889248421704</v>
      </c>
      <c r="T1334" s="4">
        <v>4238.9592308417587</v>
      </c>
      <c r="U1334" s="5">
        <f t="shared" si="82"/>
        <v>0.41298641028058625</v>
      </c>
      <c r="V1334" s="4">
        <v>1802.579833984375</v>
      </c>
      <c r="W1334" s="5">
        <f t="shared" si="83"/>
        <v>-0.39914005533854169</v>
      </c>
    </row>
    <row r="1335" spans="1:23" x14ac:dyDescent="0.25">
      <c r="A1335" t="s">
        <v>1761</v>
      </c>
      <c r="B1335">
        <v>2019</v>
      </c>
      <c r="C1335" t="s">
        <v>156</v>
      </c>
      <c r="D1335" t="s">
        <v>196</v>
      </c>
      <c r="E1335">
        <v>123777</v>
      </c>
      <c r="F1335" t="s">
        <v>77</v>
      </c>
      <c r="G1335" t="s">
        <v>30</v>
      </c>
      <c r="H1335" t="s">
        <v>24</v>
      </c>
      <c r="I1335" t="s">
        <v>25</v>
      </c>
      <c r="J1335" s="2">
        <v>45435</v>
      </c>
      <c r="K1335" t="s">
        <v>25</v>
      </c>
      <c r="L1335">
        <v>44444</v>
      </c>
      <c r="M1335">
        <v>264</v>
      </c>
      <c r="N1335">
        <v>314</v>
      </c>
      <c r="O1335" s="4">
        <v>8400</v>
      </c>
      <c r="P1335" s="4">
        <v>3904.626220703125</v>
      </c>
      <c r="Q1335" s="5">
        <f t="shared" si="80"/>
        <v>-0.53516354515438991</v>
      </c>
      <c r="R1335" s="4">
        <v>6984.9997554569527</v>
      </c>
      <c r="S1335" s="5">
        <f t="shared" si="81"/>
        <v>-0.16845241006464851</v>
      </c>
      <c r="T1335" s="4">
        <v>5375.1206708066911</v>
      </c>
      <c r="U1335" s="5">
        <f t="shared" si="82"/>
        <v>-0.36010468204682244</v>
      </c>
      <c r="V1335" s="4">
        <v>3553.55615234375</v>
      </c>
      <c r="W1335" s="5">
        <f t="shared" si="83"/>
        <v>-0.57695760091145831</v>
      </c>
    </row>
    <row r="1336" spans="1:23" x14ac:dyDescent="0.25">
      <c r="A1336" t="s">
        <v>1762</v>
      </c>
      <c r="B1336">
        <v>2013</v>
      </c>
      <c r="C1336" t="s">
        <v>302</v>
      </c>
      <c r="D1336" t="s">
        <v>623</v>
      </c>
      <c r="E1336">
        <v>74713</v>
      </c>
      <c r="F1336" t="s">
        <v>58</v>
      </c>
      <c r="G1336" t="s">
        <v>34</v>
      </c>
      <c r="H1336" t="s">
        <v>25</v>
      </c>
      <c r="I1336" t="s">
        <v>24</v>
      </c>
      <c r="J1336" s="2">
        <v>45664</v>
      </c>
      <c r="K1336" t="s">
        <v>25</v>
      </c>
      <c r="L1336">
        <v>44444</v>
      </c>
      <c r="M1336">
        <v>264</v>
      </c>
      <c r="N1336">
        <v>314</v>
      </c>
      <c r="O1336" s="4">
        <v>6500</v>
      </c>
      <c r="P1336" s="4">
        <v>6046.7265625</v>
      </c>
      <c r="Q1336" s="5">
        <f t="shared" si="80"/>
        <v>-6.9734375000000015E-2</v>
      </c>
      <c r="R1336" s="4">
        <v>5750.5347907610594</v>
      </c>
      <c r="S1336" s="5">
        <f t="shared" si="81"/>
        <v>-0.11530233988291394</v>
      </c>
      <c r="T1336" s="4">
        <v>8541.7755291756148</v>
      </c>
      <c r="U1336" s="5">
        <f t="shared" si="82"/>
        <v>0.31411931218086386</v>
      </c>
      <c r="V1336" s="4">
        <v>6116.775390625</v>
      </c>
      <c r="W1336" s="5">
        <f t="shared" si="83"/>
        <v>-5.8957632211538491E-2</v>
      </c>
    </row>
    <row r="1337" spans="1:23" x14ac:dyDescent="0.25">
      <c r="A1337" t="s">
        <v>1763</v>
      </c>
      <c r="B1337">
        <v>2018</v>
      </c>
      <c r="C1337" t="s">
        <v>199</v>
      </c>
      <c r="D1337" t="s">
        <v>1764</v>
      </c>
      <c r="E1337">
        <v>102675</v>
      </c>
      <c r="F1337" t="s">
        <v>102</v>
      </c>
      <c r="G1337" t="s">
        <v>44</v>
      </c>
      <c r="H1337" t="s">
        <v>25</v>
      </c>
      <c r="I1337" t="s">
        <v>24</v>
      </c>
      <c r="J1337" s="2">
        <v>45412</v>
      </c>
      <c r="K1337" t="s">
        <v>25</v>
      </c>
      <c r="L1337">
        <v>44444</v>
      </c>
      <c r="M1337">
        <v>264</v>
      </c>
      <c r="N1337">
        <v>314</v>
      </c>
      <c r="O1337" s="4">
        <v>920</v>
      </c>
      <c r="P1337" s="4">
        <v>10112.2431640625</v>
      </c>
      <c r="Q1337" s="5">
        <f t="shared" si="80"/>
        <v>9.9915686565896742</v>
      </c>
      <c r="R1337" s="4">
        <v>11114.81238832802</v>
      </c>
      <c r="S1337" s="5">
        <f t="shared" si="81"/>
        <v>11.081317813400021</v>
      </c>
      <c r="T1337" s="4">
        <v>9660.5747734040233</v>
      </c>
      <c r="U1337" s="5">
        <f t="shared" si="82"/>
        <v>9.5006247537000252</v>
      </c>
      <c r="V1337" s="4">
        <v>9602.2197265625</v>
      </c>
      <c r="W1337" s="5">
        <f t="shared" si="83"/>
        <v>9.4371953549592398</v>
      </c>
    </row>
    <row r="1338" spans="1:23" x14ac:dyDescent="0.25">
      <c r="A1338" t="s">
        <v>1765</v>
      </c>
      <c r="B1338">
        <v>2017</v>
      </c>
      <c r="C1338" t="s">
        <v>266</v>
      </c>
      <c r="D1338" t="s">
        <v>561</v>
      </c>
      <c r="E1338">
        <v>83652</v>
      </c>
      <c r="F1338" t="s">
        <v>334</v>
      </c>
      <c r="G1338" t="s">
        <v>30</v>
      </c>
      <c r="H1338" t="s">
        <v>24</v>
      </c>
      <c r="I1338" t="s">
        <v>25</v>
      </c>
      <c r="J1338" s="2">
        <v>45482</v>
      </c>
      <c r="K1338" t="s">
        <v>25</v>
      </c>
      <c r="L1338">
        <v>44444</v>
      </c>
      <c r="M1338">
        <v>264</v>
      </c>
      <c r="N1338">
        <v>314</v>
      </c>
      <c r="O1338" s="4">
        <v>9100</v>
      </c>
      <c r="P1338" s="4">
        <v>4109.11962890625</v>
      </c>
      <c r="Q1338" s="5">
        <f t="shared" si="80"/>
        <v>-0.54844839242788468</v>
      </c>
      <c r="R1338" s="4">
        <v>5992.0857156092334</v>
      </c>
      <c r="S1338" s="5">
        <f t="shared" si="81"/>
        <v>-0.34152904224074354</v>
      </c>
      <c r="T1338" s="4">
        <v>7056.0682862906651</v>
      </c>
      <c r="U1338" s="5">
        <f t="shared" si="82"/>
        <v>-0.22460788062739945</v>
      </c>
      <c r="V1338" s="4">
        <v>3582.815185546875</v>
      </c>
      <c r="W1338" s="5">
        <f t="shared" si="83"/>
        <v>-0.60628404554429949</v>
      </c>
    </row>
    <row r="1339" spans="1:23" x14ac:dyDescent="0.25">
      <c r="A1339" t="s">
        <v>1766</v>
      </c>
      <c r="B1339">
        <v>2016</v>
      </c>
      <c r="C1339" t="s">
        <v>120</v>
      </c>
      <c r="D1339" t="s">
        <v>206</v>
      </c>
      <c r="E1339">
        <v>82924</v>
      </c>
      <c r="F1339" t="s">
        <v>48</v>
      </c>
      <c r="G1339" t="s">
        <v>30</v>
      </c>
      <c r="H1339" t="s">
        <v>24</v>
      </c>
      <c r="I1339" t="s">
        <v>25</v>
      </c>
      <c r="J1339" s="2">
        <v>45589</v>
      </c>
      <c r="K1339" t="s">
        <v>25</v>
      </c>
      <c r="L1339">
        <v>44451</v>
      </c>
      <c r="M1339">
        <v>264</v>
      </c>
      <c r="N1339">
        <v>314</v>
      </c>
      <c r="O1339" s="4">
        <v>4800</v>
      </c>
      <c r="P1339" s="4">
        <v>6133.0341796875</v>
      </c>
      <c r="Q1339" s="5">
        <f t="shared" si="80"/>
        <v>0.27771545410156251</v>
      </c>
      <c r="R1339" s="4">
        <v>8738.0142605293495</v>
      </c>
      <c r="S1339" s="5">
        <f t="shared" si="81"/>
        <v>0.82041963761028125</v>
      </c>
      <c r="T1339" s="4">
        <v>9396.3620006411329</v>
      </c>
      <c r="U1339" s="5">
        <f t="shared" si="82"/>
        <v>0.95757541680023595</v>
      </c>
      <c r="V1339" s="4">
        <v>5540.1796875</v>
      </c>
      <c r="W1339" s="5">
        <f t="shared" si="83"/>
        <v>0.15420410156249997</v>
      </c>
    </row>
    <row r="1340" spans="1:23" x14ac:dyDescent="0.25">
      <c r="A1340" t="s">
        <v>1767</v>
      </c>
      <c r="B1340">
        <v>2015</v>
      </c>
      <c r="C1340" t="s">
        <v>120</v>
      </c>
      <c r="D1340">
        <v>200</v>
      </c>
      <c r="E1340">
        <v>105284</v>
      </c>
      <c r="F1340" t="s">
        <v>22</v>
      </c>
      <c r="G1340" t="s">
        <v>30</v>
      </c>
      <c r="H1340" t="s">
        <v>24</v>
      </c>
      <c r="I1340" t="s">
        <v>25</v>
      </c>
      <c r="J1340" s="2">
        <v>45412</v>
      </c>
      <c r="K1340" t="s">
        <v>25</v>
      </c>
      <c r="L1340">
        <v>44451</v>
      </c>
      <c r="M1340">
        <v>264</v>
      </c>
      <c r="N1340">
        <v>314</v>
      </c>
      <c r="O1340" s="4">
        <v>5800</v>
      </c>
      <c r="P1340" s="4">
        <v>4069.536376953125</v>
      </c>
      <c r="Q1340" s="5">
        <f t="shared" si="80"/>
        <v>-0.2983557970770474</v>
      </c>
      <c r="R1340" s="4">
        <v>4062.5672807151582</v>
      </c>
      <c r="S1340" s="5">
        <f t="shared" si="81"/>
        <v>-0.29955736539393829</v>
      </c>
      <c r="T1340" s="4">
        <v>2981.8059360092939</v>
      </c>
      <c r="U1340" s="5">
        <f t="shared" si="82"/>
        <v>-0.48589552827425964</v>
      </c>
      <c r="V1340" s="4">
        <v>4036.29638671875</v>
      </c>
      <c r="W1340" s="5">
        <f t="shared" si="83"/>
        <v>-0.3040868298760776</v>
      </c>
    </row>
    <row r="1341" spans="1:23" x14ac:dyDescent="0.25">
      <c r="A1341" t="s">
        <v>1768</v>
      </c>
      <c r="B1341">
        <v>2016</v>
      </c>
      <c r="C1341" t="s">
        <v>46</v>
      </c>
      <c r="D1341" t="s">
        <v>315</v>
      </c>
      <c r="E1341">
        <v>198770</v>
      </c>
      <c r="F1341" t="s">
        <v>246</v>
      </c>
      <c r="G1341" t="s">
        <v>30</v>
      </c>
      <c r="H1341" t="s">
        <v>24</v>
      </c>
      <c r="I1341" t="s">
        <v>25</v>
      </c>
      <c r="J1341" s="2">
        <v>45309</v>
      </c>
      <c r="K1341" t="s">
        <v>25</v>
      </c>
      <c r="L1341">
        <v>44451</v>
      </c>
      <c r="M1341">
        <v>264</v>
      </c>
      <c r="N1341">
        <v>314</v>
      </c>
      <c r="O1341" s="4">
        <v>3600</v>
      </c>
      <c r="P1341" s="4">
        <v>3186.480712890625</v>
      </c>
      <c r="Q1341" s="5">
        <f t="shared" si="80"/>
        <v>-0.11486646864149308</v>
      </c>
      <c r="R1341" s="4">
        <v>3314.914737207027</v>
      </c>
      <c r="S1341" s="5">
        <f t="shared" si="81"/>
        <v>-7.9190350775825813E-2</v>
      </c>
      <c r="T1341" s="4">
        <v>1078.3500297334119</v>
      </c>
      <c r="U1341" s="5">
        <f t="shared" si="82"/>
        <v>-0.70045832507405226</v>
      </c>
      <c r="V1341" s="4">
        <v>3071.129150390625</v>
      </c>
      <c r="W1341" s="5">
        <f t="shared" si="83"/>
        <v>-0.14690856933593754</v>
      </c>
    </row>
    <row r="1342" spans="1:23" x14ac:dyDescent="0.25">
      <c r="A1342" t="s">
        <v>1769</v>
      </c>
      <c r="B1342">
        <v>2016</v>
      </c>
      <c r="C1342" t="s">
        <v>32</v>
      </c>
      <c r="D1342" t="s">
        <v>210</v>
      </c>
      <c r="E1342">
        <v>160037</v>
      </c>
      <c r="F1342" t="s">
        <v>66</v>
      </c>
      <c r="G1342" t="s">
        <v>23</v>
      </c>
      <c r="H1342" t="s">
        <v>24</v>
      </c>
      <c r="I1342" t="s">
        <v>25</v>
      </c>
      <c r="J1342" s="2">
        <v>45687</v>
      </c>
      <c r="K1342" t="s">
        <v>25</v>
      </c>
      <c r="L1342">
        <v>44451</v>
      </c>
      <c r="M1342">
        <v>264</v>
      </c>
      <c r="N1342">
        <v>314</v>
      </c>
      <c r="O1342" s="4">
        <v>2900</v>
      </c>
      <c r="P1342" s="4">
        <v>3052.407470703125</v>
      </c>
      <c r="Q1342" s="5">
        <f t="shared" si="80"/>
        <v>5.2554300242456886E-2</v>
      </c>
      <c r="R1342" s="4">
        <v>3398.8052159859408</v>
      </c>
      <c r="S1342" s="5">
        <f t="shared" si="81"/>
        <v>0.17200179861584175</v>
      </c>
      <c r="T1342" s="4">
        <v>5594.7238215191646</v>
      </c>
      <c r="U1342" s="5">
        <f t="shared" si="82"/>
        <v>0.92921511086867747</v>
      </c>
      <c r="V1342" s="4">
        <v>2921.544677734375</v>
      </c>
      <c r="W1342" s="5">
        <f t="shared" si="83"/>
        <v>7.4291992187500711E-3</v>
      </c>
    </row>
    <row r="1343" spans="1:23" x14ac:dyDescent="0.25">
      <c r="A1343" t="s">
        <v>1770</v>
      </c>
      <c r="B1343">
        <v>2017</v>
      </c>
      <c r="C1343" t="s">
        <v>32</v>
      </c>
      <c r="D1343" t="s">
        <v>210</v>
      </c>
      <c r="E1343">
        <v>103890</v>
      </c>
      <c r="F1343" t="s">
        <v>115</v>
      </c>
      <c r="G1343" t="s">
        <v>38</v>
      </c>
      <c r="H1343" t="s">
        <v>25</v>
      </c>
      <c r="I1343" t="s">
        <v>24</v>
      </c>
      <c r="J1343" s="2">
        <v>45344</v>
      </c>
      <c r="K1343" t="s">
        <v>25</v>
      </c>
      <c r="L1343">
        <v>44451</v>
      </c>
      <c r="M1343">
        <v>264</v>
      </c>
      <c r="N1343">
        <v>314</v>
      </c>
      <c r="O1343" s="4">
        <v>15900</v>
      </c>
      <c r="P1343" s="4">
        <v>6170.9150390625</v>
      </c>
      <c r="Q1343" s="5">
        <f t="shared" si="80"/>
        <v>-0.61189213590801894</v>
      </c>
      <c r="R1343" s="4">
        <v>6054.6129616870621</v>
      </c>
      <c r="S1343" s="5">
        <f t="shared" si="81"/>
        <v>-0.61920673196936715</v>
      </c>
      <c r="T1343" s="4">
        <v>9816.2240318703953</v>
      </c>
      <c r="U1343" s="5">
        <f t="shared" si="82"/>
        <v>-0.3826274193792204</v>
      </c>
      <c r="V1343" s="4">
        <v>6124.21875</v>
      </c>
      <c r="W1343" s="5">
        <f t="shared" si="83"/>
        <v>-0.61482900943396224</v>
      </c>
    </row>
    <row r="1344" spans="1:23" x14ac:dyDescent="0.25">
      <c r="A1344" t="s">
        <v>1771</v>
      </c>
      <c r="B1344">
        <v>2016</v>
      </c>
      <c r="C1344" t="s">
        <v>32</v>
      </c>
      <c r="D1344" t="s">
        <v>320</v>
      </c>
      <c r="E1344">
        <v>139325</v>
      </c>
      <c r="F1344" t="s">
        <v>334</v>
      </c>
      <c r="G1344" t="s">
        <v>30</v>
      </c>
      <c r="H1344" t="s">
        <v>24</v>
      </c>
      <c r="I1344" t="s">
        <v>25</v>
      </c>
      <c r="J1344" s="2">
        <v>45645</v>
      </c>
      <c r="K1344" t="s">
        <v>25</v>
      </c>
      <c r="L1344">
        <v>44451</v>
      </c>
      <c r="M1344">
        <v>264</v>
      </c>
      <c r="N1344">
        <v>314</v>
      </c>
      <c r="O1344" s="4">
        <v>2100</v>
      </c>
      <c r="P1344" s="4">
        <v>3393.51611328125</v>
      </c>
      <c r="Q1344" s="5">
        <f t="shared" si="80"/>
        <v>0.61596005394345243</v>
      </c>
      <c r="R1344" s="4">
        <v>4184.6023986458267</v>
      </c>
      <c r="S1344" s="5">
        <f t="shared" si="81"/>
        <v>0.99266780887896511</v>
      </c>
      <c r="T1344" s="4">
        <v>6293.5581446993328</v>
      </c>
      <c r="U1344" s="5">
        <f t="shared" si="82"/>
        <v>1.9969324498568253</v>
      </c>
      <c r="V1344" s="4">
        <v>3069.26806640625</v>
      </c>
      <c r="W1344" s="5">
        <f t="shared" si="83"/>
        <v>0.46155622209821434</v>
      </c>
    </row>
    <row r="1345" spans="1:23" x14ac:dyDescent="0.25">
      <c r="A1345" t="s">
        <v>1772</v>
      </c>
      <c r="B1345">
        <v>2016</v>
      </c>
      <c r="C1345" t="s">
        <v>46</v>
      </c>
      <c r="D1345" t="s">
        <v>47</v>
      </c>
      <c r="E1345">
        <v>201228</v>
      </c>
      <c r="F1345" t="s">
        <v>72</v>
      </c>
      <c r="G1345" t="s">
        <v>30</v>
      </c>
      <c r="H1345" t="s">
        <v>24</v>
      </c>
      <c r="I1345" t="s">
        <v>25</v>
      </c>
      <c r="J1345" s="2">
        <v>45510</v>
      </c>
      <c r="K1345" t="s">
        <v>25</v>
      </c>
      <c r="L1345">
        <v>44451</v>
      </c>
      <c r="M1345">
        <v>264</v>
      </c>
      <c r="N1345">
        <v>314</v>
      </c>
      <c r="O1345" s="4">
        <v>11200</v>
      </c>
      <c r="P1345" s="4">
        <v>4797.63134765625</v>
      </c>
      <c r="Q1345" s="5">
        <f t="shared" si="80"/>
        <v>-0.57164005824497766</v>
      </c>
      <c r="R1345" s="4">
        <v>6366.9435579634719</v>
      </c>
      <c r="S1345" s="5">
        <f t="shared" si="81"/>
        <v>-0.43152289661040433</v>
      </c>
      <c r="T1345" s="4">
        <v>5059.7973678326634</v>
      </c>
      <c r="U1345" s="5">
        <f t="shared" si="82"/>
        <v>-0.54823237787208368</v>
      </c>
      <c r="V1345" s="4">
        <v>4365.77734375</v>
      </c>
      <c r="W1345" s="5">
        <f t="shared" si="83"/>
        <v>-0.61019845145089291</v>
      </c>
    </row>
    <row r="1346" spans="1:23" x14ac:dyDescent="0.25">
      <c r="A1346" t="s">
        <v>1773</v>
      </c>
      <c r="B1346">
        <v>2013</v>
      </c>
      <c r="C1346" t="s">
        <v>32</v>
      </c>
      <c r="D1346" t="s">
        <v>1774</v>
      </c>
      <c r="E1346">
        <v>196278</v>
      </c>
      <c r="F1346" t="s">
        <v>77</v>
      </c>
      <c r="G1346" t="s">
        <v>30</v>
      </c>
      <c r="H1346" t="s">
        <v>24</v>
      </c>
      <c r="I1346" t="s">
        <v>25</v>
      </c>
      <c r="J1346" s="2">
        <v>45680</v>
      </c>
      <c r="K1346" t="s">
        <v>25</v>
      </c>
      <c r="L1346">
        <v>44451</v>
      </c>
      <c r="M1346">
        <v>264</v>
      </c>
      <c r="N1346">
        <v>314</v>
      </c>
      <c r="O1346" s="4">
        <v>1500</v>
      </c>
      <c r="P1346" s="4">
        <v>2238.08740234375</v>
      </c>
      <c r="Q1346" s="5">
        <f t="shared" si="80"/>
        <v>0.49205826822916676</v>
      </c>
      <c r="R1346" s="4">
        <v>3010.928776780454</v>
      </c>
      <c r="S1346" s="5">
        <f t="shared" si="81"/>
        <v>1.0072858511869693</v>
      </c>
      <c r="T1346" s="4">
        <v>3998.2906015834128</v>
      </c>
      <c r="U1346" s="5">
        <f t="shared" si="82"/>
        <v>1.6655270677222753</v>
      </c>
      <c r="V1346" s="4">
        <v>2143.72265625</v>
      </c>
      <c r="W1346" s="5">
        <f t="shared" si="83"/>
        <v>0.42914843750000009</v>
      </c>
    </row>
    <row r="1347" spans="1:23" x14ac:dyDescent="0.25">
      <c r="A1347" t="s">
        <v>1775</v>
      </c>
      <c r="B1347">
        <v>2016</v>
      </c>
      <c r="C1347" t="s">
        <v>50</v>
      </c>
      <c r="D1347">
        <v>1500</v>
      </c>
      <c r="E1347">
        <v>89376</v>
      </c>
      <c r="F1347" t="s">
        <v>151</v>
      </c>
      <c r="G1347" t="s">
        <v>44</v>
      </c>
      <c r="H1347" t="s">
        <v>25</v>
      </c>
      <c r="I1347" t="s">
        <v>24</v>
      </c>
      <c r="J1347" s="2">
        <v>45664</v>
      </c>
      <c r="K1347" t="s">
        <v>25</v>
      </c>
      <c r="L1347">
        <v>44451</v>
      </c>
      <c r="M1347">
        <v>264</v>
      </c>
      <c r="N1347">
        <v>314</v>
      </c>
      <c r="O1347" s="4">
        <v>24200</v>
      </c>
      <c r="P1347" s="4">
        <v>15046.60546875</v>
      </c>
      <c r="Q1347" s="5">
        <f t="shared" ref="Q1347:Q1410" si="84">(P1347/$O1347)-1</f>
        <v>-0.37823944344008265</v>
      </c>
      <c r="R1347" s="4">
        <v>14645.62696279286</v>
      </c>
      <c r="S1347" s="5">
        <f t="shared" ref="S1347:S1410" si="85">(R1347/$O1347)-1</f>
        <v>-0.3948088031903777</v>
      </c>
      <c r="T1347" s="4">
        <v>16792.587281563989</v>
      </c>
      <c r="U1347" s="5">
        <f t="shared" ref="U1347:U1410" si="86">(T1347/$O1347)-1</f>
        <v>-0.30609143464611621</v>
      </c>
      <c r="V1347" s="4">
        <v>15399.8876953125</v>
      </c>
      <c r="W1347" s="5">
        <f t="shared" ref="W1347:W1410" si="87">(V1347/$O1347)-1</f>
        <v>-0.36364100432592972</v>
      </c>
    </row>
    <row r="1348" spans="1:23" x14ac:dyDescent="0.25">
      <c r="A1348" t="s">
        <v>1776</v>
      </c>
      <c r="B1348">
        <v>2016</v>
      </c>
      <c r="C1348" t="s">
        <v>20</v>
      </c>
      <c r="D1348" t="s">
        <v>915</v>
      </c>
      <c r="E1348">
        <v>136577</v>
      </c>
      <c r="F1348" t="s">
        <v>246</v>
      </c>
      <c r="G1348" t="s">
        <v>34</v>
      </c>
      <c r="H1348" t="s">
        <v>25</v>
      </c>
      <c r="I1348" t="s">
        <v>24</v>
      </c>
      <c r="J1348" s="2">
        <v>45715</v>
      </c>
      <c r="K1348" t="s">
        <v>25</v>
      </c>
      <c r="L1348">
        <v>44451</v>
      </c>
      <c r="M1348">
        <v>264</v>
      </c>
      <c r="N1348">
        <v>314</v>
      </c>
      <c r="O1348" s="4">
        <v>500</v>
      </c>
      <c r="P1348" s="4">
        <v>3580.173828125</v>
      </c>
      <c r="Q1348" s="5">
        <f t="shared" si="84"/>
        <v>6.1603476562499999</v>
      </c>
      <c r="R1348" s="4">
        <v>4201.7843864265287</v>
      </c>
      <c r="S1348" s="5">
        <f t="shared" si="85"/>
        <v>7.4035687728530579</v>
      </c>
      <c r="T1348" s="4">
        <v>3842.0137131109409</v>
      </c>
      <c r="U1348" s="5">
        <f t="shared" si="86"/>
        <v>6.6840274262218822</v>
      </c>
      <c r="V1348" s="4">
        <v>3367.570068359375</v>
      </c>
      <c r="W1348" s="5">
        <f t="shared" si="87"/>
        <v>5.7351401367187496</v>
      </c>
    </row>
    <row r="1349" spans="1:23" x14ac:dyDescent="0.25">
      <c r="A1349" t="s">
        <v>1777</v>
      </c>
      <c r="B1349">
        <v>2015</v>
      </c>
      <c r="C1349" t="s">
        <v>20</v>
      </c>
      <c r="D1349" t="s">
        <v>81</v>
      </c>
      <c r="E1349">
        <v>58830</v>
      </c>
      <c r="F1349" t="s">
        <v>48</v>
      </c>
      <c r="G1349" t="s">
        <v>30</v>
      </c>
      <c r="H1349" t="s">
        <v>24</v>
      </c>
      <c r="I1349" t="s">
        <v>25</v>
      </c>
      <c r="J1349" s="2">
        <v>45496</v>
      </c>
      <c r="K1349" t="s">
        <v>25</v>
      </c>
      <c r="L1349">
        <v>44451</v>
      </c>
      <c r="M1349">
        <v>264</v>
      </c>
      <c r="N1349">
        <v>314</v>
      </c>
      <c r="O1349" s="4">
        <v>9800</v>
      </c>
      <c r="P1349" s="4">
        <v>7654.04296875</v>
      </c>
      <c r="Q1349" s="5">
        <f t="shared" si="84"/>
        <v>-0.2189752072704082</v>
      </c>
      <c r="R1349" s="4">
        <v>9899.4465554158523</v>
      </c>
      <c r="S1349" s="5">
        <f t="shared" si="85"/>
        <v>1.0147607695495164E-2</v>
      </c>
      <c r="T1349" s="4">
        <v>8483.5927511339032</v>
      </c>
      <c r="U1349" s="5">
        <f t="shared" si="86"/>
        <v>-0.13432727029245883</v>
      </c>
      <c r="V1349" s="4">
        <v>7153.392578125</v>
      </c>
      <c r="W1349" s="5">
        <f t="shared" si="87"/>
        <v>-0.27006198182397956</v>
      </c>
    </row>
    <row r="1350" spans="1:23" x14ac:dyDescent="0.25">
      <c r="A1350" t="s">
        <v>1778</v>
      </c>
      <c r="B1350">
        <v>2018</v>
      </c>
      <c r="C1350" t="s">
        <v>20</v>
      </c>
      <c r="D1350" t="s">
        <v>74</v>
      </c>
      <c r="E1350">
        <v>57905</v>
      </c>
      <c r="F1350" t="s">
        <v>151</v>
      </c>
      <c r="G1350" t="s">
        <v>38</v>
      </c>
      <c r="H1350" t="s">
        <v>25</v>
      </c>
      <c r="I1350" t="s">
        <v>24</v>
      </c>
      <c r="J1350" s="2">
        <v>45608</v>
      </c>
      <c r="K1350" t="s">
        <v>25</v>
      </c>
      <c r="L1350">
        <v>44451</v>
      </c>
      <c r="M1350">
        <v>264</v>
      </c>
      <c r="N1350">
        <v>314</v>
      </c>
      <c r="O1350" s="4">
        <v>10600</v>
      </c>
      <c r="P1350" s="4">
        <v>15888.0869140625</v>
      </c>
      <c r="Q1350" s="5">
        <f t="shared" si="84"/>
        <v>0.49887612396816028</v>
      </c>
      <c r="R1350" s="4">
        <v>15808.84755276627</v>
      </c>
      <c r="S1350" s="5">
        <f t="shared" si="85"/>
        <v>0.49140071252511985</v>
      </c>
      <c r="T1350" s="4">
        <v>9683.6334732375835</v>
      </c>
      <c r="U1350" s="5">
        <f t="shared" si="86"/>
        <v>-8.6449672336077032E-2</v>
      </c>
      <c r="V1350" s="4">
        <v>15810.8515625</v>
      </c>
      <c r="W1350" s="5">
        <f t="shared" si="87"/>
        <v>0.49158977004716986</v>
      </c>
    </row>
    <row r="1351" spans="1:23" x14ac:dyDescent="0.25">
      <c r="A1351" t="s">
        <v>1779</v>
      </c>
      <c r="B1351">
        <v>2017</v>
      </c>
      <c r="C1351" t="s">
        <v>20</v>
      </c>
      <c r="D1351" t="s">
        <v>74</v>
      </c>
      <c r="E1351">
        <v>102837</v>
      </c>
      <c r="F1351" t="s">
        <v>246</v>
      </c>
      <c r="G1351" t="s">
        <v>30</v>
      </c>
      <c r="H1351" t="s">
        <v>24</v>
      </c>
      <c r="I1351" t="s">
        <v>25</v>
      </c>
      <c r="J1351" s="2">
        <v>45706</v>
      </c>
      <c r="K1351" t="s">
        <v>25</v>
      </c>
      <c r="L1351">
        <v>44451</v>
      </c>
      <c r="M1351">
        <v>264</v>
      </c>
      <c r="N1351">
        <v>314</v>
      </c>
      <c r="O1351" s="4">
        <v>8200</v>
      </c>
      <c r="P1351" s="4">
        <v>5928.68115234375</v>
      </c>
      <c r="Q1351" s="5">
        <f t="shared" si="84"/>
        <v>-0.27699010337271346</v>
      </c>
      <c r="R1351" s="4">
        <v>5959.4177858601506</v>
      </c>
      <c r="S1351" s="5">
        <f t="shared" si="85"/>
        <v>-0.273241733431689</v>
      </c>
      <c r="T1351" s="4">
        <v>2921.547184394798</v>
      </c>
      <c r="U1351" s="5">
        <f t="shared" si="86"/>
        <v>-0.64371375800063446</v>
      </c>
      <c r="V1351" s="4">
        <v>5845.49658203125</v>
      </c>
      <c r="W1351" s="5">
        <f t="shared" si="87"/>
        <v>-0.28713456316692076</v>
      </c>
    </row>
    <row r="1352" spans="1:23" x14ac:dyDescent="0.25">
      <c r="A1352" t="s">
        <v>1780</v>
      </c>
      <c r="B1352">
        <v>2014</v>
      </c>
      <c r="C1352" t="s">
        <v>20</v>
      </c>
      <c r="D1352" t="s">
        <v>76</v>
      </c>
      <c r="E1352">
        <v>77344</v>
      </c>
      <c r="F1352" t="s">
        <v>37</v>
      </c>
      <c r="G1352" t="s">
        <v>38</v>
      </c>
      <c r="H1352" t="s">
        <v>25</v>
      </c>
      <c r="I1352" t="s">
        <v>24</v>
      </c>
      <c r="J1352" s="2">
        <v>45594</v>
      </c>
      <c r="K1352" t="s">
        <v>25</v>
      </c>
      <c r="L1352">
        <v>44451</v>
      </c>
      <c r="M1352">
        <v>264</v>
      </c>
      <c r="N1352">
        <v>314</v>
      </c>
      <c r="O1352" s="4">
        <v>500</v>
      </c>
      <c r="P1352" s="4">
        <v>5752.953125</v>
      </c>
      <c r="Q1352" s="5">
        <f t="shared" si="84"/>
        <v>10.505906250000001</v>
      </c>
      <c r="R1352" s="4">
        <v>7645.4220202752731</v>
      </c>
      <c r="S1352" s="5">
        <f t="shared" si="85"/>
        <v>14.290844040550546</v>
      </c>
      <c r="T1352" s="4">
        <v>4075.164925684699</v>
      </c>
      <c r="U1352" s="5">
        <f t="shared" si="86"/>
        <v>7.1503298513693974</v>
      </c>
      <c r="V1352" s="4">
        <v>5353.60888671875</v>
      </c>
      <c r="W1352" s="5">
        <f t="shared" si="87"/>
        <v>9.7072177734375007</v>
      </c>
    </row>
    <row r="1353" spans="1:23" x14ac:dyDescent="0.25">
      <c r="A1353" t="s">
        <v>1781</v>
      </c>
      <c r="B1353">
        <v>2014</v>
      </c>
      <c r="C1353" t="s">
        <v>20</v>
      </c>
      <c r="D1353" t="s">
        <v>76</v>
      </c>
      <c r="E1353">
        <v>108929</v>
      </c>
      <c r="F1353" t="s">
        <v>261</v>
      </c>
      <c r="G1353" t="s">
        <v>30</v>
      </c>
      <c r="H1353" t="s">
        <v>24</v>
      </c>
      <c r="I1353" t="s">
        <v>25</v>
      </c>
      <c r="J1353" s="2">
        <v>45566</v>
      </c>
      <c r="K1353" t="s">
        <v>25</v>
      </c>
      <c r="L1353">
        <v>44451</v>
      </c>
      <c r="M1353">
        <v>264</v>
      </c>
      <c r="N1353">
        <v>314</v>
      </c>
      <c r="O1353" s="4">
        <v>1100</v>
      </c>
      <c r="P1353" s="4">
        <v>3477.698486328125</v>
      </c>
      <c r="Q1353" s="5">
        <f t="shared" si="84"/>
        <v>2.1615440784801137</v>
      </c>
      <c r="R1353" s="4">
        <v>3770.1469743108082</v>
      </c>
      <c r="S1353" s="5">
        <f t="shared" si="85"/>
        <v>2.4274063402825528</v>
      </c>
      <c r="T1353" s="4">
        <v>1436.0446698197391</v>
      </c>
      <c r="U1353" s="5">
        <f t="shared" si="86"/>
        <v>0.30549515438158092</v>
      </c>
      <c r="V1353" s="4">
        <v>3334.899169921875</v>
      </c>
      <c r="W1353" s="5">
        <f t="shared" si="87"/>
        <v>2.0317265181107955</v>
      </c>
    </row>
    <row r="1354" spans="1:23" x14ac:dyDescent="0.25">
      <c r="A1354" t="s">
        <v>1782</v>
      </c>
      <c r="B1354">
        <v>2020</v>
      </c>
      <c r="C1354" t="s">
        <v>20</v>
      </c>
      <c r="D1354" t="s">
        <v>76</v>
      </c>
      <c r="E1354">
        <v>79713</v>
      </c>
      <c r="F1354" t="s">
        <v>48</v>
      </c>
      <c r="G1354" t="s">
        <v>38</v>
      </c>
      <c r="H1354" t="s">
        <v>25</v>
      </c>
      <c r="I1354" t="s">
        <v>24</v>
      </c>
      <c r="J1354" s="2">
        <v>45482</v>
      </c>
      <c r="K1354" t="s">
        <v>25</v>
      </c>
      <c r="L1354">
        <v>44451</v>
      </c>
      <c r="M1354">
        <v>264</v>
      </c>
      <c r="N1354">
        <v>314</v>
      </c>
      <c r="O1354" s="4">
        <v>15300</v>
      </c>
      <c r="P1354" s="4">
        <v>10355.5234375</v>
      </c>
      <c r="Q1354" s="5">
        <f t="shared" si="84"/>
        <v>-0.32316840277777781</v>
      </c>
      <c r="R1354" s="4">
        <v>15797.01349621985</v>
      </c>
      <c r="S1354" s="5">
        <f t="shared" si="85"/>
        <v>3.2484542236591585E-2</v>
      </c>
      <c r="T1354" s="4">
        <v>6595.5049429939354</v>
      </c>
      <c r="U1354" s="5">
        <f t="shared" si="86"/>
        <v>-0.56892124555595192</v>
      </c>
      <c r="V1354" s="4">
        <v>9760.5439453125</v>
      </c>
      <c r="W1354" s="5">
        <f t="shared" si="87"/>
        <v>-0.36205595128676471</v>
      </c>
    </row>
    <row r="1355" spans="1:23" x14ac:dyDescent="0.25">
      <c r="A1355" t="s">
        <v>1783</v>
      </c>
      <c r="B1355">
        <v>2015</v>
      </c>
      <c r="C1355" t="s">
        <v>20</v>
      </c>
      <c r="D1355" t="s">
        <v>74</v>
      </c>
      <c r="E1355">
        <v>89479</v>
      </c>
      <c r="F1355" t="s">
        <v>89</v>
      </c>
      <c r="G1355" t="s">
        <v>23</v>
      </c>
      <c r="H1355" t="s">
        <v>24</v>
      </c>
      <c r="I1355" t="s">
        <v>25</v>
      </c>
      <c r="J1355" s="2">
        <v>45300</v>
      </c>
      <c r="K1355" t="s">
        <v>25</v>
      </c>
      <c r="L1355">
        <v>44451</v>
      </c>
      <c r="M1355">
        <v>264</v>
      </c>
      <c r="N1355">
        <v>314</v>
      </c>
      <c r="O1355" s="4">
        <v>3200</v>
      </c>
      <c r="P1355" s="4">
        <v>5888.81787109375</v>
      </c>
      <c r="Q1355" s="5">
        <f t="shared" si="84"/>
        <v>0.84025558471679695</v>
      </c>
      <c r="R1355" s="4">
        <v>5895.9480696842838</v>
      </c>
      <c r="S1355" s="5">
        <f t="shared" si="85"/>
        <v>0.84248377177633871</v>
      </c>
      <c r="T1355" s="4">
        <v>2913.3080888923269</v>
      </c>
      <c r="U1355" s="5">
        <f t="shared" si="86"/>
        <v>-8.9591222221147904E-2</v>
      </c>
      <c r="V1355" s="4">
        <v>5838.05322265625</v>
      </c>
      <c r="W1355" s="5">
        <f t="shared" si="87"/>
        <v>0.82439163208007815</v>
      </c>
    </row>
    <row r="1356" spans="1:23" x14ac:dyDescent="0.25">
      <c r="A1356" t="s">
        <v>1784</v>
      </c>
      <c r="B1356">
        <v>2016</v>
      </c>
      <c r="C1356" t="s">
        <v>20</v>
      </c>
      <c r="D1356" t="s">
        <v>218</v>
      </c>
      <c r="E1356">
        <v>92337</v>
      </c>
      <c r="F1356" t="s">
        <v>219</v>
      </c>
      <c r="G1356" t="s">
        <v>38</v>
      </c>
      <c r="H1356" t="s">
        <v>25</v>
      </c>
      <c r="I1356" t="s">
        <v>24</v>
      </c>
      <c r="J1356" s="2">
        <v>45370</v>
      </c>
      <c r="K1356" t="s">
        <v>25</v>
      </c>
      <c r="L1356">
        <v>44451</v>
      </c>
      <c r="M1356">
        <v>264</v>
      </c>
      <c r="N1356">
        <v>314</v>
      </c>
      <c r="O1356" s="4">
        <v>7650</v>
      </c>
      <c r="P1356" s="4">
        <v>8942.3212890625</v>
      </c>
      <c r="Q1356" s="5">
        <f t="shared" si="84"/>
        <v>0.16893088745915041</v>
      </c>
      <c r="R1356" s="4">
        <v>8729.806778259539</v>
      </c>
      <c r="S1356" s="5">
        <f t="shared" si="85"/>
        <v>0.14115121284438414</v>
      </c>
      <c r="T1356" s="4">
        <v>3591.4346334316901</v>
      </c>
      <c r="U1356" s="5">
        <f t="shared" si="86"/>
        <v>-0.53053142046644575</v>
      </c>
      <c r="V1356" s="4">
        <v>8982.3046875</v>
      </c>
      <c r="W1356" s="5">
        <f t="shared" si="87"/>
        <v>0.174157475490196</v>
      </c>
    </row>
    <row r="1357" spans="1:23" x14ac:dyDescent="0.25">
      <c r="A1357" t="s">
        <v>1785</v>
      </c>
      <c r="B1357">
        <v>2012</v>
      </c>
      <c r="C1357" t="s">
        <v>20</v>
      </c>
      <c r="D1357" t="s">
        <v>74</v>
      </c>
      <c r="E1357">
        <v>82347</v>
      </c>
      <c r="F1357" t="s">
        <v>115</v>
      </c>
      <c r="G1357" t="s">
        <v>23</v>
      </c>
      <c r="H1357" t="s">
        <v>24</v>
      </c>
      <c r="I1357" t="s">
        <v>25</v>
      </c>
      <c r="J1357" s="2">
        <v>45664</v>
      </c>
      <c r="K1357" t="s">
        <v>25</v>
      </c>
      <c r="L1357">
        <v>44451</v>
      </c>
      <c r="M1357">
        <v>264</v>
      </c>
      <c r="N1357">
        <v>314</v>
      </c>
      <c r="O1357" s="4">
        <v>900</v>
      </c>
      <c r="P1357" s="4">
        <v>4404.72998046875</v>
      </c>
      <c r="Q1357" s="5">
        <f t="shared" si="84"/>
        <v>3.8941444227430555</v>
      </c>
      <c r="R1357" s="4">
        <v>4371.8835330157153</v>
      </c>
      <c r="S1357" s="5">
        <f t="shared" si="85"/>
        <v>3.8576483700174613</v>
      </c>
      <c r="T1357" s="4">
        <v>2474.6059339837961</v>
      </c>
      <c r="U1357" s="5">
        <f t="shared" si="86"/>
        <v>1.7495621488708846</v>
      </c>
      <c r="V1357" s="4">
        <v>4430.8681640625</v>
      </c>
      <c r="W1357" s="5">
        <f t="shared" si="87"/>
        <v>3.9231868489583333</v>
      </c>
    </row>
    <row r="1358" spans="1:23" x14ac:dyDescent="0.25">
      <c r="A1358" t="s">
        <v>1786</v>
      </c>
      <c r="B1358">
        <v>2015</v>
      </c>
      <c r="C1358" t="s">
        <v>91</v>
      </c>
      <c r="D1358" t="s">
        <v>816</v>
      </c>
      <c r="E1358">
        <v>115896</v>
      </c>
      <c r="F1358" t="s">
        <v>63</v>
      </c>
      <c r="G1358" t="s">
        <v>44</v>
      </c>
      <c r="H1358" t="s">
        <v>25</v>
      </c>
      <c r="I1358" t="s">
        <v>24</v>
      </c>
      <c r="J1358" s="2">
        <v>45664</v>
      </c>
      <c r="K1358" t="s">
        <v>25</v>
      </c>
      <c r="L1358">
        <v>44451</v>
      </c>
      <c r="M1358">
        <v>264</v>
      </c>
      <c r="N1358">
        <v>314</v>
      </c>
      <c r="O1358" s="4">
        <v>12200</v>
      </c>
      <c r="P1358" s="4">
        <v>6425.21923828125</v>
      </c>
      <c r="Q1358" s="5">
        <f t="shared" si="84"/>
        <v>-0.47334268538678281</v>
      </c>
      <c r="R1358" s="4">
        <v>7609.7735596263956</v>
      </c>
      <c r="S1358" s="5">
        <f t="shared" si="85"/>
        <v>-0.37624806888308238</v>
      </c>
      <c r="T1358" s="4">
        <v>6801.0965715198736</v>
      </c>
      <c r="U1358" s="5">
        <f t="shared" si="86"/>
        <v>-0.44253306790820712</v>
      </c>
      <c r="V1358" s="4">
        <v>5908.92724609375</v>
      </c>
      <c r="W1358" s="5">
        <f t="shared" si="87"/>
        <v>-0.51566170113985654</v>
      </c>
    </row>
    <row r="1359" spans="1:23" x14ac:dyDescent="0.25">
      <c r="A1359" t="s">
        <v>1787</v>
      </c>
      <c r="B1359">
        <v>2015</v>
      </c>
      <c r="C1359" t="s">
        <v>91</v>
      </c>
      <c r="D1359" t="s">
        <v>816</v>
      </c>
      <c r="E1359">
        <v>63598</v>
      </c>
      <c r="F1359" t="s">
        <v>250</v>
      </c>
      <c r="G1359" t="s">
        <v>34</v>
      </c>
      <c r="H1359" t="s">
        <v>25</v>
      </c>
      <c r="I1359" t="s">
        <v>24</v>
      </c>
      <c r="J1359" s="2">
        <v>45342</v>
      </c>
      <c r="K1359" t="s">
        <v>25</v>
      </c>
      <c r="L1359">
        <v>44451</v>
      </c>
      <c r="M1359">
        <v>264</v>
      </c>
      <c r="N1359">
        <v>314</v>
      </c>
      <c r="O1359" s="4">
        <v>7300</v>
      </c>
      <c r="P1359" s="4">
        <v>9124.5048828125</v>
      </c>
      <c r="Q1359" s="5">
        <f t="shared" si="84"/>
        <v>0.24993217572773974</v>
      </c>
      <c r="R1359" s="4">
        <v>9929.4176940636826</v>
      </c>
      <c r="S1359" s="5">
        <f t="shared" si="85"/>
        <v>0.36019420466625784</v>
      </c>
      <c r="T1359" s="4">
        <v>10246.68515724932</v>
      </c>
      <c r="U1359" s="5">
        <f t="shared" si="86"/>
        <v>0.40365550099305758</v>
      </c>
      <c r="V1359" s="4">
        <v>8908.2392578125</v>
      </c>
      <c r="W1359" s="5">
        <f t="shared" si="87"/>
        <v>0.22030674764554803</v>
      </c>
    </row>
    <row r="1360" spans="1:23" x14ac:dyDescent="0.25">
      <c r="A1360" t="s">
        <v>1788</v>
      </c>
      <c r="B1360">
        <v>2015</v>
      </c>
      <c r="C1360" t="s">
        <v>94</v>
      </c>
      <c r="D1360" t="s">
        <v>223</v>
      </c>
      <c r="E1360">
        <v>82759</v>
      </c>
      <c r="F1360" t="s">
        <v>89</v>
      </c>
      <c r="G1360" t="s">
        <v>23</v>
      </c>
      <c r="H1360" t="s">
        <v>24</v>
      </c>
      <c r="I1360" t="s">
        <v>25</v>
      </c>
      <c r="J1360" s="2">
        <v>45734</v>
      </c>
      <c r="K1360" t="s">
        <v>25</v>
      </c>
      <c r="L1360">
        <v>44451</v>
      </c>
      <c r="M1360">
        <v>264</v>
      </c>
      <c r="N1360">
        <v>314</v>
      </c>
      <c r="O1360" s="4">
        <v>1900</v>
      </c>
      <c r="P1360" s="4">
        <v>6655.84814453125</v>
      </c>
      <c r="Q1360" s="5">
        <f t="shared" si="84"/>
        <v>2.5030779708059212</v>
      </c>
      <c r="R1360" s="4">
        <v>6664.0655439410948</v>
      </c>
      <c r="S1360" s="5">
        <f t="shared" si="85"/>
        <v>2.5074029178637343</v>
      </c>
      <c r="T1360" s="4">
        <v>5637.727743213296</v>
      </c>
      <c r="U1360" s="5">
        <f t="shared" si="86"/>
        <v>1.9672251280069979</v>
      </c>
      <c r="V1360" s="4">
        <v>6665.5654296875</v>
      </c>
      <c r="W1360" s="5">
        <f t="shared" si="87"/>
        <v>2.5081923314144738</v>
      </c>
    </row>
    <row r="1361" spans="1:23" x14ac:dyDescent="0.25">
      <c r="A1361" t="s">
        <v>1789</v>
      </c>
      <c r="B1361">
        <v>2014</v>
      </c>
      <c r="C1361" t="s">
        <v>20</v>
      </c>
      <c r="D1361" t="s">
        <v>1790</v>
      </c>
      <c r="E1361">
        <v>189139</v>
      </c>
      <c r="F1361" t="s">
        <v>55</v>
      </c>
      <c r="G1361" t="s">
        <v>30</v>
      </c>
      <c r="H1361" t="s">
        <v>24</v>
      </c>
      <c r="I1361" t="s">
        <v>25</v>
      </c>
      <c r="J1361" s="2">
        <v>45421</v>
      </c>
      <c r="K1361" t="s">
        <v>25</v>
      </c>
      <c r="L1361">
        <v>44451</v>
      </c>
      <c r="M1361">
        <v>264</v>
      </c>
      <c r="N1361">
        <v>314</v>
      </c>
      <c r="O1361" s="4">
        <v>18800</v>
      </c>
      <c r="P1361" s="4">
        <v>2212.153564453125</v>
      </c>
      <c r="Q1361" s="5">
        <f t="shared" si="84"/>
        <v>-0.88233225720994013</v>
      </c>
      <c r="R1361" s="4">
        <v>2602.2065077706338</v>
      </c>
      <c r="S1361" s="5">
        <f t="shared" si="85"/>
        <v>-0.86158476022496622</v>
      </c>
      <c r="T1361" s="4">
        <v>3288.401256690322</v>
      </c>
      <c r="U1361" s="5">
        <f t="shared" si="86"/>
        <v>-0.82508503953774881</v>
      </c>
      <c r="V1361" s="4">
        <v>2178.446533203125</v>
      </c>
      <c r="W1361" s="5">
        <f t="shared" si="87"/>
        <v>-0.88412518440408905</v>
      </c>
    </row>
    <row r="1362" spans="1:23" x14ac:dyDescent="0.25">
      <c r="A1362" t="s">
        <v>1791</v>
      </c>
      <c r="B1362">
        <v>2010</v>
      </c>
      <c r="C1362" t="s">
        <v>32</v>
      </c>
      <c r="D1362" t="s">
        <v>1792</v>
      </c>
      <c r="E1362">
        <v>77048</v>
      </c>
      <c r="F1362" t="s">
        <v>79</v>
      </c>
      <c r="G1362" t="s">
        <v>34</v>
      </c>
      <c r="H1362" t="s">
        <v>25</v>
      </c>
      <c r="I1362" t="s">
        <v>24</v>
      </c>
      <c r="J1362" s="2">
        <v>45594</v>
      </c>
      <c r="K1362" t="s">
        <v>25</v>
      </c>
      <c r="L1362">
        <v>44451</v>
      </c>
      <c r="M1362">
        <v>264</v>
      </c>
      <c r="N1362">
        <v>314</v>
      </c>
      <c r="O1362" s="4">
        <v>4000</v>
      </c>
      <c r="P1362" s="4">
        <v>4541.0341796875</v>
      </c>
      <c r="Q1362" s="5">
        <f t="shared" si="84"/>
        <v>0.13525854492187506</v>
      </c>
      <c r="R1362" s="4">
        <v>3991.465950366668</v>
      </c>
      <c r="S1362" s="5">
        <f t="shared" si="85"/>
        <v>-2.1335124083330381E-3</v>
      </c>
      <c r="T1362" s="4">
        <v>8728.0556905763297</v>
      </c>
      <c r="U1362" s="5">
        <f t="shared" si="86"/>
        <v>1.1820139226440824</v>
      </c>
      <c r="V1362" s="4">
        <v>4511.51025390625</v>
      </c>
      <c r="W1362" s="5">
        <f t="shared" si="87"/>
        <v>0.12787756347656254</v>
      </c>
    </row>
    <row r="1363" spans="1:23" x14ac:dyDescent="0.25">
      <c r="A1363" t="s">
        <v>1793</v>
      </c>
      <c r="B1363">
        <v>2012</v>
      </c>
      <c r="C1363" t="s">
        <v>185</v>
      </c>
      <c r="D1363" t="s">
        <v>825</v>
      </c>
      <c r="E1363">
        <v>153858</v>
      </c>
      <c r="F1363" t="s">
        <v>22</v>
      </c>
      <c r="G1363" t="s">
        <v>23</v>
      </c>
      <c r="H1363" t="s">
        <v>24</v>
      </c>
      <c r="I1363" t="s">
        <v>25</v>
      </c>
      <c r="J1363" s="2">
        <v>45302</v>
      </c>
      <c r="K1363" t="s">
        <v>25</v>
      </c>
      <c r="L1363">
        <v>44451</v>
      </c>
      <c r="M1363">
        <v>264</v>
      </c>
      <c r="N1363">
        <v>314</v>
      </c>
      <c r="O1363" s="4">
        <v>5600</v>
      </c>
      <c r="P1363" s="4">
        <v>1425.674926757812</v>
      </c>
      <c r="Q1363" s="5">
        <f t="shared" si="84"/>
        <v>-0.74541519165039072</v>
      </c>
      <c r="R1363" s="4">
        <v>1227.003451820596</v>
      </c>
      <c r="S1363" s="5">
        <f t="shared" si="85"/>
        <v>-0.78089224074632213</v>
      </c>
      <c r="T1363" s="4">
        <v>2095.307093128496</v>
      </c>
      <c r="U1363" s="5">
        <f t="shared" si="86"/>
        <v>-0.62583801908419712</v>
      </c>
      <c r="V1363" s="4">
        <v>1375.471069335938</v>
      </c>
      <c r="W1363" s="5">
        <f t="shared" si="87"/>
        <v>-0.75438016619001114</v>
      </c>
    </row>
    <row r="1364" spans="1:23" x14ac:dyDescent="0.25">
      <c r="A1364" t="s">
        <v>1794</v>
      </c>
      <c r="B1364">
        <v>2014</v>
      </c>
      <c r="C1364" t="s">
        <v>185</v>
      </c>
      <c r="D1364" t="s">
        <v>536</v>
      </c>
      <c r="E1364">
        <v>176170</v>
      </c>
      <c r="F1364" t="s">
        <v>219</v>
      </c>
      <c r="G1364" t="s">
        <v>30</v>
      </c>
      <c r="H1364" t="s">
        <v>24</v>
      </c>
      <c r="I1364" t="s">
        <v>25</v>
      </c>
      <c r="J1364" s="2">
        <v>45589</v>
      </c>
      <c r="K1364" t="s">
        <v>25</v>
      </c>
      <c r="L1364">
        <v>44451</v>
      </c>
      <c r="M1364">
        <v>264</v>
      </c>
      <c r="N1364">
        <v>314</v>
      </c>
      <c r="O1364" s="4">
        <v>9500</v>
      </c>
      <c r="P1364" s="4">
        <v>1976.37548828125</v>
      </c>
      <c r="Q1364" s="5">
        <f t="shared" si="84"/>
        <v>-0.79196047491776311</v>
      </c>
      <c r="R1364" s="4">
        <v>2175.3848291996951</v>
      </c>
      <c r="S1364" s="5">
        <f t="shared" si="85"/>
        <v>-0.77101212324213741</v>
      </c>
      <c r="T1364" s="4">
        <v>2895.769942935322</v>
      </c>
      <c r="U1364" s="5">
        <f t="shared" si="86"/>
        <v>-0.6951821112699661</v>
      </c>
      <c r="V1364" s="4">
        <v>1947.177490234375</v>
      </c>
      <c r="W1364" s="5">
        <f t="shared" si="87"/>
        <v>-0.79503394839638153</v>
      </c>
    </row>
    <row r="1365" spans="1:23" x14ac:dyDescent="0.25">
      <c r="A1365" t="s">
        <v>1795</v>
      </c>
      <c r="B1365">
        <v>2018</v>
      </c>
      <c r="C1365" t="s">
        <v>185</v>
      </c>
      <c r="D1365" t="s">
        <v>536</v>
      </c>
      <c r="E1365">
        <v>120493</v>
      </c>
      <c r="F1365" t="s">
        <v>37</v>
      </c>
      <c r="G1365" t="s">
        <v>30</v>
      </c>
      <c r="H1365" t="s">
        <v>24</v>
      </c>
      <c r="I1365" t="s">
        <v>25</v>
      </c>
      <c r="J1365" s="2">
        <v>45561</v>
      </c>
      <c r="K1365" t="s">
        <v>25</v>
      </c>
      <c r="L1365">
        <v>44451</v>
      </c>
      <c r="M1365">
        <v>264</v>
      </c>
      <c r="N1365">
        <v>314</v>
      </c>
      <c r="O1365" s="4">
        <v>11500</v>
      </c>
      <c r="P1365" s="4">
        <v>4508.00732421875</v>
      </c>
      <c r="Q1365" s="5">
        <f t="shared" si="84"/>
        <v>-0.60799936311141312</v>
      </c>
      <c r="R1365" s="4">
        <v>6325.1781328056923</v>
      </c>
      <c r="S1365" s="5">
        <f t="shared" si="85"/>
        <v>-0.44998451019080932</v>
      </c>
      <c r="T1365" s="4">
        <v>7160.1420138081121</v>
      </c>
      <c r="U1365" s="5">
        <f t="shared" si="86"/>
        <v>-0.37737895532103372</v>
      </c>
      <c r="V1365" s="4">
        <v>4068.48486328125</v>
      </c>
      <c r="W1365" s="5">
        <f t="shared" si="87"/>
        <v>-0.64621870754076083</v>
      </c>
    </row>
    <row r="1366" spans="1:23" x14ac:dyDescent="0.25">
      <c r="A1366" t="s">
        <v>1796</v>
      </c>
      <c r="B1366">
        <v>2016</v>
      </c>
      <c r="C1366" t="s">
        <v>185</v>
      </c>
      <c r="D1366" t="s">
        <v>536</v>
      </c>
      <c r="E1366">
        <v>141477</v>
      </c>
      <c r="F1366" t="s">
        <v>79</v>
      </c>
      <c r="G1366" t="s">
        <v>30</v>
      </c>
      <c r="H1366" t="s">
        <v>24</v>
      </c>
      <c r="I1366" t="s">
        <v>25</v>
      </c>
      <c r="J1366" s="2">
        <v>45631</v>
      </c>
      <c r="K1366" t="s">
        <v>25</v>
      </c>
      <c r="L1366">
        <v>44451</v>
      </c>
      <c r="M1366">
        <v>264</v>
      </c>
      <c r="N1366">
        <v>314</v>
      </c>
      <c r="O1366" s="4">
        <v>10100</v>
      </c>
      <c r="P1366" s="4">
        <v>2280.72216796875</v>
      </c>
      <c r="Q1366" s="5">
        <f t="shared" si="84"/>
        <v>-0.77418592396349006</v>
      </c>
      <c r="R1366" s="4">
        <v>2576.5107538065622</v>
      </c>
      <c r="S1366" s="5">
        <f t="shared" si="85"/>
        <v>-0.74489992536568694</v>
      </c>
      <c r="T1366" s="4">
        <v>3810.7931079331711</v>
      </c>
      <c r="U1366" s="5">
        <f t="shared" si="86"/>
        <v>-0.62269375168978502</v>
      </c>
      <c r="V1366" s="4">
        <v>2232.905517578125</v>
      </c>
      <c r="W1366" s="5">
        <f t="shared" si="87"/>
        <v>-0.77892024578434405</v>
      </c>
    </row>
    <row r="1367" spans="1:23" x14ac:dyDescent="0.25">
      <c r="A1367" t="s">
        <v>1797</v>
      </c>
      <c r="B1367">
        <v>2020</v>
      </c>
      <c r="C1367" t="s">
        <v>185</v>
      </c>
      <c r="D1367" t="s">
        <v>1798</v>
      </c>
      <c r="E1367">
        <v>101449</v>
      </c>
      <c r="F1367" t="s">
        <v>72</v>
      </c>
      <c r="G1367" t="s">
        <v>34</v>
      </c>
      <c r="H1367" t="s">
        <v>25</v>
      </c>
      <c r="I1367" t="s">
        <v>24</v>
      </c>
      <c r="J1367" s="2">
        <v>45596</v>
      </c>
      <c r="K1367" t="s">
        <v>25</v>
      </c>
      <c r="L1367">
        <v>44451</v>
      </c>
      <c r="M1367">
        <v>264</v>
      </c>
      <c r="N1367">
        <v>314</v>
      </c>
      <c r="O1367" s="4">
        <v>9200</v>
      </c>
      <c r="P1367" s="4">
        <v>8593.6572265625</v>
      </c>
      <c r="Q1367" s="5">
        <f t="shared" si="84"/>
        <v>-6.5906823199728293E-2</v>
      </c>
      <c r="R1367" s="4">
        <v>10513.002870879511</v>
      </c>
      <c r="S1367" s="5">
        <f t="shared" si="85"/>
        <v>0.14271770335646861</v>
      </c>
      <c r="T1367" s="4">
        <v>12149.00396287052</v>
      </c>
      <c r="U1367" s="5">
        <f t="shared" si="86"/>
        <v>0.32054390900766516</v>
      </c>
      <c r="V1367" s="4">
        <v>7834.89501953125</v>
      </c>
      <c r="W1367" s="5">
        <f t="shared" si="87"/>
        <v>-0.14838097613790757</v>
      </c>
    </row>
    <row r="1368" spans="1:23" x14ac:dyDescent="0.25">
      <c r="A1368" t="s">
        <v>1799</v>
      </c>
      <c r="B1368">
        <v>2015</v>
      </c>
      <c r="C1368" t="s">
        <v>266</v>
      </c>
      <c r="D1368" t="s">
        <v>755</v>
      </c>
      <c r="E1368">
        <v>101872</v>
      </c>
      <c r="F1368" t="s">
        <v>79</v>
      </c>
      <c r="G1368" t="s">
        <v>30</v>
      </c>
      <c r="H1368" t="s">
        <v>24</v>
      </c>
      <c r="I1368" t="s">
        <v>25</v>
      </c>
      <c r="J1368" s="2">
        <v>45664</v>
      </c>
      <c r="K1368" t="s">
        <v>25</v>
      </c>
      <c r="L1368">
        <v>44451</v>
      </c>
      <c r="M1368">
        <v>264</v>
      </c>
      <c r="N1368">
        <v>314</v>
      </c>
      <c r="O1368" s="4">
        <v>5700</v>
      </c>
      <c r="P1368" s="4">
        <v>3259.559326171875</v>
      </c>
      <c r="Q1368" s="5">
        <f t="shared" si="84"/>
        <v>-0.42814748663651314</v>
      </c>
      <c r="R1368" s="4">
        <v>3524.3684835618219</v>
      </c>
      <c r="S1368" s="5">
        <f t="shared" si="85"/>
        <v>-0.38168973972599618</v>
      </c>
      <c r="T1368" s="4">
        <v>2963.3511606707311</v>
      </c>
      <c r="U1368" s="5">
        <f t="shared" si="86"/>
        <v>-0.48011383146127529</v>
      </c>
      <c r="V1368" s="4">
        <v>3171.174560546875</v>
      </c>
      <c r="W1368" s="5">
        <f t="shared" si="87"/>
        <v>-0.4436535858689693</v>
      </c>
    </row>
    <row r="1369" spans="1:23" x14ac:dyDescent="0.25">
      <c r="A1369" t="s">
        <v>1800</v>
      </c>
      <c r="B1369">
        <v>2012</v>
      </c>
      <c r="C1369" t="s">
        <v>53</v>
      </c>
      <c r="D1369" t="s">
        <v>568</v>
      </c>
      <c r="E1369">
        <v>126137</v>
      </c>
      <c r="F1369" t="s">
        <v>82</v>
      </c>
      <c r="G1369" t="s">
        <v>30</v>
      </c>
      <c r="H1369" t="s">
        <v>24</v>
      </c>
      <c r="I1369" t="s">
        <v>25</v>
      </c>
      <c r="J1369" s="2">
        <v>45608</v>
      </c>
      <c r="K1369" t="s">
        <v>25</v>
      </c>
      <c r="L1369">
        <v>44451</v>
      </c>
      <c r="M1369">
        <v>264</v>
      </c>
      <c r="N1369">
        <v>314</v>
      </c>
      <c r="O1369" s="4">
        <v>3000</v>
      </c>
      <c r="P1369" s="4">
        <v>3586.047119140625</v>
      </c>
      <c r="Q1369" s="5">
        <f t="shared" si="84"/>
        <v>0.19534903971354156</v>
      </c>
      <c r="R1369" s="4">
        <v>2765.2162655134512</v>
      </c>
      <c r="S1369" s="5">
        <f t="shared" si="85"/>
        <v>-7.8261244828849663E-2</v>
      </c>
      <c r="T1369" s="4">
        <v>6312.1792873030072</v>
      </c>
      <c r="U1369" s="5">
        <f t="shared" si="86"/>
        <v>1.1040597624343356</v>
      </c>
      <c r="V1369" s="4">
        <v>3576.961181640625</v>
      </c>
      <c r="W1369" s="5">
        <f t="shared" si="87"/>
        <v>0.19232039388020827</v>
      </c>
    </row>
    <row r="1370" spans="1:23" x14ac:dyDescent="0.25">
      <c r="A1370" t="s">
        <v>1801</v>
      </c>
      <c r="B1370">
        <v>2011</v>
      </c>
      <c r="C1370" t="s">
        <v>53</v>
      </c>
      <c r="D1370" t="s">
        <v>568</v>
      </c>
      <c r="E1370">
        <v>68059</v>
      </c>
      <c r="F1370" t="s">
        <v>48</v>
      </c>
      <c r="G1370" t="s">
        <v>38</v>
      </c>
      <c r="H1370" t="s">
        <v>25</v>
      </c>
      <c r="I1370" t="s">
        <v>24</v>
      </c>
      <c r="J1370" s="2">
        <v>45608</v>
      </c>
      <c r="K1370" t="s">
        <v>25</v>
      </c>
      <c r="L1370">
        <v>44451</v>
      </c>
      <c r="M1370">
        <v>264</v>
      </c>
      <c r="N1370">
        <v>314</v>
      </c>
      <c r="O1370" s="4">
        <v>3000</v>
      </c>
      <c r="P1370" s="4">
        <v>6439.57958984375</v>
      </c>
      <c r="Q1370" s="5">
        <f t="shared" si="84"/>
        <v>1.1465265299479168</v>
      </c>
      <c r="R1370" s="4">
        <v>6995.0136132176467</v>
      </c>
      <c r="S1370" s="5">
        <f t="shared" si="85"/>
        <v>1.331671204405882</v>
      </c>
      <c r="T1370" s="4">
        <v>11970.116270701241</v>
      </c>
      <c r="U1370" s="5">
        <f t="shared" si="86"/>
        <v>2.9900387569004137</v>
      </c>
      <c r="V1370" s="4">
        <v>6292.732421875</v>
      </c>
      <c r="W1370" s="5">
        <f t="shared" si="87"/>
        <v>1.0975774739583333</v>
      </c>
    </row>
    <row r="1371" spans="1:23" x14ac:dyDescent="0.25">
      <c r="A1371" t="s">
        <v>1802</v>
      </c>
      <c r="B1371">
        <v>2018</v>
      </c>
      <c r="C1371" t="s">
        <v>53</v>
      </c>
      <c r="D1371" t="s">
        <v>392</v>
      </c>
      <c r="E1371">
        <v>133346</v>
      </c>
      <c r="F1371" t="s">
        <v>72</v>
      </c>
      <c r="G1371" t="s">
        <v>38</v>
      </c>
      <c r="H1371" t="s">
        <v>25</v>
      </c>
      <c r="I1371" t="s">
        <v>24</v>
      </c>
      <c r="J1371" s="2">
        <v>45645</v>
      </c>
      <c r="K1371" t="s">
        <v>25</v>
      </c>
      <c r="L1371">
        <v>44451</v>
      </c>
      <c r="M1371">
        <v>264</v>
      </c>
      <c r="N1371">
        <v>314</v>
      </c>
      <c r="O1371" s="4">
        <v>10700</v>
      </c>
      <c r="P1371" s="4">
        <v>8617.9462890625</v>
      </c>
      <c r="Q1371" s="5">
        <f t="shared" si="84"/>
        <v>-0.19458445896612153</v>
      </c>
      <c r="R1371" s="4">
        <v>10824.48154903278</v>
      </c>
      <c r="S1371" s="5">
        <f t="shared" si="85"/>
        <v>1.1633789629231783E-2</v>
      </c>
      <c r="T1371" s="4">
        <v>12083.19364263685</v>
      </c>
      <c r="U1371" s="5">
        <f t="shared" si="86"/>
        <v>0.12927043389129445</v>
      </c>
      <c r="V1371" s="4">
        <v>7831.41650390625</v>
      </c>
      <c r="W1371" s="5">
        <f t="shared" si="87"/>
        <v>-0.26809191552278033</v>
      </c>
    </row>
    <row r="1372" spans="1:23" x14ac:dyDescent="0.25">
      <c r="A1372" t="s">
        <v>1803</v>
      </c>
      <c r="B1372">
        <v>2017</v>
      </c>
      <c r="C1372" t="s">
        <v>104</v>
      </c>
      <c r="D1372" t="s">
        <v>126</v>
      </c>
      <c r="E1372">
        <v>31580</v>
      </c>
      <c r="F1372" t="s">
        <v>87</v>
      </c>
      <c r="G1372" t="s">
        <v>38</v>
      </c>
      <c r="H1372" t="s">
        <v>25</v>
      </c>
      <c r="I1372" t="s">
        <v>24</v>
      </c>
      <c r="J1372" s="2">
        <v>45664</v>
      </c>
      <c r="K1372" t="s">
        <v>25</v>
      </c>
      <c r="L1372">
        <v>44451</v>
      </c>
      <c r="M1372">
        <v>264</v>
      </c>
      <c r="N1372">
        <v>314</v>
      </c>
      <c r="O1372" s="4">
        <v>5000</v>
      </c>
      <c r="P1372" s="4">
        <v>20977.52734375</v>
      </c>
      <c r="Q1372" s="5">
        <f t="shared" si="84"/>
        <v>3.1955054687500004</v>
      </c>
      <c r="R1372" s="4">
        <v>23158.091317586739</v>
      </c>
      <c r="S1372" s="5">
        <f t="shared" si="85"/>
        <v>3.631618263517348</v>
      </c>
      <c r="T1372" s="4">
        <v>19223.242235077141</v>
      </c>
      <c r="U1372" s="5">
        <f t="shared" si="86"/>
        <v>2.8446484470154281</v>
      </c>
      <c r="V1372" s="4">
        <v>20606</v>
      </c>
      <c r="W1372" s="5">
        <f t="shared" si="87"/>
        <v>3.1212</v>
      </c>
    </row>
    <row r="1373" spans="1:23" x14ac:dyDescent="0.25">
      <c r="A1373" t="s">
        <v>1804</v>
      </c>
      <c r="B1373">
        <v>2019</v>
      </c>
      <c r="C1373" t="s">
        <v>20</v>
      </c>
      <c r="D1373" t="s">
        <v>108</v>
      </c>
      <c r="E1373">
        <v>170865</v>
      </c>
      <c r="F1373" t="s">
        <v>87</v>
      </c>
      <c r="G1373" t="s">
        <v>30</v>
      </c>
      <c r="H1373" t="s">
        <v>24</v>
      </c>
      <c r="I1373" t="s">
        <v>25</v>
      </c>
      <c r="J1373" s="2">
        <v>45435</v>
      </c>
      <c r="K1373" t="s">
        <v>25</v>
      </c>
      <c r="L1373">
        <v>44451</v>
      </c>
      <c r="M1373">
        <v>264</v>
      </c>
      <c r="N1373">
        <v>314</v>
      </c>
      <c r="O1373" s="4">
        <v>15300</v>
      </c>
      <c r="P1373" s="4">
        <v>9163.2236328125</v>
      </c>
      <c r="Q1373" s="5">
        <f t="shared" si="84"/>
        <v>-0.40109649458741825</v>
      </c>
      <c r="R1373" s="4">
        <v>10980.506530738199</v>
      </c>
      <c r="S1373" s="5">
        <f t="shared" si="85"/>
        <v>-0.28231983459227461</v>
      </c>
      <c r="T1373" s="4">
        <v>12037.636478153299</v>
      </c>
      <c r="U1373" s="5">
        <f t="shared" si="86"/>
        <v>-0.21322637397690858</v>
      </c>
      <c r="V1373" s="4">
        <v>8561.265625</v>
      </c>
      <c r="W1373" s="5">
        <f t="shared" si="87"/>
        <v>-0.44044015522875812</v>
      </c>
    </row>
    <row r="1374" spans="1:23" x14ac:dyDescent="0.25">
      <c r="A1374" t="s">
        <v>1805</v>
      </c>
      <c r="B1374">
        <v>2017</v>
      </c>
      <c r="C1374" t="s">
        <v>20</v>
      </c>
      <c r="D1374" t="s">
        <v>108</v>
      </c>
      <c r="E1374">
        <v>99999</v>
      </c>
      <c r="F1374" t="s">
        <v>22</v>
      </c>
      <c r="G1374" t="s">
        <v>23</v>
      </c>
      <c r="H1374" t="s">
        <v>24</v>
      </c>
      <c r="I1374" t="s">
        <v>25</v>
      </c>
      <c r="J1374" s="2">
        <v>45701</v>
      </c>
      <c r="K1374" t="s">
        <v>25</v>
      </c>
      <c r="L1374">
        <v>44451</v>
      </c>
      <c r="M1374">
        <v>264</v>
      </c>
      <c r="N1374">
        <v>314</v>
      </c>
      <c r="O1374" s="4">
        <v>9400</v>
      </c>
      <c r="P1374" s="4">
        <v>6287.52880859375</v>
      </c>
      <c r="Q1374" s="5">
        <f t="shared" si="84"/>
        <v>-0.3311139565325798</v>
      </c>
      <c r="R1374" s="4">
        <v>6469.8270294793456</v>
      </c>
      <c r="S1374" s="5">
        <f t="shared" si="85"/>
        <v>-0.31172052877879297</v>
      </c>
      <c r="T1374" s="4">
        <v>8715.7809178515563</v>
      </c>
      <c r="U1374" s="5">
        <f t="shared" si="86"/>
        <v>-7.2789264058345071E-2</v>
      </c>
      <c r="V1374" s="4">
        <v>6191.29833984375</v>
      </c>
      <c r="W1374" s="5">
        <f t="shared" si="87"/>
        <v>-0.34135124044215426</v>
      </c>
    </row>
    <row r="1375" spans="1:23" x14ac:dyDescent="0.25">
      <c r="A1375" t="s">
        <v>1806</v>
      </c>
      <c r="B1375">
        <v>2012</v>
      </c>
      <c r="C1375" t="s">
        <v>20</v>
      </c>
      <c r="D1375" t="s">
        <v>21</v>
      </c>
      <c r="E1375">
        <v>99472</v>
      </c>
      <c r="F1375" t="s">
        <v>89</v>
      </c>
      <c r="G1375" t="s">
        <v>30</v>
      </c>
      <c r="H1375" t="s">
        <v>24</v>
      </c>
      <c r="I1375" t="s">
        <v>25</v>
      </c>
      <c r="J1375" s="2">
        <v>45734</v>
      </c>
      <c r="K1375" t="s">
        <v>25</v>
      </c>
      <c r="L1375">
        <v>44451</v>
      </c>
      <c r="M1375">
        <v>264</v>
      </c>
      <c r="N1375">
        <v>314</v>
      </c>
      <c r="O1375" s="4">
        <v>4100</v>
      </c>
      <c r="P1375" s="4">
        <v>2817.305419921875</v>
      </c>
      <c r="Q1375" s="5">
        <f t="shared" si="84"/>
        <v>-0.31285233660442069</v>
      </c>
      <c r="R1375" s="4">
        <v>3562.9488802396459</v>
      </c>
      <c r="S1375" s="5">
        <f t="shared" si="85"/>
        <v>-0.1309880779903303</v>
      </c>
      <c r="T1375" s="4">
        <v>3389.9981227603289</v>
      </c>
      <c r="U1375" s="5">
        <f t="shared" si="86"/>
        <v>-0.17317118957065147</v>
      </c>
      <c r="V1375" s="4">
        <v>2652.3154296875</v>
      </c>
      <c r="W1375" s="5">
        <f t="shared" si="87"/>
        <v>-0.35309379763719517</v>
      </c>
    </row>
    <row r="1376" spans="1:23" x14ac:dyDescent="0.25">
      <c r="A1376" t="s">
        <v>1807</v>
      </c>
      <c r="B1376">
        <v>2012</v>
      </c>
      <c r="C1376" t="s">
        <v>248</v>
      </c>
      <c r="D1376">
        <v>500</v>
      </c>
      <c r="E1376">
        <v>97613</v>
      </c>
      <c r="F1376" t="s">
        <v>89</v>
      </c>
      <c r="G1376" t="s">
        <v>30</v>
      </c>
      <c r="H1376" t="s">
        <v>24</v>
      </c>
      <c r="I1376" t="s">
        <v>25</v>
      </c>
      <c r="J1376" s="2">
        <v>45692</v>
      </c>
      <c r="K1376" t="s">
        <v>25</v>
      </c>
      <c r="L1376">
        <v>44451</v>
      </c>
      <c r="M1376">
        <v>264</v>
      </c>
      <c r="N1376">
        <v>314</v>
      </c>
      <c r="O1376" s="4">
        <v>2975</v>
      </c>
      <c r="P1376" s="4">
        <v>2793.40966796875</v>
      </c>
      <c r="Q1376" s="5">
        <f t="shared" si="84"/>
        <v>-6.103876706932776E-2</v>
      </c>
      <c r="R1376" s="4">
        <v>3266.9023559734801</v>
      </c>
      <c r="S1376" s="5">
        <f t="shared" si="85"/>
        <v>9.8118438982682354E-2</v>
      </c>
      <c r="T1376" s="4">
        <v>2150.9152390566228</v>
      </c>
      <c r="U1376" s="5">
        <f t="shared" si="86"/>
        <v>-0.27700328098937044</v>
      </c>
      <c r="V1376" s="4">
        <v>2617.515380859375</v>
      </c>
      <c r="W1376" s="5">
        <f t="shared" si="87"/>
        <v>-0.12016289719012607</v>
      </c>
    </row>
    <row r="1377" spans="1:23" x14ac:dyDescent="0.25">
      <c r="A1377" t="s">
        <v>1808</v>
      </c>
      <c r="B1377">
        <v>2018</v>
      </c>
      <c r="C1377" t="s">
        <v>32</v>
      </c>
      <c r="D1377" t="s">
        <v>658</v>
      </c>
      <c r="E1377">
        <v>122856</v>
      </c>
      <c r="F1377" t="s">
        <v>89</v>
      </c>
      <c r="G1377" t="s">
        <v>30</v>
      </c>
      <c r="H1377" t="s">
        <v>24</v>
      </c>
      <c r="I1377" t="s">
        <v>25</v>
      </c>
      <c r="J1377" s="2">
        <v>45631</v>
      </c>
      <c r="K1377" t="s">
        <v>25</v>
      </c>
      <c r="L1377">
        <v>44451</v>
      </c>
      <c r="M1377">
        <v>264</v>
      </c>
      <c r="N1377">
        <v>314</v>
      </c>
      <c r="O1377" s="4">
        <v>17200</v>
      </c>
      <c r="P1377" s="4">
        <v>6770.49267578125</v>
      </c>
      <c r="Q1377" s="5">
        <f t="shared" si="84"/>
        <v>-0.60636670489643896</v>
      </c>
      <c r="R1377" s="4">
        <v>6582.5339899021774</v>
      </c>
      <c r="S1377" s="5">
        <f t="shared" si="85"/>
        <v>-0.61729453547080371</v>
      </c>
      <c r="T1377" s="4">
        <v>9049.5830783898036</v>
      </c>
      <c r="U1377" s="5">
        <f t="shared" si="86"/>
        <v>-0.47386144893082538</v>
      </c>
      <c r="V1377" s="4">
        <v>6757.75244140625</v>
      </c>
      <c r="W1377" s="5">
        <f t="shared" si="87"/>
        <v>-0.60710741619731112</v>
      </c>
    </row>
    <row r="1378" spans="1:23" x14ac:dyDescent="0.25">
      <c r="A1378" t="s">
        <v>1809</v>
      </c>
      <c r="B1378">
        <v>2015</v>
      </c>
      <c r="C1378" t="s">
        <v>46</v>
      </c>
      <c r="D1378" t="s">
        <v>1497</v>
      </c>
      <c r="E1378">
        <v>173309</v>
      </c>
      <c r="F1378" t="s">
        <v>29</v>
      </c>
      <c r="G1378" t="s">
        <v>30</v>
      </c>
      <c r="H1378" t="s">
        <v>24</v>
      </c>
      <c r="I1378" t="s">
        <v>25</v>
      </c>
      <c r="J1378" s="2">
        <v>45603</v>
      </c>
      <c r="K1378" t="s">
        <v>25</v>
      </c>
      <c r="L1378">
        <v>44451</v>
      </c>
      <c r="M1378">
        <v>264</v>
      </c>
      <c r="N1378">
        <v>314</v>
      </c>
      <c r="O1378" s="4">
        <v>1000</v>
      </c>
      <c r="P1378" s="4">
        <v>3124.885986328125</v>
      </c>
      <c r="Q1378" s="5">
        <f t="shared" si="84"/>
        <v>2.1248859863281249</v>
      </c>
      <c r="R1378" s="4">
        <v>4765.757795425825</v>
      </c>
      <c r="S1378" s="5">
        <f t="shared" si="85"/>
        <v>3.7657577954258246</v>
      </c>
      <c r="T1378" s="4">
        <v>3922.9431668467141</v>
      </c>
      <c r="U1378" s="5">
        <f t="shared" si="86"/>
        <v>2.9229431668467143</v>
      </c>
      <c r="V1378" s="4">
        <v>2761.2861328125</v>
      </c>
      <c r="W1378" s="5">
        <f t="shared" si="87"/>
        <v>1.7612861328124998</v>
      </c>
    </row>
    <row r="1379" spans="1:23" x14ac:dyDescent="0.25">
      <c r="A1379" t="s">
        <v>1810</v>
      </c>
      <c r="B1379">
        <v>2014</v>
      </c>
      <c r="C1379" t="s">
        <v>46</v>
      </c>
      <c r="D1379" t="s">
        <v>145</v>
      </c>
      <c r="E1379">
        <v>121976</v>
      </c>
      <c r="F1379" t="s">
        <v>58</v>
      </c>
      <c r="G1379" t="s">
        <v>23</v>
      </c>
      <c r="H1379" t="s">
        <v>24</v>
      </c>
      <c r="I1379" t="s">
        <v>25</v>
      </c>
      <c r="J1379" s="2">
        <v>45678</v>
      </c>
      <c r="K1379" t="s">
        <v>25</v>
      </c>
      <c r="L1379">
        <v>44451</v>
      </c>
      <c r="M1379">
        <v>264</v>
      </c>
      <c r="N1379">
        <v>314</v>
      </c>
      <c r="O1379" s="4">
        <v>2800</v>
      </c>
      <c r="P1379" s="4">
        <v>3289.243896484375</v>
      </c>
      <c r="Q1379" s="5">
        <f t="shared" si="84"/>
        <v>0.17472996303013399</v>
      </c>
      <c r="R1379" s="4">
        <v>3852.0351750186619</v>
      </c>
      <c r="S1379" s="5">
        <f t="shared" si="85"/>
        <v>0.37572684822095059</v>
      </c>
      <c r="T1379" s="4">
        <v>2353.2870550764619</v>
      </c>
      <c r="U1379" s="5">
        <f t="shared" si="86"/>
        <v>-0.15954033747269214</v>
      </c>
      <c r="V1379" s="4">
        <v>3034.1669921875</v>
      </c>
      <c r="W1379" s="5">
        <f t="shared" si="87"/>
        <v>8.3631068638392758E-2</v>
      </c>
    </row>
    <row r="1380" spans="1:23" x14ac:dyDescent="0.25">
      <c r="A1380" t="s">
        <v>1811</v>
      </c>
      <c r="B1380">
        <v>2016</v>
      </c>
      <c r="C1380" t="s">
        <v>46</v>
      </c>
      <c r="D1380" t="s">
        <v>145</v>
      </c>
      <c r="E1380">
        <v>121536</v>
      </c>
      <c r="F1380" t="s">
        <v>58</v>
      </c>
      <c r="G1380" t="s">
        <v>23</v>
      </c>
      <c r="H1380" t="s">
        <v>24</v>
      </c>
      <c r="I1380" t="s">
        <v>25</v>
      </c>
      <c r="J1380" s="2">
        <v>45664</v>
      </c>
      <c r="K1380" t="s">
        <v>25</v>
      </c>
      <c r="L1380">
        <v>44451</v>
      </c>
      <c r="M1380">
        <v>264</v>
      </c>
      <c r="N1380">
        <v>314</v>
      </c>
      <c r="O1380" s="4">
        <v>3300</v>
      </c>
      <c r="P1380" s="4">
        <v>3727.51123046875</v>
      </c>
      <c r="Q1380" s="5">
        <f t="shared" si="84"/>
        <v>0.129548857717803</v>
      </c>
      <c r="R1380" s="4">
        <v>4761.8539970340689</v>
      </c>
      <c r="S1380" s="5">
        <f t="shared" si="85"/>
        <v>0.44298605970729366</v>
      </c>
      <c r="T1380" s="4">
        <v>2914.849850923094</v>
      </c>
      <c r="U1380" s="5">
        <f t="shared" si="86"/>
        <v>-0.11671216638694126</v>
      </c>
      <c r="V1380" s="4">
        <v>3377.14208984375</v>
      </c>
      <c r="W1380" s="5">
        <f t="shared" si="87"/>
        <v>2.3376390861742369E-2</v>
      </c>
    </row>
    <row r="1381" spans="1:23" x14ac:dyDescent="0.25">
      <c r="A1381" t="s">
        <v>1812</v>
      </c>
      <c r="B1381">
        <v>2015</v>
      </c>
      <c r="C1381" t="s">
        <v>53</v>
      </c>
      <c r="D1381" t="s">
        <v>590</v>
      </c>
      <c r="E1381">
        <v>185349</v>
      </c>
      <c r="F1381" t="s">
        <v>55</v>
      </c>
      <c r="G1381" t="s">
        <v>30</v>
      </c>
      <c r="H1381" t="s">
        <v>24</v>
      </c>
      <c r="I1381" t="s">
        <v>25</v>
      </c>
      <c r="J1381" s="2">
        <v>45510</v>
      </c>
      <c r="K1381" t="s">
        <v>25</v>
      </c>
      <c r="L1381">
        <v>44451</v>
      </c>
      <c r="M1381">
        <v>264</v>
      </c>
      <c r="N1381">
        <v>314</v>
      </c>
      <c r="O1381" s="4">
        <v>1900</v>
      </c>
      <c r="P1381" s="4">
        <v>3241.201416015625</v>
      </c>
      <c r="Q1381" s="5">
        <f t="shared" si="84"/>
        <v>0.70589548211348685</v>
      </c>
      <c r="R1381" s="4">
        <v>3347.924548213593</v>
      </c>
      <c r="S1381" s="5">
        <f t="shared" si="85"/>
        <v>0.76206555169136481</v>
      </c>
      <c r="T1381" s="4">
        <v>1594.4603091943011</v>
      </c>
      <c r="U1381" s="5">
        <f t="shared" si="86"/>
        <v>-0.16081036358194678</v>
      </c>
      <c r="V1381" s="4">
        <v>3203.70068359375</v>
      </c>
      <c r="W1381" s="5">
        <f t="shared" si="87"/>
        <v>0.68615825452302626</v>
      </c>
    </row>
    <row r="1382" spans="1:23" x14ac:dyDescent="0.25">
      <c r="A1382" t="s">
        <v>1813</v>
      </c>
      <c r="B1382">
        <v>2019</v>
      </c>
      <c r="C1382" t="s">
        <v>20</v>
      </c>
      <c r="D1382" t="s">
        <v>421</v>
      </c>
      <c r="E1382">
        <v>61596</v>
      </c>
      <c r="F1382" t="s">
        <v>72</v>
      </c>
      <c r="G1382" t="s">
        <v>38</v>
      </c>
      <c r="H1382" t="s">
        <v>25</v>
      </c>
      <c r="I1382" t="s">
        <v>24</v>
      </c>
      <c r="J1382" s="2">
        <v>45608</v>
      </c>
      <c r="K1382" t="s">
        <v>25</v>
      </c>
      <c r="L1382">
        <v>44451</v>
      </c>
      <c r="M1382">
        <v>264</v>
      </c>
      <c r="N1382">
        <v>314</v>
      </c>
      <c r="O1382" s="4">
        <v>13100</v>
      </c>
      <c r="P1382" s="4">
        <v>14467.291015625</v>
      </c>
      <c r="Q1382" s="5">
        <f t="shared" si="84"/>
        <v>0.10437335997137409</v>
      </c>
      <c r="R1382" s="4">
        <v>16975.26785991979</v>
      </c>
      <c r="S1382" s="5">
        <f t="shared" si="85"/>
        <v>0.29582197403967858</v>
      </c>
      <c r="T1382" s="4">
        <v>11997.21495066856</v>
      </c>
      <c r="U1382" s="5">
        <f t="shared" si="86"/>
        <v>-8.4182064834461112E-2</v>
      </c>
      <c r="V1382" s="4">
        <v>14039.37109375</v>
      </c>
      <c r="W1382" s="5">
        <f t="shared" si="87"/>
        <v>7.1707717080152777E-2</v>
      </c>
    </row>
    <row r="1383" spans="1:23" x14ac:dyDescent="0.25">
      <c r="A1383" t="s">
        <v>1814</v>
      </c>
      <c r="B1383">
        <v>2020</v>
      </c>
      <c r="C1383" t="s">
        <v>167</v>
      </c>
      <c r="D1383" t="s">
        <v>555</v>
      </c>
      <c r="E1383">
        <v>78057</v>
      </c>
      <c r="F1383" t="s">
        <v>214</v>
      </c>
      <c r="G1383" t="s">
        <v>38</v>
      </c>
      <c r="H1383" t="s">
        <v>25</v>
      </c>
      <c r="I1383" t="s">
        <v>24</v>
      </c>
      <c r="J1383" s="2">
        <v>45678</v>
      </c>
      <c r="K1383" t="s">
        <v>25</v>
      </c>
      <c r="L1383">
        <v>44451</v>
      </c>
      <c r="M1383">
        <v>264</v>
      </c>
      <c r="N1383">
        <v>314</v>
      </c>
      <c r="O1383" s="4">
        <v>11500</v>
      </c>
      <c r="P1383" s="4">
        <v>11061.625</v>
      </c>
      <c r="Q1383" s="5">
        <f t="shared" si="84"/>
        <v>-3.8119565217391349E-2</v>
      </c>
      <c r="R1383" s="4">
        <v>12443.325198341179</v>
      </c>
      <c r="S1383" s="5">
        <f t="shared" si="85"/>
        <v>8.2028278116624387E-2</v>
      </c>
      <c r="T1383" s="4">
        <v>11229.94560390375</v>
      </c>
      <c r="U1383" s="5">
        <f t="shared" si="86"/>
        <v>-2.3482990964891259E-2</v>
      </c>
      <c r="V1383" s="4">
        <v>10574.740234375</v>
      </c>
      <c r="W1383" s="5">
        <f t="shared" si="87"/>
        <v>-8.045737092391303E-2</v>
      </c>
    </row>
    <row r="1384" spans="1:23" x14ac:dyDescent="0.25">
      <c r="A1384" t="s">
        <v>1815</v>
      </c>
      <c r="B1384">
        <v>2017</v>
      </c>
      <c r="C1384" t="s">
        <v>156</v>
      </c>
      <c r="D1384" t="s">
        <v>157</v>
      </c>
      <c r="E1384">
        <v>69003</v>
      </c>
      <c r="F1384" t="s">
        <v>55</v>
      </c>
      <c r="G1384" t="s">
        <v>38</v>
      </c>
      <c r="H1384" t="s">
        <v>25</v>
      </c>
      <c r="I1384" t="s">
        <v>24</v>
      </c>
      <c r="J1384" s="2">
        <v>45351</v>
      </c>
      <c r="K1384" t="s">
        <v>25</v>
      </c>
      <c r="L1384">
        <v>44451</v>
      </c>
      <c r="M1384">
        <v>264</v>
      </c>
      <c r="N1384">
        <v>314</v>
      </c>
      <c r="O1384" s="4">
        <v>9700</v>
      </c>
      <c r="P1384" s="4">
        <v>5231.07275390625</v>
      </c>
      <c r="Q1384" s="5">
        <f t="shared" si="84"/>
        <v>-0.46071414908182995</v>
      </c>
      <c r="R1384" s="4">
        <v>5322.1841795457667</v>
      </c>
      <c r="S1384" s="5">
        <f t="shared" si="85"/>
        <v>-0.45132121860352925</v>
      </c>
      <c r="T1384" s="4">
        <v>6058.1038952204744</v>
      </c>
      <c r="U1384" s="5">
        <f t="shared" si="86"/>
        <v>-0.37545320667830162</v>
      </c>
      <c r="V1384" s="4">
        <v>5165.44580078125</v>
      </c>
      <c r="W1384" s="5">
        <f t="shared" si="87"/>
        <v>-0.46747981435244845</v>
      </c>
    </row>
    <row r="1385" spans="1:23" x14ac:dyDescent="0.25">
      <c r="A1385" t="s">
        <v>1816</v>
      </c>
      <c r="B1385">
        <v>2013</v>
      </c>
      <c r="C1385" t="s">
        <v>159</v>
      </c>
      <c r="D1385" t="s">
        <v>767</v>
      </c>
      <c r="E1385">
        <v>139001</v>
      </c>
      <c r="F1385" t="s">
        <v>22</v>
      </c>
      <c r="G1385" t="s">
        <v>30</v>
      </c>
      <c r="H1385" t="s">
        <v>24</v>
      </c>
      <c r="I1385" t="s">
        <v>25</v>
      </c>
      <c r="J1385" s="2">
        <v>45701</v>
      </c>
      <c r="K1385" t="s">
        <v>25</v>
      </c>
      <c r="L1385">
        <v>44451</v>
      </c>
      <c r="M1385">
        <v>264</v>
      </c>
      <c r="N1385">
        <v>314</v>
      </c>
      <c r="O1385" s="4">
        <v>3400</v>
      </c>
      <c r="P1385" s="4">
        <v>2987.802490234375</v>
      </c>
      <c r="Q1385" s="5">
        <f t="shared" si="84"/>
        <v>-0.12123456169577207</v>
      </c>
      <c r="R1385" s="4">
        <v>2841.222018196207</v>
      </c>
      <c r="S1385" s="5">
        <f t="shared" si="85"/>
        <v>-0.16434646523640972</v>
      </c>
      <c r="T1385" s="4">
        <v>3074.262182150504</v>
      </c>
      <c r="U1385" s="5">
        <f t="shared" si="86"/>
        <v>-9.5805240543969439E-2</v>
      </c>
      <c r="V1385" s="4">
        <v>2926.701416015625</v>
      </c>
      <c r="W1385" s="5">
        <f t="shared" si="87"/>
        <v>-0.13920546587775739</v>
      </c>
    </row>
    <row r="1386" spans="1:23" x14ac:dyDescent="0.25">
      <c r="A1386" t="s">
        <v>1817</v>
      </c>
      <c r="B1386">
        <v>2019</v>
      </c>
      <c r="C1386" t="s">
        <v>185</v>
      </c>
      <c r="D1386" t="s">
        <v>264</v>
      </c>
      <c r="E1386">
        <v>118768</v>
      </c>
      <c r="F1386" t="s">
        <v>61</v>
      </c>
      <c r="G1386" t="s">
        <v>30</v>
      </c>
      <c r="H1386" t="s">
        <v>24</v>
      </c>
      <c r="I1386" t="s">
        <v>25</v>
      </c>
      <c r="J1386" s="2">
        <v>45524</v>
      </c>
      <c r="K1386" t="s">
        <v>25</v>
      </c>
      <c r="L1386">
        <v>44451</v>
      </c>
      <c r="M1386">
        <v>264</v>
      </c>
      <c r="N1386">
        <v>314</v>
      </c>
      <c r="O1386" s="4">
        <v>10100</v>
      </c>
      <c r="P1386" s="4">
        <v>4352.23876953125</v>
      </c>
      <c r="Q1386" s="5">
        <f t="shared" si="84"/>
        <v>-0.56908527034344059</v>
      </c>
      <c r="R1386" s="4">
        <v>4807.4136594776983</v>
      </c>
      <c r="S1386" s="5">
        <f t="shared" si="85"/>
        <v>-0.52401844955666355</v>
      </c>
      <c r="T1386" s="4">
        <v>3946.190319151749</v>
      </c>
      <c r="U1386" s="5">
        <f t="shared" si="86"/>
        <v>-0.60928808721269812</v>
      </c>
      <c r="V1386" s="4">
        <v>4240.923828125</v>
      </c>
      <c r="W1386" s="5">
        <f t="shared" si="87"/>
        <v>-0.58010655167079206</v>
      </c>
    </row>
    <row r="1387" spans="1:23" x14ac:dyDescent="0.25">
      <c r="A1387" t="s">
        <v>1818</v>
      </c>
      <c r="B1387">
        <v>2020</v>
      </c>
      <c r="C1387" t="s">
        <v>774</v>
      </c>
      <c r="D1387" t="s">
        <v>1819</v>
      </c>
      <c r="E1387">
        <v>63344</v>
      </c>
      <c r="F1387" t="s">
        <v>43</v>
      </c>
      <c r="G1387" t="s">
        <v>44</v>
      </c>
      <c r="H1387" t="s">
        <v>25</v>
      </c>
      <c r="I1387" t="s">
        <v>24</v>
      </c>
      <c r="J1387" s="2">
        <v>45426</v>
      </c>
      <c r="K1387" t="s">
        <v>25</v>
      </c>
      <c r="L1387">
        <v>44451</v>
      </c>
      <c r="M1387">
        <v>264</v>
      </c>
      <c r="N1387">
        <v>314</v>
      </c>
      <c r="O1387" s="4">
        <v>25500</v>
      </c>
      <c r="P1387" s="4">
        <v>18211.201171875</v>
      </c>
      <c r="Q1387" s="5">
        <f t="shared" si="84"/>
        <v>-0.28583524816176475</v>
      </c>
      <c r="R1387" s="4">
        <v>17953.87728966157</v>
      </c>
      <c r="S1387" s="5">
        <f t="shared" si="85"/>
        <v>-0.29592638079758549</v>
      </c>
      <c r="T1387" s="4">
        <v>16195.06430577311</v>
      </c>
      <c r="U1387" s="5">
        <f t="shared" si="86"/>
        <v>-0.36489943898928978</v>
      </c>
      <c r="V1387" s="4">
        <v>18169.84375</v>
      </c>
      <c r="W1387" s="5">
        <f t="shared" si="87"/>
        <v>-0.28745710784313727</v>
      </c>
    </row>
    <row r="1388" spans="1:23" x14ac:dyDescent="0.25">
      <c r="A1388" t="s">
        <v>1820</v>
      </c>
      <c r="B1388">
        <v>2015</v>
      </c>
      <c r="C1388" t="s">
        <v>266</v>
      </c>
      <c r="D1388" t="s">
        <v>267</v>
      </c>
      <c r="E1388">
        <v>61966</v>
      </c>
      <c r="F1388" t="s">
        <v>174</v>
      </c>
      <c r="G1388" t="s">
        <v>44</v>
      </c>
      <c r="H1388" t="s">
        <v>25</v>
      </c>
      <c r="I1388" t="s">
        <v>24</v>
      </c>
      <c r="J1388" s="2">
        <v>45328</v>
      </c>
      <c r="K1388" t="s">
        <v>25</v>
      </c>
      <c r="L1388">
        <v>44451</v>
      </c>
      <c r="M1388">
        <v>264</v>
      </c>
      <c r="N1388">
        <v>314</v>
      </c>
      <c r="O1388" s="4">
        <v>8400</v>
      </c>
      <c r="P1388" s="4">
        <v>9452.5712890625</v>
      </c>
      <c r="Q1388" s="5">
        <f t="shared" si="84"/>
        <v>0.12530610584077384</v>
      </c>
      <c r="R1388" s="4">
        <v>12213.55335608974</v>
      </c>
      <c r="S1388" s="5">
        <f t="shared" si="85"/>
        <v>0.45399444715354043</v>
      </c>
      <c r="T1388" s="4">
        <v>7790.9872577012165</v>
      </c>
      <c r="U1388" s="5">
        <f t="shared" si="86"/>
        <v>-7.2501516940331356E-2</v>
      </c>
      <c r="V1388" s="4">
        <v>8865.5986328125</v>
      </c>
      <c r="W1388" s="5">
        <f t="shared" si="87"/>
        <v>5.5428408668154683E-2</v>
      </c>
    </row>
    <row r="1389" spans="1:23" x14ac:dyDescent="0.25">
      <c r="A1389" t="s">
        <v>1821</v>
      </c>
      <c r="B1389">
        <v>2014</v>
      </c>
      <c r="C1389" t="s">
        <v>266</v>
      </c>
      <c r="D1389" t="s">
        <v>267</v>
      </c>
      <c r="E1389">
        <v>128932</v>
      </c>
      <c r="F1389" t="s">
        <v>382</v>
      </c>
      <c r="G1389" t="s">
        <v>30</v>
      </c>
      <c r="H1389" t="s">
        <v>24</v>
      </c>
      <c r="I1389" t="s">
        <v>25</v>
      </c>
      <c r="J1389" s="2">
        <v>45412</v>
      </c>
      <c r="K1389" t="s">
        <v>25</v>
      </c>
      <c r="L1389">
        <v>44451</v>
      </c>
      <c r="M1389">
        <v>264</v>
      </c>
      <c r="N1389">
        <v>314</v>
      </c>
      <c r="O1389" s="4">
        <v>7300</v>
      </c>
      <c r="P1389" s="4">
        <v>1964.474853515625</v>
      </c>
      <c r="Q1389" s="5">
        <f t="shared" si="84"/>
        <v>-0.73089385568279108</v>
      </c>
      <c r="R1389" s="4">
        <v>2117.867506686629</v>
      </c>
      <c r="S1389" s="5">
        <f t="shared" si="85"/>
        <v>-0.70988116346758501</v>
      </c>
      <c r="T1389" s="4">
        <v>2018.99922856683</v>
      </c>
      <c r="U1389" s="5">
        <f t="shared" si="86"/>
        <v>-0.72342476321002325</v>
      </c>
      <c r="V1389" s="4">
        <v>1947.177490234375</v>
      </c>
      <c r="W1389" s="5">
        <f t="shared" si="87"/>
        <v>-0.73326335750214033</v>
      </c>
    </row>
    <row r="1390" spans="1:23" x14ac:dyDescent="0.25">
      <c r="A1390" t="s">
        <v>1822</v>
      </c>
      <c r="B1390">
        <v>2019</v>
      </c>
      <c r="C1390" t="s">
        <v>269</v>
      </c>
      <c r="D1390" t="s">
        <v>728</v>
      </c>
      <c r="E1390">
        <v>42880</v>
      </c>
      <c r="F1390" t="s">
        <v>135</v>
      </c>
      <c r="G1390" t="s">
        <v>44</v>
      </c>
      <c r="H1390" t="s">
        <v>25</v>
      </c>
      <c r="I1390" t="s">
        <v>24</v>
      </c>
      <c r="J1390" s="2">
        <v>45594</v>
      </c>
      <c r="K1390" t="s">
        <v>25</v>
      </c>
      <c r="L1390">
        <v>44451</v>
      </c>
      <c r="M1390">
        <v>264</v>
      </c>
      <c r="N1390">
        <v>314</v>
      </c>
      <c r="O1390" s="4">
        <v>19000</v>
      </c>
      <c r="P1390" s="4">
        <v>24689.548828125</v>
      </c>
      <c r="Q1390" s="5">
        <f t="shared" si="84"/>
        <v>0.29944993832236833</v>
      </c>
      <c r="R1390" s="4">
        <v>26039.166591618679</v>
      </c>
      <c r="S1390" s="5">
        <f t="shared" si="85"/>
        <v>0.37048245219045683</v>
      </c>
      <c r="T1390" s="4">
        <v>32068.812546952369</v>
      </c>
      <c r="U1390" s="5">
        <f t="shared" si="86"/>
        <v>0.68783223931328252</v>
      </c>
      <c r="V1390" s="4">
        <v>24679.556640625</v>
      </c>
      <c r="W1390" s="5">
        <f t="shared" si="87"/>
        <v>0.2989240337171053</v>
      </c>
    </row>
    <row r="1391" spans="1:23" x14ac:dyDescent="0.25">
      <c r="A1391" t="s">
        <v>1823</v>
      </c>
      <c r="B1391">
        <v>2015</v>
      </c>
      <c r="C1391" t="s">
        <v>91</v>
      </c>
      <c r="D1391" t="s">
        <v>275</v>
      </c>
      <c r="E1391">
        <v>148715</v>
      </c>
      <c r="F1391" t="s">
        <v>261</v>
      </c>
      <c r="G1391" t="s">
        <v>30</v>
      </c>
      <c r="H1391" t="s">
        <v>24</v>
      </c>
      <c r="I1391" t="s">
        <v>25</v>
      </c>
      <c r="J1391" s="2">
        <v>45580</v>
      </c>
      <c r="K1391" t="s">
        <v>25</v>
      </c>
      <c r="L1391">
        <v>44451</v>
      </c>
      <c r="M1391">
        <v>264</v>
      </c>
      <c r="N1391">
        <v>314</v>
      </c>
      <c r="O1391" s="4">
        <v>5600</v>
      </c>
      <c r="P1391" s="4">
        <v>1899.813110351562</v>
      </c>
      <c r="Q1391" s="5">
        <f t="shared" si="84"/>
        <v>-0.66074765886579256</v>
      </c>
      <c r="R1391" s="4">
        <v>2664.6652010316161</v>
      </c>
      <c r="S1391" s="5">
        <f t="shared" si="85"/>
        <v>-0.52416692838721146</v>
      </c>
      <c r="T1391" s="4">
        <v>3813.0375168177352</v>
      </c>
      <c r="U1391" s="5">
        <f t="shared" si="86"/>
        <v>-0.31910044342540445</v>
      </c>
      <c r="V1391" s="4">
        <v>1813.12353515625</v>
      </c>
      <c r="W1391" s="5">
        <f t="shared" si="87"/>
        <v>-0.67622794015066967</v>
      </c>
    </row>
    <row r="1392" spans="1:23" x14ac:dyDescent="0.25">
      <c r="A1392" t="s">
        <v>1824</v>
      </c>
      <c r="B1392">
        <v>2011</v>
      </c>
      <c r="C1392" t="s">
        <v>185</v>
      </c>
      <c r="D1392" t="s">
        <v>277</v>
      </c>
      <c r="E1392">
        <v>80690</v>
      </c>
      <c r="F1392" t="s">
        <v>48</v>
      </c>
      <c r="G1392" t="s">
        <v>38</v>
      </c>
      <c r="H1392" t="s">
        <v>25</v>
      </c>
      <c r="I1392" t="s">
        <v>24</v>
      </c>
      <c r="J1392" s="2">
        <v>45440</v>
      </c>
      <c r="K1392" t="s">
        <v>25</v>
      </c>
      <c r="L1392">
        <v>44451</v>
      </c>
      <c r="M1392">
        <v>264</v>
      </c>
      <c r="N1392">
        <v>314</v>
      </c>
      <c r="O1392" s="4">
        <v>9915.5063291139195</v>
      </c>
      <c r="P1392" s="4">
        <v>3134.20703125</v>
      </c>
      <c r="Q1392" s="5">
        <f t="shared" si="84"/>
        <v>-0.68390852396036106</v>
      </c>
      <c r="R1392" s="4">
        <v>4454.0158050978453</v>
      </c>
      <c r="S1392" s="5">
        <f t="shared" si="85"/>
        <v>-0.55080298904959002</v>
      </c>
      <c r="T1392" s="4">
        <v>4588.4184859471416</v>
      </c>
      <c r="U1392" s="5">
        <f t="shared" si="86"/>
        <v>-0.53724819150438918</v>
      </c>
      <c r="V1392" s="4">
        <v>2822.774169921875</v>
      </c>
      <c r="W1392" s="5">
        <f t="shared" si="87"/>
        <v>-0.71531719347163913</v>
      </c>
    </row>
    <row r="1393" spans="1:23" x14ac:dyDescent="0.25">
      <c r="A1393" t="s">
        <v>1825</v>
      </c>
      <c r="B1393">
        <v>2014</v>
      </c>
      <c r="C1393" t="s">
        <v>185</v>
      </c>
      <c r="D1393" t="s">
        <v>509</v>
      </c>
      <c r="E1393">
        <v>193862</v>
      </c>
      <c r="F1393" t="s">
        <v>141</v>
      </c>
      <c r="G1393" t="s">
        <v>30</v>
      </c>
      <c r="H1393" t="s">
        <v>24</v>
      </c>
      <c r="I1393" t="s">
        <v>25</v>
      </c>
      <c r="J1393" s="2">
        <v>45484</v>
      </c>
      <c r="K1393" t="s">
        <v>25</v>
      </c>
      <c r="L1393">
        <v>44451</v>
      </c>
      <c r="M1393">
        <v>264</v>
      </c>
      <c r="N1393">
        <v>314</v>
      </c>
      <c r="O1393" s="4">
        <v>4800</v>
      </c>
      <c r="P1393" s="4">
        <v>1877.6640625</v>
      </c>
      <c r="Q1393" s="5">
        <f t="shared" si="84"/>
        <v>-0.60881998697916662</v>
      </c>
      <c r="R1393" s="4">
        <v>1973.2034544015589</v>
      </c>
      <c r="S1393" s="5">
        <f t="shared" si="85"/>
        <v>-0.5889159469996752</v>
      </c>
      <c r="T1393" s="4">
        <v>2761.0756363476162</v>
      </c>
      <c r="U1393" s="5">
        <f t="shared" si="86"/>
        <v>-0.42477590909424667</v>
      </c>
      <c r="V1393" s="4">
        <v>1824.325927734375</v>
      </c>
      <c r="W1393" s="5">
        <f t="shared" si="87"/>
        <v>-0.6199320983886718</v>
      </c>
    </row>
    <row r="1394" spans="1:23" x14ac:dyDescent="0.25">
      <c r="A1394" t="s">
        <v>1826</v>
      </c>
      <c r="B1394">
        <v>2019</v>
      </c>
      <c r="C1394" t="s">
        <v>167</v>
      </c>
      <c r="D1394" t="s">
        <v>600</v>
      </c>
      <c r="E1394">
        <v>113004</v>
      </c>
      <c r="F1394" t="s">
        <v>161</v>
      </c>
      <c r="G1394" t="s">
        <v>44</v>
      </c>
      <c r="H1394" t="s">
        <v>25</v>
      </c>
      <c r="I1394" t="s">
        <v>24</v>
      </c>
      <c r="J1394" s="2">
        <v>45664</v>
      </c>
      <c r="K1394" t="s">
        <v>25</v>
      </c>
      <c r="L1394">
        <v>44451</v>
      </c>
      <c r="M1394">
        <v>264</v>
      </c>
      <c r="N1394">
        <v>314</v>
      </c>
      <c r="O1394" s="4">
        <v>7600</v>
      </c>
      <c r="P1394" s="4">
        <v>9098.0654296875</v>
      </c>
      <c r="Q1394" s="5">
        <f t="shared" si="84"/>
        <v>0.19711387232730271</v>
      </c>
      <c r="R1394" s="4">
        <v>9369.458515751121</v>
      </c>
      <c r="S1394" s="5">
        <f t="shared" si="85"/>
        <v>0.23282348891462123</v>
      </c>
      <c r="T1394" s="4">
        <v>11511.43431630102</v>
      </c>
      <c r="U1394" s="5">
        <f t="shared" si="86"/>
        <v>0.51466241003960778</v>
      </c>
      <c r="V1394" s="4">
        <v>9276.90625</v>
      </c>
      <c r="W1394" s="5">
        <f t="shared" si="87"/>
        <v>0.22064555921052631</v>
      </c>
    </row>
    <row r="1395" spans="1:23" x14ac:dyDescent="0.25">
      <c r="A1395" t="s">
        <v>1827</v>
      </c>
      <c r="B1395">
        <v>2017</v>
      </c>
      <c r="C1395" t="s">
        <v>167</v>
      </c>
      <c r="D1395" t="s">
        <v>168</v>
      </c>
      <c r="E1395">
        <v>129684</v>
      </c>
      <c r="F1395" t="s">
        <v>58</v>
      </c>
      <c r="G1395" t="s">
        <v>23</v>
      </c>
      <c r="H1395" t="s">
        <v>24</v>
      </c>
      <c r="I1395" t="s">
        <v>25</v>
      </c>
      <c r="J1395" s="2">
        <v>45370</v>
      </c>
      <c r="K1395" t="s">
        <v>25</v>
      </c>
      <c r="L1395">
        <v>44451</v>
      </c>
      <c r="M1395">
        <v>264</v>
      </c>
      <c r="N1395">
        <v>314</v>
      </c>
      <c r="O1395" s="4">
        <v>9600</v>
      </c>
      <c r="P1395" s="4">
        <v>2660.65478515625</v>
      </c>
      <c r="Q1395" s="5">
        <f t="shared" si="84"/>
        <v>-0.72284845987955726</v>
      </c>
      <c r="R1395" s="4">
        <v>2730.939909632224</v>
      </c>
      <c r="S1395" s="5">
        <f t="shared" si="85"/>
        <v>-0.71552709274664328</v>
      </c>
      <c r="T1395" s="4">
        <v>2905.0306816733491</v>
      </c>
      <c r="U1395" s="5">
        <f t="shared" si="86"/>
        <v>-0.69739263732569279</v>
      </c>
      <c r="V1395" s="4">
        <v>2569.691650390625</v>
      </c>
      <c r="W1395" s="5">
        <f t="shared" si="87"/>
        <v>-0.73232378641764329</v>
      </c>
    </row>
    <row r="1396" spans="1:23" x14ac:dyDescent="0.25">
      <c r="A1396" t="s">
        <v>1828</v>
      </c>
      <c r="B1396">
        <v>2017</v>
      </c>
      <c r="C1396" t="s">
        <v>167</v>
      </c>
      <c r="D1396" t="s">
        <v>168</v>
      </c>
      <c r="E1396">
        <v>111566</v>
      </c>
      <c r="F1396" t="s">
        <v>77</v>
      </c>
      <c r="G1396" t="s">
        <v>38</v>
      </c>
      <c r="H1396" t="s">
        <v>25</v>
      </c>
      <c r="I1396" t="s">
        <v>24</v>
      </c>
      <c r="J1396" s="2">
        <v>45328</v>
      </c>
      <c r="K1396" t="s">
        <v>25</v>
      </c>
      <c r="L1396">
        <v>44451</v>
      </c>
      <c r="M1396">
        <v>264</v>
      </c>
      <c r="N1396">
        <v>314</v>
      </c>
      <c r="O1396" s="4">
        <v>9600</v>
      </c>
      <c r="P1396" s="4">
        <v>3449.830322265625</v>
      </c>
      <c r="Q1396" s="5">
        <f t="shared" si="84"/>
        <v>-0.64064267476399739</v>
      </c>
      <c r="R1396" s="4">
        <v>5659.8252923762266</v>
      </c>
      <c r="S1396" s="5">
        <f t="shared" si="85"/>
        <v>-0.41043486537747642</v>
      </c>
      <c r="T1396" s="4">
        <v>4574.3913146746536</v>
      </c>
      <c r="U1396" s="5">
        <f t="shared" si="86"/>
        <v>-0.52350090472139033</v>
      </c>
      <c r="V1396" s="4">
        <v>3024.988037109375</v>
      </c>
      <c r="W1396" s="5">
        <f t="shared" si="87"/>
        <v>-0.68489707946777345</v>
      </c>
    </row>
    <row r="1397" spans="1:23" x14ac:dyDescent="0.25">
      <c r="A1397" t="s">
        <v>1829</v>
      </c>
      <c r="B1397">
        <v>2020</v>
      </c>
      <c r="C1397" t="s">
        <v>167</v>
      </c>
      <c r="D1397" t="s">
        <v>168</v>
      </c>
      <c r="E1397">
        <v>90949</v>
      </c>
      <c r="F1397" t="s">
        <v>55</v>
      </c>
      <c r="G1397" t="s">
        <v>30</v>
      </c>
      <c r="H1397" t="s">
        <v>24</v>
      </c>
      <c r="I1397" t="s">
        <v>25</v>
      </c>
      <c r="J1397" s="2">
        <v>45687</v>
      </c>
      <c r="K1397" t="s">
        <v>25</v>
      </c>
      <c r="L1397">
        <v>44451</v>
      </c>
      <c r="M1397">
        <v>264</v>
      </c>
      <c r="N1397">
        <v>314</v>
      </c>
      <c r="O1397" s="4">
        <v>4900</v>
      </c>
      <c r="P1397" s="4">
        <v>7074.06689453125</v>
      </c>
      <c r="Q1397" s="5">
        <f t="shared" si="84"/>
        <v>0.44368712133290811</v>
      </c>
      <c r="R1397" s="4">
        <v>6613.2292398441696</v>
      </c>
      <c r="S1397" s="5">
        <f t="shared" si="85"/>
        <v>0.34963862037636106</v>
      </c>
      <c r="T1397" s="4">
        <v>5981.4383979221166</v>
      </c>
      <c r="U1397" s="5">
        <f t="shared" si="86"/>
        <v>0.22070171386165649</v>
      </c>
      <c r="V1397" s="4">
        <v>7198.6767578125</v>
      </c>
      <c r="W1397" s="5">
        <f t="shared" si="87"/>
        <v>0.46911770567602051</v>
      </c>
    </row>
    <row r="1398" spans="1:23" x14ac:dyDescent="0.25">
      <c r="A1398" t="s">
        <v>1830</v>
      </c>
      <c r="B1398">
        <v>2013</v>
      </c>
      <c r="C1398" t="s">
        <v>167</v>
      </c>
      <c r="D1398" t="s">
        <v>168</v>
      </c>
      <c r="E1398">
        <v>88506</v>
      </c>
      <c r="F1398" t="s">
        <v>37</v>
      </c>
      <c r="G1398" t="s">
        <v>30</v>
      </c>
      <c r="H1398" t="s">
        <v>24</v>
      </c>
      <c r="I1398" t="s">
        <v>25</v>
      </c>
      <c r="J1398" s="2">
        <v>45664</v>
      </c>
      <c r="K1398" t="s">
        <v>25</v>
      </c>
      <c r="L1398">
        <v>44451</v>
      </c>
      <c r="M1398">
        <v>264</v>
      </c>
      <c r="N1398">
        <v>314</v>
      </c>
      <c r="O1398" s="4">
        <v>2900</v>
      </c>
      <c r="P1398" s="4">
        <v>3284.253662109375</v>
      </c>
      <c r="Q1398" s="5">
        <f t="shared" si="84"/>
        <v>0.13250126279633623</v>
      </c>
      <c r="R1398" s="4">
        <v>4329.021670104833</v>
      </c>
      <c r="S1398" s="5">
        <f t="shared" si="85"/>
        <v>0.49276609313959763</v>
      </c>
      <c r="T1398" s="4">
        <v>3760.6224537933458</v>
      </c>
      <c r="U1398" s="5">
        <f t="shared" si="86"/>
        <v>0.2967663633770159</v>
      </c>
      <c r="V1398" s="4">
        <v>2962.00390625</v>
      </c>
      <c r="W1398" s="5">
        <f t="shared" si="87"/>
        <v>2.1380657327586317E-2</v>
      </c>
    </row>
    <row r="1399" spans="1:23" x14ac:dyDescent="0.25">
      <c r="A1399" t="s">
        <v>1831</v>
      </c>
      <c r="B1399">
        <v>2017</v>
      </c>
      <c r="C1399" t="s">
        <v>167</v>
      </c>
      <c r="D1399" t="s">
        <v>171</v>
      </c>
      <c r="E1399">
        <v>111658</v>
      </c>
      <c r="F1399" t="s">
        <v>55</v>
      </c>
      <c r="G1399" t="s">
        <v>30</v>
      </c>
      <c r="H1399" t="s">
        <v>24</v>
      </c>
      <c r="I1399" t="s">
        <v>25</v>
      </c>
      <c r="J1399" s="2">
        <v>45454</v>
      </c>
      <c r="K1399" t="s">
        <v>25</v>
      </c>
      <c r="L1399">
        <v>44451</v>
      </c>
      <c r="M1399">
        <v>264</v>
      </c>
      <c r="N1399">
        <v>314</v>
      </c>
      <c r="O1399" s="4">
        <v>9000</v>
      </c>
      <c r="P1399" s="4">
        <v>3449.830322265625</v>
      </c>
      <c r="Q1399" s="5">
        <f t="shared" si="84"/>
        <v>-0.61668551974826391</v>
      </c>
      <c r="R1399" s="4">
        <v>3540.1272081584771</v>
      </c>
      <c r="S1399" s="5">
        <f t="shared" si="85"/>
        <v>-0.60665253242683592</v>
      </c>
      <c r="T1399" s="4">
        <v>4063.1664576496</v>
      </c>
      <c r="U1399" s="5">
        <f t="shared" si="86"/>
        <v>-0.54853706026115556</v>
      </c>
      <c r="V1399" s="4">
        <v>3396.737060546875</v>
      </c>
      <c r="W1399" s="5">
        <f t="shared" si="87"/>
        <v>-0.62258477105034715</v>
      </c>
    </row>
    <row r="1400" spans="1:23" x14ac:dyDescent="0.25">
      <c r="A1400" t="s">
        <v>1832</v>
      </c>
      <c r="B1400">
        <v>2019</v>
      </c>
      <c r="C1400" t="s">
        <v>167</v>
      </c>
      <c r="D1400" t="s">
        <v>171</v>
      </c>
      <c r="E1400">
        <v>136414</v>
      </c>
      <c r="F1400" t="s">
        <v>82</v>
      </c>
      <c r="G1400" t="s">
        <v>30</v>
      </c>
      <c r="H1400" t="s">
        <v>24</v>
      </c>
      <c r="I1400" t="s">
        <v>25</v>
      </c>
      <c r="J1400" s="2">
        <v>45552</v>
      </c>
      <c r="K1400" t="s">
        <v>25</v>
      </c>
      <c r="L1400">
        <v>44451</v>
      </c>
      <c r="M1400">
        <v>264</v>
      </c>
      <c r="N1400">
        <v>314</v>
      </c>
      <c r="O1400" s="4">
        <v>8900</v>
      </c>
      <c r="P1400" s="4">
        <v>4388.08642578125</v>
      </c>
      <c r="Q1400" s="5">
        <f t="shared" si="84"/>
        <v>-0.50695658137289323</v>
      </c>
      <c r="R1400" s="4">
        <v>4168.3361080019549</v>
      </c>
      <c r="S1400" s="5">
        <f t="shared" si="85"/>
        <v>-0.53164762831438717</v>
      </c>
      <c r="T1400" s="4">
        <v>3763.2403909782879</v>
      </c>
      <c r="U1400" s="5">
        <f t="shared" si="86"/>
        <v>-0.5771640010136756</v>
      </c>
      <c r="V1400" s="4">
        <v>4413.3837890625</v>
      </c>
      <c r="W1400" s="5">
        <f t="shared" si="87"/>
        <v>-0.50411418100421346</v>
      </c>
    </row>
    <row r="1401" spans="1:23" x14ac:dyDescent="0.25">
      <c r="A1401" t="s">
        <v>1833</v>
      </c>
      <c r="B1401">
        <v>2015</v>
      </c>
      <c r="C1401" t="s">
        <v>167</v>
      </c>
      <c r="D1401" t="s">
        <v>171</v>
      </c>
      <c r="E1401">
        <v>104542</v>
      </c>
      <c r="F1401" t="s">
        <v>219</v>
      </c>
      <c r="G1401" t="s">
        <v>44</v>
      </c>
      <c r="H1401" t="s">
        <v>25</v>
      </c>
      <c r="I1401" t="s">
        <v>24</v>
      </c>
      <c r="J1401" s="2">
        <v>45484</v>
      </c>
      <c r="K1401" t="s">
        <v>25</v>
      </c>
      <c r="L1401">
        <v>44451</v>
      </c>
      <c r="M1401">
        <v>264</v>
      </c>
      <c r="N1401">
        <v>314</v>
      </c>
      <c r="O1401" s="4">
        <v>5400</v>
      </c>
      <c r="P1401" s="4">
        <v>5538.859375</v>
      </c>
      <c r="Q1401" s="5">
        <f t="shared" si="84"/>
        <v>2.5714699074073977E-2</v>
      </c>
      <c r="R1401" s="4">
        <v>4966.3841261716743</v>
      </c>
      <c r="S1401" s="5">
        <f t="shared" si="85"/>
        <v>-8.0299235894134346E-2</v>
      </c>
      <c r="T1401" s="4">
        <v>4517.2944685582579</v>
      </c>
      <c r="U1401" s="5">
        <f t="shared" si="86"/>
        <v>-0.16346398730402634</v>
      </c>
      <c r="V1401" s="4">
        <v>5640.04443359375</v>
      </c>
      <c r="W1401" s="5">
        <f t="shared" si="87"/>
        <v>4.445267288773147E-2</v>
      </c>
    </row>
    <row r="1402" spans="1:23" x14ac:dyDescent="0.25">
      <c r="A1402" t="s">
        <v>1834</v>
      </c>
      <c r="B1402">
        <v>2012</v>
      </c>
      <c r="C1402" t="s">
        <v>139</v>
      </c>
      <c r="D1402" t="s">
        <v>1835</v>
      </c>
      <c r="E1402">
        <v>109137</v>
      </c>
      <c r="F1402" t="s">
        <v>98</v>
      </c>
      <c r="G1402" t="s">
        <v>38</v>
      </c>
      <c r="H1402" t="s">
        <v>25</v>
      </c>
      <c r="I1402" t="s">
        <v>24</v>
      </c>
      <c r="J1402" s="2">
        <v>45398</v>
      </c>
      <c r="K1402" t="s">
        <v>25</v>
      </c>
      <c r="L1402">
        <v>44451</v>
      </c>
      <c r="M1402">
        <v>264</v>
      </c>
      <c r="N1402">
        <v>314</v>
      </c>
      <c r="O1402" s="4">
        <v>27567.1829059829</v>
      </c>
      <c r="P1402" s="4">
        <v>6500.990234375</v>
      </c>
      <c r="Q1402" s="5">
        <f t="shared" si="84"/>
        <v>-0.76417647546554013</v>
      </c>
      <c r="R1402" s="4">
        <v>7154.1340438649731</v>
      </c>
      <c r="S1402" s="5">
        <f t="shared" si="85"/>
        <v>-0.74048367334943344</v>
      </c>
      <c r="T1402" s="4">
        <v>13266.443531905141</v>
      </c>
      <c r="U1402" s="5">
        <f t="shared" si="86"/>
        <v>-0.51875954909321087</v>
      </c>
      <c r="V1402" s="4">
        <v>6154.40478515625</v>
      </c>
      <c r="W1402" s="5">
        <f t="shared" si="87"/>
        <v>-0.77674886816887767</v>
      </c>
    </row>
    <row r="1403" spans="1:23" x14ac:dyDescent="0.25">
      <c r="A1403" t="s">
        <v>1836</v>
      </c>
      <c r="B1403">
        <v>2013</v>
      </c>
      <c r="C1403" t="s">
        <v>156</v>
      </c>
      <c r="D1403" t="s">
        <v>173</v>
      </c>
      <c r="E1403">
        <v>128749</v>
      </c>
      <c r="F1403" t="s">
        <v>79</v>
      </c>
      <c r="G1403" t="s">
        <v>38</v>
      </c>
      <c r="H1403" t="s">
        <v>25</v>
      </c>
      <c r="I1403" t="s">
        <v>24</v>
      </c>
      <c r="J1403" s="2">
        <v>45484</v>
      </c>
      <c r="K1403" t="s">
        <v>25</v>
      </c>
      <c r="L1403">
        <v>44451</v>
      </c>
      <c r="M1403">
        <v>264</v>
      </c>
      <c r="N1403">
        <v>314</v>
      </c>
      <c r="O1403" s="4">
        <v>3600</v>
      </c>
      <c r="P1403" s="4">
        <v>2002.114501953125</v>
      </c>
      <c r="Q1403" s="5">
        <f t="shared" si="84"/>
        <v>-0.44385708279079861</v>
      </c>
      <c r="R1403" s="4">
        <v>1575.8423808887801</v>
      </c>
      <c r="S1403" s="5">
        <f t="shared" si="85"/>
        <v>-0.56226600530867221</v>
      </c>
      <c r="T1403" s="4">
        <v>1857.34863983745</v>
      </c>
      <c r="U1403" s="5">
        <f t="shared" si="86"/>
        <v>-0.48406982226737494</v>
      </c>
      <c r="V1403" s="4">
        <v>1947.177490234375</v>
      </c>
      <c r="W1403" s="5">
        <f t="shared" si="87"/>
        <v>-0.45911736382378476</v>
      </c>
    </row>
    <row r="1404" spans="1:23" x14ac:dyDescent="0.25">
      <c r="A1404" t="s">
        <v>1837</v>
      </c>
      <c r="B1404">
        <v>2017</v>
      </c>
      <c r="C1404" t="s">
        <v>156</v>
      </c>
      <c r="D1404" t="s">
        <v>173</v>
      </c>
      <c r="E1404">
        <v>75642</v>
      </c>
      <c r="F1404" t="s">
        <v>382</v>
      </c>
      <c r="G1404" t="s">
        <v>23</v>
      </c>
      <c r="H1404" t="s">
        <v>24</v>
      </c>
      <c r="I1404" t="s">
        <v>25</v>
      </c>
      <c r="J1404" s="2">
        <v>45370</v>
      </c>
      <c r="K1404" t="s">
        <v>25</v>
      </c>
      <c r="L1404">
        <v>44451</v>
      </c>
      <c r="M1404">
        <v>264</v>
      </c>
      <c r="N1404">
        <v>314</v>
      </c>
      <c r="O1404" s="4">
        <v>2300</v>
      </c>
      <c r="P1404" s="4">
        <v>4605.939453125</v>
      </c>
      <c r="Q1404" s="5">
        <f t="shared" si="84"/>
        <v>1.0025823709239132</v>
      </c>
      <c r="R1404" s="4">
        <v>4837.9133545067307</v>
      </c>
      <c r="S1404" s="5">
        <f t="shared" si="85"/>
        <v>1.1034405889159697</v>
      </c>
      <c r="T1404" s="4">
        <v>5231.3676619910339</v>
      </c>
      <c r="U1404" s="5">
        <f t="shared" si="86"/>
        <v>1.2745076791265366</v>
      </c>
      <c r="V1404" s="4">
        <v>4585.2236328125</v>
      </c>
      <c r="W1404" s="5">
        <f t="shared" si="87"/>
        <v>0.99357549252717381</v>
      </c>
    </row>
    <row r="1405" spans="1:23" x14ac:dyDescent="0.25">
      <c r="A1405" t="s">
        <v>1838</v>
      </c>
      <c r="B1405">
        <v>2011</v>
      </c>
      <c r="C1405" t="s">
        <v>156</v>
      </c>
      <c r="D1405" t="s">
        <v>176</v>
      </c>
      <c r="E1405">
        <v>96607</v>
      </c>
      <c r="F1405" t="s">
        <v>214</v>
      </c>
      <c r="G1405" t="s">
        <v>34</v>
      </c>
      <c r="H1405" t="s">
        <v>25</v>
      </c>
      <c r="I1405" t="s">
        <v>24</v>
      </c>
      <c r="J1405" s="2">
        <v>45603</v>
      </c>
      <c r="K1405" t="s">
        <v>25</v>
      </c>
      <c r="L1405">
        <v>44451</v>
      </c>
      <c r="M1405">
        <v>264</v>
      </c>
      <c r="N1405">
        <v>314</v>
      </c>
      <c r="O1405" s="4">
        <v>2100</v>
      </c>
      <c r="P1405" s="4">
        <v>4069.789306640625</v>
      </c>
      <c r="Q1405" s="5">
        <f t="shared" si="84"/>
        <v>0.93799490792410722</v>
      </c>
      <c r="R1405" s="4">
        <v>4370.3400471758778</v>
      </c>
      <c r="S1405" s="5">
        <f t="shared" si="85"/>
        <v>1.0811143081789893</v>
      </c>
      <c r="T1405" s="4">
        <v>6388.4315087426949</v>
      </c>
      <c r="U1405" s="5">
        <f t="shared" si="86"/>
        <v>2.0421102422584263</v>
      </c>
      <c r="V1405" s="4">
        <v>4046.772705078125</v>
      </c>
      <c r="W1405" s="5">
        <f t="shared" si="87"/>
        <v>0.92703462146577387</v>
      </c>
    </row>
    <row r="1406" spans="1:23" x14ac:dyDescent="0.25">
      <c r="A1406" t="s">
        <v>1839</v>
      </c>
      <c r="B1406">
        <v>2016</v>
      </c>
      <c r="C1406" t="s">
        <v>167</v>
      </c>
      <c r="D1406" t="s">
        <v>462</v>
      </c>
      <c r="E1406">
        <v>118234</v>
      </c>
      <c r="F1406" t="s">
        <v>29</v>
      </c>
      <c r="G1406" t="s">
        <v>34</v>
      </c>
      <c r="H1406" t="s">
        <v>25</v>
      </c>
      <c r="I1406" t="s">
        <v>24</v>
      </c>
      <c r="J1406" s="2">
        <v>45729</v>
      </c>
      <c r="K1406" t="s">
        <v>25</v>
      </c>
      <c r="L1406">
        <v>44451</v>
      </c>
      <c r="M1406">
        <v>264</v>
      </c>
      <c r="N1406">
        <v>314</v>
      </c>
      <c r="O1406" s="4">
        <v>4100</v>
      </c>
      <c r="P1406" s="4">
        <v>3334.951171875</v>
      </c>
      <c r="Q1406" s="5">
        <f t="shared" si="84"/>
        <v>-0.18659727515243907</v>
      </c>
      <c r="R1406" s="4">
        <v>5001.656822402274</v>
      </c>
      <c r="S1406" s="5">
        <f t="shared" si="85"/>
        <v>0.21991629814689606</v>
      </c>
      <c r="T1406" s="4">
        <v>5859.4371021601582</v>
      </c>
      <c r="U1406" s="5">
        <f t="shared" si="86"/>
        <v>0.42913100052686781</v>
      </c>
      <c r="V1406" s="4">
        <v>2976.114501953125</v>
      </c>
      <c r="W1406" s="5">
        <f t="shared" si="87"/>
        <v>-0.27411841415777438</v>
      </c>
    </row>
    <row r="1407" spans="1:23" x14ac:dyDescent="0.25">
      <c r="A1407" t="s">
        <v>1840</v>
      </c>
      <c r="B1407">
        <v>2012</v>
      </c>
      <c r="C1407" t="s">
        <v>139</v>
      </c>
      <c r="D1407" t="s">
        <v>283</v>
      </c>
      <c r="E1407">
        <v>137437</v>
      </c>
      <c r="F1407" t="s">
        <v>382</v>
      </c>
      <c r="G1407" t="s">
        <v>38</v>
      </c>
      <c r="H1407" t="s">
        <v>25</v>
      </c>
      <c r="I1407" t="s">
        <v>24</v>
      </c>
      <c r="J1407" s="2">
        <v>45736</v>
      </c>
      <c r="K1407" t="s">
        <v>25</v>
      </c>
      <c r="L1407">
        <v>44451</v>
      </c>
      <c r="M1407">
        <v>264</v>
      </c>
      <c r="N1407">
        <v>314</v>
      </c>
      <c r="O1407" s="4">
        <v>7500</v>
      </c>
      <c r="P1407" s="4">
        <v>4306.59521484375</v>
      </c>
      <c r="Q1407" s="5">
        <f t="shared" si="84"/>
        <v>-0.42578730468750003</v>
      </c>
      <c r="R1407" s="4">
        <v>3658.4812805591291</v>
      </c>
      <c r="S1407" s="5">
        <f t="shared" si="85"/>
        <v>-0.51220249592544942</v>
      </c>
      <c r="T1407" s="4">
        <v>3564.8340210508122</v>
      </c>
      <c r="U1407" s="5">
        <f t="shared" si="86"/>
        <v>-0.52468879719322503</v>
      </c>
      <c r="V1407" s="4">
        <v>4259.171875</v>
      </c>
      <c r="W1407" s="5">
        <f t="shared" si="87"/>
        <v>-0.43211041666666672</v>
      </c>
    </row>
    <row r="1408" spans="1:23" x14ac:dyDescent="0.25">
      <c r="A1408" t="s">
        <v>1841</v>
      </c>
      <c r="B1408">
        <v>2016</v>
      </c>
      <c r="C1408" t="s">
        <v>139</v>
      </c>
      <c r="D1408" t="s">
        <v>283</v>
      </c>
      <c r="E1408">
        <v>108496</v>
      </c>
      <c r="F1408" t="s">
        <v>382</v>
      </c>
      <c r="G1408" t="s">
        <v>34</v>
      </c>
      <c r="H1408" t="s">
        <v>25</v>
      </c>
      <c r="I1408" t="s">
        <v>24</v>
      </c>
      <c r="J1408" s="2">
        <v>45608</v>
      </c>
      <c r="K1408" t="s">
        <v>25</v>
      </c>
      <c r="L1408">
        <v>44451</v>
      </c>
      <c r="M1408">
        <v>264</v>
      </c>
      <c r="N1408">
        <v>314</v>
      </c>
      <c r="O1408" s="4">
        <v>12300</v>
      </c>
      <c r="P1408" s="4">
        <v>5442.607421875</v>
      </c>
      <c r="Q1408" s="5">
        <f t="shared" si="84"/>
        <v>-0.55751159171747966</v>
      </c>
      <c r="R1408" s="4">
        <v>6690.093759191609</v>
      </c>
      <c r="S1408" s="5">
        <f t="shared" si="85"/>
        <v>-0.45608993827710498</v>
      </c>
      <c r="T1408" s="4">
        <v>6527.2120106226303</v>
      </c>
      <c r="U1408" s="5">
        <f t="shared" si="86"/>
        <v>-0.46933235685994878</v>
      </c>
      <c r="V1408" s="4">
        <v>5052.91943359375</v>
      </c>
      <c r="W1408" s="5">
        <f t="shared" si="87"/>
        <v>-0.589193541984248</v>
      </c>
    </row>
    <row r="1409" spans="1:23" x14ac:dyDescent="0.25">
      <c r="A1409" t="s">
        <v>1842</v>
      </c>
      <c r="B1409">
        <v>2010</v>
      </c>
      <c r="C1409" t="s">
        <v>113</v>
      </c>
      <c r="D1409" t="s">
        <v>423</v>
      </c>
      <c r="E1409">
        <v>95727</v>
      </c>
      <c r="F1409" t="s">
        <v>334</v>
      </c>
      <c r="G1409" t="s">
        <v>23</v>
      </c>
      <c r="H1409" t="s">
        <v>24</v>
      </c>
      <c r="I1409" t="s">
        <v>25</v>
      </c>
      <c r="J1409" s="2">
        <v>45496</v>
      </c>
      <c r="K1409" t="s">
        <v>25</v>
      </c>
      <c r="L1409">
        <v>44451</v>
      </c>
      <c r="M1409">
        <v>264</v>
      </c>
      <c r="N1409">
        <v>314</v>
      </c>
      <c r="O1409" s="4">
        <v>7000</v>
      </c>
      <c r="P1409" s="4">
        <v>3887.51318359375</v>
      </c>
      <c r="Q1409" s="5">
        <f t="shared" si="84"/>
        <v>-0.44464097377232148</v>
      </c>
      <c r="R1409" s="4">
        <v>3803.5039633957481</v>
      </c>
      <c r="S1409" s="5">
        <f t="shared" si="85"/>
        <v>-0.45664229094346453</v>
      </c>
      <c r="T1409" s="4">
        <v>3755.3217032197408</v>
      </c>
      <c r="U1409" s="5">
        <f t="shared" si="86"/>
        <v>-0.46352547096860841</v>
      </c>
      <c r="V1409" s="4">
        <v>3909.11474609375</v>
      </c>
      <c r="W1409" s="5">
        <f t="shared" si="87"/>
        <v>-0.4415550362723214</v>
      </c>
    </row>
    <row r="1410" spans="1:23" x14ac:dyDescent="0.25">
      <c r="A1410" t="s">
        <v>1843</v>
      </c>
      <c r="B1410">
        <v>2011</v>
      </c>
      <c r="C1410" t="s">
        <v>519</v>
      </c>
      <c r="D1410" t="s">
        <v>520</v>
      </c>
      <c r="E1410">
        <v>105659</v>
      </c>
      <c r="F1410" t="s">
        <v>89</v>
      </c>
      <c r="G1410" t="s">
        <v>38</v>
      </c>
      <c r="H1410" t="s">
        <v>25</v>
      </c>
      <c r="I1410" t="s">
        <v>24</v>
      </c>
      <c r="J1410" s="2">
        <v>45496</v>
      </c>
      <c r="K1410" t="s">
        <v>25</v>
      </c>
      <c r="L1410">
        <v>44451</v>
      </c>
      <c r="M1410">
        <v>264</v>
      </c>
      <c r="N1410">
        <v>314</v>
      </c>
      <c r="O1410" s="4">
        <v>2000</v>
      </c>
      <c r="P1410" s="4">
        <v>2999.671875</v>
      </c>
      <c r="Q1410" s="5">
        <f t="shared" si="84"/>
        <v>0.4998359375000001</v>
      </c>
      <c r="R1410" s="4">
        <v>2817.6367298433588</v>
      </c>
      <c r="S1410" s="5">
        <f t="shared" si="85"/>
        <v>0.40881836492167944</v>
      </c>
      <c r="T1410" s="4">
        <v>3742.795703338666</v>
      </c>
      <c r="U1410" s="5">
        <f t="shared" si="86"/>
        <v>0.87139785166933303</v>
      </c>
      <c r="V1410" s="4">
        <v>2926.701416015625</v>
      </c>
      <c r="W1410" s="5">
        <f t="shared" si="87"/>
        <v>0.46335070800781253</v>
      </c>
    </row>
    <row r="1411" spans="1:23" x14ac:dyDescent="0.25">
      <c r="A1411" t="s">
        <v>1844</v>
      </c>
      <c r="B1411">
        <v>2018</v>
      </c>
      <c r="C1411" t="s">
        <v>774</v>
      </c>
      <c r="D1411" t="s">
        <v>1845</v>
      </c>
      <c r="E1411">
        <v>77520</v>
      </c>
      <c r="F1411" t="s">
        <v>77</v>
      </c>
      <c r="G1411" t="s">
        <v>34</v>
      </c>
      <c r="H1411" t="s">
        <v>25</v>
      </c>
      <c r="I1411" t="s">
        <v>24</v>
      </c>
      <c r="J1411" s="2">
        <v>45645</v>
      </c>
      <c r="K1411" t="s">
        <v>25</v>
      </c>
      <c r="L1411">
        <v>44451</v>
      </c>
      <c r="M1411">
        <v>264</v>
      </c>
      <c r="N1411">
        <v>314</v>
      </c>
      <c r="O1411" s="4">
        <v>17100</v>
      </c>
      <c r="P1411" s="4">
        <v>9270.6650390625</v>
      </c>
      <c r="Q1411" s="5">
        <f t="shared" ref="Q1411:Q1474" si="88">(P1411/$O1411)-1</f>
        <v>-0.45785584566885962</v>
      </c>
      <c r="R1411" s="4">
        <v>12976.63844188539</v>
      </c>
      <c r="S1411" s="5">
        <f t="shared" ref="S1411:S1474" si="89">(R1411/$O1411)-1</f>
        <v>-0.24113225486050349</v>
      </c>
      <c r="T1411" s="4">
        <v>11325.52326931365</v>
      </c>
      <c r="U1411" s="5">
        <f t="shared" ref="U1411:U1474" si="90">(T1411/$O1411)-1</f>
        <v>-0.33768869770095622</v>
      </c>
      <c r="V1411" s="4">
        <v>8518.05078125</v>
      </c>
      <c r="W1411" s="5">
        <f t="shared" ref="W1411:W1474" si="91">(V1411/$O1411)-1</f>
        <v>-0.50186837536549711</v>
      </c>
    </row>
    <row r="1412" spans="1:23" x14ac:dyDescent="0.25">
      <c r="A1412" t="s">
        <v>1846</v>
      </c>
      <c r="B1412">
        <v>2012</v>
      </c>
      <c r="C1412" t="s">
        <v>185</v>
      </c>
      <c r="D1412" t="s">
        <v>1298</v>
      </c>
      <c r="E1412">
        <v>117698</v>
      </c>
      <c r="F1412" t="s">
        <v>58</v>
      </c>
      <c r="G1412" t="s">
        <v>30</v>
      </c>
      <c r="H1412" t="s">
        <v>24</v>
      </c>
      <c r="I1412" t="s">
        <v>25</v>
      </c>
      <c r="J1412" s="2">
        <v>45337</v>
      </c>
      <c r="K1412" t="s">
        <v>25</v>
      </c>
      <c r="L1412">
        <v>44451</v>
      </c>
      <c r="M1412">
        <v>264</v>
      </c>
      <c r="N1412">
        <v>314</v>
      </c>
      <c r="O1412" s="4">
        <v>4300</v>
      </c>
      <c r="P1412" s="4">
        <v>1937.769165039062</v>
      </c>
      <c r="Q1412" s="5">
        <f t="shared" si="88"/>
        <v>-0.54935600813045071</v>
      </c>
      <c r="R1412" s="4">
        <v>2164.1155506318391</v>
      </c>
      <c r="S1412" s="5">
        <f t="shared" si="89"/>
        <v>-0.49671731380654904</v>
      </c>
      <c r="T1412" s="4">
        <v>3441.8839599145622</v>
      </c>
      <c r="U1412" s="5">
        <f t="shared" si="90"/>
        <v>-0.19956186978731116</v>
      </c>
      <c r="V1412" s="4">
        <v>1947.177490234375</v>
      </c>
      <c r="W1412" s="5">
        <f t="shared" si="91"/>
        <v>-0.54716802552688959</v>
      </c>
    </row>
    <row r="1413" spans="1:23" x14ac:dyDescent="0.25">
      <c r="A1413" t="s">
        <v>1847</v>
      </c>
      <c r="B1413">
        <v>2015</v>
      </c>
      <c r="C1413" t="s">
        <v>91</v>
      </c>
      <c r="D1413" t="s">
        <v>287</v>
      </c>
      <c r="E1413">
        <v>127845</v>
      </c>
      <c r="F1413" t="s">
        <v>334</v>
      </c>
      <c r="G1413" t="s">
        <v>30</v>
      </c>
      <c r="H1413" t="s">
        <v>24</v>
      </c>
      <c r="I1413" t="s">
        <v>25</v>
      </c>
      <c r="J1413" s="2">
        <v>45566</v>
      </c>
      <c r="K1413" t="s">
        <v>25</v>
      </c>
      <c r="L1413">
        <v>44451</v>
      </c>
      <c r="M1413">
        <v>264</v>
      </c>
      <c r="N1413">
        <v>314</v>
      </c>
      <c r="O1413" s="4">
        <v>7000</v>
      </c>
      <c r="P1413" s="4">
        <v>2240.275390625</v>
      </c>
      <c r="Q1413" s="5">
        <f t="shared" si="88"/>
        <v>-0.67996065848214293</v>
      </c>
      <c r="R1413" s="4">
        <v>3555.7107598374769</v>
      </c>
      <c r="S1413" s="5">
        <f t="shared" si="89"/>
        <v>-0.49204132002321754</v>
      </c>
      <c r="T1413" s="4">
        <v>2676.7013875207822</v>
      </c>
      <c r="U1413" s="5">
        <f t="shared" si="90"/>
        <v>-0.61761408749703106</v>
      </c>
      <c r="V1413" s="4">
        <v>2117.8193359375</v>
      </c>
      <c r="W1413" s="5">
        <f t="shared" si="91"/>
        <v>-0.69745438058035714</v>
      </c>
    </row>
    <row r="1414" spans="1:23" x14ac:dyDescent="0.25">
      <c r="A1414" t="s">
        <v>1848</v>
      </c>
      <c r="B1414">
        <v>2017</v>
      </c>
      <c r="C1414" t="s">
        <v>91</v>
      </c>
      <c r="D1414" t="s">
        <v>287</v>
      </c>
      <c r="E1414">
        <v>64438</v>
      </c>
      <c r="F1414" t="s">
        <v>174</v>
      </c>
      <c r="G1414" t="s">
        <v>44</v>
      </c>
      <c r="H1414" t="s">
        <v>25</v>
      </c>
      <c r="I1414" t="s">
        <v>24</v>
      </c>
      <c r="J1414" s="2">
        <v>45664</v>
      </c>
      <c r="K1414" t="s">
        <v>25</v>
      </c>
      <c r="L1414">
        <v>44451</v>
      </c>
      <c r="M1414">
        <v>264</v>
      </c>
      <c r="N1414">
        <v>314</v>
      </c>
      <c r="O1414" s="4">
        <v>17600</v>
      </c>
      <c r="P1414" s="4">
        <v>12083.8388671875</v>
      </c>
      <c r="Q1414" s="5">
        <f t="shared" si="88"/>
        <v>-0.31341824618252845</v>
      </c>
      <c r="R1414" s="4">
        <v>14972.579268199721</v>
      </c>
      <c r="S1414" s="5">
        <f t="shared" si="89"/>
        <v>-0.14928526885228854</v>
      </c>
      <c r="T1414" s="4">
        <v>9269.3756006062031</v>
      </c>
      <c r="U1414" s="5">
        <f t="shared" si="90"/>
        <v>-0.47333093178373842</v>
      </c>
      <c r="V1414" s="4">
        <v>11162.8955078125</v>
      </c>
      <c r="W1414" s="5">
        <f t="shared" si="91"/>
        <v>-0.36574457341974431</v>
      </c>
    </row>
    <row r="1415" spans="1:23" x14ac:dyDescent="0.25">
      <c r="A1415" t="s">
        <v>1849</v>
      </c>
      <c r="B1415">
        <v>2015</v>
      </c>
      <c r="C1415" t="s">
        <v>20</v>
      </c>
      <c r="D1415" t="s">
        <v>421</v>
      </c>
      <c r="E1415">
        <v>88285</v>
      </c>
      <c r="F1415" t="s">
        <v>37</v>
      </c>
      <c r="G1415" t="s">
        <v>38</v>
      </c>
      <c r="H1415" t="s">
        <v>25</v>
      </c>
      <c r="I1415" t="s">
        <v>24</v>
      </c>
      <c r="J1415" s="2">
        <v>45566</v>
      </c>
      <c r="K1415" t="s">
        <v>25</v>
      </c>
      <c r="L1415">
        <v>44451</v>
      </c>
      <c r="M1415">
        <v>264</v>
      </c>
      <c r="N1415">
        <v>314</v>
      </c>
      <c r="O1415" s="4">
        <v>8100</v>
      </c>
      <c r="P1415" s="4">
        <v>3991.555908203125</v>
      </c>
      <c r="Q1415" s="5">
        <f t="shared" si="88"/>
        <v>-0.50721531997492286</v>
      </c>
      <c r="R1415" s="4">
        <v>8219.0922941304834</v>
      </c>
      <c r="S1415" s="5">
        <f t="shared" si="89"/>
        <v>1.4702752361787974E-2</v>
      </c>
      <c r="T1415" s="4">
        <v>5366.6183689041536</v>
      </c>
      <c r="U1415" s="5">
        <f t="shared" si="90"/>
        <v>-0.33745452235751194</v>
      </c>
      <c r="V1415" s="4">
        <v>4220.32861328125</v>
      </c>
      <c r="W1415" s="5">
        <f t="shared" si="91"/>
        <v>-0.47897177613811726</v>
      </c>
    </row>
    <row r="1416" spans="1:23" x14ac:dyDescent="0.25">
      <c r="A1416" t="s">
        <v>1850</v>
      </c>
      <c r="B1416">
        <v>2014</v>
      </c>
      <c r="C1416" t="s">
        <v>167</v>
      </c>
      <c r="D1416" t="s">
        <v>675</v>
      </c>
      <c r="E1416">
        <v>162140</v>
      </c>
      <c r="F1416" t="s">
        <v>22</v>
      </c>
      <c r="G1416" t="s">
        <v>30</v>
      </c>
      <c r="H1416" t="s">
        <v>24</v>
      </c>
      <c r="I1416" t="s">
        <v>25</v>
      </c>
      <c r="J1416" s="2">
        <v>45622</v>
      </c>
      <c r="K1416" t="s">
        <v>25</v>
      </c>
      <c r="L1416">
        <v>44451</v>
      </c>
      <c r="M1416">
        <v>264</v>
      </c>
      <c r="N1416">
        <v>314</v>
      </c>
      <c r="O1416" s="4">
        <v>5600</v>
      </c>
      <c r="P1416" s="4">
        <v>1375.092895507812</v>
      </c>
      <c r="Q1416" s="5">
        <f t="shared" si="88"/>
        <v>-0.75444769723074789</v>
      </c>
      <c r="R1416" s="4">
        <v>1566.762377202152</v>
      </c>
      <c r="S1416" s="5">
        <f t="shared" si="89"/>
        <v>-0.72022100407104428</v>
      </c>
      <c r="T1416" s="4">
        <v>2426.7568639210199</v>
      </c>
      <c r="U1416" s="5">
        <f t="shared" si="90"/>
        <v>-0.56665056001410363</v>
      </c>
      <c r="V1416" s="4">
        <v>1375.471069335938</v>
      </c>
      <c r="W1416" s="5">
        <f t="shared" si="91"/>
        <v>-0.75438016619001114</v>
      </c>
    </row>
    <row r="1417" spans="1:23" x14ac:dyDescent="0.25">
      <c r="A1417" t="s">
        <v>1851</v>
      </c>
      <c r="B1417">
        <v>2021</v>
      </c>
      <c r="C1417" t="s">
        <v>167</v>
      </c>
      <c r="D1417" t="s">
        <v>1699</v>
      </c>
      <c r="E1417">
        <v>36406</v>
      </c>
      <c r="F1417" t="s">
        <v>98</v>
      </c>
      <c r="G1417" t="s">
        <v>34</v>
      </c>
      <c r="H1417" t="s">
        <v>25</v>
      </c>
      <c r="I1417" t="s">
        <v>24</v>
      </c>
      <c r="J1417" s="2">
        <v>45538</v>
      </c>
      <c r="K1417" t="s">
        <v>25</v>
      </c>
      <c r="L1417">
        <v>44451</v>
      </c>
      <c r="M1417">
        <v>264</v>
      </c>
      <c r="N1417">
        <v>314</v>
      </c>
      <c r="O1417" s="4">
        <v>15800</v>
      </c>
      <c r="P1417" s="4">
        <v>18112.703125</v>
      </c>
      <c r="Q1417" s="5">
        <f t="shared" si="88"/>
        <v>0.1463736155063291</v>
      </c>
      <c r="R1417" s="4">
        <v>18609.735623102621</v>
      </c>
      <c r="S1417" s="5">
        <f t="shared" si="89"/>
        <v>0.17783136855079884</v>
      </c>
      <c r="T1417" s="4">
        <v>21180.106218220211</v>
      </c>
      <c r="U1417" s="5">
        <f t="shared" si="90"/>
        <v>0.34051305178608926</v>
      </c>
      <c r="V1417" s="4">
        <v>18181.86328125</v>
      </c>
      <c r="W1417" s="5">
        <f t="shared" si="91"/>
        <v>0.15075084058544297</v>
      </c>
    </row>
    <row r="1418" spans="1:23" x14ac:dyDescent="0.25">
      <c r="A1418" t="s">
        <v>1852</v>
      </c>
      <c r="B1418">
        <v>2016</v>
      </c>
      <c r="C1418" t="s">
        <v>156</v>
      </c>
      <c r="D1418" t="s">
        <v>196</v>
      </c>
      <c r="E1418">
        <v>66829</v>
      </c>
      <c r="F1418" t="s">
        <v>55</v>
      </c>
      <c r="G1418" t="s">
        <v>34</v>
      </c>
      <c r="H1418" t="s">
        <v>25</v>
      </c>
      <c r="I1418" t="s">
        <v>24</v>
      </c>
      <c r="J1418" s="2">
        <v>45505</v>
      </c>
      <c r="K1418" t="s">
        <v>25</v>
      </c>
      <c r="L1418">
        <v>44451</v>
      </c>
      <c r="M1418">
        <v>264</v>
      </c>
      <c r="N1418">
        <v>314</v>
      </c>
      <c r="O1418" s="4">
        <v>3500</v>
      </c>
      <c r="P1418" s="4">
        <v>5272.9150390625</v>
      </c>
      <c r="Q1418" s="5">
        <f t="shared" si="88"/>
        <v>0.50654715401785722</v>
      </c>
      <c r="R1418" s="4">
        <v>5365.6494120943044</v>
      </c>
      <c r="S1418" s="5">
        <f t="shared" si="89"/>
        <v>0.53304268916980124</v>
      </c>
      <c r="T1418" s="4">
        <v>5276.8925812512061</v>
      </c>
      <c r="U1418" s="5">
        <f t="shared" si="90"/>
        <v>0.50768359464320167</v>
      </c>
      <c r="V1418" s="4">
        <v>5249.74267578125</v>
      </c>
      <c r="W1418" s="5">
        <f t="shared" si="91"/>
        <v>0.49992647879464291</v>
      </c>
    </row>
    <row r="1419" spans="1:23" x14ac:dyDescent="0.25">
      <c r="A1419" t="s">
        <v>1853</v>
      </c>
      <c r="B1419">
        <v>2014</v>
      </c>
      <c r="C1419" t="s">
        <v>156</v>
      </c>
      <c r="D1419" t="s">
        <v>196</v>
      </c>
      <c r="E1419">
        <v>146266</v>
      </c>
      <c r="F1419" t="s">
        <v>66</v>
      </c>
      <c r="G1419" t="s">
        <v>23</v>
      </c>
      <c r="H1419" t="s">
        <v>24</v>
      </c>
      <c r="I1419" t="s">
        <v>25</v>
      </c>
      <c r="J1419" s="2">
        <v>45664</v>
      </c>
      <c r="K1419" t="s">
        <v>25</v>
      </c>
      <c r="L1419">
        <v>44451</v>
      </c>
      <c r="M1419">
        <v>264</v>
      </c>
      <c r="N1419">
        <v>314</v>
      </c>
      <c r="O1419" s="4">
        <v>1000</v>
      </c>
      <c r="P1419" s="4">
        <v>1320.306640625</v>
      </c>
      <c r="Q1419" s="5">
        <f t="shared" si="88"/>
        <v>0.32030664062499992</v>
      </c>
      <c r="R1419" s="4">
        <v>1234.518873645329</v>
      </c>
      <c r="S1419" s="5">
        <f t="shared" si="89"/>
        <v>0.23451887364532897</v>
      </c>
      <c r="T1419" s="4">
        <v>1564.7789540537849</v>
      </c>
      <c r="U1419" s="5">
        <f t="shared" si="90"/>
        <v>0.56477895405378487</v>
      </c>
      <c r="V1419" s="4">
        <v>1337.383178710938</v>
      </c>
      <c r="W1419" s="5">
        <f t="shared" si="91"/>
        <v>0.33738317871093804</v>
      </c>
    </row>
    <row r="1420" spans="1:23" x14ac:dyDescent="0.25">
      <c r="A1420" t="s">
        <v>1854</v>
      </c>
      <c r="B1420">
        <v>2019</v>
      </c>
      <c r="C1420" t="s">
        <v>156</v>
      </c>
      <c r="D1420" t="s">
        <v>1327</v>
      </c>
      <c r="E1420">
        <v>133955</v>
      </c>
      <c r="F1420" t="s">
        <v>246</v>
      </c>
      <c r="G1420" t="s">
        <v>34</v>
      </c>
      <c r="H1420" t="s">
        <v>25</v>
      </c>
      <c r="I1420" t="s">
        <v>24</v>
      </c>
      <c r="J1420" s="2">
        <v>45673</v>
      </c>
      <c r="K1420" t="s">
        <v>25</v>
      </c>
      <c r="L1420">
        <v>44451</v>
      </c>
      <c r="M1420">
        <v>264</v>
      </c>
      <c r="N1420">
        <v>314</v>
      </c>
      <c r="O1420" s="4">
        <v>11500</v>
      </c>
      <c r="P1420" s="4">
        <v>3910.989013671875</v>
      </c>
      <c r="Q1420" s="5">
        <f t="shared" si="88"/>
        <v>-0.65991399881114132</v>
      </c>
      <c r="R1420" s="4">
        <v>3964.3427486256519</v>
      </c>
      <c r="S1420" s="5">
        <f t="shared" si="89"/>
        <v>-0.65527454359776938</v>
      </c>
      <c r="T1420" s="4">
        <v>6761.4770542797341</v>
      </c>
      <c r="U1420" s="5">
        <f t="shared" si="90"/>
        <v>-0.41204547354089271</v>
      </c>
      <c r="V1420" s="4">
        <v>3909.11474609375</v>
      </c>
      <c r="W1420" s="5">
        <f t="shared" si="91"/>
        <v>-0.66007697860054348</v>
      </c>
    </row>
    <row r="1421" spans="1:23" x14ac:dyDescent="0.25">
      <c r="A1421" t="s">
        <v>1855</v>
      </c>
      <c r="B1421">
        <v>2020</v>
      </c>
      <c r="C1421" t="s">
        <v>53</v>
      </c>
      <c r="D1421" t="s">
        <v>485</v>
      </c>
      <c r="E1421">
        <v>25615</v>
      </c>
      <c r="F1421" t="s">
        <v>72</v>
      </c>
      <c r="G1421" t="s">
        <v>44</v>
      </c>
      <c r="H1421" t="s">
        <v>25</v>
      </c>
      <c r="I1421" t="s">
        <v>24</v>
      </c>
      <c r="J1421" s="2">
        <v>45482</v>
      </c>
      <c r="K1421" t="s">
        <v>25</v>
      </c>
      <c r="L1421">
        <v>44451</v>
      </c>
      <c r="M1421">
        <v>264</v>
      </c>
      <c r="N1421">
        <v>314</v>
      </c>
      <c r="O1421" s="4">
        <v>12800</v>
      </c>
      <c r="P1421" s="4">
        <v>24467.40234375</v>
      </c>
      <c r="Q1421" s="5">
        <f t="shared" si="88"/>
        <v>0.91151580810546884</v>
      </c>
      <c r="R1421" s="4">
        <v>22148.342495465138</v>
      </c>
      <c r="S1421" s="5">
        <f t="shared" si="89"/>
        <v>0.73033925745821393</v>
      </c>
      <c r="T1421" s="4">
        <v>16653.587153569239</v>
      </c>
      <c r="U1421" s="5">
        <f t="shared" si="90"/>
        <v>0.30106149637259683</v>
      </c>
      <c r="V1421" s="4">
        <v>24517.0078125</v>
      </c>
      <c r="W1421" s="5">
        <f t="shared" si="91"/>
        <v>0.91539123535156253</v>
      </c>
    </row>
    <row r="1422" spans="1:23" x14ac:dyDescent="0.25">
      <c r="A1422" t="s">
        <v>1856</v>
      </c>
      <c r="B1422">
        <v>2017</v>
      </c>
      <c r="C1422" t="s">
        <v>487</v>
      </c>
      <c r="D1422" t="s">
        <v>1533</v>
      </c>
      <c r="E1422">
        <v>55911</v>
      </c>
      <c r="F1422" t="s">
        <v>102</v>
      </c>
      <c r="G1422" t="s">
        <v>44</v>
      </c>
      <c r="H1422" t="s">
        <v>25</v>
      </c>
      <c r="I1422" t="s">
        <v>24</v>
      </c>
      <c r="J1422" s="2">
        <v>45608</v>
      </c>
      <c r="K1422" t="s">
        <v>25</v>
      </c>
      <c r="L1422">
        <v>44451</v>
      </c>
      <c r="M1422">
        <v>264</v>
      </c>
      <c r="N1422">
        <v>314</v>
      </c>
      <c r="O1422" s="4">
        <v>14300</v>
      </c>
      <c r="P1422" s="4">
        <v>15133.3173828125</v>
      </c>
      <c r="Q1422" s="5">
        <f t="shared" si="88"/>
        <v>5.8273942854020877E-2</v>
      </c>
      <c r="R1422" s="4">
        <v>15421.040229506671</v>
      </c>
      <c r="S1422" s="5">
        <f t="shared" si="89"/>
        <v>7.8394421643823042E-2</v>
      </c>
      <c r="T1422" s="4">
        <v>13516.262555115831</v>
      </c>
      <c r="U1422" s="5">
        <f t="shared" si="90"/>
        <v>-5.4806814327564291E-2</v>
      </c>
      <c r="V1422" s="4">
        <v>15469.3017578125</v>
      </c>
      <c r="W1422" s="5">
        <f t="shared" si="91"/>
        <v>8.1769353693181834E-2</v>
      </c>
    </row>
    <row r="1423" spans="1:23" x14ac:dyDescent="0.25">
      <c r="A1423" t="s">
        <v>1857</v>
      </c>
      <c r="B1423">
        <v>2018</v>
      </c>
      <c r="C1423" t="s">
        <v>302</v>
      </c>
      <c r="D1423" t="s">
        <v>1342</v>
      </c>
      <c r="E1423">
        <v>118001</v>
      </c>
      <c r="F1423" t="s">
        <v>214</v>
      </c>
      <c r="G1423" t="s">
        <v>38</v>
      </c>
      <c r="H1423" t="s">
        <v>25</v>
      </c>
      <c r="I1423" t="s">
        <v>24</v>
      </c>
      <c r="J1423" s="2">
        <v>45426</v>
      </c>
      <c r="K1423" t="s">
        <v>25</v>
      </c>
      <c r="L1423">
        <v>44451</v>
      </c>
      <c r="M1423">
        <v>264</v>
      </c>
      <c r="N1423">
        <v>314</v>
      </c>
      <c r="O1423" s="4">
        <v>5500</v>
      </c>
      <c r="P1423" s="4">
        <v>9304.9951171875</v>
      </c>
      <c r="Q1423" s="5">
        <f t="shared" si="88"/>
        <v>0.69181729403409098</v>
      </c>
      <c r="R1423" s="4">
        <v>12477.29617112905</v>
      </c>
      <c r="S1423" s="5">
        <f t="shared" si="89"/>
        <v>1.2685993038416457</v>
      </c>
      <c r="T1423" s="4">
        <v>10742.47360275738</v>
      </c>
      <c r="U1423" s="5">
        <f t="shared" si="90"/>
        <v>0.95317701868316007</v>
      </c>
      <c r="V1423" s="4">
        <v>8563.05859375</v>
      </c>
      <c r="W1423" s="5">
        <f t="shared" si="91"/>
        <v>0.55691974431818192</v>
      </c>
    </row>
    <row r="1424" spans="1:23" x14ac:dyDescent="0.25">
      <c r="A1424" t="s">
        <v>1858</v>
      </c>
      <c r="B1424">
        <v>2012</v>
      </c>
      <c r="C1424" t="s">
        <v>266</v>
      </c>
      <c r="D1424" t="s">
        <v>908</v>
      </c>
      <c r="E1424">
        <v>78673</v>
      </c>
      <c r="F1424" t="s">
        <v>219</v>
      </c>
      <c r="G1424" t="s">
        <v>38</v>
      </c>
      <c r="H1424" t="s">
        <v>25</v>
      </c>
      <c r="I1424" t="s">
        <v>24</v>
      </c>
      <c r="J1424" s="2">
        <v>45594</v>
      </c>
      <c r="K1424" t="s">
        <v>25</v>
      </c>
      <c r="L1424">
        <v>44451</v>
      </c>
      <c r="M1424">
        <v>264</v>
      </c>
      <c r="N1424">
        <v>314</v>
      </c>
      <c r="O1424" s="4">
        <v>5500</v>
      </c>
      <c r="P1424" s="4">
        <v>4464.7216796875</v>
      </c>
      <c r="Q1424" s="5">
        <f t="shared" si="88"/>
        <v>-0.188232421875</v>
      </c>
      <c r="R1424" s="4">
        <v>4745.7820232037056</v>
      </c>
      <c r="S1424" s="5">
        <f t="shared" si="89"/>
        <v>-0.13713054123568991</v>
      </c>
      <c r="T1424" s="4">
        <v>4240.4758241381314</v>
      </c>
      <c r="U1424" s="5">
        <f t="shared" si="90"/>
        <v>-0.22900439561124886</v>
      </c>
      <c r="V1424" s="4">
        <v>4486.13818359375</v>
      </c>
      <c r="W1424" s="5">
        <f t="shared" si="91"/>
        <v>-0.18433851207386365</v>
      </c>
    </row>
    <row r="1425" spans="1:23" x14ac:dyDescent="0.25">
      <c r="A1425" t="s">
        <v>1859</v>
      </c>
      <c r="B1425">
        <v>2018</v>
      </c>
      <c r="C1425" t="s">
        <v>94</v>
      </c>
      <c r="D1425" t="s">
        <v>1860</v>
      </c>
      <c r="E1425">
        <v>78098</v>
      </c>
      <c r="F1425" t="s">
        <v>189</v>
      </c>
      <c r="G1425" t="s">
        <v>44</v>
      </c>
      <c r="H1425" t="s">
        <v>25</v>
      </c>
      <c r="I1425" t="s">
        <v>24</v>
      </c>
      <c r="J1425" s="2">
        <v>45342</v>
      </c>
      <c r="K1425" t="s">
        <v>25</v>
      </c>
      <c r="L1425">
        <v>44473</v>
      </c>
      <c r="M1425">
        <v>307</v>
      </c>
      <c r="N1425">
        <v>357</v>
      </c>
      <c r="O1425" s="4">
        <v>14200</v>
      </c>
      <c r="P1425" s="4">
        <v>14624.4453125</v>
      </c>
      <c r="Q1425" s="5">
        <f t="shared" si="88"/>
        <v>2.9890514964788784E-2</v>
      </c>
      <c r="R1425" s="4">
        <v>16976.885653507201</v>
      </c>
      <c r="S1425" s="5">
        <f t="shared" si="89"/>
        <v>0.19555532771177475</v>
      </c>
      <c r="T1425" s="4">
        <v>17609.002437498071</v>
      </c>
      <c r="U1425" s="5">
        <f t="shared" si="90"/>
        <v>0.24007059419000498</v>
      </c>
      <c r="V1425" s="4">
        <v>14291.662109375</v>
      </c>
      <c r="W1425" s="5">
        <f t="shared" si="91"/>
        <v>6.4550781249999023E-3</v>
      </c>
    </row>
    <row r="1426" spans="1:23" x14ac:dyDescent="0.25">
      <c r="A1426" t="s">
        <v>1861</v>
      </c>
      <c r="B1426">
        <v>2014</v>
      </c>
      <c r="C1426" t="s">
        <v>53</v>
      </c>
      <c r="D1426" t="s">
        <v>590</v>
      </c>
      <c r="E1426">
        <v>105269</v>
      </c>
      <c r="F1426" t="s">
        <v>82</v>
      </c>
      <c r="G1426" t="s">
        <v>30</v>
      </c>
      <c r="H1426" t="s">
        <v>24</v>
      </c>
      <c r="I1426" t="s">
        <v>25</v>
      </c>
      <c r="J1426" s="2">
        <v>45398</v>
      </c>
      <c r="K1426" t="s">
        <v>25</v>
      </c>
      <c r="L1426">
        <v>44473</v>
      </c>
      <c r="M1426">
        <v>307</v>
      </c>
      <c r="N1426">
        <v>357</v>
      </c>
      <c r="O1426" s="4">
        <v>8100</v>
      </c>
      <c r="P1426" s="4">
        <v>3852.59912109375</v>
      </c>
      <c r="Q1426" s="5">
        <f t="shared" si="88"/>
        <v>-0.52437047887731481</v>
      </c>
      <c r="R1426" s="4">
        <v>3885.128562928046</v>
      </c>
      <c r="S1426" s="5">
        <f t="shared" si="89"/>
        <v>-0.52035449840394499</v>
      </c>
      <c r="T1426" s="4">
        <v>1704.6671566098209</v>
      </c>
      <c r="U1426" s="5">
        <f t="shared" si="90"/>
        <v>-0.7895472646160715</v>
      </c>
      <c r="V1426" s="4">
        <v>3759.075927734375</v>
      </c>
      <c r="W1426" s="5">
        <f t="shared" si="91"/>
        <v>-0.53591655213155864</v>
      </c>
    </row>
    <row r="1427" spans="1:23" x14ac:dyDescent="0.25">
      <c r="A1427" t="s">
        <v>1862</v>
      </c>
      <c r="B1427">
        <v>2019</v>
      </c>
      <c r="C1427" t="s">
        <v>156</v>
      </c>
      <c r="D1427" t="s">
        <v>157</v>
      </c>
      <c r="E1427">
        <v>60262</v>
      </c>
      <c r="F1427" t="s">
        <v>141</v>
      </c>
      <c r="G1427" t="s">
        <v>30</v>
      </c>
      <c r="H1427" t="s">
        <v>24</v>
      </c>
      <c r="I1427" t="s">
        <v>25</v>
      </c>
      <c r="J1427" s="2">
        <v>45678</v>
      </c>
      <c r="K1427" t="s">
        <v>25</v>
      </c>
      <c r="L1427">
        <v>44473</v>
      </c>
      <c r="M1427">
        <v>307</v>
      </c>
      <c r="N1427">
        <v>357</v>
      </c>
      <c r="O1427" s="4">
        <v>4700</v>
      </c>
      <c r="P1427" s="4">
        <v>11489.1767578125</v>
      </c>
      <c r="Q1427" s="5">
        <f t="shared" si="88"/>
        <v>1.4445056931515956</v>
      </c>
      <c r="R1427" s="4">
        <v>12079.02493668753</v>
      </c>
      <c r="S1427" s="5">
        <f t="shared" si="89"/>
        <v>1.570005305678198</v>
      </c>
      <c r="T1427" s="4">
        <v>9812.7053882815362</v>
      </c>
      <c r="U1427" s="5">
        <f t="shared" si="90"/>
        <v>1.0878096570811779</v>
      </c>
      <c r="V1427" s="4">
        <v>11425.79296875</v>
      </c>
      <c r="W1427" s="5">
        <f t="shared" si="91"/>
        <v>1.4310197805851064</v>
      </c>
    </row>
    <row r="1428" spans="1:23" x14ac:dyDescent="0.25">
      <c r="A1428" t="s">
        <v>1863</v>
      </c>
      <c r="B1428">
        <v>2015</v>
      </c>
      <c r="C1428" t="s">
        <v>182</v>
      </c>
      <c r="D1428" t="s">
        <v>1749</v>
      </c>
      <c r="E1428">
        <v>128987</v>
      </c>
      <c r="F1428" t="s">
        <v>87</v>
      </c>
      <c r="G1428" t="s">
        <v>38</v>
      </c>
      <c r="H1428" t="s">
        <v>25</v>
      </c>
      <c r="I1428" t="s">
        <v>24</v>
      </c>
      <c r="J1428" s="2">
        <v>45426</v>
      </c>
      <c r="K1428" t="s">
        <v>25</v>
      </c>
      <c r="L1428">
        <v>44473</v>
      </c>
      <c r="M1428">
        <v>307</v>
      </c>
      <c r="N1428">
        <v>357</v>
      </c>
      <c r="O1428" s="4">
        <v>8200</v>
      </c>
      <c r="P1428" s="4">
        <v>5427.10546875</v>
      </c>
      <c r="Q1428" s="5">
        <f t="shared" si="88"/>
        <v>-0.33815786966463413</v>
      </c>
      <c r="R1428" s="4">
        <v>7386.6857560409626</v>
      </c>
      <c r="S1428" s="5">
        <f t="shared" si="89"/>
        <v>-9.9184663897443626E-2</v>
      </c>
      <c r="T1428" s="4">
        <v>5527.4082256782904</v>
      </c>
      <c r="U1428" s="5">
        <f t="shared" si="90"/>
        <v>-0.32592582613679388</v>
      </c>
      <c r="V1428" s="4">
        <v>4907.3291015625</v>
      </c>
      <c r="W1428" s="5">
        <f t="shared" si="91"/>
        <v>-0.40154523151676824</v>
      </c>
    </row>
    <row r="1429" spans="1:23" x14ac:dyDescent="0.25">
      <c r="A1429" t="s">
        <v>1864</v>
      </c>
      <c r="B1429">
        <v>2016</v>
      </c>
      <c r="C1429" t="s">
        <v>32</v>
      </c>
      <c r="D1429" t="s">
        <v>1595</v>
      </c>
      <c r="E1429">
        <v>47222</v>
      </c>
      <c r="F1429" t="s">
        <v>189</v>
      </c>
      <c r="G1429" t="s">
        <v>44</v>
      </c>
      <c r="H1429" t="s">
        <v>25</v>
      </c>
      <c r="I1429" t="s">
        <v>24</v>
      </c>
      <c r="J1429" s="2">
        <v>45692</v>
      </c>
      <c r="K1429" t="s">
        <v>25</v>
      </c>
      <c r="L1429">
        <v>44483</v>
      </c>
      <c r="M1429">
        <v>264</v>
      </c>
      <c r="N1429">
        <v>314</v>
      </c>
      <c r="O1429" s="4">
        <v>11700</v>
      </c>
      <c r="P1429" s="4">
        <v>16191.5107421875</v>
      </c>
      <c r="Q1429" s="5">
        <f t="shared" si="88"/>
        <v>0.38388980702457265</v>
      </c>
      <c r="R1429" s="4">
        <v>17335.425879981409</v>
      </c>
      <c r="S1429" s="5">
        <f t="shared" si="89"/>
        <v>0.48166033162234267</v>
      </c>
      <c r="T1429" s="4">
        <v>24081.389338132951</v>
      </c>
      <c r="U1429" s="5">
        <f t="shared" si="90"/>
        <v>1.0582384049686282</v>
      </c>
      <c r="V1429" s="4">
        <v>16286.3232421875</v>
      </c>
      <c r="W1429" s="5">
        <f t="shared" si="91"/>
        <v>0.3919934395032052</v>
      </c>
    </row>
    <row r="1430" spans="1:23" x14ac:dyDescent="0.25">
      <c r="A1430" t="s">
        <v>1865</v>
      </c>
      <c r="B1430">
        <v>2017</v>
      </c>
      <c r="C1430" t="s">
        <v>32</v>
      </c>
      <c r="D1430" t="s">
        <v>524</v>
      </c>
      <c r="E1430">
        <v>135605</v>
      </c>
      <c r="F1430" t="s">
        <v>37</v>
      </c>
      <c r="G1430" t="s">
        <v>23</v>
      </c>
      <c r="H1430" t="s">
        <v>24</v>
      </c>
      <c r="I1430" t="s">
        <v>25</v>
      </c>
      <c r="J1430" s="2">
        <v>45589</v>
      </c>
      <c r="K1430" t="s">
        <v>25</v>
      </c>
      <c r="L1430">
        <v>44483</v>
      </c>
      <c r="M1430">
        <v>264</v>
      </c>
      <c r="N1430">
        <v>314</v>
      </c>
      <c r="O1430" s="4">
        <v>3700</v>
      </c>
      <c r="P1430" s="4">
        <v>4718.533203125</v>
      </c>
      <c r="Q1430" s="5">
        <f t="shared" si="88"/>
        <v>0.27527924408783777</v>
      </c>
      <c r="R1430" s="4">
        <v>7179.6428460165198</v>
      </c>
      <c r="S1430" s="5">
        <f t="shared" si="89"/>
        <v>0.94044401243689735</v>
      </c>
      <c r="T1430" s="4">
        <v>8037.7766536524687</v>
      </c>
      <c r="U1430" s="5">
        <f t="shared" si="90"/>
        <v>1.1723720685547212</v>
      </c>
      <c r="V1430" s="4">
        <v>4397.41552734375</v>
      </c>
      <c r="W1430" s="5">
        <f t="shared" si="91"/>
        <v>0.18849068306587835</v>
      </c>
    </row>
    <row r="1431" spans="1:23" x14ac:dyDescent="0.25">
      <c r="A1431" t="s">
        <v>1866</v>
      </c>
      <c r="B1431">
        <v>2015</v>
      </c>
      <c r="C1431" t="s">
        <v>32</v>
      </c>
      <c r="D1431" t="s">
        <v>322</v>
      </c>
      <c r="E1431">
        <v>167233</v>
      </c>
      <c r="F1431" t="s">
        <v>77</v>
      </c>
      <c r="G1431" t="s">
        <v>30</v>
      </c>
      <c r="H1431" t="s">
        <v>24</v>
      </c>
      <c r="I1431" t="s">
        <v>25</v>
      </c>
      <c r="J1431" s="2">
        <v>45440</v>
      </c>
      <c r="K1431" t="s">
        <v>25</v>
      </c>
      <c r="L1431">
        <v>44483</v>
      </c>
      <c r="M1431">
        <v>264</v>
      </c>
      <c r="N1431">
        <v>314</v>
      </c>
      <c r="O1431" s="4">
        <v>2900</v>
      </c>
      <c r="P1431" s="4">
        <v>3286.169189453125</v>
      </c>
      <c r="Q1431" s="5">
        <f t="shared" si="88"/>
        <v>0.13316178946659485</v>
      </c>
      <c r="R1431" s="4">
        <v>4886.2449643349928</v>
      </c>
      <c r="S1431" s="5">
        <f t="shared" si="89"/>
        <v>0.68491205666723887</v>
      </c>
      <c r="T1431" s="4">
        <v>3341.4274707404479</v>
      </c>
      <c r="U1431" s="5">
        <f t="shared" si="90"/>
        <v>0.15221636922084403</v>
      </c>
      <c r="V1431" s="4">
        <v>2930.126708984375</v>
      </c>
      <c r="W1431" s="5">
        <f t="shared" si="91"/>
        <v>1.03885203394396E-2</v>
      </c>
    </row>
    <row r="1432" spans="1:23" x14ac:dyDescent="0.25">
      <c r="A1432" t="s">
        <v>1867</v>
      </c>
      <c r="B1432">
        <v>2017</v>
      </c>
      <c r="C1432" t="s">
        <v>50</v>
      </c>
      <c r="D1432">
        <v>1500</v>
      </c>
      <c r="E1432">
        <v>90843</v>
      </c>
      <c r="F1432" t="s">
        <v>98</v>
      </c>
      <c r="G1432" t="s">
        <v>30</v>
      </c>
      <c r="H1432" t="s">
        <v>24</v>
      </c>
      <c r="I1432" t="s">
        <v>25</v>
      </c>
      <c r="J1432" s="2">
        <v>45706</v>
      </c>
      <c r="K1432" t="s">
        <v>25</v>
      </c>
      <c r="L1432">
        <v>44483</v>
      </c>
      <c r="M1432">
        <v>264</v>
      </c>
      <c r="N1432">
        <v>314</v>
      </c>
      <c r="O1432" s="4">
        <v>15500</v>
      </c>
      <c r="P1432" s="4">
        <v>13153.533203125</v>
      </c>
      <c r="Q1432" s="5">
        <f t="shared" si="88"/>
        <v>-0.15138495463709678</v>
      </c>
      <c r="R1432" s="4">
        <v>15548.85363713761</v>
      </c>
      <c r="S1432" s="5">
        <f t="shared" si="89"/>
        <v>3.1518475572651639E-3</v>
      </c>
      <c r="T1432" s="4">
        <v>18027.07119400278</v>
      </c>
      <c r="U1432" s="5">
        <f t="shared" si="90"/>
        <v>0.16303685122598588</v>
      </c>
      <c r="V1432" s="4">
        <v>12454.7177734375</v>
      </c>
      <c r="W1432" s="5">
        <f t="shared" si="91"/>
        <v>-0.19646982106854838</v>
      </c>
    </row>
    <row r="1433" spans="1:23" x14ac:dyDescent="0.25">
      <c r="A1433" t="s">
        <v>1868</v>
      </c>
      <c r="B1433">
        <v>2015</v>
      </c>
      <c r="C1433" t="s">
        <v>53</v>
      </c>
      <c r="D1433" t="s">
        <v>590</v>
      </c>
      <c r="E1433">
        <v>139745</v>
      </c>
      <c r="F1433" t="s">
        <v>48</v>
      </c>
      <c r="G1433" t="s">
        <v>38</v>
      </c>
      <c r="H1433" t="s">
        <v>25</v>
      </c>
      <c r="I1433" t="s">
        <v>24</v>
      </c>
      <c r="J1433" s="2">
        <v>45510</v>
      </c>
      <c r="K1433" t="s">
        <v>25</v>
      </c>
      <c r="L1433">
        <v>44483</v>
      </c>
      <c r="M1433">
        <v>264</v>
      </c>
      <c r="N1433">
        <v>314</v>
      </c>
      <c r="O1433" s="4">
        <v>1900</v>
      </c>
      <c r="P1433" s="4">
        <v>3510.62353515625</v>
      </c>
      <c r="Q1433" s="5">
        <f t="shared" si="88"/>
        <v>0.84769659745065784</v>
      </c>
      <c r="R1433" s="4">
        <v>5575.0791230874847</v>
      </c>
      <c r="S1433" s="5">
        <f t="shared" si="89"/>
        <v>1.9342521700460447</v>
      </c>
      <c r="T1433" s="4">
        <v>3266.217967311145</v>
      </c>
      <c r="U1433" s="5">
        <f t="shared" si="90"/>
        <v>0.71906208805849747</v>
      </c>
      <c r="V1433" s="4">
        <v>3025.607421875</v>
      </c>
      <c r="W1433" s="5">
        <f t="shared" si="91"/>
        <v>0.59242495888157887</v>
      </c>
    </row>
    <row r="1434" spans="1:23" x14ac:dyDescent="0.25">
      <c r="A1434" t="s">
        <v>1869</v>
      </c>
      <c r="B1434">
        <v>2017</v>
      </c>
      <c r="C1434" t="s">
        <v>53</v>
      </c>
      <c r="D1434" t="s">
        <v>60</v>
      </c>
      <c r="E1434">
        <v>105129</v>
      </c>
      <c r="F1434" t="s">
        <v>382</v>
      </c>
      <c r="G1434" t="s">
        <v>30</v>
      </c>
      <c r="H1434" t="s">
        <v>24</v>
      </c>
      <c r="I1434" t="s">
        <v>25</v>
      </c>
      <c r="J1434" s="2">
        <v>45594</v>
      </c>
      <c r="K1434" t="s">
        <v>25</v>
      </c>
      <c r="L1434">
        <v>44483</v>
      </c>
      <c r="M1434">
        <v>264</v>
      </c>
      <c r="N1434">
        <v>314</v>
      </c>
      <c r="O1434" s="4">
        <v>10500</v>
      </c>
      <c r="P1434" s="4">
        <v>3910.591796875</v>
      </c>
      <c r="Q1434" s="5">
        <f t="shared" si="88"/>
        <v>-0.62756268601190479</v>
      </c>
      <c r="R1434" s="4">
        <v>5334.6539909175426</v>
      </c>
      <c r="S1434" s="5">
        <f t="shared" si="89"/>
        <v>-0.49193771515071028</v>
      </c>
      <c r="T1434" s="4">
        <v>5256.2986342903159</v>
      </c>
      <c r="U1434" s="5">
        <f t="shared" si="90"/>
        <v>-0.49940013006758899</v>
      </c>
      <c r="V1434" s="4">
        <v>3519.557861328125</v>
      </c>
      <c r="W1434" s="5">
        <f t="shared" si="91"/>
        <v>-0.66480401320684523</v>
      </c>
    </row>
    <row r="1435" spans="1:23" x14ac:dyDescent="0.25">
      <c r="A1435" t="s">
        <v>1870</v>
      </c>
      <c r="B1435">
        <v>2012</v>
      </c>
      <c r="C1435" t="s">
        <v>20</v>
      </c>
      <c r="D1435" t="s">
        <v>76</v>
      </c>
      <c r="E1435">
        <v>99150</v>
      </c>
      <c r="F1435" t="s">
        <v>72</v>
      </c>
      <c r="G1435" t="s">
        <v>30</v>
      </c>
      <c r="H1435" t="s">
        <v>24</v>
      </c>
      <c r="I1435" t="s">
        <v>25</v>
      </c>
      <c r="J1435" s="2">
        <v>45398</v>
      </c>
      <c r="K1435" t="s">
        <v>25</v>
      </c>
      <c r="L1435">
        <v>44483</v>
      </c>
      <c r="M1435">
        <v>264</v>
      </c>
      <c r="N1435">
        <v>314</v>
      </c>
      <c r="O1435" s="4">
        <v>3700</v>
      </c>
      <c r="P1435" s="4">
        <v>4907.2001953125</v>
      </c>
      <c r="Q1435" s="5">
        <f t="shared" si="88"/>
        <v>0.32627032305743242</v>
      </c>
      <c r="R1435" s="4">
        <v>6587.8139045478092</v>
      </c>
      <c r="S1435" s="5">
        <f t="shared" si="89"/>
        <v>0.78049024447238091</v>
      </c>
      <c r="T1435" s="4">
        <v>3701.1706170868429</v>
      </c>
      <c r="U1435" s="5">
        <f t="shared" si="90"/>
        <v>3.1638299644409784E-4</v>
      </c>
      <c r="V1435" s="4">
        <v>4335.91162109375</v>
      </c>
      <c r="W1435" s="5">
        <f t="shared" si="91"/>
        <v>0.17186800570101357</v>
      </c>
    </row>
    <row r="1436" spans="1:23" x14ac:dyDescent="0.25">
      <c r="A1436" t="s">
        <v>1871</v>
      </c>
      <c r="B1436">
        <v>2013</v>
      </c>
      <c r="C1436" t="s">
        <v>20</v>
      </c>
      <c r="D1436" t="s">
        <v>76</v>
      </c>
      <c r="E1436">
        <v>99999</v>
      </c>
      <c r="F1436" t="s">
        <v>22</v>
      </c>
      <c r="G1436" t="s">
        <v>30</v>
      </c>
      <c r="H1436" t="s">
        <v>24</v>
      </c>
      <c r="I1436" t="s">
        <v>25</v>
      </c>
      <c r="J1436" s="2">
        <v>45512</v>
      </c>
      <c r="K1436" t="s">
        <v>25</v>
      </c>
      <c r="L1436">
        <v>44483</v>
      </c>
      <c r="M1436">
        <v>264</v>
      </c>
      <c r="N1436">
        <v>314</v>
      </c>
      <c r="O1436" s="4">
        <v>3800</v>
      </c>
      <c r="P1436" s="4">
        <v>3896.2734375</v>
      </c>
      <c r="Q1436" s="5">
        <f t="shared" si="88"/>
        <v>2.5335115131579045E-2</v>
      </c>
      <c r="R1436" s="4">
        <v>4198.7215484214266</v>
      </c>
      <c r="S1436" s="5">
        <f t="shared" si="89"/>
        <v>0.10492672326879648</v>
      </c>
      <c r="T1436" s="4">
        <v>1553.2632975605629</v>
      </c>
      <c r="U1436" s="5">
        <f t="shared" si="90"/>
        <v>-0.59124650064195716</v>
      </c>
      <c r="V1436" s="4">
        <v>3849.700439453125</v>
      </c>
      <c r="W1436" s="5">
        <f t="shared" si="91"/>
        <v>1.3079063013980319E-2</v>
      </c>
    </row>
    <row r="1437" spans="1:23" x14ac:dyDescent="0.25">
      <c r="A1437" t="s">
        <v>1872</v>
      </c>
      <c r="B1437">
        <v>2014</v>
      </c>
      <c r="C1437" t="s">
        <v>20</v>
      </c>
      <c r="D1437" t="s">
        <v>76</v>
      </c>
      <c r="E1437">
        <v>136990</v>
      </c>
      <c r="F1437" t="s">
        <v>37</v>
      </c>
      <c r="G1437" t="s">
        <v>30</v>
      </c>
      <c r="H1437" t="s">
        <v>24</v>
      </c>
      <c r="I1437" t="s">
        <v>25</v>
      </c>
      <c r="J1437" s="2">
        <v>45370</v>
      </c>
      <c r="K1437" t="s">
        <v>25</v>
      </c>
      <c r="L1437">
        <v>44483</v>
      </c>
      <c r="M1437">
        <v>264</v>
      </c>
      <c r="N1437">
        <v>314</v>
      </c>
      <c r="O1437" s="4">
        <v>4600</v>
      </c>
      <c r="P1437" s="4">
        <v>3001.279541015625</v>
      </c>
      <c r="Q1437" s="5">
        <f t="shared" si="88"/>
        <v>-0.34754792586616845</v>
      </c>
      <c r="R1437" s="4">
        <v>4497.7729103898082</v>
      </c>
      <c r="S1437" s="5">
        <f t="shared" si="89"/>
        <v>-2.222328035004173E-2</v>
      </c>
      <c r="T1437" s="4">
        <v>2516.535045960029</v>
      </c>
      <c r="U1437" s="5">
        <f t="shared" si="90"/>
        <v>-0.45292716392173282</v>
      </c>
      <c r="V1437" s="4">
        <v>2661.526611328125</v>
      </c>
      <c r="W1437" s="5">
        <f t="shared" si="91"/>
        <v>-0.42140725840692939</v>
      </c>
    </row>
    <row r="1438" spans="1:23" x14ac:dyDescent="0.25">
      <c r="A1438" t="s">
        <v>1873</v>
      </c>
      <c r="B1438">
        <v>2016</v>
      </c>
      <c r="C1438" t="s">
        <v>20</v>
      </c>
      <c r="D1438" t="s">
        <v>218</v>
      </c>
      <c r="E1438">
        <v>96848</v>
      </c>
      <c r="F1438" t="s">
        <v>111</v>
      </c>
      <c r="G1438" t="s">
        <v>30</v>
      </c>
      <c r="H1438" t="s">
        <v>24</v>
      </c>
      <c r="I1438" t="s">
        <v>25</v>
      </c>
      <c r="J1438" s="2">
        <v>45328</v>
      </c>
      <c r="K1438" t="s">
        <v>25</v>
      </c>
      <c r="L1438">
        <v>44483</v>
      </c>
      <c r="M1438">
        <v>264</v>
      </c>
      <c r="N1438">
        <v>314</v>
      </c>
      <c r="O1438" s="4">
        <v>8800</v>
      </c>
      <c r="P1438" s="4">
        <v>4817.84033203125</v>
      </c>
      <c r="Q1438" s="5">
        <f t="shared" si="88"/>
        <v>-0.45251814408735791</v>
      </c>
      <c r="R1438" s="4">
        <v>5389.9368351799503</v>
      </c>
      <c r="S1438" s="5">
        <f t="shared" si="89"/>
        <v>-0.38750717782046018</v>
      </c>
      <c r="T1438" s="4">
        <v>1694.1442282917631</v>
      </c>
      <c r="U1438" s="5">
        <f t="shared" si="90"/>
        <v>-0.8074836104213905</v>
      </c>
      <c r="V1438" s="4">
        <v>4588.04443359375</v>
      </c>
      <c r="W1438" s="5">
        <f t="shared" si="91"/>
        <v>-0.47863131436434658</v>
      </c>
    </row>
    <row r="1439" spans="1:23" x14ac:dyDescent="0.25">
      <c r="A1439" t="s">
        <v>1874</v>
      </c>
      <c r="B1439">
        <v>2016</v>
      </c>
      <c r="C1439" t="s">
        <v>20</v>
      </c>
      <c r="D1439" t="s">
        <v>110</v>
      </c>
      <c r="E1439">
        <v>125252</v>
      </c>
      <c r="F1439" t="s">
        <v>102</v>
      </c>
      <c r="G1439" t="s">
        <v>38</v>
      </c>
      <c r="H1439" t="s">
        <v>25</v>
      </c>
      <c r="I1439" t="s">
        <v>24</v>
      </c>
      <c r="J1439" s="2">
        <v>45314</v>
      </c>
      <c r="K1439" t="s">
        <v>25</v>
      </c>
      <c r="L1439">
        <v>44483</v>
      </c>
      <c r="M1439">
        <v>264</v>
      </c>
      <c r="N1439">
        <v>314</v>
      </c>
      <c r="O1439" s="4">
        <v>12500</v>
      </c>
      <c r="P1439" s="4">
        <v>7797.73828125</v>
      </c>
      <c r="Q1439" s="5">
        <f t="shared" si="88"/>
        <v>-0.37618093750000003</v>
      </c>
      <c r="R1439" s="4">
        <v>8256.6740021479964</v>
      </c>
      <c r="S1439" s="5">
        <f t="shared" si="89"/>
        <v>-0.33946607982816024</v>
      </c>
      <c r="T1439" s="4">
        <v>8307.013096309307</v>
      </c>
      <c r="U1439" s="5">
        <f t="shared" si="90"/>
        <v>-0.33543895229525544</v>
      </c>
      <c r="V1439" s="4">
        <v>7800.67724609375</v>
      </c>
      <c r="W1439" s="5">
        <f t="shared" si="91"/>
        <v>-0.37594582031250001</v>
      </c>
    </row>
    <row r="1440" spans="1:23" x14ac:dyDescent="0.25">
      <c r="A1440" t="s">
        <v>1875</v>
      </c>
      <c r="B1440">
        <v>2013</v>
      </c>
      <c r="C1440" t="s">
        <v>185</v>
      </c>
      <c r="D1440" t="s">
        <v>831</v>
      </c>
      <c r="E1440">
        <v>50905</v>
      </c>
      <c r="F1440" t="s">
        <v>72</v>
      </c>
      <c r="G1440" t="s">
        <v>38</v>
      </c>
      <c r="H1440" t="s">
        <v>25</v>
      </c>
      <c r="I1440" t="s">
        <v>24</v>
      </c>
      <c r="J1440" s="2">
        <v>45412</v>
      </c>
      <c r="K1440" t="s">
        <v>25</v>
      </c>
      <c r="L1440">
        <v>44483</v>
      </c>
      <c r="M1440">
        <v>264</v>
      </c>
      <c r="N1440">
        <v>314</v>
      </c>
      <c r="O1440" s="4">
        <v>3614.2857142857101</v>
      </c>
      <c r="P1440" s="4">
        <v>5426.48193359375</v>
      </c>
      <c r="Q1440" s="5">
        <f t="shared" si="88"/>
        <v>0.50139816344491273</v>
      </c>
      <c r="R1440" s="4">
        <v>8408.1385497404517</v>
      </c>
      <c r="S1440" s="5">
        <f t="shared" si="89"/>
        <v>1.3263624445922226</v>
      </c>
      <c r="T1440" s="4">
        <v>8967.2365142483359</v>
      </c>
      <c r="U1440" s="5">
        <f t="shared" si="90"/>
        <v>1.4810535810173291</v>
      </c>
      <c r="V1440" s="4">
        <v>4909.361328125</v>
      </c>
      <c r="W1440" s="5">
        <f t="shared" si="91"/>
        <v>0.35832131608201734</v>
      </c>
    </row>
    <row r="1441" spans="1:23" x14ac:dyDescent="0.25">
      <c r="A1441" t="s">
        <v>1876</v>
      </c>
      <c r="B1441">
        <v>2013</v>
      </c>
      <c r="C1441" t="s">
        <v>266</v>
      </c>
      <c r="D1441" t="s">
        <v>755</v>
      </c>
      <c r="E1441">
        <v>78994</v>
      </c>
      <c r="F1441" t="s">
        <v>22</v>
      </c>
      <c r="G1441" t="s">
        <v>38</v>
      </c>
      <c r="H1441" t="s">
        <v>25</v>
      </c>
      <c r="I1441" t="s">
        <v>24</v>
      </c>
      <c r="J1441" s="2">
        <v>45664</v>
      </c>
      <c r="K1441" t="s">
        <v>25</v>
      </c>
      <c r="L1441">
        <v>44483</v>
      </c>
      <c r="M1441">
        <v>264</v>
      </c>
      <c r="N1441">
        <v>314</v>
      </c>
      <c r="O1441" s="4">
        <v>4200</v>
      </c>
      <c r="P1441" s="4">
        <v>3459.490966796875</v>
      </c>
      <c r="Q1441" s="5">
        <f t="shared" si="88"/>
        <v>-0.17631167457217267</v>
      </c>
      <c r="R1441" s="4">
        <v>3836.189654205139</v>
      </c>
      <c r="S1441" s="5">
        <f t="shared" si="89"/>
        <v>-8.6621510903538312E-2</v>
      </c>
      <c r="T1441" s="4">
        <v>3358.9524275208901</v>
      </c>
      <c r="U1441" s="5">
        <f t="shared" si="90"/>
        <v>-0.20024942201883567</v>
      </c>
      <c r="V1441" s="4">
        <v>3270.098876953125</v>
      </c>
      <c r="W1441" s="5">
        <f t="shared" si="91"/>
        <v>-0.221405029296875</v>
      </c>
    </row>
    <row r="1442" spans="1:23" x14ac:dyDescent="0.25">
      <c r="A1442" t="s">
        <v>1877</v>
      </c>
      <c r="B1442">
        <v>2022</v>
      </c>
      <c r="C1442" t="s">
        <v>46</v>
      </c>
      <c r="D1442" t="s">
        <v>124</v>
      </c>
      <c r="E1442">
        <v>26405</v>
      </c>
      <c r="F1442" t="s">
        <v>250</v>
      </c>
      <c r="G1442" t="s">
        <v>38</v>
      </c>
      <c r="H1442" t="s">
        <v>25</v>
      </c>
      <c r="I1442" t="s">
        <v>24</v>
      </c>
      <c r="J1442" s="2">
        <v>45496</v>
      </c>
      <c r="K1442" t="s">
        <v>25</v>
      </c>
      <c r="L1442">
        <v>44483</v>
      </c>
      <c r="M1442">
        <v>264</v>
      </c>
      <c r="N1442">
        <v>314</v>
      </c>
      <c r="O1442" s="4">
        <v>24200</v>
      </c>
      <c r="P1442" s="4">
        <v>28863.037109375</v>
      </c>
      <c r="Q1442" s="5">
        <f t="shared" si="88"/>
        <v>0.19268748385847112</v>
      </c>
      <c r="R1442" s="4">
        <v>28907.032977922081</v>
      </c>
      <c r="S1442" s="5">
        <f t="shared" si="89"/>
        <v>0.19450549495545788</v>
      </c>
      <c r="T1442" s="4">
        <v>25387.546892032391</v>
      </c>
      <c r="U1442" s="5">
        <f t="shared" si="90"/>
        <v>4.9072185621173103E-2</v>
      </c>
      <c r="V1442" s="4">
        <v>29262.361328125</v>
      </c>
      <c r="W1442" s="5">
        <f t="shared" si="91"/>
        <v>0.20918848463326456</v>
      </c>
    </row>
    <row r="1443" spans="1:23" x14ac:dyDescent="0.25">
      <c r="A1443" t="s">
        <v>1878</v>
      </c>
      <c r="B1443">
        <v>2016</v>
      </c>
      <c r="C1443" t="s">
        <v>120</v>
      </c>
      <c r="D1443" t="s">
        <v>1626</v>
      </c>
      <c r="E1443">
        <v>104121</v>
      </c>
      <c r="F1443" t="s">
        <v>151</v>
      </c>
      <c r="G1443" t="s">
        <v>44</v>
      </c>
      <c r="H1443" t="s">
        <v>25</v>
      </c>
      <c r="I1443" t="s">
        <v>24</v>
      </c>
      <c r="J1443" s="2">
        <v>45384</v>
      </c>
      <c r="K1443" t="s">
        <v>25</v>
      </c>
      <c r="L1443">
        <v>44483</v>
      </c>
      <c r="M1443">
        <v>264</v>
      </c>
      <c r="N1443">
        <v>314</v>
      </c>
      <c r="O1443" s="4">
        <v>10000</v>
      </c>
      <c r="P1443" s="4">
        <v>8068.49072265625</v>
      </c>
      <c r="Q1443" s="5">
        <f t="shared" si="88"/>
        <v>-0.19315092773437503</v>
      </c>
      <c r="R1443" s="4">
        <v>8394.126718826592</v>
      </c>
      <c r="S1443" s="5">
        <f t="shared" si="89"/>
        <v>-0.16058732811734078</v>
      </c>
      <c r="T1443" s="4">
        <v>4940.9148199376205</v>
      </c>
      <c r="U1443" s="5">
        <f t="shared" si="90"/>
        <v>-0.50590851800623793</v>
      </c>
      <c r="V1443" s="4">
        <v>7912.83447265625</v>
      </c>
      <c r="W1443" s="5">
        <f t="shared" si="91"/>
        <v>-0.20871655273437495</v>
      </c>
    </row>
    <row r="1444" spans="1:23" x14ac:dyDescent="0.25">
      <c r="A1444" t="s">
        <v>1879</v>
      </c>
      <c r="B1444">
        <v>2013</v>
      </c>
      <c r="C1444" t="s">
        <v>46</v>
      </c>
      <c r="D1444" t="s">
        <v>234</v>
      </c>
      <c r="E1444">
        <v>142273</v>
      </c>
      <c r="F1444" t="s">
        <v>22</v>
      </c>
      <c r="G1444" t="s">
        <v>23</v>
      </c>
      <c r="H1444" t="s">
        <v>24</v>
      </c>
      <c r="I1444" t="s">
        <v>25</v>
      </c>
      <c r="J1444" s="2">
        <v>45309</v>
      </c>
      <c r="K1444" t="s">
        <v>25</v>
      </c>
      <c r="L1444">
        <v>44483</v>
      </c>
      <c r="M1444">
        <v>264</v>
      </c>
      <c r="N1444">
        <v>314</v>
      </c>
      <c r="O1444" s="4">
        <v>3200</v>
      </c>
      <c r="P1444" s="4">
        <v>2788.657958984375</v>
      </c>
      <c r="Q1444" s="5">
        <f t="shared" si="88"/>
        <v>-0.12854438781738287</v>
      </c>
      <c r="R1444" s="4">
        <v>2979.8394128197929</v>
      </c>
      <c r="S1444" s="5">
        <f t="shared" si="89"/>
        <v>-6.8800183493814782E-2</v>
      </c>
      <c r="T1444" s="4">
        <v>1775.391616219249</v>
      </c>
      <c r="U1444" s="5">
        <f t="shared" si="90"/>
        <v>-0.44519011993148472</v>
      </c>
      <c r="V1444" s="4">
        <v>2707.30712890625</v>
      </c>
      <c r="W1444" s="5">
        <f t="shared" si="91"/>
        <v>-0.15396652221679685</v>
      </c>
    </row>
    <row r="1445" spans="1:23" x14ac:dyDescent="0.25">
      <c r="A1445" t="s">
        <v>1880</v>
      </c>
      <c r="B1445">
        <v>2015</v>
      </c>
      <c r="C1445" t="s">
        <v>46</v>
      </c>
      <c r="D1445" t="s">
        <v>234</v>
      </c>
      <c r="E1445">
        <v>106694</v>
      </c>
      <c r="F1445" t="s">
        <v>111</v>
      </c>
      <c r="G1445" t="s">
        <v>30</v>
      </c>
      <c r="H1445" t="s">
        <v>24</v>
      </c>
      <c r="I1445" t="s">
        <v>25</v>
      </c>
      <c r="J1445" s="2">
        <v>45566</v>
      </c>
      <c r="K1445" t="s">
        <v>25</v>
      </c>
      <c r="L1445">
        <v>44483</v>
      </c>
      <c r="M1445">
        <v>264</v>
      </c>
      <c r="N1445">
        <v>314</v>
      </c>
      <c r="O1445" s="4">
        <v>2600</v>
      </c>
      <c r="P1445" s="4">
        <v>3929.69970703125</v>
      </c>
      <c r="Q1445" s="5">
        <f t="shared" si="88"/>
        <v>0.51142296424278855</v>
      </c>
      <c r="R1445" s="4">
        <v>4525.0700741058727</v>
      </c>
      <c r="S1445" s="5">
        <f t="shared" si="89"/>
        <v>0.74041156696379717</v>
      </c>
      <c r="T1445" s="4">
        <v>2832.4258556583159</v>
      </c>
      <c r="U1445" s="5">
        <f t="shared" si="90"/>
        <v>8.9394559868583023E-2</v>
      </c>
      <c r="V1445" s="4">
        <v>3783.816650390625</v>
      </c>
      <c r="W1445" s="5">
        <f t="shared" si="91"/>
        <v>0.45531409630408648</v>
      </c>
    </row>
    <row r="1446" spans="1:23" x14ac:dyDescent="0.25">
      <c r="A1446" t="s">
        <v>1881</v>
      </c>
      <c r="B1446">
        <v>2015</v>
      </c>
      <c r="C1446" t="s">
        <v>104</v>
      </c>
      <c r="D1446" t="s">
        <v>126</v>
      </c>
      <c r="E1446">
        <v>104860</v>
      </c>
      <c r="F1446" t="s">
        <v>382</v>
      </c>
      <c r="G1446" t="s">
        <v>23</v>
      </c>
      <c r="H1446" t="s">
        <v>24</v>
      </c>
      <c r="I1446" t="s">
        <v>25</v>
      </c>
      <c r="J1446" s="2">
        <v>45720</v>
      </c>
      <c r="K1446" t="s">
        <v>25</v>
      </c>
      <c r="L1446">
        <v>44483</v>
      </c>
      <c r="M1446">
        <v>264</v>
      </c>
      <c r="N1446">
        <v>314</v>
      </c>
      <c r="O1446" s="4">
        <v>9000</v>
      </c>
      <c r="P1446" s="4">
        <v>5943.39111328125</v>
      </c>
      <c r="Q1446" s="5">
        <f t="shared" si="88"/>
        <v>-0.3396232096354167</v>
      </c>
      <c r="R1446" s="4">
        <v>8079.1548318221849</v>
      </c>
      <c r="S1446" s="5">
        <f t="shared" si="89"/>
        <v>-0.10231612979753502</v>
      </c>
      <c r="T1446" s="4">
        <v>6570.1318455935652</v>
      </c>
      <c r="U1446" s="5">
        <f t="shared" si="90"/>
        <v>-0.26998535048960381</v>
      </c>
      <c r="V1446" s="4">
        <v>5268.7158203125</v>
      </c>
      <c r="W1446" s="5">
        <f t="shared" si="91"/>
        <v>-0.41458713107638889</v>
      </c>
    </row>
    <row r="1447" spans="1:23" x14ac:dyDescent="0.25">
      <c r="A1447" t="s">
        <v>1882</v>
      </c>
      <c r="B1447">
        <v>2020</v>
      </c>
      <c r="C1447" t="s">
        <v>113</v>
      </c>
      <c r="D1447" t="s">
        <v>1883</v>
      </c>
      <c r="E1447">
        <v>45233</v>
      </c>
      <c r="F1447" t="s">
        <v>63</v>
      </c>
      <c r="G1447" t="s">
        <v>34</v>
      </c>
      <c r="H1447" t="s">
        <v>25</v>
      </c>
      <c r="I1447" t="s">
        <v>24</v>
      </c>
      <c r="J1447" s="2">
        <v>45496</v>
      </c>
      <c r="K1447" t="s">
        <v>25</v>
      </c>
      <c r="L1447">
        <v>44483</v>
      </c>
      <c r="M1447">
        <v>264</v>
      </c>
      <c r="N1447">
        <v>314</v>
      </c>
      <c r="O1447" s="4">
        <v>1610</v>
      </c>
      <c r="P1447" s="4">
        <v>20648.984375</v>
      </c>
      <c r="Q1447" s="5">
        <f t="shared" si="88"/>
        <v>11.825456133540373</v>
      </c>
      <c r="R1447" s="4">
        <v>20070.734270701749</v>
      </c>
      <c r="S1447" s="5">
        <f t="shared" si="89"/>
        <v>11.466294578075621</v>
      </c>
      <c r="T1447" s="4">
        <v>19038.669669216459</v>
      </c>
      <c r="U1447" s="5">
        <f t="shared" si="90"/>
        <v>10.825260664109601</v>
      </c>
      <c r="V1447" s="4">
        <v>21072.8125</v>
      </c>
      <c r="W1447" s="5">
        <f t="shared" si="91"/>
        <v>12.088703416149068</v>
      </c>
    </row>
    <row r="1448" spans="1:23" x14ac:dyDescent="0.25">
      <c r="A1448" t="s">
        <v>1884</v>
      </c>
      <c r="B1448">
        <v>2018</v>
      </c>
      <c r="C1448" t="s">
        <v>46</v>
      </c>
      <c r="D1448" t="s">
        <v>145</v>
      </c>
      <c r="E1448">
        <v>101289</v>
      </c>
      <c r="F1448" t="s">
        <v>246</v>
      </c>
      <c r="G1448" t="s">
        <v>34</v>
      </c>
      <c r="H1448" t="s">
        <v>25</v>
      </c>
      <c r="I1448" t="s">
        <v>24</v>
      </c>
      <c r="J1448" s="2">
        <v>45552</v>
      </c>
      <c r="K1448" t="s">
        <v>25</v>
      </c>
      <c r="L1448">
        <v>44483</v>
      </c>
      <c r="M1448">
        <v>264</v>
      </c>
      <c r="N1448">
        <v>314</v>
      </c>
      <c r="O1448" s="4">
        <v>3400</v>
      </c>
      <c r="P1448" s="4">
        <v>7147.205078125</v>
      </c>
      <c r="Q1448" s="5">
        <f t="shared" si="88"/>
        <v>1.1021191406250002</v>
      </c>
      <c r="R1448" s="4">
        <v>7244.9765556597977</v>
      </c>
      <c r="S1448" s="5">
        <f t="shared" si="89"/>
        <v>1.1308754575469995</v>
      </c>
      <c r="T1448" s="4">
        <v>4197.2533100908367</v>
      </c>
      <c r="U1448" s="5">
        <f t="shared" si="90"/>
        <v>0.23448626767377556</v>
      </c>
      <c r="V1448" s="4">
        <v>7174.22998046875</v>
      </c>
      <c r="W1448" s="5">
        <f t="shared" si="91"/>
        <v>1.1100676413143384</v>
      </c>
    </row>
    <row r="1449" spans="1:23" x14ac:dyDescent="0.25">
      <c r="A1449" t="s">
        <v>1885</v>
      </c>
      <c r="B1449">
        <v>2014</v>
      </c>
      <c r="C1449" t="s">
        <v>104</v>
      </c>
      <c r="D1449" t="s">
        <v>1886</v>
      </c>
      <c r="E1449">
        <v>100298</v>
      </c>
      <c r="F1449" t="s">
        <v>77</v>
      </c>
      <c r="G1449" t="s">
        <v>38</v>
      </c>
      <c r="H1449" t="s">
        <v>25</v>
      </c>
      <c r="I1449" t="s">
        <v>24</v>
      </c>
      <c r="J1449" s="2">
        <v>45566</v>
      </c>
      <c r="K1449" t="s">
        <v>25</v>
      </c>
      <c r="L1449">
        <v>44483</v>
      </c>
      <c r="M1449">
        <v>264</v>
      </c>
      <c r="N1449">
        <v>314</v>
      </c>
      <c r="O1449" s="4">
        <v>20300</v>
      </c>
      <c r="P1449" s="4">
        <v>7489.26904296875</v>
      </c>
      <c r="Q1449" s="5">
        <f t="shared" si="88"/>
        <v>-0.6310704904941502</v>
      </c>
      <c r="R1449" s="4">
        <v>9074.6230911814091</v>
      </c>
      <c r="S1449" s="5">
        <f t="shared" si="89"/>
        <v>-0.55297423196150697</v>
      </c>
      <c r="T1449" s="4">
        <v>16861.51021133727</v>
      </c>
      <c r="U1449" s="5">
        <f t="shared" si="90"/>
        <v>-0.16938373343166158</v>
      </c>
      <c r="V1449" s="4">
        <v>6982.814453125</v>
      </c>
      <c r="W1449" s="5">
        <f t="shared" si="91"/>
        <v>-0.65601899245689654</v>
      </c>
    </row>
    <row r="1450" spans="1:23" x14ac:dyDescent="0.25">
      <c r="A1450" t="s">
        <v>1887</v>
      </c>
      <c r="B1450">
        <v>2018</v>
      </c>
      <c r="C1450" t="s">
        <v>185</v>
      </c>
      <c r="D1450" t="s">
        <v>264</v>
      </c>
      <c r="E1450">
        <v>94913</v>
      </c>
      <c r="F1450" t="s">
        <v>106</v>
      </c>
      <c r="G1450" t="s">
        <v>34</v>
      </c>
      <c r="H1450" t="s">
        <v>25</v>
      </c>
      <c r="I1450" t="s">
        <v>24</v>
      </c>
      <c r="J1450" s="2">
        <v>45715</v>
      </c>
      <c r="K1450" t="s">
        <v>25</v>
      </c>
      <c r="L1450">
        <v>44483</v>
      </c>
      <c r="M1450">
        <v>264</v>
      </c>
      <c r="N1450">
        <v>314</v>
      </c>
      <c r="O1450" s="4">
        <v>8000</v>
      </c>
      <c r="P1450" s="4">
        <v>8544.837890625</v>
      </c>
      <c r="Q1450" s="5">
        <f t="shared" si="88"/>
        <v>6.8104736328125082E-2</v>
      </c>
      <c r="R1450" s="4">
        <v>8234.7543643821864</v>
      </c>
      <c r="S1450" s="5">
        <f t="shared" si="89"/>
        <v>2.9344295547773402E-2</v>
      </c>
      <c r="T1450" s="4">
        <v>5917.9591465604844</v>
      </c>
      <c r="U1450" s="5">
        <f t="shared" si="90"/>
        <v>-0.26025510667993945</v>
      </c>
      <c r="V1450" s="4">
        <v>8481.1162109375</v>
      </c>
      <c r="W1450" s="5">
        <f t="shared" si="91"/>
        <v>6.0139526367187557E-2</v>
      </c>
    </row>
    <row r="1451" spans="1:23" x14ac:dyDescent="0.25">
      <c r="A1451" t="s">
        <v>1888</v>
      </c>
      <c r="B1451">
        <v>2019</v>
      </c>
      <c r="C1451" t="s">
        <v>185</v>
      </c>
      <c r="D1451" t="s">
        <v>264</v>
      </c>
      <c r="E1451">
        <v>42542</v>
      </c>
      <c r="F1451" t="s">
        <v>189</v>
      </c>
      <c r="G1451" t="s">
        <v>34</v>
      </c>
      <c r="H1451" t="s">
        <v>25</v>
      </c>
      <c r="I1451" t="s">
        <v>24</v>
      </c>
      <c r="J1451" s="2">
        <v>45351</v>
      </c>
      <c r="K1451" t="s">
        <v>25</v>
      </c>
      <c r="L1451">
        <v>44483</v>
      </c>
      <c r="M1451">
        <v>264</v>
      </c>
      <c r="N1451">
        <v>314</v>
      </c>
      <c r="O1451" s="4">
        <v>14100</v>
      </c>
      <c r="P1451" s="4">
        <v>16046.4970703125</v>
      </c>
      <c r="Q1451" s="5">
        <f t="shared" si="88"/>
        <v>0.13804943761081567</v>
      </c>
      <c r="R1451" s="4">
        <v>17130.51144579635</v>
      </c>
      <c r="S1451" s="5">
        <f t="shared" si="89"/>
        <v>0.21492988977279071</v>
      </c>
      <c r="T1451" s="4">
        <v>13999.074477835289</v>
      </c>
      <c r="U1451" s="5">
        <f t="shared" si="90"/>
        <v>-7.1578384513979465E-3</v>
      </c>
      <c r="V1451" s="4">
        <v>16286.3232421875</v>
      </c>
      <c r="W1451" s="5">
        <f t="shared" si="91"/>
        <v>0.15505838597074462</v>
      </c>
    </row>
    <row r="1452" spans="1:23" x14ac:dyDescent="0.25">
      <c r="A1452" t="s">
        <v>1889</v>
      </c>
      <c r="B1452">
        <v>2021</v>
      </c>
      <c r="C1452" t="s">
        <v>139</v>
      </c>
      <c r="D1452" t="s">
        <v>1835</v>
      </c>
      <c r="E1452">
        <v>56534</v>
      </c>
      <c r="F1452" t="s">
        <v>174</v>
      </c>
      <c r="G1452" t="s">
        <v>44</v>
      </c>
      <c r="H1452" t="s">
        <v>25</v>
      </c>
      <c r="I1452" t="s">
        <v>24</v>
      </c>
      <c r="J1452" s="2">
        <v>45720</v>
      </c>
      <c r="K1452" t="s">
        <v>25</v>
      </c>
      <c r="L1452">
        <v>44483</v>
      </c>
      <c r="M1452">
        <v>264</v>
      </c>
      <c r="N1452">
        <v>314</v>
      </c>
      <c r="O1452" s="4">
        <v>31500</v>
      </c>
      <c r="P1452" s="4">
        <v>23118.0390625</v>
      </c>
      <c r="Q1452" s="5">
        <f t="shared" si="88"/>
        <v>-0.26609399801587297</v>
      </c>
      <c r="R1452" s="4">
        <v>25929.414598941159</v>
      </c>
      <c r="S1452" s="5">
        <f t="shared" si="89"/>
        <v>-0.17684398098599496</v>
      </c>
      <c r="T1452" s="4">
        <v>32182.480193370371</v>
      </c>
      <c r="U1452" s="5">
        <f t="shared" si="90"/>
        <v>2.1666037884773726E-2</v>
      </c>
      <c r="V1452" s="4">
        <v>22105.85546875</v>
      </c>
      <c r="W1452" s="5">
        <f t="shared" si="91"/>
        <v>-0.29822681051587296</v>
      </c>
    </row>
    <row r="1453" spans="1:23" x14ac:dyDescent="0.25">
      <c r="A1453" t="s">
        <v>1890</v>
      </c>
      <c r="B1453">
        <v>2014</v>
      </c>
      <c r="C1453" t="s">
        <v>266</v>
      </c>
      <c r="D1453" t="s">
        <v>710</v>
      </c>
      <c r="E1453">
        <v>134081</v>
      </c>
      <c r="F1453" t="s">
        <v>79</v>
      </c>
      <c r="G1453" t="s">
        <v>30</v>
      </c>
      <c r="H1453" t="s">
        <v>24</v>
      </c>
      <c r="I1453" t="s">
        <v>25</v>
      </c>
      <c r="J1453" s="2">
        <v>45393</v>
      </c>
      <c r="K1453" t="s">
        <v>25</v>
      </c>
      <c r="L1453">
        <v>44483</v>
      </c>
      <c r="M1453">
        <v>264</v>
      </c>
      <c r="N1453">
        <v>314</v>
      </c>
      <c r="O1453" s="4">
        <v>3000</v>
      </c>
      <c r="P1453" s="4">
        <v>2236.545654296875</v>
      </c>
      <c r="Q1453" s="5">
        <f t="shared" si="88"/>
        <v>-0.25448478190104162</v>
      </c>
      <c r="R1453" s="4">
        <v>2023.8823718215631</v>
      </c>
      <c r="S1453" s="5">
        <f t="shared" si="89"/>
        <v>-0.32537254272614569</v>
      </c>
      <c r="T1453" s="4">
        <v>3047.9436247781009</v>
      </c>
      <c r="U1453" s="5">
        <f t="shared" si="90"/>
        <v>1.5981208259366886E-2</v>
      </c>
      <c r="V1453" s="4">
        <v>2185.947998046875</v>
      </c>
      <c r="W1453" s="5">
        <f t="shared" si="91"/>
        <v>-0.27135066731770829</v>
      </c>
    </row>
    <row r="1454" spans="1:23" x14ac:dyDescent="0.25">
      <c r="A1454" t="s">
        <v>1891</v>
      </c>
      <c r="B1454">
        <v>2017</v>
      </c>
      <c r="C1454" t="s">
        <v>159</v>
      </c>
      <c r="D1454" t="s">
        <v>1452</v>
      </c>
      <c r="E1454">
        <v>107450</v>
      </c>
      <c r="F1454" t="s">
        <v>250</v>
      </c>
      <c r="G1454" t="s">
        <v>38</v>
      </c>
      <c r="H1454" t="s">
        <v>25</v>
      </c>
      <c r="I1454" t="s">
        <v>24</v>
      </c>
      <c r="J1454" s="2">
        <v>45328</v>
      </c>
      <c r="K1454" t="s">
        <v>25</v>
      </c>
      <c r="L1454">
        <v>44483</v>
      </c>
      <c r="M1454">
        <v>264</v>
      </c>
      <c r="N1454">
        <v>314</v>
      </c>
      <c r="O1454" s="4">
        <v>12400</v>
      </c>
      <c r="P1454" s="4">
        <v>8341.8623046875</v>
      </c>
      <c r="Q1454" s="5">
        <f t="shared" si="88"/>
        <v>-0.32726916897681446</v>
      </c>
      <c r="R1454" s="4">
        <v>8518.3646245091386</v>
      </c>
      <c r="S1454" s="5">
        <f t="shared" si="89"/>
        <v>-0.31303511092668235</v>
      </c>
      <c r="T1454" s="4">
        <v>6972.3159124575777</v>
      </c>
      <c r="U1454" s="5">
        <f t="shared" si="90"/>
        <v>-0.43771645867277598</v>
      </c>
      <c r="V1454" s="4">
        <v>8298.689453125</v>
      </c>
      <c r="W1454" s="5">
        <f t="shared" si="91"/>
        <v>-0.33075085055443554</v>
      </c>
    </row>
    <row r="1455" spans="1:23" x14ac:dyDescent="0.25">
      <c r="A1455" t="s">
        <v>1892</v>
      </c>
      <c r="B1455">
        <v>2013</v>
      </c>
      <c r="C1455" t="s">
        <v>167</v>
      </c>
      <c r="D1455" t="s">
        <v>168</v>
      </c>
      <c r="E1455">
        <v>84847</v>
      </c>
      <c r="F1455" t="s">
        <v>77</v>
      </c>
      <c r="G1455" t="s">
        <v>38</v>
      </c>
      <c r="H1455" t="s">
        <v>25</v>
      </c>
      <c r="I1455" t="s">
        <v>24</v>
      </c>
      <c r="J1455" s="2">
        <v>45356</v>
      </c>
      <c r="K1455" t="s">
        <v>25</v>
      </c>
      <c r="L1455">
        <v>44483</v>
      </c>
      <c r="M1455">
        <v>264</v>
      </c>
      <c r="N1455">
        <v>314</v>
      </c>
      <c r="O1455" s="4">
        <v>3100</v>
      </c>
      <c r="P1455" s="4">
        <v>3112.217041015625</v>
      </c>
      <c r="Q1455" s="5">
        <f t="shared" si="88"/>
        <v>3.940980972782171E-3</v>
      </c>
      <c r="R1455" s="4">
        <v>4497.2891234269082</v>
      </c>
      <c r="S1455" s="5">
        <f t="shared" si="89"/>
        <v>0.45073842691190591</v>
      </c>
      <c r="T1455" s="4">
        <v>4006.352867158992</v>
      </c>
      <c r="U1455" s="5">
        <f t="shared" si="90"/>
        <v>0.29237189263193297</v>
      </c>
      <c r="V1455" s="4">
        <v>2787.851318359375</v>
      </c>
      <c r="W1455" s="5">
        <f t="shared" si="91"/>
        <v>-0.10069312310987899</v>
      </c>
    </row>
    <row r="1456" spans="1:23" x14ac:dyDescent="0.25">
      <c r="A1456" t="s">
        <v>1893</v>
      </c>
      <c r="B1456">
        <v>2013</v>
      </c>
      <c r="C1456" t="s">
        <v>167</v>
      </c>
      <c r="D1456" t="s">
        <v>168</v>
      </c>
      <c r="E1456">
        <v>191217</v>
      </c>
      <c r="F1456" t="s">
        <v>246</v>
      </c>
      <c r="G1456" t="s">
        <v>30</v>
      </c>
      <c r="H1456" t="s">
        <v>24</v>
      </c>
      <c r="I1456" t="s">
        <v>25</v>
      </c>
      <c r="J1456" s="2">
        <v>45575</v>
      </c>
      <c r="K1456" t="s">
        <v>25</v>
      </c>
      <c r="L1456">
        <v>44483</v>
      </c>
      <c r="M1456">
        <v>264</v>
      </c>
      <c r="N1456">
        <v>314</v>
      </c>
      <c r="O1456" s="4">
        <v>8000</v>
      </c>
      <c r="P1456" s="4">
        <v>992.75897216796875</v>
      </c>
      <c r="Q1456" s="5">
        <f t="shared" si="88"/>
        <v>-0.87590512847900392</v>
      </c>
      <c r="R1456" s="4">
        <v>1017.927459822771</v>
      </c>
      <c r="S1456" s="5">
        <f t="shared" si="89"/>
        <v>-0.8727590675221536</v>
      </c>
      <c r="T1456" s="4">
        <v>1100.5468966296739</v>
      </c>
      <c r="U1456" s="5">
        <f t="shared" si="90"/>
        <v>-0.86243163792129074</v>
      </c>
      <c r="V1456" s="4">
        <v>1205.018920898438</v>
      </c>
      <c r="W1456" s="5">
        <f t="shared" si="91"/>
        <v>-0.84937263488769532</v>
      </c>
    </row>
    <row r="1457" spans="1:23" x14ac:dyDescent="0.25">
      <c r="A1457" t="s">
        <v>1894</v>
      </c>
      <c r="B1457">
        <v>2014</v>
      </c>
      <c r="C1457" t="s">
        <v>185</v>
      </c>
      <c r="D1457" t="s">
        <v>1895</v>
      </c>
      <c r="E1457">
        <v>133309</v>
      </c>
      <c r="F1457" t="s">
        <v>63</v>
      </c>
      <c r="G1457" t="s">
        <v>38</v>
      </c>
      <c r="H1457" t="s">
        <v>25</v>
      </c>
      <c r="I1457" t="s">
        <v>24</v>
      </c>
      <c r="J1457" s="2">
        <v>45421</v>
      </c>
      <c r="K1457" t="s">
        <v>25</v>
      </c>
      <c r="L1457">
        <v>44483</v>
      </c>
      <c r="M1457">
        <v>264</v>
      </c>
      <c r="N1457">
        <v>314</v>
      </c>
      <c r="O1457" s="4">
        <v>3600</v>
      </c>
      <c r="P1457" s="4">
        <v>4509.33203125</v>
      </c>
      <c r="Q1457" s="5">
        <f t="shared" si="88"/>
        <v>0.25259223090277771</v>
      </c>
      <c r="R1457" s="4">
        <v>4355.9315986395231</v>
      </c>
      <c r="S1457" s="5">
        <f t="shared" si="89"/>
        <v>0.20998099962208983</v>
      </c>
      <c r="T1457" s="4">
        <v>4884.8129466405871</v>
      </c>
      <c r="U1457" s="5">
        <f t="shared" si="90"/>
        <v>0.35689248517794092</v>
      </c>
      <c r="V1457" s="4">
        <v>4498.21435546875</v>
      </c>
      <c r="W1457" s="5">
        <f t="shared" si="91"/>
        <v>0.24950398763020831</v>
      </c>
    </row>
    <row r="1458" spans="1:23" x14ac:dyDescent="0.25">
      <c r="A1458" t="s">
        <v>1896</v>
      </c>
      <c r="B1458">
        <v>2013</v>
      </c>
      <c r="C1458" t="s">
        <v>139</v>
      </c>
      <c r="D1458" t="s">
        <v>1118</v>
      </c>
      <c r="E1458">
        <v>134770</v>
      </c>
      <c r="F1458" t="s">
        <v>37</v>
      </c>
      <c r="G1458" t="s">
        <v>38</v>
      </c>
      <c r="H1458" t="s">
        <v>25</v>
      </c>
      <c r="I1458" t="s">
        <v>24</v>
      </c>
      <c r="J1458" s="2">
        <v>45538</v>
      </c>
      <c r="K1458" t="s">
        <v>25</v>
      </c>
      <c r="L1458">
        <v>44483</v>
      </c>
      <c r="M1458">
        <v>264</v>
      </c>
      <c r="N1458">
        <v>314</v>
      </c>
      <c r="O1458" s="4">
        <v>15898.7951807229</v>
      </c>
      <c r="P1458" s="4">
        <v>5590.06396484375</v>
      </c>
      <c r="Q1458" s="5">
        <f t="shared" si="88"/>
        <v>-0.64839700736432926</v>
      </c>
      <c r="R1458" s="4">
        <v>5051.7975551755762</v>
      </c>
      <c r="S1458" s="5">
        <f t="shared" si="89"/>
        <v>-0.68225280609307926</v>
      </c>
      <c r="T1458" s="4">
        <v>4029.4322928089941</v>
      </c>
      <c r="U1458" s="5">
        <f t="shared" si="90"/>
        <v>-0.74655738079482692</v>
      </c>
      <c r="V1458" s="4">
        <v>5652.9072265625</v>
      </c>
      <c r="W1458" s="5">
        <f t="shared" si="91"/>
        <v>-0.64444430145143428</v>
      </c>
    </row>
    <row r="1459" spans="1:23" x14ac:dyDescent="0.25">
      <c r="A1459" t="s">
        <v>1897</v>
      </c>
      <c r="B1459">
        <v>2019</v>
      </c>
      <c r="C1459" t="s">
        <v>20</v>
      </c>
      <c r="D1459" t="s">
        <v>717</v>
      </c>
      <c r="E1459">
        <v>191369</v>
      </c>
      <c r="F1459" t="s">
        <v>141</v>
      </c>
      <c r="G1459" t="s">
        <v>30</v>
      </c>
      <c r="H1459" t="s">
        <v>24</v>
      </c>
      <c r="I1459" t="s">
        <v>25</v>
      </c>
      <c r="J1459" s="2">
        <v>45356</v>
      </c>
      <c r="K1459" t="s">
        <v>25</v>
      </c>
      <c r="L1459">
        <v>44483</v>
      </c>
      <c r="M1459">
        <v>264</v>
      </c>
      <c r="N1459">
        <v>314</v>
      </c>
      <c r="O1459" s="4">
        <v>13900</v>
      </c>
      <c r="P1459" s="4">
        <v>9085.1328125</v>
      </c>
      <c r="Q1459" s="5">
        <f t="shared" si="88"/>
        <v>-0.34639332284172664</v>
      </c>
      <c r="R1459" s="4">
        <v>8917.377331135076</v>
      </c>
      <c r="S1459" s="5">
        <f t="shared" si="89"/>
        <v>-0.35846206250826795</v>
      </c>
      <c r="T1459" s="4">
        <v>2574.5427396223522</v>
      </c>
      <c r="U1459" s="5">
        <f t="shared" si="90"/>
        <v>-0.81478109786889552</v>
      </c>
      <c r="V1459" s="4">
        <v>9000.78125</v>
      </c>
      <c r="W1459" s="5">
        <f t="shared" si="91"/>
        <v>-0.35246178057553956</v>
      </c>
    </row>
    <row r="1460" spans="1:23" x14ac:dyDescent="0.25">
      <c r="A1460" t="s">
        <v>1898</v>
      </c>
      <c r="B1460">
        <v>2014</v>
      </c>
      <c r="C1460" t="s">
        <v>156</v>
      </c>
      <c r="D1460" t="s">
        <v>1324</v>
      </c>
      <c r="E1460">
        <v>91226</v>
      </c>
      <c r="F1460" t="s">
        <v>382</v>
      </c>
      <c r="G1460" t="s">
        <v>30</v>
      </c>
      <c r="H1460" t="s">
        <v>24</v>
      </c>
      <c r="I1460" t="s">
        <v>25</v>
      </c>
      <c r="J1460" s="2">
        <v>45449</v>
      </c>
      <c r="K1460" t="s">
        <v>25</v>
      </c>
      <c r="L1460">
        <v>44483</v>
      </c>
      <c r="M1460">
        <v>264</v>
      </c>
      <c r="N1460">
        <v>314</v>
      </c>
      <c r="O1460" s="4">
        <v>2400</v>
      </c>
      <c r="P1460" s="4">
        <v>2534.427734375</v>
      </c>
      <c r="Q1460" s="5">
        <f t="shared" si="88"/>
        <v>5.6011555989583295E-2</v>
      </c>
      <c r="R1460" s="4">
        <v>3179.3398242430262</v>
      </c>
      <c r="S1460" s="5">
        <f t="shared" si="89"/>
        <v>0.32472492676792752</v>
      </c>
      <c r="T1460" s="4">
        <v>4794.7733053317734</v>
      </c>
      <c r="U1460" s="5">
        <f t="shared" si="90"/>
        <v>0.9978222105549055</v>
      </c>
      <c r="V1460" s="4">
        <v>2427.18017578125</v>
      </c>
      <c r="W1460" s="5">
        <f t="shared" si="91"/>
        <v>1.1325073242187456E-2</v>
      </c>
    </row>
    <row r="1461" spans="1:23" x14ac:dyDescent="0.25">
      <c r="A1461" t="s">
        <v>1899</v>
      </c>
      <c r="B1461">
        <v>2021</v>
      </c>
      <c r="C1461" t="s">
        <v>156</v>
      </c>
      <c r="D1461" t="s">
        <v>1900</v>
      </c>
      <c r="E1461">
        <v>44313</v>
      </c>
      <c r="F1461" t="s">
        <v>161</v>
      </c>
      <c r="G1461" t="s">
        <v>44</v>
      </c>
      <c r="H1461" t="s">
        <v>25</v>
      </c>
      <c r="I1461" t="s">
        <v>24</v>
      </c>
      <c r="J1461" s="2">
        <v>45412</v>
      </c>
      <c r="K1461" t="s">
        <v>25</v>
      </c>
      <c r="L1461">
        <v>44483</v>
      </c>
      <c r="M1461">
        <v>264</v>
      </c>
      <c r="N1461">
        <v>314</v>
      </c>
      <c r="O1461" s="4">
        <v>18600</v>
      </c>
      <c r="P1461" s="4">
        <v>16527.5703125</v>
      </c>
      <c r="Q1461" s="5">
        <f t="shared" si="88"/>
        <v>-0.11142095094086024</v>
      </c>
      <c r="R1461" s="4">
        <v>17758.236574549581</v>
      </c>
      <c r="S1461" s="5">
        <f t="shared" si="89"/>
        <v>-4.5256098142495649E-2</v>
      </c>
      <c r="T1461" s="4">
        <v>20521.863600883498</v>
      </c>
      <c r="U1461" s="5">
        <f t="shared" si="90"/>
        <v>0.10332600004749981</v>
      </c>
      <c r="V1461" s="4">
        <v>16417.888671875</v>
      </c>
      <c r="W1461" s="5">
        <f t="shared" si="91"/>
        <v>-0.11731781334005376</v>
      </c>
    </row>
    <row r="1462" spans="1:23" x14ac:dyDescent="0.25">
      <c r="A1462" t="s">
        <v>1901</v>
      </c>
      <c r="B1462">
        <v>2019</v>
      </c>
      <c r="C1462" t="s">
        <v>1391</v>
      </c>
      <c r="D1462" t="s">
        <v>1902</v>
      </c>
      <c r="E1462">
        <v>58955</v>
      </c>
      <c r="F1462" t="s">
        <v>151</v>
      </c>
      <c r="G1462" t="s">
        <v>44</v>
      </c>
      <c r="H1462" t="s">
        <v>25</v>
      </c>
      <c r="I1462" t="s">
        <v>24</v>
      </c>
      <c r="J1462" s="2">
        <v>45384</v>
      </c>
      <c r="K1462" t="s">
        <v>25</v>
      </c>
      <c r="L1462">
        <v>44483</v>
      </c>
      <c r="M1462">
        <v>264</v>
      </c>
      <c r="N1462">
        <v>314</v>
      </c>
      <c r="O1462" s="4">
        <v>16900</v>
      </c>
      <c r="P1462" s="4">
        <v>17464.01953125</v>
      </c>
      <c r="Q1462" s="5">
        <f t="shared" si="88"/>
        <v>3.3373936760354939E-2</v>
      </c>
      <c r="R1462" s="4">
        <v>17277.20688231193</v>
      </c>
      <c r="S1462" s="5">
        <f t="shared" si="89"/>
        <v>2.2319933864611174E-2</v>
      </c>
      <c r="T1462" s="4">
        <v>21558.309450212011</v>
      </c>
      <c r="U1462" s="5">
        <f t="shared" si="90"/>
        <v>0.27563961243858048</v>
      </c>
      <c r="V1462" s="4">
        <v>17451.044921875</v>
      </c>
      <c r="W1462" s="5">
        <f t="shared" si="91"/>
        <v>3.2606208394970304E-2</v>
      </c>
    </row>
    <row r="1463" spans="1:23" x14ac:dyDescent="0.25">
      <c r="A1463" t="s">
        <v>1903</v>
      </c>
      <c r="B1463">
        <v>2017</v>
      </c>
      <c r="C1463" t="s">
        <v>248</v>
      </c>
      <c r="D1463" t="s">
        <v>1394</v>
      </c>
      <c r="E1463">
        <v>87285</v>
      </c>
      <c r="F1463" t="s">
        <v>98</v>
      </c>
      <c r="G1463" t="s">
        <v>38</v>
      </c>
      <c r="H1463" t="s">
        <v>25</v>
      </c>
      <c r="I1463" t="s">
        <v>24</v>
      </c>
      <c r="J1463" s="2">
        <v>45398</v>
      </c>
      <c r="K1463" t="s">
        <v>25</v>
      </c>
      <c r="L1463">
        <v>44483</v>
      </c>
      <c r="M1463">
        <v>264</v>
      </c>
      <c r="N1463">
        <v>314</v>
      </c>
      <c r="O1463" s="4">
        <v>3600</v>
      </c>
      <c r="P1463" s="4">
        <v>8391.205078125</v>
      </c>
      <c r="Q1463" s="5">
        <f t="shared" si="88"/>
        <v>1.3308902994791665</v>
      </c>
      <c r="R1463" s="4">
        <v>11095.5539103224</v>
      </c>
      <c r="S1463" s="5">
        <f t="shared" si="89"/>
        <v>2.0820983084228888</v>
      </c>
      <c r="T1463" s="4">
        <v>6832.3991865635471</v>
      </c>
      <c r="U1463" s="5">
        <f t="shared" si="90"/>
        <v>0.89788866293431857</v>
      </c>
      <c r="V1463" s="4">
        <v>7651.01171875</v>
      </c>
      <c r="W1463" s="5">
        <f t="shared" si="91"/>
        <v>1.1252810329861109</v>
      </c>
    </row>
    <row r="1464" spans="1:23" x14ac:dyDescent="0.25">
      <c r="A1464" t="s">
        <v>1904</v>
      </c>
      <c r="B1464">
        <v>2014</v>
      </c>
      <c r="C1464" t="s">
        <v>20</v>
      </c>
      <c r="D1464" t="s">
        <v>74</v>
      </c>
      <c r="E1464">
        <v>85976</v>
      </c>
      <c r="F1464" t="s">
        <v>111</v>
      </c>
      <c r="G1464" t="s">
        <v>23</v>
      </c>
      <c r="H1464" t="s">
        <v>24</v>
      </c>
      <c r="I1464" t="s">
        <v>25</v>
      </c>
      <c r="J1464" s="2">
        <v>45608</v>
      </c>
      <c r="K1464" t="s">
        <v>25</v>
      </c>
      <c r="L1464">
        <v>44614</v>
      </c>
      <c r="M1464">
        <v>235</v>
      </c>
      <c r="N1464">
        <v>285</v>
      </c>
      <c r="O1464" s="4">
        <v>2300</v>
      </c>
      <c r="P1464" s="4">
        <v>4324.88720703125</v>
      </c>
      <c r="Q1464" s="5">
        <f t="shared" si="88"/>
        <v>0.8803857421875001</v>
      </c>
      <c r="R1464" s="4">
        <v>4607.1478471413657</v>
      </c>
      <c r="S1464" s="5">
        <f t="shared" si="89"/>
        <v>1.0031077596266806</v>
      </c>
      <c r="T1464" s="4">
        <v>1833.639085961458</v>
      </c>
      <c r="U1464" s="5">
        <f t="shared" si="90"/>
        <v>-0.20276561479936606</v>
      </c>
      <c r="V1464" s="4">
        <v>4176.4931640625</v>
      </c>
      <c r="W1464" s="5">
        <f t="shared" si="91"/>
        <v>0.81586659307065212</v>
      </c>
    </row>
    <row r="1465" spans="1:23" x14ac:dyDescent="0.25">
      <c r="A1465" t="s">
        <v>1905</v>
      </c>
      <c r="B1465">
        <v>2015</v>
      </c>
      <c r="C1465" t="s">
        <v>465</v>
      </c>
      <c r="D1465" t="s">
        <v>713</v>
      </c>
      <c r="E1465">
        <v>84045</v>
      </c>
      <c r="F1465" t="s">
        <v>214</v>
      </c>
      <c r="G1465" t="s">
        <v>44</v>
      </c>
      <c r="H1465" t="s">
        <v>25</v>
      </c>
      <c r="I1465" t="s">
        <v>24</v>
      </c>
      <c r="J1465" s="2">
        <v>45356</v>
      </c>
      <c r="K1465" t="s">
        <v>25</v>
      </c>
      <c r="L1465">
        <v>44614</v>
      </c>
      <c r="M1465">
        <v>235</v>
      </c>
      <c r="N1465">
        <v>285</v>
      </c>
      <c r="O1465" s="4">
        <v>4800</v>
      </c>
      <c r="P1465" s="4">
        <v>7208.40283203125</v>
      </c>
      <c r="Q1465" s="5">
        <f t="shared" si="88"/>
        <v>0.50175059000651046</v>
      </c>
      <c r="R1465" s="4">
        <v>7324.719236869214</v>
      </c>
      <c r="S1465" s="5">
        <f t="shared" si="89"/>
        <v>0.52598317434775299</v>
      </c>
      <c r="T1465" s="4">
        <v>9430.6840860884477</v>
      </c>
      <c r="U1465" s="5">
        <f t="shared" si="90"/>
        <v>0.96472585126842669</v>
      </c>
      <c r="V1465" s="4">
        <v>7174.22998046875</v>
      </c>
      <c r="W1465" s="5">
        <f t="shared" si="91"/>
        <v>0.49463124593098962</v>
      </c>
    </row>
    <row r="1466" spans="1:23" x14ac:dyDescent="0.25">
      <c r="A1466" t="s">
        <v>1906</v>
      </c>
      <c r="B1466">
        <v>2017</v>
      </c>
      <c r="C1466" t="s">
        <v>32</v>
      </c>
      <c r="D1466" t="s">
        <v>36</v>
      </c>
      <c r="E1466">
        <v>130138</v>
      </c>
      <c r="F1466" t="s">
        <v>72</v>
      </c>
      <c r="G1466" t="s">
        <v>38</v>
      </c>
      <c r="H1466" t="s">
        <v>25</v>
      </c>
      <c r="I1466" t="s">
        <v>24</v>
      </c>
      <c r="J1466" s="2">
        <v>45498</v>
      </c>
      <c r="K1466" t="s">
        <v>25</v>
      </c>
      <c r="L1466">
        <v>44662</v>
      </c>
      <c r="M1466">
        <v>235</v>
      </c>
      <c r="N1466">
        <v>285</v>
      </c>
      <c r="O1466" s="4">
        <v>8900</v>
      </c>
      <c r="P1466" s="4">
        <v>7316.513671875</v>
      </c>
      <c r="Q1466" s="5">
        <f t="shared" si="88"/>
        <v>-0.17791981214887642</v>
      </c>
      <c r="R1466" s="4">
        <v>9179.2921082836929</v>
      </c>
      <c r="S1466" s="5">
        <f t="shared" si="89"/>
        <v>3.1381135762212686E-2</v>
      </c>
      <c r="T1466" s="4">
        <v>10959.39186764083</v>
      </c>
      <c r="U1466" s="5">
        <f t="shared" si="90"/>
        <v>0.23139234467874492</v>
      </c>
      <c r="V1466" s="4">
        <v>6835.8486328125</v>
      </c>
      <c r="W1466" s="5">
        <f t="shared" si="91"/>
        <v>-0.23192711990870785</v>
      </c>
    </row>
    <row r="1467" spans="1:23" x14ac:dyDescent="0.25">
      <c r="A1467" t="s">
        <v>1907</v>
      </c>
      <c r="B1467">
        <v>2015</v>
      </c>
      <c r="C1467" t="s">
        <v>32</v>
      </c>
      <c r="D1467" t="s">
        <v>118</v>
      </c>
      <c r="E1467">
        <v>84476</v>
      </c>
      <c r="F1467" t="s">
        <v>102</v>
      </c>
      <c r="G1467" t="s">
        <v>34</v>
      </c>
      <c r="H1467" t="s">
        <v>25</v>
      </c>
      <c r="I1467" t="s">
        <v>24</v>
      </c>
      <c r="J1467" s="2">
        <v>45538</v>
      </c>
      <c r="K1467" t="s">
        <v>25</v>
      </c>
      <c r="L1467">
        <v>44662</v>
      </c>
      <c r="M1467">
        <v>235</v>
      </c>
      <c r="N1467">
        <v>285</v>
      </c>
      <c r="O1467" s="4">
        <v>5500</v>
      </c>
      <c r="P1467" s="4">
        <v>10114.1904296875</v>
      </c>
      <c r="Q1467" s="5">
        <f t="shared" si="88"/>
        <v>0.83894371448863647</v>
      </c>
      <c r="R1467" s="4">
        <v>10350.94721376598</v>
      </c>
      <c r="S1467" s="5">
        <f t="shared" si="89"/>
        <v>0.88199040250290528</v>
      </c>
      <c r="T1467" s="4">
        <v>15603.76651764463</v>
      </c>
      <c r="U1467" s="5">
        <f t="shared" si="90"/>
        <v>1.8370484577535691</v>
      </c>
      <c r="V1467" s="4">
        <v>10191.55859375</v>
      </c>
      <c r="W1467" s="5">
        <f t="shared" si="91"/>
        <v>0.85301065340909088</v>
      </c>
    </row>
    <row r="1468" spans="1:23" x14ac:dyDescent="0.25">
      <c r="A1468" t="s">
        <v>1908</v>
      </c>
      <c r="B1468">
        <v>2012</v>
      </c>
      <c r="C1468" t="s">
        <v>50</v>
      </c>
      <c r="D1468">
        <v>1500</v>
      </c>
      <c r="E1468">
        <v>166316</v>
      </c>
      <c r="F1468" t="s">
        <v>89</v>
      </c>
      <c r="G1468" t="s">
        <v>38</v>
      </c>
      <c r="H1468" t="s">
        <v>25</v>
      </c>
      <c r="I1468" t="s">
        <v>24</v>
      </c>
      <c r="J1468" s="2">
        <v>45328</v>
      </c>
      <c r="K1468" t="s">
        <v>25</v>
      </c>
      <c r="L1468">
        <v>44662</v>
      </c>
      <c r="M1468">
        <v>235</v>
      </c>
      <c r="N1468">
        <v>285</v>
      </c>
      <c r="O1468" s="4">
        <v>15300</v>
      </c>
      <c r="P1468" s="4">
        <v>5220.349609375</v>
      </c>
      <c r="Q1468" s="5">
        <f t="shared" si="88"/>
        <v>-0.65880067912581697</v>
      </c>
      <c r="R1468" s="4">
        <v>4149.7881009464418</v>
      </c>
      <c r="S1468" s="5">
        <f t="shared" si="89"/>
        <v>-0.72877201954598414</v>
      </c>
      <c r="T1468" s="4">
        <v>3625.905011632231</v>
      </c>
      <c r="U1468" s="5">
        <f t="shared" si="90"/>
        <v>-0.76301274433776267</v>
      </c>
      <c r="V1468" s="4">
        <v>5192.7021484375</v>
      </c>
      <c r="W1468" s="5">
        <f t="shared" si="91"/>
        <v>-0.66060770271650326</v>
      </c>
    </row>
    <row r="1469" spans="1:23" x14ac:dyDescent="0.25">
      <c r="A1469" t="s">
        <v>1909</v>
      </c>
      <c r="B1469">
        <v>2014</v>
      </c>
      <c r="C1469" t="s">
        <v>53</v>
      </c>
      <c r="D1469" t="s">
        <v>57</v>
      </c>
      <c r="E1469">
        <v>93134</v>
      </c>
      <c r="F1469" t="s">
        <v>151</v>
      </c>
      <c r="G1469" t="s">
        <v>44</v>
      </c>
      <c r="H1469" t="s">
        <v>25</v>
      </c>
      <c r="I1469" t="s">
        <v>24</v>
      </c>
      <c r="J1469" s="2">
        <v>45594</v>
      </c>
      <c r="K1469" t="s">
        <v>25</v>
      </c>
      <c r="L1469">
        <v>44662</v>
      </c>
      <c r="M1469">
        <v>235</v>
      </c>
      <c r="N1469">
        <v>285</v>
      </c>
      <c r="O1469" s="4">
        <v>6000</v>
      </c>
      <c r="P1469" s="4">
        <v>8240.626953125</v>
      </c>
      <c r="Q1469" s="5">
        <f t="shared" si="88"/>
        <v>0.37343782552083327</v>
      </c>
      <c r="R1469" s="4">
        <v>8283.6810947723388</v>
      </c>
      <c r="S1469" s="5">
        <f t="shared" si="89"/>
        <v>0.38061351579538982</v>
      </c>
      <c r="T1469" s="4">
        <v>5656.8704493326068</v>
      </c>
      <c r="U1469" s="5">
        <f t="shared" si="90"/>
        <v>-5.7188258444565543E-2</v>
      </c>
      <c r="V1469" s="4">
        <v>8155.81689453125</v>
      </c>
      <c r="W1469" s="5">
        <f t="shared" si="91"/>
        <v>0.35930281575520828</v>
      </c>
    </row>
    <row r="1470" spans="1:23" x14ac:dyDescent="0.25">
      <c r="A1470" t="s">
        <v>1910</v>
      </c>
      <c r="B1470">
        <v>2014</v>
      </c>
      <c r="C1470" t="s">
        <v>53</v>
      </c>
      <c r="D1470" t="s">
        <v>60</v>
      </c>
      <c r="E1470">
        <v>74008</v>
      </c>
      <c r="F1470" t="s">
        <v>79</v>
      </c>
      <c r="G1470" t="s">
        <v>30</v>
      </c>
      <c r="H1470" t="s">
        <v>24</v>
      </c>
      <c r="I1470" t="s">
        <v>25</v>
      </c>
      <c r="J1470" s="2">
        <v>45580</v>
      </c>
      <c r="K1470" t="s">
        <v>25</v>
      </c>
      <c r="L1470">
        <v>44662</v>
      </c>
      <c r="M1470">
        <v>235</v>
      </c>
      <c r="N1470">
        <v>285</v>
      </c>
      <c r="O1470" s="4">
        <v>1700</v>
      </c>
      <c r="P1470" s="4">
        <v>6131.9931640625</v>
      </c>
      <c r="Q1470" s="5">
        <f t="shared" si="88"/>
        <v>2.607054802389706</v>
      </c>
      <c r="R1470" s="4">
        <v>5492.2693324797347</v>
      </c>
      <c r="S1470" s="5">
        <f t="shared" si="89"/>
        <v>2.2307466661645496</v>
      </c>
      <c r="T1470" s="4">
        <v>5086.3574857629737</v>
      </c>
      <c r="U1470" s="5">
        <f t="shared" si="90"/>
        <v>1.9919749916252787</v>
      </c>
      <c r="V1470" s="4">
        <v>6116.775390625</v>
      </c>
      <c r="W1470" s="5">
        <f t="shared" si="91"/>
        <v>2.5981031709558824</v>
      </c>
    </row>
    <row r="1471" spans="1:23" x14ac:dyDescent="0.25">
      <c r="A1471" t="s">
        <v>1911</v>
      </c>
      <c r="B1471">
        <v>2019</v>
      </c>
      <c r="C1471" t="s">
        <v>20</v>
      </c>
      <c r="D1471" t="s">
        <v>74</v>
      </c>
      <c r="E1471">
        <v>93406</v>
      </c>
      <c r="F1471" t="s">
        <v>141</v>
      </c>
      <c r="G1471" t="s">
        <v>38</v>
      </c>
      <c r="H1471" t="s">
        <v>25</v>
      </c>
      <c r="I1471" t="s">
        <v>24</v>
      </c>
      <c r="J1471" s="2">
        <v>45580</v>
      </c>
      <c r="K1471" t="s">
        <v>25</v>
      </c>
      <c r="L1471">
        <v>44662</v>
      </c>
      <c r="M1471">
        <v>235</v>
      </c>
      <c r="N1471">
        <v>285</v>
      </c>
      <c r="O1471" s="4">
        <v>9000</v>
      </c>
      <c r="P1471" s="4">
        <v>12781.5234375</v>
      </c>
      <c r="Q1471" s="5">
        <f t="shared" si="88"/>
        <v>0.42016927083333333</v>
      </c>
      <c r="R1471" s="4">
        <v>13056.861775929679</v>
      </c>
      <c r="S1471" s="5">
        <f t="shared" si="89"/>
        <v>0.45076241954774221</v>
      </c>
      <c r="T1471" s="4">
        <v>6133.5107983701146</v>
      </c>
      <c r="U1471" s="5">
        <f t="shared" si="90"/>
        <v>-0.31849880018109833</v>
      </c>
      <c r="V1471" s="4">
        <v>12849.728515625</v>
      </c>
      <c r="W1471" s="5">
        <f t="shared" si="91"/>
        <v>0.42774761284722218</v>
      </c>
    </row>
    <row r="1472" spans="1:23" x14ac:dyDescent="0.25">
      <c r="A1472" t="s">
        <v>1912</v>
      </c>
      <c r="B1472">
        <v>2012</v>
      </c>
      <c r="C1472" t="s">
        <v>20</v>
      </c>
      <c r="D1472" t="s">
        <v>74</v>
      </c>
      <c r="E1472">
        <v>98118</v>
      </c>
      <c r="F1472" t="s">
        <v>475</v>
      </c>
      <c r="G1472" t="s">
        <v>30</v>
      </c>
      <c r="H1472" t="s">
        <v>24</v>
      </c>
      <c r="I1472" t="s">
        <v>25</v>
      </c>
      <c r="J1472" s="2">
        <v>45664</v>
      </c>
      <c r="K1472" t="s">
        <v>25</v>
      </c>
      <c r="L1472">
        <v>44662</v>
      </c>
      <c r="M1472">
        <v>235</v>
      </c>
      <c r="N1472">
        <v>285</v>
      </c>
      <c r="O1472" s="4">
        <v>1500</v>
      </c>
      <c r="P1472" s="4">
        <v>4907.2001953125</v>
      </c>
      <c r="Q1472" s="5">
        <f t="shared" si="88"/>
        <v>2.271466796875</v>
      </c>
      <c r="R1472" s="4">
        <v>5252.3195156630354</v>
      </c>
      <c r="S1472" s="5">
        <f t="shared" si="89"/>
        <v>2.5015463437753569</v>
      </c>
      <c r="T1472" s="4">
        <v>2683.785744293878</v>
      </c>
      <c r="U1472" s="5">
        <f t="shared" si="90"/>
        <v>0.78919049619591863</v>
      </c>
      <c r="V1472" s="4">
        <v>4671.67919921875</v>
      </c>
      <c r="W1472" s="5">
        <f t="shared" si="91"/>
        <v>2.1144527994791669</v>
      </c>
    </row>
    <row r="1473" spans="1:23" x14ac:dyDescent="0.25">
      <c r="A1473" t="s">
        <v>1913</v>
      </c>
      <c r="B1473">
        <v>2016</v>
      </c>
      <c r="C1473" t="s">
        <v>104</v>
      </c>
      <c r="D1473" t="s">
        <v>1914</v>
      </c>
      <c r="E1473">
        <v>90736</v>
      </c>
      <c r="F1473" t="s">
        <v>250</v>
      </c>
      <c r="G1473" t="s">
        <v>38</v>
      </c>
      <c r="H1473" t="s">
        <v>25</v>
      </c>
      <c r="I1473" t="s">
        <v>24</v>
      </c>
      <c r="J1473" s="2">
        <v>45580</v>
      </c>
      <c r="K1473" t="s">
        <v>25</v>
      </c>
      <c r="L1473">
        <v>44662</v>
      </c>
      <c r="M1473">
        <v>235</v>
      </c>
      <c r="N1473">
        <v>285</v>
      </c>
      <c r="O1473" s="4">
        <v>19000</v>
      </c>
      <c r="P1473" s="4">
        <v>12839.9189453125</v>
      </c>
      <c r="Q1473" s="5">
        <f t="shared" si="88"/>
        <v>-0.3242147923519737</v>
      </c>
      <c r="R1473" s="4">
        <v>12793.658673287729</v>
      </c>
      <c r="S1473" s="5">
        <f t="shared" si="89"/>
        <v>-0.32664954351117215</v>
      </c>
      <c r="T1473" s="4">
        <v>22020.703944617078</v>
      </c>
      <c r="U1473" s="5">
        <f t="shared" si="90"/>
        <v>0.15898441813774089</v>
      </c>
      <c r="V1473" s="4">
        <v>13015.5361328125</v>
      </c>
      <c r="W1473" s="5">
        <f t="shared" si="91"/>
        <v>-0.31497178248355262</v>
      </c>
    </row>
    <row r="1474" spans="1:23" x14ac:dyDescent="0.25">
      <c r="A1474" t="s">
        <v>1915</v>
      </c>
      <c r="B1474">
        <v>2019</v>
      </c>
      <c r="C1474" t="s">
        <v>185</v>
      </c>
      <c r="D1474" t="s">
        <v>229</v>
      </c>
      <c r="E1474">
        <v>114622</v>
      </c>
      <c r="F1474" t="s">
        <v>254</v>
      </c>
      <c r="G1474" t="s">
        <v>38</v>
      </c>
      <c r="H1474" t="s">
        <v>25</v>
      </c>
      <c r="I1474" t="s">
        <v>24</v>
      </c>
      <c r="J1474" s="2">
        <v>45356</v>
      </c>
      <c r="K1474" t="s">
        <v>25</v>
      </c>
      <c r="L1474">
        <v>44662</v>
      </c>
      <c r="M1474">
        <v>235</v>
      </c>
      <c r="N1474">
        <v>285</v>
      </c>
      <c r="O1474" s="4">
        <v>13800</v>
      </c>
      <c r="P1474" s="4">
        <v>6997.31103515625</v>
      </c>
      <c r="Q1474" s="5">
        <f t="shared" si="88"/>
        <v>-0.49294847571331524</v>
      </c>
      <c r="R1474" s="4">
        <v>7759.2180671418846</v>
      </c>
      <c r="S1474" s="5">
        <f t="shared" si="89"/>
        <v>-0.43773782122160254</v>
      </c>
      <c r="T1474" s="4">
        <v>6857.2490775250699</v>
      </c>
      <c r="U1474" s="5">
        <f t="shared" si="90"/>
        <v>-0.50309789293296592</v>
      </c>
      <c r="V1474" s="4">
        <v>6935.4482421875</v>
      </c>
      <c r="W1474" s="5">
        <f t="shared" si="91"/>
        <v>-0.4974312867980073</v>
      </c>
    </row>
    <row r="1475" spans="1:23" x14ac:dyDescent="0.25">
      <c r="A1475" t="s">
        <v>1916</v>
      </c>
      <c r="B1475">
        <v>2012</v>
      </c>
      <c r="C1475" t="s">
        <v>266</v>
      </c>
      <c r="D1475" t="s">
        <v>755</v>
      </c>
      <c r="E1475">
        <v>113165</v>
      </c>
      <c r="F1475" t="s">
        <v>111</v>
      </c>
      <c r="G1475" t="s">
        <v>30</v>
      </c>
      <c r="H1475" t="s">
        <v>24</v>
      </c>
      <c r="I1475" t="s">
        <v>25</v>
      </c>
      <c r="J1475" s="2">
        <v>45412</v>
      </c>
      <c r="K1475" t="s">
        <v>25</v>
      </c>
      <c r="L1475">
        <v>44662</v>
      </c>
      <c r="M1475">
        <v>235</v>
      </c>
      <c r="N1475">
        <v>285</v>
      </c>
      <c r="O1475" s="4">
        <v>1600</v>
      </c>
      <c r="P1475" s="4">
        <v>1682.373657226562</v>
      </c>
      <c r="Q1475" s="5">
        <f t="shared" ref="Q1475:Q1538" si="92">(P1475/$O1475)-1</f>
        <v>5.1483535766601252E-2</v>
      </c>
      <c r="R1475" s="4">
        <v>1488.281933084452</v>
      </c>
      <c r="S1475" s="5">
        <f t="shared" ref="S1475:S1538" si="93">(R1475/$O1475)-1</f>
        <v>-6.982379182221754E-2</v>
      </c>
      <c r="T1475" s="4">
        <v>1965.147526087236</v>
      </c>
      <c r="U1475" s="5">
        <f t="shared" ref="U1475:U1536" si="94">(T1475/$O1475)-1</f>
        <v>0.22821720380452248</v>
      </c>
      <c r="V1475" s="4">
        <v>1612.918701171875</v>
      </c>
      <c r="W1475" s="5">
        <f t="shared" ref="W1475:W1538" si="95">(V1475/$O1475)-1</f>
        <v>8.0741882324217862E-3</v>
      </c>
    </row>
    <row r="1476" spans="1:23" x14ac:dyDescent="0.25">
      <c r="A1476" t="s">
        <v>1917</v>
      </c>
      <c r="B1476">
        <v>2016</v>
      </c>
      <c r="C1476" t="s">
        <v>53</v>
      </c>
      <c r="D1476" t="s">
        <v>1918</v>
      </c>
      <c r="E1476">
        <v>123594</v>
      </c>
      <c r="F1476" t="s">
        <v>79</v>
      </c>
      <c r="G1476" t="s">
        <v>30</v>
      </c>
      <c r="H1476" t="s">
        <v>24</v>
      </c>
      <c r="I1476" t="s">
        <v>25</v>
      </c>
      <c r="J1476" s="2">
        <v>45456</v>
      </c>
      <c r="K1476" t="s">
        <v>25</v>
      </c>
      <c r="L1476">
        <v>44662</v>
      </c>
      <c r="M1476">
        <v>235</v>
      </c>
      <c r="N1476">
        <v>285</v>
      </c>
      <c r="O1476" s="4">
        <v>6100</v>
      </c>
      <c r="P1476" s="4">
        <v>4602.68701171875</v>
      </c>
      <c r="Q1476" s="5">
        <f t="shared" si="92"/>
        <v>-0.24546114561987709</v>
      </c>
      <c r="R1476" s="4">
        <v>4779.3215552846405</v>
      </c>
      <c r="S1476" s="5">
        <f t="shared" si="93"/>
        <v>-0.21650466306809169</v>
      </c>
      <c r="T1476" s="4">
        <v>7698.3288006733774</v>
      </c>
      <c r="U1476" s="5">
        <f t="shared" si="94"/>
        <v>0.2620211148644882</v>
      </c>
      <c r="V1476" s="4">
        <v>4585.2236328125</v>
      </c>
      <c r="W1476" s="5">
        <f t="shared" si="95"/>
        <v>-0.2483239946209016</v>
      </c>
    </row>
    <row r="1477" spans="1:23" x14ac:dyDescent="0.25">
      <c r="A1477" t="s">
        <v>1919</v>
      </c>
      <c r="B1477">
        <v>2015</v>
      </c>
      <c r="C1477" t="s">
        <v>104</v>
      </c>
      <c r="D1477" t="s">
        <v>126</v>
      </c>
      <c r="E1477">
        <v>58110</v>
      </c>
      <c r="F1477" t="s">
        <v>66</v>
      </c>
      <c r="G1477" t="s">
        <v>23</v>
      </c>
      <c r="H1477" t="s">
        <v>24</v>
      </c>
      <c r="I1477" t="s">
        <v>25</v>
      </c>
      <c r="J1477" s="2">
        <v>45510</v>
      </c>
      <c r="K1477" t="s">
        <v>25</v>
      </c>
      <c r="L1477">
        <v>44662</v>
      </c>
      <c r="M1477">
        <v>235</v>
      </c>
      <c r="N1477">
        <v>285</v>
      </c>
      <c r="O1477" s="4">
        <v>800</v>
      </c>
      <c r="P1477" s="4">
        <v>6060.42724609375</v>
      </c>
      <c r="Q1477" s="5">
        <f t="shared" si="92"/>
        <v>6.5755340576171877</v>
      </c>
      <c r="R1477" s="4">
        <v>11617.584909021631</v>
      </c>
      <c r="S1477" s="5">
        <f t="shared" si="93"/>
        <v>13.521981136277038</v>
      </c>
      <c r="T1477" s="4">
        <v>8762.8446509989299</v>
      </c>
      <c r="U1477" s="5">
        <f t="shared" si="94"/>
        <v>9.9535558137486628</v>
      </c>
      <c r="V1477" s="4">
        <v>10124.3427734375</v>
      </c>
      <c r="W1477" s="5">
        <f t="shared" si="95"/>
        <v>11.655428466796875</v>
      </c>
    </row>
    <row r="1478" spans="1:23" x14ac:dyDescent="0.25">
      <c r="A1478" t="s">
        <v>1920</v>
      </c>
      <c r="B1478">
        <v>2016</v>
      </c>
      <c r="C1478" t="s">
        <v>20</v>
      </c>
      <c r="D1478" t="s">
        <v>21</v>
      </c>
      <c r="E1478">
        <v>103670</v>
      </c>
      <c r="F1478" t="s">
        <v>227</v>
      </c>
      <c r="G1478" t="s">
        <v>23</v>
      </c>
      <c r="H1478" t="s">
        <v>24</v>
      </c>
      <c r="I1478" t="s">
        <v>25</v>
      </c>
      <c r="J1478" s="2">
        <v>45384</v>
      </c>
      <c r="K1478" t="s">
        <v>25</v>
      </c>
      <c r="L1478">
        <v>44662</v>
      </c>
      <c r="M1478">
        <v>235</v>
      </c>
      <c r="N1478">
        <v>285</v>
      </c>
      <c r="O1478" s="4">
        <v>3150</v>
      </c>
      <c r="P1478" s="4">
        <v>3421.81396484375</v>
      </c>
      <c r="Q1478" s="5">
        <f t="shared" si="92"/>
        <v>8.629014756944442E-2</v>
      </c>
      <c r="R1478" s="4">
        <v>4567.6694746217327</v>
      </c>
      <c r="S1478" s="5">
        <f t="shared" si="93"/>
        <v>0.45005380146721663</v>
      </c>
      <c r="T1478" s="4">
        <v>4380.5749215901114</v>
      </c>
      <c r="U1478" s="5">
        <f t="shared" si="94"/>
        <v>0.3906587052667021</v>
      </c>
      <c r="V1478" s="4">
        <v>2996.976318359375</v>
      </c>
      <c r="W1478" s="5">
        <f t="shared" si="95"/>
        <v>-4.8578946552579327E-2</v>
      </c>
    </row>
    <row r="1479" spans="1:23" x14ac:dyDescent="0.25">
      <c r="A1479" t="s">
        <v>1921</v>
      </c>
      <c r="B1479">
        <v>2021</v>
      </c>
      <c r="C1479" t="s">
        <v>104</v>
      </c>
      <c r="D1479" t="s">
        <v>126</v>
      </c>
      <c r="E1479">
        <v>84702</v>
      </c>
      <c r="F1479" t="s">
        <v>87</v>
      </c>
      <c r="G1479" t="s">
        <v>44</v>
      </c>
      <c r="H1479" t="s">
        <v>25</v>
      </c>
      <c r="I1479" t="s">
        <v>24</v>
      </c>
      <c r="J1479" s="2">
        <v>45734</v>
      </c>
      <c r="K1479" t="s">
        <v>25</v>
      </c>
      <c r="L1479">
        <v>44662</v>
      </c>
      <c r="M1479">
        <v>235</v>
      </c>
      <c r="N1479">
        <v>285</v>
      </c>
      <c r="O1479" s="4">
        <v>20900</v>
      </c>
      <c r="P1479" s="4">
        <v>26790.103515625</v>
      </c>
      <c r="Q1479" s="5">
        <f t="shared" si="92"/>
        <v>0.28182313471889953</v>
      </c>
      <c r="R1479" s="4">
        <v>26539.71659647669</v>
      </c>
      <c r="S1479" s="5">
        <f t="shared" si="93"/>
        <v>0.26984289935295158</v>
      </c>
      <c r="T1479" s="4">
        <v>22293.244084127618</v>
      </c>
      <c r="U1479" s="5">
        <f t="shared" si="94"/>
        <v>6.6662396369742583E-2</v>
      </c>
      <c r="V1479" s="4">
        <v>26851.564453125</v>
      </c>
      <c r="W1479" s="5">
        <f t="shared" si="95"/>
        <v>0.28476384943181809</v>
      </c>
    </row>
    <row r="1480" spans="1:23" x14ac:dyDescent="0.25">
      <c r="A1480" t="s">
        <v>1922</v>
      </c>
      <c r="B1480">
        <v>2019</v>
      </c>
      <c r="C1480" t="s">
        <v>20</v>
      </c>
      <c r="D1480" t="s">
        <v>134</v>
      </c>
      <c r="E1480">
        <v>147119</v>
      </c>
      <c r="F1480" t="s">
        <v>87</v>
      </c>
      <c r="G1480" t="s">
        <v>30</v>
      </c>
      <c r="H1480" t="s">
        <v>24</v>
      </c>
      <c r="I1480" t="s">
        <v>25</v>
      </c>
      <c r="J1480" s="2">
        <v>45414</v>
      </c>
      <c r="K1480" t="s">
        <v>25</v>
      </c>
      <c r="L1480">
        <v>44662</v>
      </c>
      <c r="M1480">
        <v>235</v>
      </c>
      <c r="N1480">
        <v>285</v>
      </c>
      <c r="O1480" s="4">
        <v>15800</v>
      </c>
      <c r="P1480" s="4">
        <v>9797.1962890625</v>
      </c>
      <c r="Q1480" s="5">
        <f t="shared" si="92"/>
        <v>-0.37992428550237345</v>
      </c>
      <c r="R1480" s="4">
        <v>11532.00306541327</v>
      </c>
      <c r="S1480" s="5">
        <f t="shared" si="93"/>
        <v>-0.27012638826498292</v>
      </c>
      <c r="T1480" s="4">
        <v>12195.527558339731</v>
      </c>
      <c r="U1480" s="5">
        <f t="shared" si="94"/>
        <v>-0.22813116719368798</v>
      </c>
      <c r="V1480" s="4">
        <v>9032.7490234375</v>
      </c>
      <c r="W1480" s="5">
        <f t="shared" si="95"/>
        <v>-0.42830702383306962</v>
      </c>
    </row>
    <row r="1481" spans="1:23" x14ac:dyDescent="0.25">
      <c r="A1481" t="s">
        <v>1923</v>
      </c>
      <c r="B1481">
        <v>2018</v>
      </c>
      <c r="C1481" t="s">
        <v>185</v>
      </c>
      <c r="D1481" t="s">
        <v>437</v>
      </c>
      <c r="E1481">
        <v>82802</v>
      </c>
      <c r="F1481" t="s">
        <v>77</v>
      </c>
      <c r="G1481" t="s">
        <v>38</v>
      </c>
      <c r="H1481" t="s">
        <v>25</v>
      </c>
      <c r="I1481" t="s">
        <v>24</v>
      </c>
      <c r="J1481" s="2">
        <v>45526</v>
      </c>
      <c r="K1481" t="s">
        <v>25</v>
      </c>
      <c r="L1481">
        <v>44662</v>
      </c>
      <c r="M1481">
        <v>235</v>
      </c>
      <c r="N1481">
        <v>285</v>
      </c>
      <c r="O1481" s="4">
        <v>6400</v>
      </c>
      <c r="P1481" s="4">
        <v>6467.76611328125</v>
      </c>
      <c r="Q1481" s="5">
        <f t="shared" si="92"/>
        <v>1.0588455200195357E-2</v>
      </c>
      <c r="R1481" s="4">
        <v>9207.3864063299934</v>
      </c>
      <c r="S1481" s="5">
        <f t="shared" si="93"/>
        <v>0.43865412598906151</v>
      </c>
      <c r="T1481" s="4">
        <v>6556.5171949127052</v>
      </c>
      <c r="U1481" s="5">
        <f t="shared" si="94"/>
        <v>2.4455811705110131E-2</v>
      </c>
      <c r="V1481" s="4">
        <v>5652.517578125</v>
      </c>
      <c r="W1481" s="5">
        <f t="shared" si="95"/>
        <v>-0.11679412841796877</v>
      </c>
    </row>
    <row r="1482" spans="1:23" x14ac:dyDescent="0.25">
      <c r="A1482" t="s">
        <v>1924</v>
      </c>
      <c r="B1482">
        <v>2022</v>
      </c>
      <c r="C1482" t="s">
        <v>185</v>
      </c>
      <c r="D1482" t="s">
        <v>1925</v>
      </c>
      <c r="E1482">
        <v>36485</v>
      </c>
      <c r="F1482" t="s">
        <v>174</v>
      </c>
      <c r="G1482" t="s">
        <v>44</v>
      </c>
      <c r="H1482" t="s">
        <v>25</v>
      </c>
      <c r="I1482" t="s">
        <v>24</v>
      </c>
      <c r="J1482" s="2">
        <v>45678</v>
      </c>
      <c r="K1482" t="s">
        <v>25</v>
      </c>
      <c r="L1482">
        <v>44662</v>
      </c>
      <c r="M1482">
        <v>235</v>
      </c>
      <c r="N1482">
        <v>285</v>
      </c>
      <c r="O1482" s="4">
        <v>10200</v>
      </c>
      <c r="P1482" s="4">
        <v>19622.87109375</v>
      </c>
      <c r="Q1482" s="5">
        <f t="shared" si="92"/>
        <v>0.92381089154411766</v>
      </c>
      <c r="R1482" s="4">
        <v>21709.032696339491</v>
      </c>
      <c r="S1482" s="5">
        <f t="shared" si="93"/>
        <v>1.128336538856813</v>
      </c>
      <c r="T1482" s="4">
        <v>18626.191651735251</v>
      </c>
      <c r="U1482" s="5">
        <f t="shared" si="94"/>
        <v>0.8260972207583579</v>
      </c>
      <c r="V1482" s="4">
        <v>18894.74609375</v>
      </c>
      <c r="W1482" s="5">
        <f t="shared" si="95"/>
        <v>0.85242608762254912</v>
      </c>
    </row>
    <row r="1483" spans="1:23" x14ac:dyDescent="0.25">
      <c r="A1483" t="s">
        <v>1926</v>
      </c>
      <c r="B1483">
        <v>2015</v>
      </c>
      <c r="C1483" t="s">
        <v>266</v>
      </c>
      <c r="D1483" t="s">
        <v>267</v>
      </c>
      <c r="E1483">
        <v>133336</v>
      </c>
      <c r="F1483" t="s">
        <v>475</v>
      </c>
      <c r="G1483" t="s">
        <v>30</v>
      </c>
      <c r="H1483" t="s">
        <v>24</v>
      </c>
      <c r="I1483" t="s">
        <v>25</v>
      </c>
      <c r="J1483" s="2">
        <v>45666</v>
      </c>
      <c r="K1483" t="s">
        <v>25</v>
      </c>
      <c r="L1483">
        <v>44662</v>
      </c>
      <c r="M1483">
        <v>235</v>
      </c>
      <c r="N1483">
        <v>285</v>
      </c>
      <c r="O1483" s="4">
        <v>4500</v>
      </c>
      <c r="P1483" s="4">
        <v>3928.505126953125</v>
      </c>
      <c r="Q1483" s="5">
        <f t="shared" si="92"/>
        <v>-0.12699886067708333</v>
      </c>
      <c r="R1483" s="4">
        <v>4174.2849336389636</v>
      </c>
      <c r="S1483" s="5">
        <f t="shared" si="93"/>
        <v>-7.2381125858008044E-2</v>
      </c>
      <c r="T1483" s="4">
        <v>3074.6549020169441</v>
      </c>
      <c r="U1483" s="5">
        <f t="shared" si="94"/>
        <v>-0.31674335510734575</v>
      </c>
      <c r="V1483" s="4">
        <v>3966.1533203125</v>
      </c>
      <c r="W1483" s="5">
        <f t="shared" si="95"/>
        <v>-0.11863259548611116</v>
      </c>
    </row>
    <row r="1484" spans="1:23" x14ac:dyDescent="0.25">
      <c r="A1484" t="s">
        <v>1927</v>
      </c>
      <c r="B1484">
        <v>2014</v>
      </c>
      <c r="C1484" t="s">
        <v>139</v>
      </c>
      <c r="D1484" t="s">
        <v>163</v>
      </c>
      <c r="E1484">
        <v>96959</v>
      </c>
      <c r="F1484" t="s">
        <v>77</v>
      </c>
      <c r="G1484" t="s">
        <v>34</v>
      </c>
      <c r="H1484" t="s">
        <v>25</v>
      </c>
      <c r="I1484" t="s">
        <v>24</v>
      </c>
      <c r="J1484" s="2">
        <v>45720</v>
      </c>
      <c r="K1484" t="s">
        <v>25</v>
      </c>
      <c r="L1484">
        <v>44662</v>
      </c>
      <c r="M1484">
        <v>235</v>
      </c>
      <c r="N1484">
        <v>285</v>
      </c>
      <c r="O1484" s="4">
        <v>13300</v>
      </c>
      <c r="P1484" s="4">
        <v>6071.11376953125</v>
      </c>
      <c r="Q1484" s="5">
        <f t="shared" si="92"/>
        <v>-0.54352528048637216</v>
      </c>
      <c r="R1484" s="4">
        <v>7749.2793322475263</v>
      </c>
      <c r="S1484" s="5">
        <f t="shared" si="93"/>
        <v>-0.41734741862800551</v>
      </c>
      <c r="T1484" s="4">
        <v>10663.643300911401</v>
      </c>
      <c r="U1484" s="5">
        <f t="shared" si="94"/>
        <v>-0.19822230820215037</v>
      </c>
      <c r="V1484" s="4">
        <v>5639.07177734375</v>
      </c>
      <c r="W1484" s="5">
        <f t="shared" si="95"/>
        <v>-0.57600964080122186</v>
      </c>
    </row>
    <row r="1485" spans="1:23" x14ac:dyDescent="0.25">
      <c r="A1485" t="s">
        <v>1928</v>
      </c>
      <c r="B1485">
        <v>2012</v>
      </c>
      <c r="C1485" t="s">
        <v>113</v>
      </c>
      <c r="D1485" t="s">
        <v>1929</v>
      </c>
      <c r="E1485">
        <v>90451</v>
      </c>
      <c r="F1485" t="s">
        <v>29</v>
      </c>
      <c r="G1485" t="s">
        <v>30</v>
      </c>
      <c r="H1485" t="s">
        <v>24</v>
      </c>
      <c r="I1485" t="s">
        <v>25</v>
      </c>
      <c r="J1485" s="2">
        <v>45400</v>
      </c>
      <c r="K1485" t="s">
        <v>25</v>
      </c>
      <c r="L1485">
        <v>44662</v>
      </c>
      <c r="M1485">
        <v>235</v>
      </c>
      <c r="N1485">
        <v>285</v>
      </c>
      <c r="O1485" s="4">
        <v>11729.8876404494</v>
      </c>
      <c r="P1485" s="4">
        <v>4670.72314453125</v>
      </c>
      <c r="Q1485" s="5">
        <f t="shared" si="92"/>
        <v>-0.60181006948227656</v>
      </c>
      <c r="R1485" s="4">
        <v>5939.8949527369396</v>
      </c>
      <c r="S1485" s="5">
        <f t="shared" si="93"/>
        <v>-0.49361024292732547</v>
      </c>
      <c r="T1485" s="4">
        <v>6578.0029184984742</v>
      </c>
      <c r="U1485" s="5">
        <f t="shared" si="94"/>
        <v>-0.43921006576270538</v>
      </c>
      <c r="V1485" s="4">
        <v>4218.58251953125</v>
      </c>
      <c r="W1485" s="5">
        <f t="shared" si="95"/>
        <v>-0.64035610153810252</v>
      </c>
    </row>
    <row r="1486" spans="1:23" x14ac:dyDescent="0.25">
      <c r="A1486" t="s">
        <v>1930</v>
      </c>
      <c r="B1486">
        <v>2016</v>
      </c>
      <c r="C1486" t="s">
        <v>167</v>
      </c>
      <c r="D1486" t="s">
        <v>171</v>
      </c>
      <c r="E1486">
        <v>125581</v>
      </c>
      <c r="F1486" t="s">
        <v>475</v>
      </c>
      <c r="G1486" t="s">
        <v>30</v>
      </c>
      <c r="H1486" t="s">
        <v>24</v>
      </c>
      <c r="I1486" t="s">
        <v>25</v>
      </c>
      <c r="J1486" s="2">
        <v>45505</v>
      </c>
      <c r="K1486" t="s">
        <v>25</v>
      </c>
      <c r="L1486">
        <v>44662</v>
      </c>
      <c r="M1486">
        <v>235</v>
      </c>
      <c r="N1486">
        <v>285</v>
      </c>
      <c r="O1486" s="4">
        <v>3000</v>
      </c>
      <c r="P1486" s="4">
        <v>4372.78955078125</v>
      </c>
      <c r="Q1486" s="5">
        <f t="shared" si="92"/>
        <v>0.45759651692708325</v>
      </c>
      <c r="R1486" s="4">
        <v>4410.7647575753363</v>
      </c>
      <c r="S1486" s="5">
        <f t="shared" si="93"/>
        <v>0.47025491919177886</v>
      </c>
      <c r="T1486" s="4">
        <v>3969.252617874587</v>
      </c>
      <c r="U1486" s="5">
        <f t="shared" si="94"/>
        <v>0.32308420595819576</v>
      </c>
      <c r="V1486" s="4">
        <v>4430.8681640625</v>
      </c>
      <c r="W1486" s="5">
        <f t="shared" si="95"/>
        <v>0.47695605468750002</v>
      </c>
    </row>
    <row r="1487" spans="1:23" x14ac:dyDescent="0.25">
      <c r="A1487" t="s">
        <v>1931</v>
      </c>
      <c r="B1487">
        <v>2020</v>
      </c>
      <c r="C1487" t="s">
        <v>167</v>
      </c>
      <c r="D1487" t="s">
        <v>171</v>
      </c>
      <c r="E1487">
        <v>133473</v>
      </c>
      <c r="F1487" t="s">
        <v>334</v>
      </c>
      <c r="G1487" t="s">
        <v>85</v>
      </c>
      <c r="H1487" t="s">
        <v>24</v>
      </c>
      <c r="I1487" t="s">
        <v>25</v>
      </c>
      <c r="J1487" s="2">
        <v>45631</v>
      </c>
      <c r="K1487" t="s">
        <v>25</v>
      </c>
      <c r="L1487">
        <v>44662</v>
      </c>
      <c r="M1487">
        <v>235</v>
      </c>
      <c r="N1487">
        <v>285</v>
      </c>
      <c r="O1487" s="4">
        <v>13200</v>
      </c>
      <c r="P1487" s="4">
        <v>4698.26953125</v>
      </c>
      <c r="Q1487" s="5">
        <f t="shared" si="92"/>
        <v>-0.64407049005681816</v>
      </c>
      <c r="R1487" s="4">
        <v>5061.7009778567271</v>
      </c>
      <c r="S1487" s="5">
        <f t="shared" si="93"/>
        <v>-0.61653780470782371</v>
      </c>
      <c r="T1487" s="4">
        <v>5056.8504651472686</v>
      </c>
      <c r="U1487" s="5">
        <f t="shared" si="94"/>
        <v>-0.6169052677918736</v>
      </c>
      <c r="V1487" s="4">
        <v>4575.224609375</v>
      </c>
      <c r="W1487" s="5">
        <f t="shared" si="95"/>
        <v>-0.65339207504734853</v>
      </c>
    </row>
    <row r="1488" spans="1:23" x14ac:dyDescent="0.25">
      <c r="A1488" t="s">
        <v>1932</v>
      </c>
      <c r="B1488">
        <v>2021</v>
      </c>
      <c r="C1488" t="s">
        <v>185</v>
      </c>
      <c r="D1488" t="s">
        <v>1291</v>
      </c>
      <c r="E1488">
        <v>65089</v>
      </c>
      <c r="F1488" t="s">
        <v>79</v>
      </c>
      <c r="G1488" t="s">
        <v>38</v>
      </c>
      <c r="H1488" t="s">
        <v>25</v>
      </c>
      <c r="I1488" t="s">
        <v>24</v>
      </c>
      <c r="J1488" s="2">
        <v>45701</v>
      </c>
      <c r="K1488" t="s">
        <v>25</v>
      </c>
      <c r="L1488">
        <v>44662</v>
      </c>
      <c r="M1488">
        <v>235</v>
      </c>
      <c r="N1488">
        <v>285</v>
      </c>
      <c r="O1488" s="4">
        <v>10200</v>
      </c>
      <c r="P1488" s="4">
        <v>11302.03125</v>
      </c>
      <c r="Q1488" s="5">
        <f t="shared" si="92"/>
        <v>0.10804227941176481</v>
      </c>
      <c r="R1488" s="4">
        <v>10429.87349378975</v>
      </c>
      <c r="S1488" s="5">
        <f t="shared" si="93"/>
        <v>2.253661703821086E-2</v>
      </c>
      <c r="T1488" s="4">
        <v>12921.329322593559</v>
      </c>
      <c r="U1488" s="5">
        <f t="shared" si="94"/>
        <v>0.2667969924111333</v>
      </c>
      <c r="V1488" s="4">
        <v>11206.8515625</v>
      </c>
      <c r="W1488" s="5">
        <f t="shared" si="95"/>
        <v>9.8710937499999929E-2</v>
      </c>
    </row>
    <row r="1489" spans="1:23" x14ac:dyDescent="0.25">
      <c r="A1489" t="s">
        <v>1933</v>
      </c>
      <c r="B1489">
        <v>2015</v>
      </c>
      <c r="C1489" t="s">
        <v>185</v>
      </c>
      <c r="D1489" t="s">
        <v>1934</v>
      </c>
      <c r="E1489">
        <v>44101</v>
      </c>
      <c r="F1489" t="s">
        <v>621</v>
      </c>
      <c r="G1489" t="s">
        <v>44</v>
      </c>
      <c r="H1489" t="s">
        <v>25</v>
      </c>
      <c r="I1489" t="s">
        <v>24</v>
      </c>
      <c r="J1489" s="2">
        <v>45386</v>
      </c>
      <c r="K1489" t="s">
        <v>25</v>
      </c>
      <c r="L1489">
        <v>44662</v>
      </c>
      <c r="M1489">
        <v>235</v>
      </c>
      <c r="N1489">
        <v>285</v>
      </c>
      <c r="O1489" s="4">
        <v>2000</v>
      </c>
      <c r="P1489" s="4">
        <v>12301.23046875</v>
      </c>
      <c r="Q1489" s="5">
        <f t="shared" si="92"/>
        <v>5.1506152343749996</v>
      </c>
      <c r="R1489" s="4">
        <v>14319.1518920282</v>
      </c>
      <c r="S1489" s="5">
        <f t="shared" si="93"/>
        <v>6.1595759460141002</v>
      </c>
      <c r="T1489" s="4">
        <v>14195.66576574958</v>
      </c>
      <c r="U1489" s="5">
        <f t="shared" si="94"/>
        <v>6.0978328828747896</v>
      </c>
      <c r="V1489" s="4">
        <v>11595.4619140625</v>
      </c>
      <c r="W1489" s="5">
        <f t="shared" si="95"/>
        <v>4.7977309570312503</v>
      </c>
    </row>
    <row r="1490" spans="1:23" x14ac:dyDescent="0.25">
      <c r="A1490" t="s">
        <v>1935</v>
      </c>
      <c r="B1490">
        <v>2012</v>
      </c>
      <c r="C1490" t="s">
        <v>185</v>
      </c>
      <c r="D1490" t="s">
        <v>509</v>
      </c>
      <c r="E1490">
        <v>122823</v>
      </c>
      <c r="F1490" t="s">
        <v>189</v>
      </c>
      <c r="G1490" t="s">
        <v>44</v>
      </c>
      <c r="H1490" t="s">
        <v>25</v>
      </c>
      <c r="I1490" t="s">
        <v>24</v>
      </c>
      <c r="J1490" s="2">
        <v>45512</v>
      </c>
      <c r="K1490" t="s">
        <v>25</v>
      </c>
      <c r="L1490">
        <v>44662</v>
      </c>
      <c r="M1490">
        <v>235</v>
      </c>
      <c r="N1490">
        <v>285</v>
      </c>
      <c r="O1490" s="4">
        <v>1000</v>
      </c>
      <c r="P1490" s="4">
        <v>4148.5439453125</v>
      </c>
      <c r="Q1490" s="5">
        <f t="shared" si="92"/>
        <v>3.1485439453125004</v>
      </c>
      <c r="R1490" s="4">
        <v>5738.5537741272183</v>
      </c>
      <c r="S1490" s="5">
        <f t="shared" si="93"/>
        <v>4.7385537741272179</v>
      </c>
      <c r="T1490" s="4">
        <v>6720.872763751101</v>
      </c>
      <c r="U1490" s="5">
        <f t="shared" si="94"/>
        <v>5.7208727637511014</v>
      </c>
      <c r="V1490" s="4">
        <v>3572.79931640625</v>
      </c>
      <c r="W1490" s="5">
        <f t="shared" si="95"/>
        <v>2.5727993164062499</v>
      </c>
    </row>
    <row r="1491" spans="1:23" x14ac:dyDescent="0.25">
      <c r="A1491" t="s">
        <v>1936</v>
      </c>
      <c r="B1491">
        <v>2019</v>
      </c>
      <c r="C1491" t="s">
        <v>1686</v>
      </c>
      <c r="D1491" t="s">
        <v>1937</v>
      </c>
      <c r="E1491">
        <v>60021</v>
      </c>
      <c r="F1491" t="s">
        <v>189</v>
      </c>
      <c r="G1491" t="s">
        <v>44</v>
      </c>
      <c r="H1491" t="s">
        <v>25</v>
      </c>
      <c r="I1491" t="s">
        <v>24</v>
      </c>
      <c r="J1491" s="2">
        <v>45300</v>
      </c>
      <c r="K1491" t="s">
        <v>25</v>
      </c>
      <c r="L1491">
        <v>44662</v>
      </c>
      <c r="M1491">
        <v>235</v>
      </c>
      <c r="N1491">
        <v>285</v>
      </c>
      <c r="O1491" s="4">
        <v>24375</v>
      </c>
      <c r="P1491" s="4">
        <v>22795.1640625</v>
      </c>
      <c r="Q1491" s="5">
        <f t="shared" si="92"/>
        <v>-6.4813782051282076E-2</v>
      </c>
      <c r="R1491" s="4">
        <v>26467.28157038362</v>
      </c>
      <c r="S1491" s="5">
        <f t="shared" si="93"/>
        <v>8.5837192631122994E-2</v>
      </c>
      <c r="T1491" s="4">
        <v>28712.824354808261</v>
      </c>
      <c r="U1491" s="5">
        <f t="shared" si="94"/>
        <v>0.17796202481264656</v>
      </c>
      <c r="V1491" s="4">
        <v>21393.56640625</v>
      </c>
      <c r="W1491" s="5">
        <f t="shared" si="95"/>
        <v>-0.12231522435897435</v>
      </c>
    </row>
    <row r="1492" spans="1:23" x14ac:dyDescent="0.25">
      <c r="A1492" t="s">
        <v>1938</v>
      </c>
      <c r="B1492">
        <v>2012</v>
      </c>
      <c r="C1492" t="s">
        <v>551</v>
      </c>
      <c r="D1492" t="s">
        <v>552</v>
      </c>
      <c r="E1492">
        <v>50160</v>
      </c>
      <c r="F1492" t="s">
        <v>161</v>
      </c>
      <c r="G1492" t="s">
        <v>44</v>
      </c>
      <c r="H1492" t="s">
        <v>25</v>
      </c>
      <c r="I1492" t="s">
        <v>24</v>
      </c>
      <c r="J1492" s="2">
        <v>45454</v>
      </c>
      <c r="K1492" t="s">
        <v>25</v>
      </c>
      <c r="L1492">
        <v>44662</v>
      </c>
      <c r="M1492">
        <v>235</v>
      </c>
      <c r="N1492">
        <v>285</v>
      </c>
      <c r="O1492" s="4">
        <v>2733.3333333333298</v>
      </c>
      <c r="P1492" s="4">
        <v>9613.5810546875</v>
      </c>
      <c r="Q1492" s="5">
        <f t="shared" si="92"/>
        <v>2.5171638004954313</v>
      </c>
      <c r="R1492" s="4">
        <v>10074.09204314104</v>
      </c>
      <c r="S1492" s="5">
        <f t="shared" si="93"/>
        <v>2.6856434304174583</v>
      </c>
      <c r="T1492" s="4">
        <v>9271.3627311702112</v>
      </c>
      <c r="U1492" s="5">
        <f t="shared" si="94"/>
        <v>2.3919619748183742</v>
      </c>
      <c r="V1492" s="4">
        <v>9550.013671875</v>
      </c>
      <c r="W1492" s="5">
        <f t="shared" si="95"/>
        <v>2.4939074409298825</v>
      </c>
    </row>
    <row r="1493" spans="1:23" x14ac:dyDescent="0.25">
      <c r="A1493" t="s">
        <v>1939</v>
      </c>
      <c r="B1493">
        <v>2018</v>
      </c>
      <c r="C1493" t="s">
        <v>156</v>
      </c>
      <c r="D1493" t="s">
        <v>196</v>
      </c>
      <c r="E1493">
        <v>112900</v>
      </c>
      <c r="F1493" t="s">
        <v>261</v>
      </c>
      <c r="G1493" t="s">
        <v>23</v>
      </c>
      <c r="H1493" t="s">
        <v>24</v>
      </c>
      <c r="I1493" t="s">
        <v>25</v>
      </c>
      <c r="J1493" s="2">
        <v>45314</v>
      </c>
      <c r="K1493" t="s">
        <v>25</v>
      </c>
      <c r="L1493">
        <v>44662</v>
      </c>
      <c r="M1493">
        <v>235</v>
      </c>
      <c r="N1493">
        <v>285</v>
      </c>
      <c r="O1493" s="4">
        <v>9600</v>
      </c>
      <c r="P1493" s="4">
        <v>4054.908935546875</v>
      </c>
      <c r="Q1493" s="5">
        <f t="shared" si="92"/>
        <v>-0.57761365254720054</v>
      </c>
      <c r="R1493" s="4">
        <v>3321.3270596419002</v>
      </c>
      <c r="S1493" s="5">
        <f t="shared" si="93"/>
        <v>-0.65402843128730215</v>
      </c>
      <c r="T1493" s="4">
        <v>3631.7207838006611</v>
      </c>
      <c r="U1493" s="5">
        <f t="shared" si="94"/>
        <v>-0.62169575168743108</v>
      </c>
      <c r="V1493" s="4">
        <v>4080.486572265625</v>
      </c>
      <c r="W1493" s="5">
        <f t="shared" si="95"/>
        <v>-0.57494931538899741</v>
      </c>
    </row>
    <row r="1494" spans="1:23" x14ac:dyDescent="0.25">
      <c r="A1494" t="s">
        <v>1940</v>
      </c>
      <c r="B1494">
        <v>2015</v>
      </c>
      <c r="C1494" t="s">
        <v>487</v>
      </c>
      <c r="D1494" t="s">
        <v>1533</v>
      </c>
      <c r="E1494">
        <v>105027</v>
      </c>
      <c r="F1494" t="s">
        <v>334</v>
      </c>
      <c r="G1494" t="s">
        <v>30</v>
      </c>
      <c r="H1494" t="s">
        <v>24</v>
      </c>
      <c r="I1494" t="s">
        <v>25</v>
      </c>
      <c r="J1494" s="2">
        <v>45496</v>
      </c>
      <c r="K1494" t="s">
        <v>25</v>
      </c>
      <c r="L1494">
        <v>44662</v>
      </c>
      <c r="M1494">
        <v>235</v>
      </c>
      <c r="N1494">
        <v>285</v>
      </c>
      <c r="O1494" s="4">
        <v>5600</v>
      </c>
      <c r="P1494" s="4">
        <v>4132.833984375</v>
      </c>
      <c r="Q1494" s="5">
        <f t="shared" si="92"/>
        <v>-0.26199393136160709</v>
      </c>
      <c r="R1494" s="4">
        <v>4988.2431562975507</v>
      </c>
      <c r="S1494" s="5">
        <f t="shared" si="93"/>
        <v>-0.10924229351829451</v>
      </c>
      <c r="T1494" s="4">
        <v>4745.6731919455988</v>
      </c>
      <c r="U1494" s="5">
        <f t="shared" si="94"/>
        <v>-0.15255835858114308</v>
      </c>
      <c r="V1494" s="4">
        <v>3722.849365234375</v>
      </c>
      <c r="W1494" s="5">
        <f t="shared" si="95"/>
        <v>-0.33520547049386162</v>
      </c>
    </row>
    <row r="1495" spans="1:23" x14ac:dyDescent="0.25">
      <c r="A1495" t="s">
        <v>1941</v>
      </c>
      <c r="B1495">
        <v>2015</v>
      </c>
      <c r="C1495" t="s">
        <v>266</v>
      </c>
      <c r="D1495" t="s">
        <v>561</v>
      </c>
      <c r="E1495">
        <v>149836</v>
      </c>
      <c r="F1495" t="s">
        <v>22</v>
      </c>
      <c r="G1495" t="s">
        <v>30</v>
      </c>
      <c r="H1495" t="s">
        <v>24</v>
      </c>
      <c r="I1495" t="s">
        <v>25</v>
      </c>
      <c r="J1495" s="2">
        <v>45468</v>
      </c>
      <c r="K1495" t="s">
        <v>25</v>
      </c>
      <c r="L1495">
        <v>44662</v>
      </c>
      <c r="M1495">
        <v>235</v>
      </c>
      <c r="N1495">
        <v>285</v>
      </c>
      <c r="O1495" s="4">
        <v>8100</v>
      </c>
      <c r="P1495" s="4">
        <v>1925.266357421875</v>
      </c>
      <c r="Q1495" s="5">
        <f t="shared" si="92"/>
        <v>-0.7623127953800154</v>
      </c>
      <c r="R1495" s="4">
        <v>2215.6219378331548</v>
      </c>
      <c r="S1495" s="5">
        <f t="shared" si="93"/>
        <v>-0.7264664274280056</v>
      </c>
      <c r="T1495" s="4">
        <v>3652.2411805326942</v>
      </c>
      <c r="U1495" s="5">
        <f t="shared" si="94"/>
        <v>-0.54910602709472911</v>
      </c>
      <c r="V1495" s="4">
        <v>1830.625122070312</v>
      </c>
      <c r="W1495" s="5">
        <f t="shared" si="95"/>
        <v>-0.77399689850983799</v>
      </c>
    </row>
    <row r="1496" spans="1:23" x14ac:dyDescent="0.25">
      <c r="A1496" t="s">
        <v>1942</v>
      </c>
      <c r="B1496">
        <v>2015</v>
      </c>
      <c r="C1496" t="s">
        <v>46</v>
      </c>
      <c r="D1496" t="s">
        <v>315</v>
      </c>
      <c r="E1496">
        <v>93062</v>
      </c>
      <c r="F1496" t="s">
        <v>77</v>
      </c>
      <c r="G1496" t="s">
        <v>30</v>
      </c>
      <c r="H1496" t="s">
        <v>24</v>
      </c>
      <c r="I1496" t="s">
        <v>25</v>
      </c>
      <c r="J1496" s="2">
        <v>45692</v>
      </c>
      <c r="K1496" t="s">
        <v>25</v>
      </c>
      <c r="L1496">
        <v>44706</v>
      </c>
      <c r="M1496">
        <v>222</v>
      </c>
      <c r="N1496">
        <v>272</v>
      </c>
      <c r="O1496" s="4">
        <v>6000</v>
      </c>
      <c r="P1496" s="4">
        <v>5465.90234375</v>
      </c>
      <c r="Q1496" s="5">
        <f t="shared" si="92"/>
        <v>-8.901627604166662E-2</v>
      </c>
      <c r="R1496" s="4">
        <v>7890.4133449376168</v>
      </c>
      <c r="S1496" s="5">
        <f t="shared" si="93"/>
        <v>0.31506889082293621</v>
      </c>
      <c r="T1496" s="4">
        <v>3968.801517257953</v>
      </c>
      <c r="U1496" s="5">
        <f t="shared" si="94"/>
        <v>-0.33853308045700781</v>
      </c>
      <c r="V1496" s="4">
        <v>4921.19921875</v>
      </c>
      <c r="W1496" s="5">
        <f t="shared" si="95"/>
        <v>-0.1798001302083333</v>
      </c>
    </row>
    <row r="1497" spans="1:23" x14ac:dyDescent="0.25">
      <c r="A1497" t="s">
        <v>1943</v>
      </c>
      <c r="B1497">
        <v>2016</v>
      </c>
      <c r="C1497" t="s">
        <v>53</v>
      </c>
      <c r="D1497" t="s">
        <v>340</v>
      </c>
      <c r="E1497">
        <v>112208</v>
      </c>
      <c r="F1497" t="s">
        <v>254</v>
      </c>
      <c r="G1497" t="s">
        <v>38</v>
      </c>
      <c r="H1497" t="s">
        <v>25</v>
      </c>
      <c r="I1497" t="s">
        <v>24</v>
      </c>
      <c r="J1497" s="2">
        <v>45622</v>
      </c>
      <c r="K1497" t="s">
        <v>25</v>
      </c>
      <c r="L1497">
        <v>44706</v>
      </c>
      <c r="M1497">
        <v>222</v>
      </c>
      <c r="N1497">
        <v>272</v>
      </c>
      <c r="O1497" s="4">
        <v>13500</v>
      </c>
      <c r="P1497" s="4">
        <v>7071.8349609375</v>
      </c>
      <c r="Q1497" s="5">
        <f t="shared" si="92"/>
        <v>-0.47616037326388894</v>
      </c>
      <c r="R1497" s="4">
        <v>7609.7785689933544</v>
      </c>
      <c r="S1497" s="5">
        <f t="shared" si="93"/>
        <v>-0.43631269859308486</v>
      </c>
      <c r="T1497" s="4">
        <v>10062.401797519289</v>
      </c>
      <c r="U1497" s="5">
        <f t="shared" si="94"/>
        <v>-0.25463690388746008</v>
      </c>
      <c r="V1497" s="4">
        <v>7090.826171875</v>
      </c>
      <c r="W1497" s="5">
        <f t="shared" si="95"/>
        <v>-0.4747536168981481</v>
      </c>
    </row>
    <row r="1498" spans="1:23" x14ac:dyDescent="0.25">
      <c r="A1498" t="s">
        <v>1944</v>
      </c>
      <c r="B1498">
        <v>2016</v>
      </c>
      <c r="C1498" t="s">
        <v>53</v>
      </c>
      <c r="D1498" t="s">
        <v>979</v>
      </c>
      <c r="E1498">
        <v>139079</v>
      </c>
      <c r="F1498" t="s">
        <v>48</v>
      </c>
      <c r="G1498" t="s">
        <v>30</v>
      </c>
      <c r="H1498" t="s">
        <v>24</v>
      </c>
      <c r="I1498" t="s">
        <v>25</v>
      </c>
      <c r="J1498" s="2">
        <v>45603</v>
      </c>
      <c r="K1498" t="s">
        <v>25</v>
      </c>
      <c r="L1498">
        <v>44706</v>
      </c>
      <c r="M1498">
        <v>222</v>
      </c>
      <c r="N1498">
        <v>272</v>
      </c>
      <c r="O1498" s="4">
        <v>6600</v>
      </c>
      <c r="P1498" s="4">
        <v>3792.384765625</v>
      </c>
      <c r="Q1498" s="5">
        <f t="shared" si="92"/>
        <v>-0.42539624763257577</v>
      </c>
      <c r="R1498" s="4">
        <v>6113.5750902556247</v>
      </c>
      <c r="S1498" s="5">
        <f t="shared" si="93"/>
        <v>-7.3700743900662946E-2</v>
      </c>
      <c r="T1498" s="4">
        <v>7889.2793435923013</v>
      </c>
      <c r="U1498" s="5">
        <f t="shared" si="94"/>
        <v>0.1953453550897426</v>
      </c>
      <c r="V1498" s="4">
        <v>3304.873779296875</v>
      </c>
      <c r="W1498" s="5">
        <f t="shared" si="95"/>
        <v>-0.49926154859138261</v>
      </c>
    </row>
    <row r="1499" spans="1:23" x14ac:dyDescent="0.25">
      <c r="A1499" t="s">
        <v>1945</v>
      </c>
      <c r="B1499">
        <v>2012</v>
      </c>
      <c r="C1499" t="s">
        <v>113</v>
      </c>
      <c r="D1499" t="s">
        <v>114</v>
      </c>
      <c r="E1499">
        <v>137295</v>
      </c>
      <c r="F1499" t="s">
        <v>111</v>
      </c>
      <c r="G1499" t="s">
        <v>30</v>
      </c>
      <c r="H1499" t="s">
        <v>24</v>
      </c>
      <c r="I1499" t="s">
        <v>25</v>
      </c>
      <c r="J1499" s="2">
        <v>45468</v>
      </c>
      <c r="K1499" t="s">
        <v>25</v>
      </c>
      <c r="L1499">
        <v>44706</v>
      </c>
      <c r="M1499">
        <v>222</v>
      </c>
      <c r="N1499">
        <v>272</v>
      </c>
      <c r="O1499" s="4">
        <v>4500</v>
      </c>
      <c r="P1499" s="4">
        <v>2931.079833984375</v>
      </c>
      <c r="Q1499" s="5">
        <f t="shared" si="92"/>
        <v>-0.34864892578124995</v>
      </c>
      <c r="R1499" s="4">
        <v>2727.2793584134452</v>
      </c>
      <c r="S1499" s="5">
        <f t="shared" si="93"/>
        <v>-0.39393792035256769</v>
      </c>
      <c r="T1499" s="4">
        <v>3760.2717790202769</v>
      </c>
      <c r="U1499" s="5">
        <f t="shared" si="94"/>
        <v>-0.16438404910660509</v>
      </c>
      <c r="V1499" s="4">
        <v>2889.32373046875</v>
      </c>
      <c r="W1499" s="5">
        <f t="shared" si="95"/>
        <v>-0.35792805989583332</v>
      </c>
    </row>
    <row r="1500" spans="1:23" x14ac:dyDescent="0.25">
      <c r="A1500" t="s">
        <v>1946</v>
      </c>
      <c r="B1500">
        <v>2014</v>
      </c>
      <c r="C1500" t="s">
        <v>104</v>
      </c>
      <c r="D1500" t="s">
        <v>126</v>
      </c>
      <c r="E1500">
        <v>77157</v>
      </c>
      <c r="F1500" t="s">
        <v>254</v>
      </c>
      <c r="G1500" t="s">
        <v>38</v>
      </c>
      <c r="H1500" t="s">
        <v>25</v>
      </c>
      <c r="I1500" t="s">
        <v>24</v>
      </c>
      <c r="J1500" s="2">
        <v>45300</v>
      </c>
      <c r="K1500" t="s">
        <v>25</v>
      </c>
      <c r="L1500">
        <v>44706</v>
      </c>
      <c r="M1500">
        <v>222</v>
      </c>
      <c r="N1500">
        <v>272</v>
      </c>
      <c r="O1500" s="4">
        <v>3800</v>
      </c>
      <c r="P1500" s="4">
        <v>6866.8955078125</v>
      </c>
      <c r="Q1500" s="5">
        <f t="shared" si="92"/>
        <v>0.80707776521381569</v>
      </c>
      <c r="R1500" s="4">
        <v>11070.7611736005</v>
      </c>
      <c r="S1500" s="5">
        <f t="shared" si="93"/>
        <v>1.913358203579079</v>
      </c>
      <c r="T1500" s="4">
        <v>9457.5293755726998</v>
      </c>
      <c r="U1500" s="5">
        <f t="shared" si="94"/>
        <v>1.4888235198875526</v>
      </c>
      <c r="V1500" s="4">
        <v>7685.80224609375</v>
      </c>
      <c r="W1500" s="5">
        <f t="shared" si="95"/>
        <v>1.0225795384457235</v>
      </c>
    </row>
    <row r="1501" spans="1:23" x14ac:dyDescent="0.25">
      <c r="A1501" t="s">
        <v>1947</v>
      </c>
      <c r="B1501">
        <v>2015</v>
      </c>
      <c r="C1501" t="s">
        <v>27</v>
      </c>
      <c r="D1501" t="s">
        <v>1948</v>
      </c>
      <c r="E1501">
        <v>121077</v>
      </c>
      <c r="F1501" t="s">
        <v>87</v>
      </c>
      <c r="G1501" t="s">
        <v>44</v>
      </c>
      <c r="H1501" t="s">
        <v>25</v>
      </c>
      <c r="I1501" t="s">
        <v>24</v>
      </c>
      <c r="J1501" s="2">
        <v>45300</v>
      </c>
      <c r="K1501" t="s">
        <v>25</v>
      </c>
      <c r="L1501">
        <v>44707</v>
      </c>
      <c r="M1501">
        <v>222</v>
      </c>
      <c r="N1501">
        <v>272</v>
      </c>
      <c r="O1501" s="4">
        <v>8600</v>
      </c>
      <c r="P1501" s="4">
        <v>6280.6318359375</v>
      </c>
      <c r="Q1501" s="5">
        <f t="shared" si="92"/>
        <v>-0.26969397256540695</v>
      </c>
      <c r="R1501" s="4">
        <v>8009.7807639527973</v>
      </c>
      <c r="S1501" s="5">
        <f t="shared" si="93"/>
        <v>-6.8630143726418957E-2</v>
      </c>
      <c r="T1501" s="4">
        <v>9122.389706737813</v>
      </c>
      <c r="U1501" s="5">
        <f t="shared" si="94"/>
        <v>6.0742989155559757E-2</v>
      </c>
      <c r="V1501" s="4">
        <v>5595.66064453125</v>
      </c>
      <c r="W1501" s="5">
        <f t="shared" si="95"/>
        <v>-0.34934178551962214</v>
      </c>
    </row>
    <row r="1502" spans="1:23" x14ac:dyDescent="0.25">
      <c r="A1502" t="s">
        <v>1949</v>
      </c>
      <c r="B1502">
        <v>2012</v>
      </c>
      <c r="C1502" t="s">
        <v>53</v>
      </c>
      <c r="D1502" t="s">
        <v>979</v>
      </c>
      <c r="E1502">
        <v>59604</v>
      </c>
      <c r="F1502" t="s">
        <v>115</v>
      </c>
      <c r="G1502" t="s">
        <v>34</v>
      </c>
      <c r="H1502" t="s">
        <v>25</v>
      </c>
      <c r="I1502" t="s">
        <v>24</v>
      </c>
      <c r="J1502" s="2">
        <v>45309</v>
      </c>
      <c r="K1502" t="s">
        <v>25</v>
      </c>
      <c r="L1502">
        <v>44707</v>
      </c>
      <c r="M1502">
        <v>222</v>
      </c>
      <c r="N1502">
        <v>272</v>
      </c>
      <c r="O1502" s="4">
        <v>5300</v>
      </c>
      <c r="P1502" s="4">
        <v>7850.9501953125</v>
      </c>
      <c r="Q1502" s="5">
        <f t="shared" si="92"/>
        <v>0.48131135760613208</v>
      </c>
      <c r="R1502" s="4">
        <v>6017.752924213507</v>
      </c>
      <c r="S1502" s="5">
        <f t="shared" si="93"/>
        <v>0.13542508004028431</v>
      </c>
      <c r="T1502" s="4">
        <v>9064.9235716478888</v>
      </c>
      <c r="U1502" s="5">
        <f t="shared" si="94"/>
        <v>0.71036293804677153</v>
      </c>
      <c r="V1502" s="4">
        <v>7819.39404296875</v>
      </c>
      <c r="W1502" s="5">
        <f t="shared" si="95"/>
        <v>0.47535736659787742</v>
      </c>
    </row>
    <row r="1503" spans="1:23" x14ac:dyDescent="0.25">
      <c r="A1503" t="s">
        <v>1950</v>
      </c>
      <c r="B1503">
        <v>2019</v>
      </c>
      <c r="C1503" t="s">
        <v>20</v>
      </c>
      <c r="D1503" t="s">
        <v>134</v>
      </c>
      <c r="E1503">
        <v>120125</v>
      </c>
      <c r="F1503" t="s">
        <v>250</v>
      </c>
      <c r="G1503" t="s">
        <v>30</v>
      </c>
      <c r="H1503" t="s">
        <v>24</v>
      </c>
      <c r="I1503" t="s">
        <v>25</v>
      </c>
      <c r="J1503" s="2">
        <v>45344</v>
      </c>
      <c r="K1503" t="s">
        <v>25</v>
      </c>
      <c r="L1503">
        <v>44707</v>
      </c>
      <c r="M1503">
        <v>222</v>
      </c>
      <c r="N1503">
        <v>272</v>
      </c>
      <c r="O1503" s="4">
        <v>16500</v>
      </c>
      <c r="P1503" s="4">
        <v>11099.6455078125</v>
      </c>
      <c r="Q1503" s="5">
        <f t="shared" si="92"/>
        <v>-0.32729421164772732</v>
      </c>
      <c r="R1503" s="4">
        <v>11402.62557287874</v>
      </c>
      <c r="S1503" s="5">
        <f t="shared" si="93"/>
        <v>-0.30893178346189454</v>
      </c>
      <c r="T1503" s="4">
        <v>11011.983479098581</v>
      </c>
      <c r="U1503" s="5">
        <f t="shared" si="94"/>
        <v>-0.3326070618728133</v>
      </c>
      <c r="V1503" s="4">
        <v>11264.9345703125</v>
      </c>
      <c r="W1503" s="5">
        <f t="shared" si="95"/>
        <v>-0.31727669270833336</v>
      </c>
    </row>
    <row r="1504" spans="1:23" x14ac:dyDescent="0.25">
      <c r="A1504" t="s">
        <v>1951</v>
      </c>
      <c r="B1504">
        <v>2019</v>
      </c>
      <c r="C1504" t="s">
        <v>32</v>
      </c>
      <c r="D1504" t="s">
        <v>1952</v>
      </c>
      <c r="E1504">
        <v>50819</v>
      </c>
      <c r="F1504" t="s">
        <v>621</v>
      </c>
      <c r="G1504" t="s">
        <v>44</v>
      </c>
      <c r="H1504" t="s">
        <v>25</v>
      </c>
      <c r="I1504" t="s">
        <v>24</v>
      </c>
      <c r="J1504" s="2">
        <v>45323</v>
      </c>
      <c r="K1504" t="s">
        <v>25</v>
      </c>
      <c r="L1504">
        <v>44707</v>
      </c>
      <c r="M1504">
        <v>222</v>
      </c>
      <c r="N1504">
        <v>272</v>
      </c>
      <c r="O1504" s="4">
        <v>12600</v>
      </c>
      <c r="P1504" s="4">
        <v>19019.59765625</v>
      </c>
      <c r="Q1504" s="5">
        <f t="shared" si="92"/>
        <v>0.50949187748015867</v>
      </c>
      <c r="R1504" s="4">
        <v>20561.949052391999</v>
      </c>
      <c r="S1504" s="5">
        <f t="shared" si="93"/>
        <v>0.63190071844380946</v>
      </c>
      <c r="T1504" s="4">
        <v>26616.61911752517</v>
      </c>
      <c r="U1504" s="5">
        <f t="shared" si="94"/>
        <v>1.1124300886924736</v>
      </c>
      <c r="V1504" s="4">
        <v>19097.23046875</v>
      </c>
      <c r="W1504" s="5">
        <f t="shared" si="95"/>
        <v>0.51565321180555546</v>
      </c>
    </row>
    <row r="1505" spans="1:23" x14ac:dyDescent="0.25">
      <c r="A1505" t="s">
        <v>1953</v>
      </c>
      <c r="B1505">
        <v>2018</v>
      </c>
      <c r="C1505" t="s">
        <v>156</v>
      </c>
      <c r="D1505" t="s">
        <v>157</v>
      </c>
      <c r="E1505">
        <v>97581</v>
      </c>
      <c r="F1505" t="s">
        <v>79</v>
      </c>
      <c r="G1505" t="s">
        <v>38</v>
      </c>
      <c r="H1505" t="s">
        <v>25</v>
      </c>
      <c r="I1505" t="s">
        <v>24</v>
      </c>
      <c r="J1505" s="2">
        <v>45302</v>
      </c>
      <c r="K1505" t="s">
        <v>25</v>
      </c>
      <c r="L1505">
        <v>44707</v>
      </c>
      <c r="M1505">
        <v>222</v>
      </c>
      <c r="N1505">
        <v>272</v>
      </c>
      <c r="O1505" s="4">
        <v>1100</v>
      </c>
      <c r="P1505" s="4">
        <v>5181.59326171875</v>
      </c>
      <c r="Q1505" s="5">
        <f t="shared" si="92"/>
        <v>3.7105393288352273</v>
      </c>
      <c r="R1505" s="4">
        <v>4360.5306023405219</v>
      </c>
      <c r="S1505" s="5">
        <f t="shared" si="93"/>
        <v>2.9641187294004743</v>
      </c>
      <c r="T1505" s="4">
        <v>5214.2350724778889</v>
      </c>
      <c r="U1505" s="5">
        <f t="shared" si="94"/>
        <v>3.7402137022526265</v>
      </c>
      <c r="V1505" s="4">
        <v>5192.7021484375</v>
      </c>
      <c r="W1505" s="5">
        <f t="shared" si="95"/>
        <v>3.7206383167613639</v>
      </c>
    </row>
    <row r="1506" spans="1:23" x14ac:dyDescent="0.25">
      <c r="A1506" t="s">
        <v>1954</v>
      </c>
      <c r="B1506">
        <v>2017</v>
      </c>
      <c r="C1506" t="s">
        <v>185</v>
      </c>
      <c r="D1506" t="s">
        <v>264</v>
      </c>
      <c r="E1506">
        <v>119818</v>
      </c>
      <c r="F1506" t="s">
        <v>79</v>
      </c>
      <c r="G1506" t="s">
        <v>30</v>
      </c>
      <c r="H1506" t="s">
        <v>24</v>
      </c>
      <c r="I1506" t="s">
        <v>25</v>
      </c>
      <c r="J1506" s="2">
        <v>45309</v>
      </c>
      <c r="K1506" t="s">
        <v>25</v>
      </c>
      <c r="L1506">
        <v>44707</v>
      </c>
      <c r="M1506">
        <v>222</v>
      </c>
      <c r="N1506">
        <v>272</v>
      </c>
      <c r="O1506" s="4">
        <v>4000</v>
      </c>
      <c r="P1506" s="4">
        <v>3842.69580078125</v>
      </c>
      <c r="Q1506" s="5">
        <f t="shared" si="92"/>
        <v>-3.9326049804687457E-2</v>
      </c>
      <c r="R1506" s="4">
        <v>3706.779098641678</v>
      </c>
      <c r="S1506" s="5">
        <f t="shared" si="93"/>
        <v>-7.3305225339580504E-2</v>
      </c>
      <c r="T1506" s="4">
        <v>3144.223784039028</v>
      </c>
      <c r="U1506" s="5">
        <f t="shared" si="94"/>
        <v>-0.21394405399024297</v>
      </c>
      <c r="V1506" s="4">
        <v>3782.660888671875</v>
      </c>
      <c r="W1506" s="5">
        <f t="shared" si="95"/>
        <v>-5.4334777832031222E-2</v>
      </c>
    </row>
    <row r="1507" spans="1:23" x14ac:dyDescent="0.25">
      <c r="A1507" t="s">
        <v>1955</v>
      </c>
      <c r="B1507">
        <v>2015</v>
      </c>
      <c r="C1507" t="s">
        <v>199</v>
      </c>
      <c r="D1507" t="s">
        <v>493</v>
      </c>
      <c r="E1507">
        <v>34961</v>
      </c>
      <c r="F1507" t="s">
        <v>161</v>
      </c>
      <c r="G1507" t="s">
        <v>34</v>
      </c>
      <c r="H1507" t="s">
        <v>25</v>
      </c>
      <c r="I1507" t="s">
        <v>24</v>
      </c>
      <c r="J1507" s="2">
        <v>45342</v>
      </c>
      <c r="K1507" t="s">
        <v>25</v>
      </c>
      <c r="L1507">
        <v>44707</v>
      </c>
      <c r="M1507">
        <v>222</v>
      </c>
      <c r="N1507">
        <v>272</v>
      </c>
      <c r="O1507" s="4">
        <v>3550</v>
      </c>
      <c r="P1507" s="4">
        <v>14730.69921875</v>
      </c>
      <c r="Q1507" s="5">
        <f t="shared" si="92"/>
        <v>3.1494927376760566</v>
      </c>
      <c r="R1507" s="4">
        <v>14827.991226477739</v>
      </c>
      <c r="S1507" s="5">
        <f t="shared" si="93"/>
        <v>3.1768989370359826</v>
      </c>
      <c r="T1507" s="4">
        <v>13156.00637285982</v>
      </c>
      <c r="U1507" s="5">
        <f t="shared" si="94"/>
        <v>2.7059172881295268</v>
      </c>
      <c r="V1507" s="4">
        <v>15001.93359375</v>
      </c>
      <c r="W1507" s="5">
        <f t="shared" si="95"/>
        <v>3.2258967869718314</v>
      </c>
    </row>
    <row r="1508" spans="1:23" x14ac:dyDescent="0.25">
      <c r="A1508" t="s">
        <v>1956</v>
      </c>
      <c r="B1508">
        <v>2016</v>
      </c>
      <c r="C1508" t="s">
        <v>32</v>
      </c>
      <c r="D1508" t="s">
        <v>563</v>
      </c>
      <c r="E1508">
        <v>108800</v>
      </c>
      <c r="F1508" t="s">
        <v>102</v>
      </c>
      <c r="G1508" t="s">
        <v>44</v>
      </c>
      <c r="H1508" t="s">
        <v>25</v>
      </c>
      <c r="I1508" t="s">
        <v>24</v>
      </c>
      <c r="J1508" s="2">
        <v>45300</v>
      </c>
      <c r="K1508" t="s">
        <v>25</v>
      </c>
      <c r="L1508">
        <v>44707</v>
      </c>
      <c r="M1508">
        <v>222</v>
      </c>
      <c r="N1508">
        <v>272</v>
      </c>
      <c r="O1508" s="4">
        <v>11900</v>
      </c>
      <c r="P1508" s="4">
        <v>8413.107421875</v>
      </c>
      <c r="Q1508" s="5">
        <f t="shared" si="92"/>
        <v>-0.29301618303571431</v>
      </c>
      <c r="R1508" s="4">
        <v>9396.1872954296487</v>
      </c>
      <c r="S1508" s="5">
        <f t="shared" si="93"/>
        <v>-0.21040442895549172</v>
      </c>
      <c r="T1508" s="4">
        <v>8737.9758577456505</v>
      </c>
      <c r="U1508" s="5">
        <f t="shared" si="94"/>
        <v>-0.26571631447515542</v>
      </c>
      <c r="V1508" s="4">
        <v>8238.6298828125</v>
      </c>
      <c r="W1508" s="5">
        <f t="shared" si="95"/>
        <v>-0.30767816110819324</v>
      </c>
    </row>
    <row r="1509" spans="1:23" x14ac:dyDescent="0.25">
      <c r="A1509" t="s">
        <v>1957</v>
      </c>
      <c r="B1509">
        <v>2015</v>
      </c>
      <c r="C1509" t="s">
        <v>32</v>
      </c>
      <c r="D1509" t="s">
        <v>322</v>
      </c>
      <c r="E1509">
        <v>109522</v>
      </c>
      <c r="F1509" t="s">
        <v>250</v>
      </c>
      <c r="G1509" t="s">
        <v>38</v>
      </c>
      <c r="H1509" t="s">
        <v>25</v>
      </c>
      <c r="I1509" t="s">
        <v>24</v>
      </c>
      <c r="J1509" s="2">
        <v>45664</v>
      </c>
      <c r="K1509" t="s">
        <v>25</v>
      </c>
      <c r="L1509">
        <v>44827</v>
      </c>
      <c r="M1509">
        <v>128</v>
      </c>
      <c r="N1509">
        <v>158</v>
      </c>
      <c r="O1509" s="4">
        <v>5300</v>
      </c>
      <c r="P1509" s="4">
        <v>6665.95947265625</v>
      </c>
      <c r="Q1509" s="5">
        <f t="shared" si="92"/>
        <v>0.25772820238797167</v>
      </c>
      <c r="R1509" s="4">
        <v>6935.9736741029355</v>
      </c>
      <c r="S1509" s="5">
        <f t="shared" si="93"/>
        <v>0.30867427813262927</v>
      </c>
      <c r="T1509" s="4">
        <v>5570.3170072651519</v>
      </c>
      <c r="U1509" s="5">
        <f t="shared" si="94"/>
        <v>5.1003208917953291E-2</v>
      </c>
      <c r="V1509" s="4">
        <v>6660.0361328125</v>
      </c>
      <c r="W1509" s="5">
        <f t="shared" si="95"/>
        <v>0.25661059109669804</v>
      </c>
    </row>
    <row r="1510" spans="1:23" x14ac:dyDescent="0.25">
      <c r="A1510" t="s">
        <v>1958</v>
      </c>
      <c r="B1510">
        <v>2018</v>
      </c>
      <c r="C1510" t="s">
        <v>53</v>
      </c>
      <c r="D1510" t="s">
        <v>971</v>
      </c>
      <c r="E1510">
        <v>83784</v>
      </c>
      <c r="F1510" t="s">
        <v>77</v>
      </c>
      <c r="G1510" t="s">
        <v>38</v>
      </c>
      <c r="H1510" t="s">
        <v>25</v>
      </c>
      <c r="I1510" t="s">
        <v>24</v>
      </c>
      <c r="J1510" s="2">
        <v>45582</v>
      </c>
      <c r="K1510" t="s">
        <v>25</v>
      </c>
      <c r="L1510">
        <v>44827</v>
      </c>
      <c r="M1510">
        <v>128</v>
      </c>
      <c r="N1510">
        <v>158</v>
      </c>
      <c r="O1510" s="4">
        <v>10400</v>
      </c>
      <c r="P1510" s="4">
        <v>8770.31640625</v>
      </c>
      <c r="Q1510" s="5">
        <f t="shared" si="92"/>
        <v>-0.15670034555288459</v>
      </c>
      <c r="R1510" s="4">
        <v>12531.402418783</v>
      </c>
      <c r="S1510" s="5">
        <f t="shared" si="93"/>
        <v>0.20494254026759617</v>
      </c>
      <c r="T1510" s="4">
        <v>15474.67893141391</v>
      </c>
      <c r="U1510" s="5">
        <f t="shared" si="94"/>
        <v>0.48794989725133742</v>
      </c>
      <c r="V1510" s="4">
        <v>8065.6005859375</v>
      </c>
      <c r="W1510" s="5">
        <f t="shared" si="95"/>
        <v>-0.22446148212139427</v>
      </c>
    </row>
    <row r="1511" spans="1:23" x14ac:dyDescent="0.25">
      <c r="A1511" t="s">
        <v>1959</v>
      </c>
      <c r="B1511">
        <v>2014</v>
      </c>
      <c r="C1511" t="s">
        <v>53</v>
      </c>
      <c r="D1511" t="s">
        <v>69</v>
      </c>
      <c r="E1511">
        <v>133546</v>
      </c>
      <c r="F1511" t="s">
        <v>72</v>
      </c>
      <c r="G1511" t="s">
        <v>30</v>
      </c>
      <c r="H1511" t="s">
        <v>24</v>
      </c>
      <c r="I1511" t="s">
        <v>25</v>
      </c>
      <c r="J1511" s="2">
        <v>45659</v>
      </c>
      <c r="K1511" t="s">
        <v>25</v>
      </c>
      <c r="L1511">
        <v>44827</v>
      </c>
      <c r="M1511">
        <v>128</v>
      </c>
      <c r="N1511">
        <v>158</v>
      </c>
      <c r="O1511" s="4">
        <v>3700</v>
      </c>
      <c r="P1511" s="4">
        <v>4386.5205078125</v>
      </c>
      <c r="Q1511" s="5">
        <f t="shared" si="92"/>
        <v>0.18554608319256749</v>
      </c>
      <c r="R1511" s="4">
        <v>6290.3364350864758</v>
      </c>
      <c r="S1511" s="5">
        <f t="shared" si="93"/>
        <v>0.70009092840175025</v>
      </c>
      <c r="T1511" s="4">
        <v>7740.7827889529144</v>
      </c>
      <c r="U1511" s="5">
        <f t="shared" si="94"/>
        <v>1.0921034564737608</v>
      </c>
      <c r="V1511" s="4">
        <v>3986.208251953125</v>
      </c>
      <c r="W1511" s="5">
        <f t="shared" si="95"/>
        <v>7.7353581608952782E-2</v>
      </c>
    </row>
    <row r="1512" spans="1:23" x14ac:dyDescent="0.25">
      <c r="A1512" t="s">
        <v>1960</v>
      </c>
      <c r="B1512">
        <v>2021</v>
      </c>
      <c r="C1512" t="s">
        <v>53</v>
      </c>
      <c r="D1512" t="s">
        <v>1961</v>
      </c>
      <c r="E1512">
        <v>72564</v>
      </c>
      <c r="F1512" t="s">
        <v>63</v>
      </c>
      <c r="G1512" t="s">
        <v>44</v>
      </c>
      <c r="H1512" t="s">
        <v>25</v>
      </c>
      <c r="I1512" t="s">
        <v>24</v>
      </c>
      <c r="J1512" s="2">
        <v>45622</v>
      </c>
      <c r="K1512" t="s">
        <v>25</v>
      </c>
      <c r="L1512">
        <v>44827</v>
      </c>
      <c r="M1512">
        <v>128</v>
      </c>
      <c r="N1512">
        <v>158</v>
      </c>
      <c r="O1512" s="4">
        <v>31000</v>
      </c>
      <c r="P1512" s="4">
        <v>24574.814453125</v>
      </c>
      <c r="Q1512" s="5">
        <f t="shared" si="92"/>
        <v>-0.20726404989919356</v>
      </c>
      <c r="R1512" s="4">
        <v>22075.521058637809</v>
      </c>
      <c r="S1512" s="5">
        <f t="shared" si="93"/>
        <v>-0.28788641746329646</v>
      </c>
      <c r="T1512" s="4">
        <v>29787.025495134589</v>
      </c>
      <c r="U1512" s="5">
        <f t="shared" si="94"/>
        <v>-3.9128209834368155E-2</v>
      </c>
      <c r="V1512" s="4">
        <v>24517.0078125</v>
      </c>
      <c r="W1512" s="5">
        <f t="shared" si="95"/>
        <v>-0.20912878024193549</v>
      </c>
    </row>
    <row r="1513" spans="1:23" x14ac:dyDescent="0.25">
      <c r="A1513" t="s">
        <v>1962</v>
      </c>
      <c r="B1513">
        <v>2015</v>
      </c>
      <c r="C1513" t="s">
        <v>20</v>
      </c>
      <c r="D1513" t="s">
        <v>1963</v>
      </c>
      <c r="E1513">
        <v>48468</v>
      </c>
      <c r="F1513" t="s">
        <v>82</v>
      </c>
      <c r="G1513" t="s">
        <v>30</v>
      </c>
      <c r="H1513" t="s">
        <v>24</v>
      </c>
      <c r="I1513" t="s">
        <v>25</v>
      </c>
      <c r="J1513" s="2">
        <v>45608</v>
      </c>
      <c r="K1513" t="s">
        <v>25</v>
      </c>
      <c r="L1513">
        <v>44827</v>
      </c>
      <c r="M1513">
        <v>128</v>
      </c>
      <c r="N1513">
        <v>158</v>
      </c>
      <c r="O1513" s="4">
        <v>46473.809523809497</v>
      </c>
      <c r="P1513" s="4">
        <v>25958.357421875</v>
      </c>
      <c r="Q1513" s="5">
        <f t="shared" si="92"/>
        <v>-0.44144115389172056</v>
      </c>
      <c r="R1513" s="4">
        <v>26835.422564277451</v>
      </c>
      <c r="S1513" s="5">
        <f t="shared" si="93"/>
        <v>-0.42256890839712402</v>
      </c>
      <c r="T1513" s="4">
        <v>20664.68804931844</v>
      </c>
      <c r="U1513" s="5">
        <f t="shared" si="94"/>
        <v>-0.55534766224121368</v>
      </c>
      <c r="V1513" s="4">
        <v>25649.1796875</v>
      </c>
      <c r="W1513" s="5">
        <f t="shared" si="95"/>
        <v>-0.44809388448434828</v>
      </c>
    </row>
    <row r="1514" spans="1:23" x14ac:dyDescent="0.25">
      <c r="A1514" t="s">
        <v>1964</v>
      </c>
      <c r="B1514">
        <v>2014</v>
      </c>
      <c r="C1514" t="s">
        <v>20</v>
      </c>
      <c r="D1514" t="s">
        <v>372</v>
      </c>
      <c r="E1514">
        <v>126929</v>
      </c>
      <c r="F1514" t="s">
        <v>37</v>
      </c>
      <c r="G1514" t="s">
        <v>30</v>
      </c>
      <c r="H1514" t="s">
        <v>24</v>
      </c>
      <c r="I1514" t="s">
        <v>25</v>
      </c>
      <c r="J1514" s="2">
        <v>45575</v>
      </c>
      <c r="K1514" t="s">
        <v>25</v>
      </c>
      <c r="L1514">
        <v>44827</v>
      </c>
      <c r="M1514">
        <v>128</v>
      </c>
      <c r="N1514">
        <v>158</v>
      </c>
      <c r="O1514" s="4">
        <v>9000</v>
      </c>
      <c r="P1514" s="4">
        <v>3414.7109375</v>
      </c>
      <c r="Q1514" s="5">
        <f t="shared" si="92"/>
        <v>-0.62058767361111111</v>
      </c>
      <c r="R1514" s="4">
        <v>4936.6193161567026</v>
      </c>
      <c r="S1514" s="5">
        <f t="shared" si="93"/>
        <v>-0.45148674264925526</v>
      </c>
      <c r="T1514" s="4">
        <v>5884.8365795082927</v>
      </c>
      <c r="U1514" s="5">
        <f t="shared" si="94"/>
        <v>-0.34612926894352303</v>
      </c>
      <c r="V1514" s="4">
        <v>2984.542724609375</v>
      </c>
      <c r="W1514" s="5">
        <f t="shared" si="95"/>
        <v>-0.66838414171006943</v>
      </c>
    </row>
    <row r="1515" spans="1:23" x14ac:dyDescent="0.25">
      <c r="A1515" t="s">
        <v>1965</v>
      </c>
      <c r="B1515">
        <v>2012</v>
      </c>
      <c r="C1515" t="s">
        <v>185</v>
      </c>
      <c r="D1515" t="s">
        <v>1966</v>
      </c>
      <c r="E1515">
        <v>115487</v>
      </c>
      <c r="F1515" t="s">
        <v>87</v>
      </c>
      <c r="G1515" t="s">
        <v>38</v>
      </c>
      <c r="H1515" t="s">
        <v>25</v>
      </c>
      <c r="I1515" t="s">
        <v>24</v>
      </c>
      <c r="J1515" s="2">
        <v>45538</v>
      </c>
      <c r="K1515" t="s">
        <v>25</v>
      </c>
      <c r="L1515">
        <v>44827</v>
      </c>
      <c r="M1515">
        <v>128</v>
      </c>
      <c r="N1515">
        <v>158</v>
      </c>
      <c r="O1515" s="4">
        <v>11000</v>
      </c>
      <c r="P1515" s="4">
        <v>3467.469482421875</v>
      </c>
      <c r="Q1515" s="5">
        <f t="shared" si="92"/>
        <v>-0.68477550159801137</v>
      </c>
      <c r="R1515" s="4">
        <v>4213.4790904216634</v>
      </c>
      <c r="S1515" s="5">
        <f t="shared" si="93"/>
        <v>-0.61695644632530333</v>
      </c>
      <c r="T1515" s="4">
        <v>9907.410366146918</v>
      </c>
      <c r="U1515" s="5">
        <f t="shared" si="94"/>
        <v>-9.9326330350280156E-2</v>
      </c>
      <c r="V1515" s="4">
        <v>3195.258056640625</v>
      </c>
      <c r="W1515" s="5">
        <f t="shared" si="95"/>
        <v>-0.70952199485085221</v>
      </c>
    </row>
    <row r="1516" spans="1:23" x14ac:dyDescent="0.25">
      <c r="A1516" t="s">
        <v>1967</v>
      </c>
      <c r="B1516">
        <v>2015</v>
      </c>
      <c r="C1516" t="s">
        <v>369</v>
      </c>
      <c r="D1516" t="s">
        <v>419</v>
      </c>
      <c r="E1516">
        <v>138922</v>
      </c>
      <c r="F1516" t="s">
        <v>77</v>
      </c>
      <c r="G1516" t="s">
        <v>38</v>
      </c>
      <c r="H1516" t="s">
        <v>25</v>
      </c>
      <c r="I1516" t="s">
        <v>24</v>
      </c>
      <c r="J1516" s="2">
        <v>45470</v>
      </c>
      <c r="K1516" t="s">
        <v>25</v>
      </c>
      <c r="L1516">
        <v>44827</v>
      </c>
      <c r="M1516">
        <v>128</v>
      </c>
      <c r="N1516">
        <v>158</v>
      </c>
      <c r="O1516" s="4">
        <v>5000</v>
      </c>
      <c r="P1516" s="4">
        <v>3532.10205078125</v>
      </c>
      <c r="Q1516" s="5">
        <f t="shared" si="92"/>
        <v>-0.29357958984374999</v>
      </c>
      <c r="R1516" s="4">
        <v>5597.9820233419014</v>
      </c>
      <c r="S1516" s="5">
        <f t="shared" si="93"/>
        <v>0.11959640466838017</v>
      </c>
      <c r="T1516" s="4">
        <v>14489.08073289811</v>
      </c>
      <c r="U1516" s="5">
        <f t="shared" si="94"/>
        <v>1.8978161465796219</v>
      </c>
      <c r="V1516" s="4">
        <v>3025.607421875</v>
      </c>
      <c r="W1516" s="5">
        <f t="shared" si="95"/>
        <v>-0.39487851562499998</v>
      </c>
    </row>
    <row r="1517" spans="1:23" x14ac:dyDescent="0.25">
      <c r="A1517" t="s">
        <v>1968</v>
      </c>
      <c r="B1517">
        <v>2017</v>
      </c>
      <c r="C1517" t="s">
        <v>20</v>
      </c>
      <c r="D1517" t="s">
        <v>421</v>
      </c>
      <c r="E1517">
        <v>83570</v>
      </c>
      <c r="F1517" t="s">
        <v>475</v>
      </c>
      <c r="G1517" t="s">
        <v>38</v>
      </c>
      <c r="H1517" t="s">
        <v>25</v>
      </c>
      <c r="I1517" t="s">
        <v>24</v>
      </c>
      <c r="J1517" s="2">
        <v>45594</v>
      </c>
      <c r="K1517" t="s">
        <v>25</v>
      </c>
      <c r="L1517">
        <v>44827</v>
      </c>
      <c r="M1517">
        <v>128</v>
      </c>
      <c r="N1517">
        <v>158</v>
      </c>
      <c r="O1517" s="4">
        <v>7700</v>
      </c>
      <c r="P1517" s="4">
        <v>8471.1689453125</v>
      </c>
      <c r="Q1517" s="5">
        <f t="shared" si="92"/>
        <v>0.10015181107954541</v>
      </c>
      <c r="R1517" s="4">
        <v>10698.610491745911</v>
      </c>
      <c r="S1517" s="5">
        <f t="shared" si="93"/>
        <v>0.38942993399297543</v>
      </c>
      <c r="T1517" s="4">
        <v>6771.3584808753221</v>
      </c>
      <c r="U1517" s="5">
        <f t="shared" si="94"/>
        <v>-0.12060279469151658</v>
      </c>
      <c r="V1517" s="4">
        <v>7716.25732421875</v>
      </c>
      <c r="W1517" s="5">
        <f t="shared" si="95"/>
        <v>2.111340807629869E-3</v>
      </c>
    </row>
    <row r="1518" spans="1:23" x14ac:dyDescent="0.25">
      <c r="A1518" t="s">
        <v>1969</v>
      </c>
      <c r="B1518">
        <v>2018</v>
      </c>
      <c r="C1518" t="s">
        <v>20</v>
      </c>
      <c r="D1518" t="s">
        <v>472</v>
      </c>
      <c r="E1518">
        <v>68178</v>
      </c>
      <c r="F1518" t="s">
        <v>250</v>
      </c>
      <c r="G1518" t="s">
        <v>30</v>
      </c>
      <c r="H1518" t="s">
        <v>24</v>
      </c>
      <c r="I1518" t="s">
        <v>25</v>
      </c>
      <c r="J1518" s="2">
        <v>45568</v>
      </c>
      <c r="K1518" t="s">
        <v>25</v>
      </c>
      <c r="L1518">
        <v>44827</v>
      </c>
      <c r="M1518">
        <v>128</v>
      </c>
      <c r="N1518">
        <v>158</v>
      </c>
      <c r="O1518" s="4">
        <v>3300</v>
      </c>
      <c r="P1518" s="4">
        <v>14308.173828125</v>
      </c>
      <c r="Q1518" s="5">
        <f t="shared" si="92"/>
        <v>3.3358102509469694</v>
      </c>
      <c r="R1518" s="4">
        <v>13725.53555118954</v>
      </c>
      <c r="S1518" s="5">
        <f t="shared" si="93"/>
        <v>3.1592531973301634</v>
      </c>
      <c r="T1518" s="4">
        <v>14607.76035080206</v>
      </c>
      <c r="U1518" s="5">
        <f t="shared" si="94"/>
        <v>3.4265940456975938</v>
      </c>
      <c r="V1518" s="4">
        <v>14404.5947265625</v>
      </c>
      <c r="W1518" s="5">
        <f t="shared" si="95"/>
        <v>3.3650287050189398</v>
      </c>
    </row>
    <row r="1519" spans="1:23" x14ac:dyDescent="0.25">
      <c r="A1519" t="s">
        <v>1970</v>
      </c>
      <c r="B1519">
        <v>2020</v>
      </c>
      <c r="C1519" t="s">
        <v>156</v>
      </c>
      <c r="D1519" t="s">
        <v>157</v>
      </c>
      <c r="E1519">
        <v>20432</v>
      </c>
      <c r="F1519" t="s">
        <v>111</v>
      </c>
      <c r="G1519" t="s">
        <v>23</v>
      </c>
      <c r="H1519" t="s">
        <v>24</v>
      </c>
      <c r="I1519" t="s">
        <v>25</v>
      </c>
      <c r="J1519" s="2">
        <v>45482</v>
      </c>
      <c r="K1519" t="s">
        <v>25</v>
      </c>
      <c r="L1519">
        <v>44827</v>
      </c>
      <c r="M1519">
        <v>128</v>
      </c>
      <c r="N1519">
        <v>158</v>
      </c>
      <c r="O1519" s="4">
        <v>15500</v>
      </c>
      <c r="P1519" s="4">
        <v>6454.1416015625</v>
      </c>
      <c r="Q1519" s="5">
        <f t="shared" si="92"/>
        <v>-0.58360376764112898</v>
      </c>
      <c r="R1519" s="4">
        <v>9721.6155084245274</v>
      </c>
      <c r="S1519" s="5">
        <f t="shared" si="93"/>
        <v>-0.37279899945648209</v>
      </c>
      <c r="T1519" s="4">
        <v>9869.6166801567088</v>
      </c>
      <c r="U1519" s="5">
        <f t="shared" si="94"/>
        <v>-0.36325053676408325</v>
      </c>
      <c r="V1519" s="4">
        <v>5652.517578125</v>
      </c>
      <c r="W1519" s="5">
        <f t="shared" si="95"/>
        <v>-0.63532144657258072</v>
      </c>
    </row>
    <row r="1520" spans="1:23" x14ac:dyDescent="0.25">
      <c r="A1520" t="s">
        <v>1971</v>
      </c>
      <c r="B1520">
        <v>2015</v>
      </c>
      <c r="C1520" t="s">
        <v>182</v>
      </c>
      <c r="D1520" t="s">
        <v>183</v>
      </c>
      <c r="E1520">
        <v>101576</v>
      </c>
      <c r="F1520" t="s">
        <v>111</v>
      </c>
      <c r="G1520" t="s">
        <v>23</v>
      </c>
      <c r="H1520" t="s">
        <v>24</v>
      </c>
      <c r="I1520" t="s">
        <v>25</v>
      </c>
      <c r="J1520" s="2">
        <v>45678</v>
      </c>
      <c r="K1520" t="s">
        <v>25</v>
      </c>
      <c r="L1520">
        <v>44827</v>
      </c>
      <c r="M1520">
        <v>128</v>
      </c>
      <c r="N1520">
        <v>158</v>
      </c>
      <c r="O1520" s="4">
        <v>8200</v>
      </c>
      <c r="P1520" s="4">
        <v>4048.849853515625</v>
      </c>
      <c r="Q1520" s="5">
        <f t="shared" si="92"/>
        <v>-0.50623782274199702</v>
      </c>
      <c r="R1520" s="4">
        <v>4360.8636475854983</v>
      </c>
      <c r="S1520" s="5">
        <f t="shared" si="93"/>
        <v>-0.46818736005054895</v>
      </c>
      <c r="T1520" s="4">
        <v>4624.6334463747962</v>
      </c>
      <c r="U1520" s="5">
        <f t="shared" si="94"/>
        <v>-0.43602031141770781</v>
      </c>
      <c r="V1520" s="4">
        <v>3999.7197265625</v>
      </c>
      <c r="W1520" s="5">
        <f t="shared" si="95"/>
        <v>-0.51222930163871949</v>
      </c>
    </row>
    <row r="1521" spans="1:23" x14ac:dyDescent="0.25">
      <c r="A1521" t="s">
        <v>1972</v>
      </c>
      <c r="B1521">
        <v>2018</v>
      </c>
      <c r="C1521" t="s">
        <v>156</v>
      </c>
      <c r="D1521" t="s">
        <v>196</v>
      </c>
      <c r="E1521">
        <v>159721</v>
      </c>
      <c r="F1521" t="s">
        <v>66</v>
      </c>
      <c r="G1521" t="s">
        <v>23</v>
      </c>
      <c r="H1521" t="s">
        <v>24</v>
      </c>
      <c r="I1521" t="s">
        <v>25</v>
      </c>
      <c r="J1521" s="2">
        <v>45715</v>
      </c>
      <c r="K1521" t="s">
        <v>25</v>
      </c>
      <c r="L1521">
        <v>44827</v>
      </c>
      <c r="M1521">
        <v>128</v>
      </c>
      <c r="N1521">
        <v>158</v>
      </c>
      <c r="O1521" s="4">
        <v>7800</v>
      </c>
      <c r="P1521" s="4">
        <v>2668.853759765625</v>
      </c>
      <c r="Q1521" s="5">
        <f t="shared" si="92"/>
        <v>-0.65783926156850958</v>
      </c>
      <c r="R1521" s="4">
        <v>1931.4556169987029</v>
      </c>
      <c r="S1521" s="5">
        <f t="shared" si="93"/>
        <v>-0.75237748500016632</v>
      </c>
      <c r="T1521" s="4">
        <v>2247.1843072824031</v>
      </c>
      <c r="U1521" s="5">
        <f t="shared" si="94"/>
        <v>-0.71189944778430725</v>
      </c>
      <c r="V1521" s="4">
        <v>2575.91015625</v>
      </c>
      <c r="W1521" s="5">
        <f t="shared" si="95"/>
        <v>-0.66975510817307693</v>
      </c>
    </row>
    <row r="1522" spans="1:23" x14ac:dyDescent="0.25">
      <c r="A1522" t="s">
        <v>1973</v>
      </c>
      <c r="B1522">
        <v>2017</v>
      </c>
      <c r="C1522" t="s">
        <v>53</v>
      </c>
      <c r="D1522" t="s">
        <v>971</v>
      </c>
      <c r="E1522">
        <v>103401</v>
      </c>
      <c r="F1522" t="s">
        <v>79</v>
      </c>
      <c r="G1522" t="s">
        <v>30</v>
      </c>
      <c r="H1522" t="s">
        <v>24</v>
      </c>
      <c r="I1522" t="s">
        <v>25</v>
      </c>
      <c r="J1522" s="2">
        <v>45323</v>
      </c>
      <c r="K1522" t="s">
        <v>25</v>
      </c>
      <c r="L1522">
        <v>44905</v>
      </c>
      <c r="M1522">
        <v>128</v>
      </c>
      <c r="N1522">
        <v>158</v>
      </c>
      <c r="O1522" s="4">
        <v>12700</v>
      </c>
      <c r="P1522" s="4">
        <v>6170.9150390625</v>
      </c>
      <c r="Q1522" s="5">
        <f t="shared" si="92"/>
        <v>-0.51410117802657473</v>
      </c>
      <c r="R1522" s="4">
        <v>6089.1915032312781</v>
      </c>
      <c r="S1522" s="5">
        <f t="shared" si="93"/>
        <v>-0.52053610210777346</v>
      </c>
      <c r="T1522" s="4">
        <v>10103.55775595979</v>
      </c>
      <c r="U1522" s="5">
        <f t="shared" si="94"/>
        <v>-0.20444427118426856</v>
      </c>
      <c r="V1522" s="4">
        <v>6124.21875</v>
      </c>
      <c r="W1522" s="5">
        <f t="shared" si="95"/>
        <v>-0.51777805118110232</v>
      </c>
    </row>
    <row r="1523" spans="1:23" x14ac:dyDescent="0.25">
      <c r="A1523" t="s">
        <v>1974</v>
      </c>
      <c r="B1523">
        <v>2017</v>
      </c>
      <c r="C1523" t="s">
        <v>53</v>
      </c>
      <c r="D1523" t="s">
        <v>69</v>
      </c>
      <c r="E1523">
        <v>184388</v>
      </c>
      <c r="F1523" t="s">
        <v>22</v>
      </c>
      <c r="G1523" t="s">
        <v>23</v>
      </c>
      <c r="H1523" t="s">
        <v>24</v>
      </c>
      <c r="I1523" t="s">
        <v>25</v>
      </c>
      <c r="J1523" s="2">
        <v>45330</v>
      </c>
      <c r="K1523" t="s">
        <v>25</v>
      </c>
      <c r="L1523">
        <v>44905</v>
      </c>
      <c r="M1523">
        <v>128</v>
      </c>
      <c r="N1523">
        <v>158</v>
      </c>
      <c r="O1523" s="4">
        <v>14700</v>
      </c>
      <c r="P1523" s="4">
        <v>4233.34423828125</v>
      </c>
      <c r="Q1523" s="5">
        <f t="shared" si="92"/>
        <v>-0.7120173987563776</v>
      </c>
      <c r="R1523" s="4">
        <v>4116.6566561284844</v>
      </c>
      <c r="S1523" s="5">
        <f t="shared" si="93"/>
        <v>-0.71995532951506913</v>
      </c>
      <c r="T1523" s="4">
        <v>5990.6532092213374</v>
      </c>
      <c r="U1523" s="5">
        <f t="shared" si="94"/>
        <v>-0.59247257080126958</v>
      </c>
      <c r="V1523" s="4">
        <v>4202.115234375</v>
      </c>
      <c r="W1523" s="5">
        <f t="shared" si="95"/>
        <v>-0.71414182079081634</v>
      </c>
    </row>
    <row r="1524" spans="1:23" x14ac:dyDescent="0.25">
      <c r="A1524" t="s">
        <v>1975</v>
      </c>
      <c r="B1524">
        <v>2015</v>
      </c>
      <c r="C1524" t="s">
        <v>53</v>
      </c>
      <c r="D1524" t="s">
        <v>69</v>
      </c>
      <c r="E1524">
        <v>139588</v>
      </c>
      <c r="F1524" t="s">
        <v>98</v>
      </c>
      <c r="G1524" t="s">
        <v>30</v>
      </c>
      <c r="H1524" t="s">
        <v>24</v>
      </c>
      <c r="I1524" t="s">
        <v>25</v>
      </c>
      <c r="J1524" s="2">
        <v>45309</v>
      </c>
      <c r="K1524" t="s">
        <v>25</v>
      </c>
      <c r="L1524">
        <v>44905</v>
      </c>
      <c r="M1524">
        <v>128</v>
      </c>
      <c r="N1524">
        <v>158</v>
      </c>
      <c r="O1524" s="4">
        <v>9900</v>
      </c>
      <c r="P1524" s="4">
        <v>5250.2392578125</v>
      </c>
      <c r="Q1524" s="5">
        <f t="shared" si="92"/>
        <v>-0.46967280224116159</v>
      </c>
      <c r="R1524" s="4">
        <v>7248.4744884405409</v>
      </c>
      <c r="S1524" s="5">
        <f t="shared" si="93"/>
        <v>-0.26783085975348075</v>
      </c>
      <c r="T1524" s="4">
        <v>8786.0954192342651</v>
      </c>
      <c r="U1524" s="5">
        <f t="shared" si="94"/>
        <v>-0.11251561421876111</v>
      </c>
      <c r="V1524" s="4">
        <v>4741.91357421875</v>
      </c>
      <c r="W1524" s="5">
        <f t="shared" si="95"/>
        <v>-0.52101883088699497</v>
      </c>
    </row>
    <row r="1525" spans="1:23" x14ac:dyDescent="0.25">
      <c r="A1525" t="s">
        <v>1976</v>
      </c>
      <c r="B1525">
        <v>2012</v>
      </c>
      <c r="C1525" t="s">
        <v>20</v>
      </c>
      <c r="D1525" t="s">
        <v>372</v>
      </c>
      <c r="E1525">
        <v>112240</v>
      </c>
      <c r="F1525" t="s">
        <v>254</v>
      </c>
      <c r="G1525" t="s">
        <v>23</v>
      </c>
      <c r="H1525" t="s">
        <v>24</v>
      </c>
      <c r="I1525" t="s">
        <v>25</v>
      </c>
      <c r="J1525" s="2">
        <v>45337</v>
      </c>
      <c r="K1525" t="s">
        <v>25</v>
      </c>
      <c r="L1525">
        <v>44905</v>
      </c>
      <c r="M1525">
        <v>128</v>
      </c>
      <c r="N1525">
        <v>158</v>
      </c>
      <c r="O1525" s="4">
        <v>5000</v>
      </c>
      <c r="P1525" s="4">
        <v>4228.1171875</v>
      </c>
      <c r="Q1525" s="5">
        <f t="shared" si="92"/>
        <v>-0.15437656249999998</v>
      </c>
      <c r="R1525" s="4">
        <v>4445.2478439600336</v>
      </c>
      <c r="S1525" s="5">
        <f t="shared" si="93"/>
        <v>-0.11095043120799331</v>
      </c>
      <c r="T1525" s="4">
        <v>5719.7804015307347</v>
      </c>
      <c r="U1525" s="5">
        <f t="shared" si="94"/>
        <v>0.14395608030614704</v>
      </c>
      <c r="V1525" s="4">
        <v>4207.12060546875</v>
      </c>
      <c r="W1525" s="5">
        <f t="shared" si="95"/>
        <v>-0.15857587890625002</v>
      </c>
    </row>
    <row r="1526" spans="1:23" x14ac:dyDescent="0.25">
      <c r="A1526" t="s">
        <v>1977</v>
      </c>
      <c r="B1526">
        <v>2015</v>
      </c>
      <c r="C1526" t="s">
        <v>104</v>
      </c>
      <c r="D1526" t="s">
        <v>126</v>
      </c>
      <c r="E1526">
        <v>114381</v>
      </c>
      <c r="F1526" t="s">
        <v>246</v>
      </c>
      <c r="G1526" t="s">
        <v>30</v>
      </c>
      <c r="H1526" t="s">
        <v>24</v>
      </c>
      <c r="I1526" t="s">
        <v>25</v>
      </c>
      <c r="J1526" s="2">
        <v>45412</v>
      </c>
      <c r="K1526" t="s">
        <v>25</v>
      </c>
      <c r="L1526">
        <v>44905</v>
      </c>
      <c r="M1526">
        <v>128</v>
      </c>
      <c r="N1526">
        <v>158</v>
      </c>
      <c r="O1526" s="4">
        <v>3900</v>
      </c>
      <c r="P1526" s="4">
        <v>7394.05419921875</v>
      </c>
      <c r="Q1526" s="5">
        <f t="shared" si="92"/>
        <v>0.89591133313301285</v>
      </c>
      <c r="R1526" s="4">
        <v>7607.2893884825526</v>
      </c>
      <c r="S1526" s="5">
        <f t="shared" si="93"/>
        <v>0.9505870226878339</v>
      </c>
      <c r="T1526" s="4">
        <v>6508.469338912696</v>
      </c>
      <c r="U1526" s="5">
        <f t="shared" si="94"/>
        <v>0.66883829202889644</v>
      </c>
      <c r="V1526" s="4">
        <v>7398.59814453125</v>
      </c>
      <c r="W1526" s="5">
        <f t="shared" si="95"/>
        <v>0.89707644731570513</v>
      </c>
    </row>
    <row r="1527" spans="1:23" x14ac:dyDescent="0.25">
      <c r="A1527" t="s">
        <v>1978</v>
      </c>
      <c r="B1527">
        <v>2014</v>
      </c>
      <c r="C1527" t="s">
        <v>20</v>
      </c>
      <c r="D1527" t="s">
        <v>134</v>
      </c>
      <c r="E1527">
        <v>150703</v>
      </c>
      <c r="F1527" t="s">
        <v>246</v>
      </c>
      <c r="G1527" t="s">
        <v>30</v>
      </c>
      <c r="H1527" t="s">
        <v>24</v>
      </c>
      <c r="I1527" t="s">
        <v>25</v>
      </c>
      <c r="J1527" s="2">
        <v>45309</v>
      </c>
      <c r="K1527" t="s">
        <v>25</v>
      </c>
      <c r="L1527">
        <v>44905</v>
      </c>
      <c r="M1527">
        <v>128</v>
      </c>
      <c r="N1527">
        <v>158</v>
      </c>
      <c r="O1527" s="4">
        <v>3600</v>
      </c>
      <c r="P1527" s="4">
        <v>2601.959716796875</v>
      </c>
      <c r="Q1527" s="5">
        <f t="shared" si="92"/>
        <v>-0.27723341200086804</v>
      </c>
      <c r="R1527" s="4">
        <v>2997.2798400336169</v>
      </c>
      <c r="S1527" s="5">
        <f t="shared" si="93"/>
        <v>-0.16742226665732862</v>
      </c>
      <c r="T1527" s="4">
        <v>4002.7316264838541</v>
      </c>
      <c r="U1527" s="5">
        <f t="shared" si="94"/>
        <v>0.11186989624551513</v>
      </c>
      <c r="V1527" s="4">
        <v>2485.604248046875</v>
      </c>
      <c r="W1527" s="5">
        <f t="shared" si="95"/>
        <v>-0.30955437554253473</v>
      </c>
    </row>
    <row r="1528" spans="1:23" x14ac:dyDescent="0.25">
      <c r="A1528" t="s">
        <v>1979</v>
      </c>
      <c r="B1528">
        <v>2018</v>
      </c>
      <c r="C1528" t="s">
        <v>20</v>
      </c>
      <c r="D1528" t="s">
        <v>21</v>
      </c>
      <c r="E1528">
        <v>65947</v>
      </c>
      <c r="F1528" t="s">
        <v>79</v>
      </c>
      <c r="G1528" t="s">
        <v>34</v>
      </c>
      <c r="H1528" t="s">
        <v>25</v>
      </c>
      <c r="I1528" t="s">
        <v>24</v>
      </c>
      <c r="J1528" s="2">
        <v>45356</v>
      </c>
      <c r="K1528" t="s">
        <v>25</v>
      </c>
      <c r="L1528">
        <v>44905</v>
      </c>
      <c r="M1528">
        <v>128</v>
      </c>
      <c r="N1528">
        <v>158</v>
      </c>
      <c r="O1528" s="4">
        <v>6600</v>
      </c>
      <c r="P1528" s="4">
        <v>8556.1220703125</v>
      </c>
      <c r="Q1528" s="5">
        <f t="shared" si="92"/>
        <v>0.2963821318655302</v>
      </c>
      <c r="R1528" s="4">
        <v>9579.5172757461623</v>
      </c>
      <c r="S1528" s="5">
        <f t="shared" si="93"/>
        <v>0.45144201147669127</v>
      </c>
      <c r="T1528" s="4">
        <v>8666.1545053545033</v>
      </c>
      <c r="U1528" s="5">
        <f t="shared" si="94"/>
        <v>0.31305371293250039</v>
      </c>
      <c r="V1528" s="4">
        <v>8064.46435546875</v>
      </c>
      <c r="W1528" s="5">
        <f t="shared" si="95"/>
        <v>0.22188853870738634</v>
      </c>
    </row>
    <row r="1529" spans="1:23" x14ac:dyDescent="0.25">
      <c r="A1529" t="s">
        <v>1980</v>
      </c>
      <c r="B1529">
        <v>2018</v>
      </c>
      <c r="C1529" t="s">
        <v>20</v>
      </c>
      <c r="D1529" t="s">
        <v>21</v>
      </c>
      <c r="E1529">
        <v>96599</v>
      </c>
      <c r="F1529" t="s">
        <v>29</v>
      </c>
      <c r="G1529" t="s">
        <v>38</v>
      </c>
      <c r="H1529" t="s">
        <v>25</v>
      </c>
      <c r="I1529" t="s">
        <v>24</v>
      </c>
      <c r="J1529" s="2">
        <v>45426</v>
      </c>
      <c r="K1529" t="s">
        <v>25</v>
      </c>
      <c r="L1529">
        <v>44905</v>
      </c>
      <c r="M1529">
        <v>128</v>
      </c>
      <c r="N1529">
        <v>158</v>
      </c>
      <c r="O1529" s="4">
        <v>14500</v>
      </c>
      <c r="P1529" s="4">
        <v>6436.26806640625</v>
      </c>
      <c r="Q1529" s="5">
        <f t="shared" si="92"/>
        <v>-0.55611944369612076</v>
      </c>
      <c r="R1529" s="4">
        <v>11153.529607615361</v>
      </c>
      <c r="S1529" s="5">
        <f t="shared" si="93"/>
        <v>-0.23079106154376816</v>
      </c>
      <c r="T1529" s="4">
        <v>8634.6705426038261</v>
      </c>
      <c r="U1529" s="5">
        <f t="shared" si="94"/>
        <v>-0.40450547982042584</v>
      </c>
      <c r="V1529" s="4">
        <v>6913.18798828125</v>
      </c>
      <c r="W1529" s="5">
        <f t="shared" si="95"/>
        <v>-0.5232284146012931</v>
      </c>
    </row>
    <row r="1530" spans="1:23" x14ac:dyDescent="0.25">
      <c r="A1530" t="s">
        <v>1981</v>
      </c>
      <c r="B1530">
        <v>2017</v>
      </c>
      <c r="C1530" t="s">
        <v>519</v>
      </c>
      <c r="D1530" t="s">
        <v>520</v>
      </c>
      <c r="E1530">
        <v>109345</v>
      </c>
      <c r="F1530" t="s">
        <v>219</v>
      </c>
      <c r="G1530" t="s">
        <v>38</v>
      </c>
      <c r="H1530" t="s">
        <v>25</v>
      </c>
      <c r="I1530" t="s">
        <v>24</v>
      </c>
      <c r="J1530" s="2">
        <v>45356</v>
      </c>
      <c r="K1530" t="s">
        <v>25</v>
      </c>
      <c r="L1530">
        <v>44905</v>
      </c>
      <c r="M1530">
        <v>128</v>
      </c>
      <c r="N1530">
        <v>158</v>
      </c>
      <c r="O1530" s="4">
        <v>10200</v>
      </c>
      <c r="P1530" s="4">
        <v>7281.15771484375</v>
      </c>
      <c r="Q1530" s="5">
        <f t="shared" si="92"/>
        <v>-0.28616100834865199</v>
      </c>
      <c r="R1530" s="4">
        <v>8111.9245434780596</v>
      </c>
      <c r="S1530" s="5">
        <f t="shared" si="93"/>
        <v>-0.20471328005117062</v>
      </c>
      <c r="T1530" s="4">
        <v>7733.96642626211</v>
      </c>
      <c r="U1530" s="5">
        <f t="shared" si="94"/>
        <v>-0.24176799742528332</v>
      </c>
      <c r="V1530" s="4">
        <v>7138.80224609375</v>
      </c>
      <c r="W1530" s="5">
        <f t="shared" si="95"/>
        <v>-0.30011742685355391</v>
      </c>
    </row>
    <row r="1531" spans="1:23" x14ac:dyDescent="0.25">
      <c r="A1531" t="s">
        <v>1982</v>
      </c>
      <c r="B1531">
        <v>2019</v>
      </c>
      <c r="C1531" t="s">
        <v>53</v>
      </c>
      <c r="D1531" t="s">
        <v>65</v>
      </c>
      <c r="E1531">
        <v>119369</v>
      </c>
      <c r="F1531" t="s">
        <v>106</v>
      </c>
      <c r="G1531" t="s">
        <v>30</v>
      </c>
      <c r="H1531" t="s">
        <v>24</v>
      </c>
      <c r="I1531" t="s">
        <v>25</v>
      </c>
      <c r="J1531" s="2">
        <v>45701</v>
      </c>
      <c r="K1531" t="s">
        <v>25</v>
      </c>
      <c r="L1531">
        <v>44907</v>
      </c>
      <c r="M1531">
        <v>128</v>
      </c>
      <c r="N1531">
        <v>158</v>
      </c>
      <c r="O1531" s="4">
        <v>9000</v>
      </c>
      <c r="P1531" s="4">
        <v>11411.4892578125</v>
      </c>
      <c r="Q1531" s="5">
        <f t="shared" si="92"/>
        <v>0.26794325086805548</v>
      </c>
      <c r="R1531" s="4">
        <v>11610.83478653796</v>
      </c>
      <c r="S1531" s="5">
        <f t="shared" si="93"/>
        <v>0.29009275405977331</v>
      </c>
      <c r="T1531" s="4">
        <v>13212.85187888307</v>
      </c>
      <c r="U1531" s="5">
        <f t="shared" si="94"/>
        <v>0.46809465320923005</v>
      </c>
      <c r="V1531" s="4">
        <v>11338.146484375</v>
      </c>
      <c r="W1531" s="5">
        <f t="shared" si="95"/>
        <v>0.25979405381944454</v>
      </c>
    </row>
    <row r="1532" spans="1:23" x14ac:dyDescent="0.25">
      <c r="A1532" t="s">
        <v>1983</v>
      </c>
      <c r="B1532">
        <v>2019</v>
      </c>
      <c r="C1532" t="s">
        <v>20</v>
      </c>
      <c r="D1532" t="s">
        <v>366</v>
      </c>
      <c r="E1532">
        <v>69321</v>
      </c>
      <c r="F1532" t="s">
        <v>48</v>
      </c>
      <c r="G1532" t="s">
        <v>38</v>
      </c>
      <c r="H1532" t="s">
        <v>25</v>
      </c>
      <c r="I1532" t="s">
        <v>24</v>
      </c>
      <c r="J1532" s="2">
        <v>45538</v>
      </c>
      <c r="K1532" t="s">
        <v>25</v>
      </c>
      <c r="L1532">
        <v>44907</v>
      </c>
      <c r="M1532">
        <v>128</v>
      </c>
      <c r="N1532">
        <v>158</v>
      </c>
      <c r="O1532" s="4">
        <v>19300</v>
      </c>
      <c r="P1532" s="4">
        <v>10537.8046875</v>
      </c>
      <c r="Q1532" s="5">
        <f t="shared" si="92"/>
        <v>-0.45399975712435237</v>
      </c>
      <c r="R1532" s="4">
        <v>15406.55446909998</v>
      </c>
      <c r="S1532" s="5">
        <f t="shared" si="93"/>
        <v>-0.20173292906217721</v>
      </c>
      <c r="T1532" s="4">
        <v>18928.267355532691</v>
      </c>
      <c r="U1532" s="5">
        <f t="shared" si="94"/>
        <v>-1.9260758780689557E-2</v>
      </c>
      <c r="V1532" s="4">
        <v>9834.095703125</v>
      </c>
      <c r="W1532" s="5">
        <f t="shared" si="95"/>
        <v>-0.49046136253238337</v>
      </c>
    </row>
    <row r="1533" spans="1:23" x14ac:dyDescent="0.25">
      <c r="A1533" t="s">
        <v>1984</v>
      </c>
      <c r="B1533">
        <v>2016</v>
      </c>
      <c r="C1533" t="s">
        <v>185</v>
      </c>
      <c r="D1533" t="s">
        <v>229</v>
      </c>
      <c r="E1533">
        <v>100170</v>
      </c>
      <c r="F1533" t="s">
        <v>214</v>
      </c>
      <c r="G1533" t="s">
        <v>44</v>
      </c>
      <c r="H1533" t="s">
        <v>25</v>
      </c>
      <c r="I1533" t="s">
        <v>24</v>
      </c>
      <c r="J1533" s="2">
        <v>45300</v>
      </c>
      <c r="K1533" t="s">
        <v>25</v>
      </c>
      <c r="L1533">
        <v>44907</v>
      </c>
      <c r="M1533">
        <v>128</v>
      </c>
      <c r="N1533">
        <v>158</v>
      </c>
      <c r="O1533" s="4">
        <v>6100</v>
      </c>
      <c r="P1533" s="4">
        <v>6301.17529296875</v>
      </c>
      <c r="Q1533" s="5">
        <f t="shared" si="92"/>
        <v>3.2979556224385309E-2</v>
      </c>
      <c r="R1533" s="4">
        <v>7644.5274812366661</v>
      </c>
      <c r="S1533" s="5">
        <f t="shared" si="93"/>
        <v>0.2532012264322403</v>
      </c>
      <c r="T1533" s="4">
        <v>6761.4432528527304</v>
      </c>
      <c r="U1533" s="5">
        <f t="shared" si="94"/>
        <v>0.10843332013979179</v>
      </c>
      <c r="V1533" s="4">
        <v>5761.8798828125</v>
      </c>
      <c r="W1533" s="5">
        <f t="shared" si="95"/>
        <v>-5.5429527407786838E-2</v>
      </c>
    </row>
    <row r="1534" spans="1:23" x14ac:dyDescent="0.25">
      <c r="A1534" t="s">
        <v>1985</v>
      </c>
      <c r="B1534">
        <v>2019</v>
      </c>
      <c r="C1534" t="s">
        <v>185</v>
      </c>
      <c r="D1534" t="s">
        <v>1966</v>
      </c>
      <c r="E1534">
        <v>64433</v>
      </c>
      <c r="F1534" t="s">
        <v>37</v>
      </c>
      <c r="G1534" t="s">
        <v>34</v>
      </c>
      <c r="H1534" t="s">
        <v>25</v>
      </c>
      <c r="I1534" t="s">
        <v>24</v>
      </c>
      <c r="J1534" s="2">
        <v>45594</v>
      </c>
      <c r="K1534" t="s">
        <v>25</v>
      </c>
      <c r="L1534">
        <v>44907</v>
      </c>
      <c r="M1534">
        <v>128</v>
      </c>
      <c r="N1534">
        <v>158</v>
      </c>
      <c r="O1534" s="4">
        <v>26500</v>
      </c>
      <c r="P1534" s="4">
        <v>9119.935546875</v>
      </c>
      <c r="Q1534" s="5">
        <f t="shared" si="92"/>
        <v>-0.65585148879716981</v>
      </c>
      <c r="R1534" s="4">
        <v>11842.847606775151</v>
      </c>
      <c r="S1534" s="5">
        <f t="shared" si="93"/>
        <v>-0.55310009031037166</v>
      </c>
      <c r="T1534" s="4">
        <v>17775.114778563951</v>
      </c>
      <c r="U1534" s="5">
        <f t="shared" si="94"/>
        <v>-0.32924095175230372</v>
      </c>
      <c r="V1534" s="4">
        <v>8478.3974609375</v>
      </c>
      <c r="W1534" s="5">
        <f t="shared" si="95"/>
        <v>-0.68006047317216978</v>
      </c>
    </row>
    <row r="1535" spans="1:23" x14ac:dyDescent="0.25">
      <c r="A1535" t="s">
        <v>1986</v>
      </c>
      <c r="B1535">
        <v>2017</v>
      </c>
      <c r="C1535" t="s">
        <v>91</v>
      </c>
      <c r="D1535" t="s">
        <v>275</v>
      </c>
      <c r="E1535">
        <v>113122</v>
      </c>
      <c r="F1535" t="s">
        <v>29</v>
      </c>
      <c r="G1535" t="s">
        <v>30</v>
      </c>
      <c r="H1535" t="s">
        <v>24</v>
      </c>
      <c r="I1535" t="s">
        <v>25</v>
      </c>
      <c r="J1535" s="2">
        <v>45664</v>
      </c>
      <c r="K1535" t="s">
        <v>25</v>
      </c>
      <c r="L1535">
        <v>44907</v>
      </c>
      <c r="M1535">
        <v>128</v>
      </c>
      <c r="N1535">
        <v>158</v>
      </c>
      <c r="O1535" s="4">
        <v>12300</v>
      </c>
      <c r="P1535" s="4">
        <v>4473.69384765625</v>
      </c>
      <c r="Q1535" s="5">
        <f t="shared" si="92"/>
        <v>-0.6362850530360773</v>
      </c>
      <c r="R1535" s="4">
        <v>7595.7241815494071</v>
      </c>
      <c r="S1535" s="5">
        <f t="shared" si="93"/>
        <v>-0.3824614486545197</v>
      </c>
      <c r="T1535" s="4">
        <v>8482.5242896506898</v>
      </c>
      <c r="U1535" s="5">
        <f t="shared" si="94"/>
        <v>-0.31036387889018779</v>
      </c>
      <c r="V1535" s="4">
        <v>4439.2041015625</v>
      </c>
      <c r="W1535" s="5">
        <f t="shared" si="95"/>
        <v>-0.63908909743394315</v>
      </c>
    </row>
    <row r="1536" spans="1:23" x14ac:dyDescent="0.25">
      <c r="A1536" t="s">
        <v>1987</v>
      </c>
      <c r="B1536">
        <v>2016</v>
      </c>
      <c r="C1536" t="s">
        <v>91</v>
      </c>
      <c r="D1536" t="s">
        <v>300</v>
      </c>
      <c r="E1536">
        <v>89252</v>
      </c>
      <c r="F1536" t="s">
        <v>250</v>
      </c>
      <c r="G1536" t="s">
        <v>30</v>
      </c>
      <c r="H1536" t="s">
        <v>24</v>
      </c>
      <c r="I1536" t="s">
        <v>25</v>
      </c>
      <c r="J1536" s="2">
        <v>45608</v>
      </c>
      <c r="K1536" t="s">
        <v>25</v>
      </c>
      <c r="L1536">
        <v>44907</v>
      </c>
      <c r="M1536">
        <v>128</v>
      </c>
      <c r="N1536">
        <v>158</v>
      </c>
      <c r="O1536" s="4">
        <v>12600</v>
      </c>
      <c r="P1536" s="4">
        <v>8077.7978515625</v>
      </c>
      <c r="Q1536" s="5">
        <f t="shared" si="92"/>
        <v>-0.35890493241567456</v>
      </c>
      <c r="R1536" s="4">
        <v>8263.5062494787962</v>
      </c>
      <c r="S1536" s="5">
        <f t="shared" si="93"/>
        <v>-0.34416617067628597</v>
      </c>
      <c r="T1536" s="4">
        <v>9716.5264198885397</v>
      </c>
      <c r="U1536" s="5">
        <f>(T1536/$O1536)-1</f>
        <v>-0.22884710953265552</v>
      </c>
      <c r="V1536" s="4">
        <v>7923.41748046875</v>
      </c>
      <c r="W1536" s="5">
        <f t="shared" si="95"/>
        <v>-0.37115734281994051</v>
      </c>
    </row>
    <row r="1537" spans="14:23" x14ac:dyDescent="0.25">
      <c r="Q1537" s="5"/>
      <c r="S1537" s="5"/>
      <c r="U1537" s="5"/>
      <c r="W1537" s="5"/>
    </row>
    <row r="1538" spans="14:23" x14ac:dyDescent="0.25">
      <c r="N1538" t="s">
        <v>1988</v>
      </c>
      <c r="O1538" s="4">
        <f>SUM(O2:O1536)</f>
        <v>13800974.532749267</v>
      </c>
      <c r="P1538" s="4">
        <f>SUM(P2:P1536)</f>
        <v>11038848.483978271</v>
      </c>
      <c r="Q1538" s="5">
        <f t="shared" si="92"/>
        <v>-0.20013992796063496</v>
      </c>
      <c r="R1538" s="4">
        <f t="shared" ref="P1538:V1538" si="96">SUM(R2:R1536)</f>
        <v>12336537.606831471</v>
      </c>
      <c r="S1538" s="5">
        <f t="shared" si="93"/>
        <v>-0.10611112443130266</v>
      </c>
      <c r="T1538" s="4">
        <f t="shared" si="96"/>
        <v>12474857.011435755</v>
      </c>
      <c r="U1538" s="5">
        <f t="shared" ref="U1537:U1538" si="97">(T1538/$O1538)-1</f>
        <v>-9.6088686937772283E-2</v>
      </c>
      <c r="V1538" s="4">
        <f t="shared" si="96"/>
        <v>10814496.95703125</v>
      </c>
      <c r="W1538" s="5">
        <f>(V1538/$O1538)-1</f>
        <v>-0.21639613699968818</v>
      </c>
    </row>
    <row r="1539" spans="14:23" x14ac:dyDescent="0.25">
      <c r="S1539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AA4F4-A18D-4BF3-8DBC-2A61C1A8776F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5D9F94B8-82EA-4EBE-B62A-3FF432826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CBC2F2-1FE9-4ED3-877D-B061F1FEA6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2025-06-26T17:22:59Z</dcterms:created>
  <dcterms:modified xsi:type="dcterms:W3CDTF">2025-06-26T17:31:46Z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